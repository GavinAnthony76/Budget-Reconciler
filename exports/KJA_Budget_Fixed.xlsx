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vin\Downloads\"/>
    </mc:Choice>
  </mc:AlternateContent>
  <xr:revisionPtr revIDLastSave="0" documentId="8_{0097B4A2-9F7F-4764-B749-12214829647C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Instructions" sheetId="11" r:id="rId1"/>
    <sheet name="Dashboard" sheetId="5" r:id="rId2"/>
    <sheet name="Setup" sheetId="6" r:id="rId3"/>
    <sheet name="Budget Plan" sheetId="7" r:id="rId4"/>
    <sheet name="Manual Actuals" sheetId="12" r:id="rId5"/>
    <sheet name="Monthly Summary" sheetId="10" r:id="rId6"/>
    <sheet name="Goals" sheetId="9" r:id="rId7"/>
    <sheet name="Debts" sheetId="8" r:id="rId8"/>
    <sheet name="Reconciliation" sheetId="13" r:id="rId9"/>
    <sheet name="bk_download" sheetId="3" r:id="rId10"/>
    <sheet name="Rules" sheetId="14" r:id="rId18"/>
  </sheets>
  <definedNames>
    <definedName name="_xlnm._FilterDatabase" localSheetId="9" hidden="1">bk_download!$A$1:$N$1902</definedName>
    <definedName name="_xlnm._FilterDatabase" localSheetId="4" hidden="1">'Manual Actuals'!$A$1:$I$861</definedName>
    <definedName name="AccountList">Setup!$AA$2:$AA$3</definedName>
    <definedName name="CategoryList">Setup!$A$10:$A$28</definedName>
    <definedName name="Children">Setup!$P$2:$P$3</definedName>
    <definedName name="Debt">Setup!$V$2:$V$4</definedName>
    <definedName name="Entertainment">Setup!$R$2:$R$4</definedName>
    <definedName name="Food">Setup!$M$2:$M$4</definedName>
    <definedName name="Giving">Setup!$T$2:$T$3</definedName>
    <definedName name="Housing">Setup!$J$2:$J$7</definedName>
    <definedName name="Insurance">Setup!$N$2:$N$3</definedName>
    <definedName name="Legal">Setup!$Y$2</definedName>
    <definedName name="Medical">Setup!$O$2:$O$4</definedName>
    <definedName name="Miscellaneous">Setup!$Z$2:$Z$5</definedName>
    <definedName name="Personal_Care">Setup!$Q$2:$Q$4</definedName>
    <definedName name="Pets">Setup!$U$2</definedName>
    <definedName name="Savings">Setup!$W$2:$W$5</definedName>
    <definedName name="Subscriptions">Setup!$S$2:$S$5</definedName>
    <definedName name="Taxes">Setup!$X$2</definedName>
    <definedName name="Utilities">Setup!$K$2:$K$6</definedName>
    <definedName name="Vehicle">Setup!$L$2:$L$6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E2970-1118-40D6-9F74-1D32B74919C6}" keepAlive="1" name="Query - bk_download20260809" description="Connection to the 'bk_download20260809' query in the workbook." type="5" refreshedVersion="0" background="1" saveData="1">
    <dbPr connection="Provider=Microsoft.Mashup.OleDb.1;Data Source=$Workbook$;Location=bk_download20260809;Extended Properties=&quot;&quot;" command="SELECT * FROM [bk_download20260809]"/>
  </connection>
</connections>
</file>

<file path=xl/sharedStrings.xml><?xml version="1.0" encoding="utf-8"?>
<sst xmlns="http://schemas.openxmlformats.org/spreadsheetml/2006/main">
  <si>
    <t>HOW TO USE THIS HOUSEHOLD BUDGET WORKBOOK</t>
  </si>
  <si>
    <t>Step</t>
  </si>
  <si>
    <t>What to do</t>
  </si>
  <si>
    <t>Where</t>
  </si>
  <si>
    <t>Important detail</t>
  </si>
  <si>
    <t>1</t>
  </si>
  <si>
    <t>Set the budget month and minimum checking buffer.</t>
  </si>
  <si>
    <t>Setup</t>
  </si>
  <si>
    <t>Use the first day of the month, such as 12/1/2020.</t>
  </si>
  <si>
    <t>2</t>
  </si>
  <si>
    <t>Enter up to seven income sources and choose each payment frequency.</t>
  </si>
  <si>
    <t>Monthly Equivalent calculates automatically.</t>
  </si>
  <si>
    <t>3</t>
  </si>
  <si>
    <t>Enter planned amounts, priorities, due days, and fixed/variable status.</t>
  </si>
  <si>
    <t>Budget Plan</t>
  </si>
  <si>
    <t>Blue-font cells are intended for user input.</t>
  </si>
  <si>
    <t>4</t>
  </si>
  <si>
    <t>Paste a bank export into columns A:G without changing the headers.</t>
  </si>
  <si>
    <t>bk_download</t>
  </si>
  <si>
    <t>You may paste thousands of rows. Formulas in H:P standardize the data.</t>
  </si>
  <si>
    <t>5</t>
  </si>
  <si>
    <t>Review Budget Category, Subcategory, and Include? on imported transactions.</t>
  </si>
  <si>
    <t>Transfers and forecasted items default to No. Change misclassified items manually.</t>
  </si>
  <si>
    <t>6</t>
  </si>
  <si>
    <t>Filter by Month, Category, Account, or Include? to review transactions.</t>
  </si>
  <si>
    <t>Expense Amount converts bank negatives into positive spending.</t>
  </si>
  <si>
    <t>7</t>
  </si>
  <si>
    <t>Review actual spending, remaining budget, and category variance.</t>
  </si>
  <si>
    <t>Budget Plan / Monthly Summary</t>
  </si>
  <si>
    <t>Actuals are pulled directly from included bank transactions.</t>
  </si>
  <si>
    <t>8</t>
  </si>
  <si>
    <t>Enter debt balances, APRs, minimums, and due dates.</t>
  </si>
  <si>
    <t>Debts</t>
  </si>
  <si>
    <t>The selected strategy ranks debts and assigns available extra cash.</t>
  </si>
  <si>
    <t>9</t>
  </si>
  <si>
    <t>Enter savings goals and planned monthly contributions.</t>
  </si>
  <si>
    <t>Goals</t>
  </si>
  <si>
    <t>The sheet calculates required savings and feasibility.</t>
  </si>
  <si>
    <t>10</t>
  </si>
  <si>
    <t>Use the Dashboard for payment order and financial-health warnings.</t>
  </si>
  <si>
    <t>Dashboard</t>
  </si>
  <si>
    <t>Recommendations depend on the completeness of income, budget, debt, and goal inputs.</t>
  </si>
  <si>
    <t>Color</t>
  </si>
  <si>
    <t>Meaning</t>
  </si>
  <si>
    <t>Blue text</t>
  </si>
  <si>
    <t>User-entered assumptions or editable inputs</t>
  </si>
  <si>
    <t>Green text</t>
  </si>
  <si>
    <t>Formula linked to another worksheet</t>
  </si>
  <si>
    <t>Black text</t>
  </si>
  <si>
    <t>Formula or calculation</t>
  </si>
  <si>
    <t>Yellow fill</t>
  </si>
  <si>
    <t>Key setting that should be reviewed</t>
  </si>
  <si>
    <t>Bank Import Notes</t>
  </si>
  <si>
    <t>Supported structure</t>
  </si>
  <si>
    <t>The existing bank export uses status, date, transaction description, category, and amount.</t>
  </si>
  <si>
    <t>Different bank formats</t>
  </si>
  <si>
    <t>Rearrange the exported columns to match A:G or paste into the corresponding columns.</t>
  </si>
  <si>
    <t>Duplicates</t>
  </si>
  <si>
    <t>Possible duplicate rows are flagged in Review Note. Set Include? to No for any confirmed duplicate.</t>
  </si>
  <si>
    <t>MANUAL ACTUALS WORKFLOW</t>
  </si>
  <si>
    <t>During the month</t>
  </si>
  <si>
    <t>Enter spending in Manual Actuals. Use positive expense amounts, select category/subcategory, and set Include? to Yes.</t>
  </si>
  <si>
    <t>Live reporting</t>
  </si>
  <si>
    <t>Keep Setup!B8 set to Manual (Live). Dashboard and Budget Plan use manual entries immediately.</t>
  </si>
  <si>
    <t>Month-end import</t>
  </si>
  <si>
    <t>Paste the bank export into bk_download and review the mapped categories and Include? flags.</t>
  </si>
  <si>
    <t>Reconcile</t>
  </si>
  <si>
    <t>Use the Reconciliation sheet to compare manual entries against bank totals by category.</t>
  </si>
  <si>
    <t>Close the month</t>
  </si>
  <si>
    <t>After differences are resolved, change Setup!B8 to Bank (Closed). Reports then use bank transactions as final actuals.</t>
  </si>
  <si>
    <t>No double counting</t>
  </si>
  <si>
    <t>The source selector chooses manual OR bank actuals; it does not add them together.</t>
  </si>
  <si>
    <t>HOUSEHOLD FINANCIAL DASHBOARD</t>
  </si>
  <si>
    <t>Monthly Income</t>
  </si>
  <si>
    <t>Planned Expenses</t>
  </si>
  <si>
    <t>Actual Expenses (Selected Source)</t>
  </si>
  <si>
    <t>Actual Cash Flow</t>
  </si>
  <si>
    <t>Planned Surplus</t>
  </si>
  <si>
    <t>Total Debt</t>
  </si>
  <si>
    <t>Goal Contributions</t>
  </si>
  <si>
    <t>Available for Extra Debt</t>
  </si>
  <si>
    <t>PAYMENT PRIORITY RECOMMENDATION</t>
  </si>
  <si>
    <t>Category</t>
  </si>
  <si>
    <t>Planned</t>
  </si>
  <si>
    <t>Actual</t>
  </si>
  <si>
    <t>Remaining</t>
  </si>
  <si>
    <t>Priority</t>
  </si>
  <si>
    <t>Action</t>
  </si>
  <si>
    <t>Amount ($)</t>
  </si>
  <si>
    <t>Timing</t>
  </si>
  <si>
    <t>Reason</t>
  </si>
  <si>
    <t>Status</t>
  </si>
  <si>
    <t>Housing</t>
  </si>
  <si>
    <t>Cover all essential and fixed expenses</t>
  </si>
  <si>
    <t>Before due dates</t>
  </si>
  <si>
    <t>Avoid missed bills and fees</t>
  </si>
  <si>
    <t>Utilities</t>
  </si>
  <si>
    <t>Maintain checking buffer</t>
  </si>
  <si>
    <t>Throughout month</t>
  </si>
  <si>
    <t>Prevent overdraft</t>
  </si>
  <si>
    <t>Vehicle</t>
  </si>
  <si>
    <t>Pay all debt minimums</t>
  </si>
  <si>
    <t>By due dates</t>
  </si>
  <si>
    <t>Protect credit and avoid penalties</t>
  </si>
  <si>
    <t>Food</t>
  </si>
  <si>
    <t>Fund savings goals</t>
  </si>
  <si>
    <t>After essentials</t>
  </si>
  <si>
    <t>Maintain goal progress</t>
  </si>
  <si>
    <t>Debt</t>
  </si>
  <si>
    <t>Send remaining surplus to top-ranked debt</t>
  </si>
  <si>
    <t>After all above</t>
  </si>
  <si>
    <t>Reduce interest and payoff time</t>
  </si>
  <si>
    <t>Savings</t>
  </si>
  <si>
    <t>Entertainment</t>
  </si>
  <si>
    <t>Subscriptions</t>
  </si>
  <si>
    <t>FINANCIAL HEALTH FLAGS</t>
  </si>
  <si>
    <t>Miscellaneous</t>
  </si>
  <si>
    <t>Metric</t>
  </si>
  <si>
    <t>Current</t>
  </si>
  <si>
    <t>Target</t>
  </si>
  <si>
    <t>Recommended Action</t>
  </si>
  <si>
    <t>Notes</t>
  </si>
  <si>
    <t>Savings Rate</t>
  </si>
  <si>
    <t>Increase goal contributions if below target</t>
  </si>
  <si>
    <t>Debt Payment Ratio</t>
  </si>
  <si>
    <t>Reduce debt burden if above target</t>
  </si>
  <si>
    <t>Housing Ratio</t>
  </si>
  <si>
    <t>Review housing costs if above target</t>
  </si>
  <si>
    <t>Emergency Fund Months</t>
  </si>
  <si>
    <t>Build emergency savings</t>
  </si>
  <si>
    <t>Budget Variance</t>
  </si>
  <si>
    <t>Review categories over budget</t>
  </si>
  <si>
    <t>HOUSEHOLD BUDGET CONTROL CENTER</t>
  </si>
  <si>
    <t>Subcategory Lists →</t>
  </si>
  <si>
    <t>Insurance</t>
  </si>
  <si>
    <t>Medical</t>
  </si>
  <si>
    <t>Children</t>
  </si>
  <si>
    <t>Personal Care</t>
  </si>
  <si>
    <t>Giving</t>
  </si>
  <si>
    <t>Pets</t>
  </si>
  <si>
    <t>Taxes</t>
  </si>
  <si>
    <t>Legal</t>
  </si>
  <si>
    <t>Account →</t>
  </si>
  <si>
    <t>Account</t>
  </si>
  <si>
    <t>Mortgage/Rent</t>
  </si>
  <si>
    <t>Electricity</t>
  </si>
  <si>
    <t>Car Payment</t>
  </si>
  <si>
    <t>Groceries</t>
  </si>
  <si>
    <t>Life Insurance</t>
  </si>
  <si>
    <t>Healthcare</t>
  </si>
  <si>
    <t>Child/Dependent</t>
  </si>
  <si>
    <t>Streaming</t>
  </si>
  <si>
    <t>Tithe/Charity</t>
  </si>
  <si>
    <t>Pet Care</t>
  </si>
  <si>
    <t>Loans</t>
  </si>
  <si>
    <t>Emergency Fund</t>
  </si>
  <si>
    <t>Federal/State/Local</t>
  </si>
  <si>
    <t>Cash/ATM</t>
  </si>
  <si>
    <t>Checking</t>
  </si>
  <si>
    <t>Core Settings</t>
  </si>
  <si>
    <t>Value</t>
  </si>
  <si>
    <t>Income Source</t>
  </si>
  <si>
    <t>Owner</t>
  </si>
  <si>
    <t>Frequency</t>
  </si>
  <si>
    <t>Net Amount ($)</t>
  </si>
  <si>
    <t>Monthly Equivalent ($)</t>
  </si>
  <si>
    <t>Property Taxes</t>
  </si>
  <si>
    <t>Water/Sewer/Trash</t>
  </si>
  <si>
    <t>Auto Insurance</t>
  </si>
  <si>
    <t>Dining Out</t>
  </si>
  <si>
    <t>Disability/Other</t>
  </si>
  <si>
    <t>Prescriptions</t>
  </si>
  <si>
    <t>School/Activities</t>
  </si>
  <si>
    <t>Clothing</t>
  </si>
  <si>
    <t>Online Services</t>
  </si>
  <si>
    <t>Music</t>
  </si>
  <si>
    <t>Gifts</t>
  </si>
  <si>
    <t>Credit Cards</t>
  </si>
  <si>
    <t>General Savings</t>
  </si>
  <si>
    <t>General Merchandise</t>
  </si>
  <si>
    <t>Selected Budget Month</t>
  </si>
  <si>
    <t>August 2026</t>
  </si>
  <si>
    <t>Income 1</t>
  </si>
  <si>
    <t>Household</t>
  </si>
  <si>
    <t>Monthly</t>
  </si>
  <si>
    <t>Home Insurance</t>
  </si>
  <si>
    <t>Internet</t>
  </si>
  <si>
    <t>Fuel</t>
  </si>
  <si>
    <t>Household Supplies</t>
  </si>
  <si>
    <t>Dental/Vision</t>
  </si>
  <si>
    <t>Hair/Nails</t>
  </si>
  <si>
    <t>Software/Apps</t>
  </si>
  <si>
    <t>Other Debt</t>
  </si>
  <si>
    <t>Retirement</t>
  </si>
  <si>
    <t>Other</t>
  </si>
  <si>
    <t>Minimum Checking Buffer</t>
  </si>
  <si>
    <t>Income 2</t>
  </si>
  <si>
    <t>HOA</t>
  </si>
  <si>
    <t>Telephone</t>
  </si>
  <si>
    <t>Maintenance/Repairs</t>
  </si>
  <si>
    <t>Other Subscriptions</t>
  </si>
  <si>
    <t>College</t>
  </si>
  <si>
    <t>Uncategorized</t>
  </si>
  <si>
    <t>Debt Strategy</t>
  </si>
  <si>
    <t>Avalanche</t>
  </si>
  <si>
    <t>Income 3</t>
  </si>
  <si>
    <t>Home Maintenance</t>
  </si>
  <si>
    <t>Gas</t>
  </si>
  <si>
    <t>Registration/Tolls</t>
  </si>
  <si>
    <t>Emergency Fund Target (months)</t>
  </si>
  <si>
    <t>Income 4</t>
  </si>
  <si>
    <t>Home Improvement</t>
  </si>
  <si>
    <t>Actuals Source Mode</t>
  </si>
  <si>
    <t>Manual (Live)</t>
  </si>
  <si>
    <t>Income 5</t>
  </si>
  <si>
    <t>Income 6</t>
  </si>
  <si>
    <t>Budget Category</t>
  </si>
  <si>
    <t>Default Subcategory</t>
  </si>
  <si>
    <t>Active</t>
  </si>
  <si>
    <t>Income 7</t>
  </si>
  <si>
    <t>Yes</t>
  </si>
  <si>
    <t>Total Monthly Income</t>
  </si>
  <si>
    <t>Bank Category</t>
  </si>
  <si>
    <t>Subcategory</t>
  </si>
  <si>
    <t>Home/Life/Other</t>
  </si>
  <si>
    <t>Mortgages</t>
  </si>
  <si>
    <t>Century Link</t>
  </si>
  <si>
    <t>Just Energy</t>
  </si>
  <si>
    <t>Killeen Utilities</t>
  </si>
  <si>
    <t>Telephone Services</t>
  </si>
  <si>
    <t>Loans/Credit Cards</t>
  </si>
  <si>
    <t>Automotive Expenses</t>
  </si>
  <si>
    <t>Savings/Investments</t>
  </si>
  <si>
    <t>Gasoline/Fuel</t>
  </si>
  <si>
    <t>Restaurants/Dining</t>
  </si>
  <si>
    <t>Income</t>
  </si>
  <si>
    <t>Healthcare/Medical</t>
  </si>
  <si>
    <t>Transfers</t>
  </si>
  <si>
    <t>No</t>
  </si>
  <si>
    <t>Child/Dependent Expenses</t>
  </si>
  <si>
    <t>Clothing/Shoes</t>
  </si>
  <si>
    <t>Pets/Pet Care</t>
  </si>
  <si>
    <t>ATM/Cash Withdrawals</t>
  </si>
  <si>
    <t>Other Expenses</t>
  </si>
  <si>
    <t>Other Income</t>
  </si>
  <si>
    <t>Streaming Services</t>
  </si>
  <si>
    <t>Music Services</t>
  </si>
  <si>
    <t>Software Subscriptions</t>
  </si>
  <si>
    <t>Subscription Services</t>
  </si>
  <si>
    <t>Alcohol &amp; Bars</t>
  </si>
  <si>
    <t>Atm Fee</t>
  </si>
  <si>
    <t>Auto &amp; Transport</t>
  </si>
  <si>
    <t>Auto Payment</t>
  </si>
  <si>
    <t>Business Services</t>
  </si>
  <si>
    <t>Cash</t>
  </si>
  <si>
    <t>Category Pending</t>
  </si>
  <si>
    <t>Coffee Shops</t>
  </si>
  <si>
    <t>Credit Card Payment</t>
  </si>
  <si>
    <t>Electronics &amp; Software</t>
  </si>
  <si>
    <t>Fast Food</t>
  </si>
  <si>
    <t>Fees &amp; Charges</t>
  </si>
  <si>
    <t>Financial</t>
  </si>
  <si>
    <t>Food &amp; Dining</t>
  </si>
  <si>
    <t>Gym</t>
  </si>
  <si>
    <t>Health &amp; Fitness</t>
  </si>
  <si>
    <t>Home</t>
  </si>
  <si>
    <t>Home Services</t>
  </si>
  <si>
    <t>Interest Income</t>
  </si>
  <si>
    <t>Laundry</t>
  </si>
  <si>
    <t>Mobile Phone</t>
  </si>
  <si>
    <t>Mortgage &amp; Rent</t>
  </si>
  <si>
    <t>Mortgage Payment</t>
  </si>
  <si>
    <t>Movies &amp; Dvds</t>
  </si>
  <si>
    <t>Newspapers &amp; Magazines</t>
  </si>
  <si>
    <t>Paycheck</t>
  </si>
  <si>
    <t>Restaurants</t>
  </si>
  <si>
    <t>Service &amp; Parts</t>
  </si>
  <si>
    <t>Shopping</t>
  </si>
  <si>
    <t>Transfer</t>
  </si>
  <si>
    <t>MONTHLY BUDGET PLAN — LIVE ACTUALS &amp; MONTH-END RECONCILIATION</t>
  </si>
  <si>
    <t>Planned ($)</t>
  </si>
  <si>
    <t>Actual Used ($)</t>
  </si>
  <si>
    <t>Remaining ($)</t>
  </si>
  <si>
    <t>Variance %</t>
  </si>
  <si>
    <t>Fixed/Variable</t>
  </si>
  <si>
    <t>Due Day</t>
  </si>
  <si>
    <t>Manual Actual ($)</t>
  </si>
  <si>
    <t>Bank Actual ($)</t>
  </si>
  <si>
    <t>Recon Difference ($)</t>
  </si>
  <si>
    <t>Medium</t>
  </si>
  <si>
    <t>Fixed</t>
  </si>
  <si>
    <t>Variable</t>
  </si>
  <si>
    <t>Exempt due to status</t>
  </si>
  <si>
    <t>Included in mortgage payment</t>
  </si>
  <si>
    <t>Three sources</t>
  </si>
  <si>
    <t>Two sources</t>
  </si>
  <si>
    <t>DV Benefit</t>
  </si>
  <si>
    <t>Dental and Vision for just one source</t>
  </si>
  <si>
    <t>Affirm</t>
  </si>
  <si>
    <t>TOTAL MONTHLY EXPENSES</t>
  </si>
  <si>
    <t>Date</t>
  </si>
  <si>
    <t>Description</t>
  </si>
  <si>
    <t>Actual Amount ($)</t>
  </si>
  <si>
    <t>Include?</t>
  </si>
  <si>
    <t>Month</t>
  </si>
  <si>
    <t>City of Killeen</t>
  </si>
  <si>
    <t>Google YouTube</t>
  </si>
  <si>
    <t>Camden Food Gates</t>
  </si>
  <si>
    <t>Dunkin donuts</t>
  </si>
  <si>
    <t>YouTube TV</t>
  </si>
  <si>
    <t>Star Mart</t>
  </si>
  <si>
    <t>Amazon Delivery</t>
  </si>
  <si>
    <t>BOA Home Loan</t>
  </si>
  <si>
    <t>American home Shield</t>
  </si>
  <si>
    <t>Tommy Express</t>
  </si>
  <si>
    <t>Google YouTube premium</t>
  </si>
  <si>
    <t>Title Boxing</t>
  </si>
  <si>
    <t>7/31/2026</t>
  </si>
  <si>
    <t>Ford Motor Credit</t>
  </si>
  <si>
    <t xml:space="preserve">7/30/2026  </t>
  </si>
  <si>
    <t>Plane ticket</t>
  </si>
  <si>
    <t>7/29/2026</t>
  </si>
  <si>
    <t>Klarna</t>
  </si>
  <si>
    <t>7/30/2026</t>
  </si>
  <si>
    <t>MONTHLY CATEGORY SUMMARY</t>
  </si>
  <si>
    <t>Actual ($)</t>
  </si>
  <si>
    <t>Share of Spend</t>
  </si>
  <si>
    <t>Trend Note</t>
  </si>
  <si>
    <t>SAVINGS GOALS &amp; FEASIBILITY</t>
  </si>
  <si>
    <t>Goal</t>
  </si>
  <si>
    <t>Target Amount ($)</t>
  </si>
  <si>
    <t>Current Saved ($)</t>
  </si>
  <si>
    <t>Target Date</t>
  </si>
  <si>
    <t>Months Remaining</t>
  </si>
  <si>
    <t>Required Monthly ($)</t>
  </si>
  <si>
    <t>Planned Monthly ($)</t>
  </si>
  <si>
    <t>Projected Completion</t>
  </si>
  <si>
    <t>Monthly Gap ($)</t>
  </si>
  <si>
    <t>Critical</t>
  </si>
  <si>
    <t>High</t>
  </si>
  <si>
    <t>Behind</t>
  </si>
  <si>
    <t>Goal 3</t>
  </si>
  <si>
    <t>Goal 4</t>
  </si>
  <si>
    <t>Goal 5</t>
  </si>
  <si>
    <t>Low</t>
  </si>
  <si>
    <t>Goal 6</t>
  </si>
  <si>
    <t>DEBT PAYOFF &amp; PAYMENT RECOMMENDATION</t>
  </si>
  <si>
    <t>Debt Name</t>
  </si>
  <si>
    <t>Type</t>
  </si>
  <si>
    <t>Current Balance ($)</t>
  </si>
  <si>
    <t>APR</t>
  </si>
  <si>
    <t>Minimum Payment ($)</t>
  </si>
  <si>
    <t>Promo End</t>
  </si>
  <si>
    <t>Strategy Rank</t>
  </si>
  <si>
    <t>Recommended Extra ($)</t>
  </si>
  <si>
    <t>Recommended Payment ($)</t>
  </si>
  <si>
    <t>Months to Payoff</t>
  </si>
  <si>
    <t>Projected Payoff</t>
  </si>
  <si>
    <t>Est. Interest ($)</t>
  </si>
  <si>
    <t>Debt 1</t>
  </si>
  <si>
    <t>Credit Card</t>
  </si>
  <si>
    <t>Debt 2</t>
  </si>
  <si>
    <t>Debt 3</t>
  </si>
  <si>
    <t>Loan</t>
  </si>
  <si>
    <t>Debt 4</t>
  </si>
  <si>
    <t>Debt 5</t>
  </si>
  <si>
    <t>Debt 6</t>
  </si>
  <si>
    <t>Debt 7</t>
  </si>
  <si>
    <t>Debt 8</t>
  </si>
  <si>
    <t>Debt Summary</t>
  </si>
  <si>
    <t>Total Minimum Payments</t>
  </si>
  <si>
    <t>MONTH-END BANK RECONCILIATION</t>
  </si>
  <si>
    <t>Difference ($)</t>
  </si>
  <si>
    <t>Difference %</t>
  </si>
  <si>
    <t>TOTAL</t>
  </si>
  <si>
    <t>Original Description</t>
  </si>
  <si>
    <t>Amount</t>
  </si>
  <si>
    <t>Expense Amount ($)</t>
  </si>
  <si>
    <t>Income Amount ($)</t>
  </si>
  <si>
    <t>Review Note</t>
  </si>
  <si>
    <t>Pending</t>
  </si>
  <si>
    <t>Posted</t>
  </si>
  <si>
    <t>USAA FUNDS TRANSFER DB</t>
  </si>
  <si>
    <t>H-E-B</t>
  </si>
  <si>
    <t>H-E-B #721               KILLEEN      TX</t>
  </si>
  <si>
    <t>T-Mobile</t>
  </si>
  <si>
    <t>Casey's</t>
  </si>
  <si>
    <t>Transfer to Apple Pay</t>
  </si>
  <si>
    <t>APPLE CASH SENT MONEY    1INFINITELOOPCA</t>
  </si>
  <si>
    <t>DoorDash</t>
  </si>
  <si>
    <t>USAA Transfer</t>
  </si>
  <si>
    <t>USAA FUNDS TRANSFER CR</t>
  </si>
  <si>
    <t>McDonald's</t>
  </si>
  <si>
    <t>Pluckers</t>
  </si>
  <si>
    <t>TST* PLUCKERS WING BAR   KILLEEN      TX</t>
  </si>
  <si>
    <t>USAA Funds Transfer DB</t>
  </si>
  <si>
    <t>The Point Liquor</t>
  </si>
  <si>
    <t>THE POINT LIQUOR 7       KILLEEN      TX</t>
  </si>
  <si>
    <t>CITY OF KILLEEN UTILITY  254-5017730  TX</t>
  </si>
  <si>
    <t>Jamaica Nyammingz</t>
  </si>
  <si>
    <t>Defense Finance and Accounting Service</t>
  </si>
  <si>
    <t>DFAS-CLEVELAND    CRSC PAY  ***********9083</t>
  </si>
  <si>
    <t>Mariner Finance                  080726</t>
  </si>
  <si>
    <t>CASEYS #4775                     080726</t>
  </si>
  <si>
    <t>DD *DOORDASH WABAH               080626</t>
  </si>
  <si>
    <t>MOLLY MAID OF GREATE             080726</t>
  </si>
  <si>
    <t>TMOBILE PO               12920 SE 38THWA</t>
  </si>
  <si>
    <t>JUST ENERGY      UTILITIES  ***********0431</t>
  </si>
  <si>
    <t>JUST ENERGY      UTILITIES  ***********0432</t>
  </si>
  <si>
    <t>JAMAICA NYAMMINGZ        KILLEEN      TX</t>
  </si>
  <si>
    <t>MCDONALD'S F3011         TEMPLE       TX</t>
  </si>
  <si>
    <t>Regal</t>
  </si>
  <si>
    <t>REGAL KILLEEN 14  1636   KILLEEN      TX</t>
  </si>
  <si>
    <t>CASEYS #4775             KILLEEN      TX</t>
  </si>
  <si>
    <t>Chill Zone</t>
  </si>
  <si>
    <t>CHILL ZONE 6             KILLEEN      TX</t>
  </si>
  <si>
    <t>Youtube TV</t>
  </si>
  <si>
    <t>GOOGLE *YouTube TV       Mountain ViewCA</t>
  </si>
  <si>
    <t>Television</t>
  </si>
  <si>
    <t>Mco Camden Food Gates</t>
  </si>
  <si>
    <t>MCO CAMDEN FOOD GATES    ORLANDO      FL</t>
  </si>
  <si>
    <t>Dunkin'</t>
  </si>
  <si>
    <t>TST* DFW 21712 DUNKIN -  DFW AIRPORT  TX</t>
  </si>
  <si>
    <t>7-Eleven</t>
  </si>
  <si>
    <t>7-ELEVEN 30046           ORLANDO      FL</t>
  </si>
  <si>
    <t>Easirentcom</t>
  </si>
  <si>
    <t>EASIRENTCOM              ORLANDO      FL</t>
  </si>
  <si>
    <t>Rental Car &amp; Taxi</t>
  </si>
  <si>
    <t>Renaissance Hotel Airp</t>
  </si>
  <si>
    <t>RENAISSANCE HOTEL AIRP   ORLANDO      FL</t>
  </si>
  <si>
    <t>Hotel</t>
  </si>
  <si>
    <t>DD *DOORDASH CHINAWOK    DOORDASH.COM CA</t>
  </si>
  <si>
    <t>University Parking</t>
  </si>
  <si>
    <t>UNIV PARKING 01400040    ORLANDO      FL</t>
  </si>
  <si>
    <t>Parking</t>
  </si>
  <si>
    <t>Popeyes</t>
  </si>
  <si>
    <t>POPEYES STORE #11477     DALLAS       TX</t>
  </si>
  <si>
    <t>American Airlines</t>
  </si>
  <si>
    <t>AMERICAN AIR00106533392  FORT WORTH   TX</t>
  </si>
  <si>
    <t>Air Travel</t>
  </si>
  <si>
    <t>Tailwind</t>
  </si>
  <si>
    <t>TAILWIND GRK             KILLEEN      TX</t>
  </si>
  <si>
    <t>City of Orlando</t>
  </si>
  <si>
    <t>CITY OF ORLANDO PKG EVE  ORLANDO      FL</t>
  </si>
  <si>
    <t>Transfer from Apple Pay</t>
  </si>
  <si>
    <t>APPLE CASH INST XFER     CUPERTINO    CA</t>
  </si>
  <si>
    <t xml:space="preserve"> </t>
  </si>
  <si>
    <t xml:space="preserve">Budget Month Start Day</t>
  </si>
  <si>
    <t xml:space="preserve">July 2026</t>
  </si>
  <si>
    <t xml:space="preserve">Imported from bank</t>
  </si>
  <si>
    <t xml:space="preserve">Imported from bank - needs categorization</t>
  </si>
  <si>
    <t xml:space="preserve">Pending - not counted until posted</t>
  </si>
  <si>
    <t xml:space="preserve"/>
  </si>
  <si>
    <t xml:space="preserve">Needs categorization</t>
  </si>
  <si>
    <t xml:space="preserve">Repeated charge - verify not a duplicate</t>
  </si>
  <si>
    <t xml:space="preserve">Match Text (found anywhere in description)</t>
  </si>
  <si>
    <t xml:space="preserve">CITY OF KILLEEN</t>
  </si>
  <si>
    <t xml:space="preserve">Seeded from existing entries</t>
  </si>
  <si>
    <t xml:space="preserve">JUST ENERGY</t>
  </si>
  <si>
    <t xml:space="preserve">TMOBILE</t>
  </si>
  <si>
    <t xml:space="preserve">T-MOBILE</t>
  </si>
  <si>
    <t xml:space="preserve">YOUTUBE TV</t>
  </si>
  <si>
    <t xml:space="preserve">GOOGLE *YOUTUBE</t>
  </si>
  <si>
    <t xml:space="preserve">AMAZON</t>
  </si>
  <si>
    <t xml:space="preserve">CASEYS</t>
  </si>
  <si>
    <t xml:space="preserve">7-ELEVEN</t>
  </si>
  <si>
    <t xml:space="preserve">STAR MART</t>
  </si>
  <si>
    <t xml:space="preserve">DOORDASH</t>
  </si>
  <si>
    <t xml:space="preserve">DUNKIN</t>
  </si>
  <si>
    <t xml:space="preserve">MCDONALD</t>
  </si>
  <si>
    <t xml:space="preserve">POPEYES</t>
  </si>
  <si>
    <t xml:space="preserve">PLUCKERS</t>
  </si>
  <si>
    <t xml:space="preserve">MARINER FINANCE</t>
  </si>
  <si>
    <t xml:space="preserve">MOLLY MAID</t>
  </si>
  <si>
    <t xml:space="preserve">REGAL</t>
  </si>
  <si>
    <t xml:space="preserve">DFAS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</si>
</sst>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  <numFmt numFmtId="164" formatCode="mmmm\ yyyy"/>
    <numFmt numFmtId="165" formatCode="\$#,##0.00;[Red]\(\$#,##0.00\);\-"/>
    <numFmt numFmtId="166" formatCode="0.0"/>
    <numFmt numFmtId="167" formatCode="mm/dd/yyyy"/>
    <numFmt numFmtId="168" formatCode="0.0%;[Red]\(0.0%\);\-"/>
    <numFmt numFmtId="169" formatCode="mmm\ yyyy"/>
    <numFmt numFmtId="170" formatCode="&quot;US$&quot;#,##0.00"/>
    <numFmt numFmtId="171" formatCode="m/d/yyyy;@"/>
    <numFmt numFmtId="172" formatCode="m/d/yyyy"/>
    <numFmt numFmtId="173" formatCode="$#,##0.00"/>
  </numFmts>
  <fonts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name val="Calibri"/>
    </font>
    <font>
      <sz val="8"/>
      <name val="Calibri"/>
    </font>
    <font>
      <b/>
      <sz val="18"/>
      <color theme="3"/>
      <name val="Calibri Light"/>
    </font>
    <font>
      <b/>
      <sz val="11"/>
      <color theme="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20"/>
      <color rgb="FFFFFFFF"/>
      <name val="Calibri"/>
    </font>
    <font>
      <b/>
      <sz val="11"/>
      <color rgb="FF17365D"/>
      <name val="Calibri"/>
    </font>
    <font>
      <b/>
      <sz val="15"/>
      <color theme="1"/>
      <name val="Calibri"/>
    </font>
    <font>
      <b/>
      <sz val="11"/>
      <color rgb="FF000000"/>
      <name val="Calibri"/>
    </font>
    <font>
      <b/>
      <sz val="11"/>
      <color rgb="FF0000FF"/>
      <name val="Calibri"/>
    </font>
    <font>
      <b/>
      <i/>
      <sz val="11"/>
      <color theme="1"/>
      <name val="Calibri"/>
    </font>
    <font>
      <b/>
      <i/>
      <sz val="11"/>
      <color rgb="FFFFFFFF"/>
      <name val="Calibri"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</fonts>
  <fills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1F7A8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17365D"/>
      </patternFill>
    </fill>
    <fill>
      <patternFill patternType="solid">
        <fgColor rgb="FF4472C4"/>
        <bgColor indexed="64"/>
      </patternFill>
    </fill>
    <fill>
      <patternFill patternType="solid">
        <fgColor rgb="D9E1F2"/>
      </patternFill>
    </fill>
    <fill>
      <patternFill patternType="solid">
        <fgColor rgb="D9E1F2"/>
      </patternFill>
    </fill>
    <fill>
      <patternFill patternType="solid">
        <fgColor rgb="D9E1F2"/>
      </patternFill>
    </fill>
    <fill>
      <patternFill patternType="solid">
        <fgColor rgb="D9E1F2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0" borderId="1"/>
  </cellStyleXfs>
  <cellXfs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8" fillId="2" borderId="0" xfId="0" applyFont="1" applyFill="1"/>
    <xf numFmtId="164" fontId="0" fillId="0" borderId="0" xfId="0" applyNumberFormat="1"/>
    <xf numFmtId="165" fontId="0" fillId="0" borderId="0" xfId="0" applyNumberFormat="1"/>
    <xf numFmtId="165" fontId="9" fillId="0" borderId="0" xfId="0" applyNumberFormat="1" applyFont="1"/>
    <xf numFmtId="0" fontId="9" fillId="0" borderId="0" xfId="0" applyFont="1"/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8" fillId="4" borderId="0" xfId="0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67" fontId="0" fillId="0" borderId="0" xfId="0" applyNumberFormat="1"/>
    <xf numFmtId="164" fontId="11" fillId="0" borderId="0" xfId="0" applyNumberFormat="1" applyFont="1"/>
    <xf numFmtId="165" fontId="11" fillId="0" borderId="0" xfId="0" applyNumberFormat="1" applyFont="1"/>
    <xf numFmtId="0" fontId="11" fillId="0" borderId="0" xfId="0" applyFont="1"/>
    <xf numFmtId="0" fontId="8" fillId="2" borderId="0" xfId="0" applyFont="1" applyFill="1" applyAlignment="1">
      <alignment horizontal="center" wrapText="1"/>
    </xf>
    <xf numFmtId="168" fontId="11" fillId="0" borderId="0" xfId="0" applyNumberFormat="1" applyFont="1"/>
    <xf numFmtId="168" fontId="9" fillId="0" borderId="0" xfId="0" applyNumberFormat="1" applyFont="1"/>
    <xf numFmtId="167" fontId="9" fillId="0" borderId="0" xfId="0" applyNumberFormat="1" applyFont="1"/>
    <xf numFmtId="169" fontId="11" fillId="0" borderId="0" xfId="0" applyNumberFormat="1" applyFont="1"/>
    <xf numFmtId="168" fontId="0" fillId="0" borderId="0" xfId="0" applyNumberFormat="1"/>
    <xf numFmtId="0" fontId="8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8" fillId="6" borderId="0" xfId="0" applyFont="1" applyFill="1" applyAlignment="1">
      <alignment horizontal="center" vertical="center"/>
    </xf>
    <xf numFmtId="0" fontId="15" fillId="7" borderId="2" xfId="0" applyFont="1" applyFill="1" applyBorder="1" applyAlignment="1">
      <alignment vertical="center"/>
    </xf>
    <xf numFmtId="0" fontId="16" fillId="8" borderId="2" xfId="0" applyFont="1" applyFill="1" applyBorder="1" applyAlignment="1">
      <alignment vertical="center"/>
    </xf>
    <xf numFmtId="0" fontId="8" fillId="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5" fillId="7" borderId="0" xfId="0" applyFont="1" applyFill="1"/>
    <xf numFmtId="165" fontId="15" fillId="7" borderId="0" xfId="0" applyNumberFormat="1" applyFont="1" applyFill="1"/>
    <xf numFmtId="168" fontId="15" fillId="7" borderId="0" xfId="0" applyNumberFormat="1" applyFont="1" applyFill="1"/>
    <xf numFmtId="0" fontId="8" fillId="14" borderId="0" xfId="0" applyFont="1" applyFill="1"/>
    <xf numFmtId="0" fontId="17" fillId="0" borderId="0" xfId="0" applyFont="1" applyAlignment="1">
      <alignment horizontal="right"/>
    </xf>
    <xf numFmtId="0" fontId="18" fillId="14" borderId="0" xfId="0" applyFont="1" applyFill="1" applyAlignment="1">
      <alignment horizontal="right"/>
    </xf>
    <xf numFmtId="0" fontId="8" fillId="14" borderId="0" xfId="0" applyFont="1" applyFill="1" applyAlignment="1">
      <alignment horizontal="center" wrapText="1"/>
    </xf>
    <xf numFmtId="0" fontId="8" fillId="14" borderId="0" xfId="0" applyFont="1" applyFill="1" applyAlignment="1">
      <alignment horizontal="center"/>
    </xf>
    <xf numFmtId="14" fontId="0" fillId="0" borderId="0" xfId="0" applyNumberFormat="1"/>
    <xf numFmtId="170" fontId="0" fillId="0" borderId="0" xfId="0" applyNumberFormat="1"/>
    <xf numFmtId="171" fontId="9" fillId="0" borderId="0" xfId="0" applyNumberFormat="1" applyFont="1"/>
    <xf numFmtId="171" fontId="8" fillId="6" borderId="0" xfId="0" applyNumberFormat="1" applyFont="1" applyFill="1" applyAlignment="1">
      <alignment horizontal="center" vertical="center"/>
    </xf>
    <xf numFmtId="171" fontId="0" fillId="0" borderId="0" xfId="0" applyNumberFormat="1"/>
    <xf numFmtId="171" fontId="9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8" fillId="2" borderId="0" xfId="0" applyFont="1" applyFill="1" applyAlignment="1">
      <alignment horizontal="center"/>
    </xf>
    <xf numFmtId="0" fontId="8" fillId="4" borderId="0" xfId="0" applyFont="1" applyFill="1"/>
    <xf numFmtId="0" fontId="0" fillId="8" borderId="0" xfId="0" applyFill="1" applyAlignment="1">
      <alignment wrapText="1"/>
    </xf>
    <xf numFmtId="49" fontId="9" fillId="8" borderId="0" xfId="0" applyNumberFormat="1" applyFont="1" applyFill="1" applyAlignment="1">
      <alignment vertical="center"/>
    </xf>
    <xf numFmtId="165" fontId="9" fillId="8" borderId="0" xfId="0" applyNumberFormat="1" applyFont="1" applyFill="1" applyAlignment="1">
      <alignment vertical="center"/>
    </xf>
    <xf numFmtId="0" fontId="9" fillId="8" borderId="0" xfId="0" applyFont="1" applyFill="1" applyAlignment="1">
      <alignment vertical="center"/>
    </xf>
    <xf numFmtId="166" fontId="9" fillId="8" borderId="0" xfId="0" applyNumberFormat="1" applyFont="1" applyFill="1" applyAlignment="1">
      <alignment vertical="center"/>
    </xf>
    <xf numFmtId="165" fontId="8" fillId="13" borderId="0" xfId="0" applyNumberFormat="1" applyFont="1" applyFill="1"/>
    <xf numFmtId="168" fontId="8" fillId="13" borderId="0" xfId="0" applyNumberFormat="1" applyFont="1" applyFill="1"/>
    <xf numFmtId="0" fontId="7" fillId="13" borderId="0" xfId="0" applyFont="1" applyFill="1" applyAlignment="1">
      <alignment horizontal="center" wrapText="1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wrapText="1"/>
    </xf>
    <xf numFmtId="0" fontId="0" fillId="0" borderId="0" xfId="0" applyAlignment="1">
      <alignment wrapText="1"/>
    </xf>
    <xf numFmtId="0" fontId="12" fillId="13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5" fontId="14" fillId="5" borderId="0" xfId="0" applyNumberFormat="1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8" fillId="4" borderId="0" xfId="0" applyFont="1" applyFill="1"/>
    <xf numFmtId="0" fontId="7" fillId="1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8" fillId="13" borderId="0" xfId="0" applyFont="1" applyFill="1"/>
    <xf fontId="19" fillId="15" borderId="3" applyFont="1" applyFill="1" applyBorder="1"/>
    <xf fontId="20" fillId="16" borderId="4" applyFont="1" applyFill="1" applyBorder="1"/>
    <xf fontId="21" fillId="17" borderId="5" applyFont="1" applyFill="1" applyBorder="1"/>
    <xf fontId="22" fillId="18" borderId="6" applyFont="1" applyFill="1" applyBorder="1"/>
    <xf numFmtId="172" fontId="23" fillId="19" borderId="7" xfId="0" applyNumberFormat="1" applyFont="1" applyFill="1" applyBorder="1"/>
    <xf numFmtId="4" fontId="24" fillId="20" borderId="8" xfId="0" applyNumberFormat="1" applyFont="1" applyFill="1" applyBorder="1"/>
    <xf numFmtId="4" fontId="25" fillId="21" borderId="9" xfId="0" applyNumberFormat="1" applyFont="1" applyFill="1" applyBorder="1"/>
    <xf numFmtId="4" fontId="26" fillId="22" borderId="10" xfId="0" applyNumberFormat="1" applyFont="1" applyFill="1" applyBorder="1"/>
    <xf numFmtId="172" fontId="27" fillId="23" borderId="11" xfId="0" applyNumberFormat="1" applyFont="1" applyFill="1" applyBorder="1"/>
    <xf numFmtId="4" fontId="28" fillId="24" borderId="12" xfId="0" applyNumberFormat="1" applyFont="1" applyFill="1" applyBorder="1"/>
    <xf numFmtId="4" fontId="29" fillId="25" borderId="13" xfId="0" applyNumberFormat="1" applyFont="1" applyFill="1" applyBorder="1"/>
    <xf numFmtId="4" fontId="30" fillId="26" borderId="14" xfId="0" applyNumberFormat="1" applyFont="1" applyFill="1" applyBorder="1"/>
    <xf numFmtId="172" fontId="31" fillId="27" borderId="15" xfId="0" applyNumberFormat="1" applyFont="1" applyFill="1" applyBorder="1"/>
    <xf numFmtId="4" fontId="32" fillId="28" borderId="16" xfId="0" applyNumberFormat="1" applyFont="1" applyFill="1" applyBorder="1"/>
    <xf numFmtId="4" fontId="33" fillId="29" borderId="17" xfId="0" applyNumberFormat="1" applyFont="1" applyFill="1" applyBorder="1"/>
    <xf numFmtId="4" fontId="34" fillId="30" borderId="18" xfId="0" applyNumberFormat="1" applyFont="1" applyFill="1" applyBorder="1"/>
    <xf numFmtId="172" fontId="35" fillId="31" borderId="19" xfId="0" applyNumberFormat="1" applyFont="1" applyFill="1" applyBorder="1"/>
    <xf numFmtId="4" fontId="36" fillId="32" borderId="20" xfId="0" applyNumberFormat="1" applyFont="1" applyFill="1" applyBorder="1"/>
    <xf numFmtId="4" fontId="37" fillId="33" borderId="21" xfId="0" applyNumberFormat="1" applyFont="1" applyFill="1" applyBorder="1"/>
    <xf numFmtId="4" fontId="38" fillId="34" borderId="22" xfId="0" applyNumberFormat="1" applyFont="1" applyFill="1" applyBorder="1"/>
    <xf numFmtId="172" fontId="39" fillId="35" borderId="23" xfId="0" applyNumberFormat="1" applyFont="1" applyFill="1" applyBorder="1"/>
    <xf numFmtId="4" fontId="40" fillId="36" borderId="24" xfId="0" applyNumberFormat="1" applyFont="1" applyFill="1" applyBorder="1"/>
    <xf numFmtId="4" fontId="41" fillId="37" borderId="25" xfId="0" applyNumberFormat="1" applyFont="1" applyFill="1" applyBorder="1"/>
    <xf numFmtId="4" fontId="42" fillId="38" borderId="26" xfId="0" applyNumberFormat="1" applyFont="1" applyFill="1" applyBorder="1"/>
    <xf numFmtId="172" fontId="43" fillId="39" borderId="27" xfId="0" applyNumberFormat="1" applyFont="1" applyFill="1" applyBorder="1"/>
    <xf numFmtId="4" fontId="44" fillId="40" borderId="28" xfId="0" applyNumberFormat="1" applyFont="1" applyFill="1" applyBorder="1"/>
    <xf numFmtId="4" fontId="45" fillId="41" borderId="29" xfId="0" applyNumberFormat="1" applyFont="1" applyFill="1" applyBorder="1"/>
    <xf numFmtId="4" fontId="46" fillId="42" borderId="30" xfId="0" applyNumberFormat="1" applyFont="1" applyFill="1" applyBorder="1"/>
    <xf numFmtId="172" fontId="47" fillId="43" borderId="31" xfId="0" applyNumberFormat="1" applyFont="1" applyFill="1" applyBorder="1"/>
    <xf numFmtId="4" fontId="48" fillId="44" borderId="32" xfId="0" applyNumberFormat="1" applyFont="1" applyFill="1" applyBorder="1"/>
    <xf numFmtId="4" fontId="49" fillId="45" borderId="33" xfId="0" applyNumberFormat="1" applyFont="1" applyFill="1" applyBorder="1"/>
    <xf numFmtId="4" fontId="50" fillId="46" borderId="34" xfId="0" applyNumberFormat="1" applyFont="1" applyFill="1" applyBorder="1"/>
    <xf numFmtId="172" fontId="51" fillId="47" borderId="35" xfId="0" applyNumberFormat="1" applyFont="1" applyFill="1" applyBorder="1"/>
    <xf numFmtId="4" fontId="52" fillId="48" borderId="36" xfId="0" applyNumberFormat="1" applyFont="1" applyFill="1" applyBorder="1"/>
    <xf numFmtId="4" fontId="53" fillId="49" borderId="37" xfId="0" applyNumberFormat="1" applyFont="1" applyFill="1" applyBorder="1"/>
    <xf numFmtId="4" fontId="54" fillId="50" borderId="38" xfId="0" applyNumberFormat="1" applyFont="1" applyFill="1" applyBorder="1"/>
    <xf numFmtId="172" fontId="55" fillId="51" borderId="39" xfId="0" applyNumberFormat="1" applyFont="1" applyFill="1" applyBorder="1"/>
    <xf numFmtId="4" fontId="56" fillId="52" borderId="40" xfId="0" applyNumberFormat="1" applyFont="1" applyFill="1" applyBorder="1"/>
    <xf numFmtId="4" fontId="57" fillId="53" borderId="41" xfId="0" applyNumberFormat="1" applyFont="1" applyFill="1" applyBorder="1"/>
    <xf numFmtId="4" fontId="58" fillId="54" borderId="42" xfId="0" applyNumberFormat="1" applyFont="1" applyFill="1" applyBorder="1"/>
    <xf numFmtId="172" fontId="59" fillId="55" borderId="43" xfId="0" applyNumberFormat="1" applyFont="1" applyFill="1" applyBorder="1"/>
    <xf numFmtId="4" fontId="60" fillId="56" borderId="44" xfId="0" applyNumberFormat="1" applyFont="1" applyFill="1" applyBorder="1"/>
    <xf numFmtId="4" fontId="61" fillId="57" borderId="45" xfId="0" applyNumberFormat="1" applyFont="1" applyFill="1" applyBorder="1"/>
    <xf numFmtId="4" fontId="62" fillId="58" borderId="46" xfId="0" applyNumberFormat="1" applyFont="1" applyFill="1" applyBorder="1"/>
    <xf numFmtId="172" fontId="63" fillId="59" borderId="47" xfId="0" applyNumberFormat="1" applyFont="1" applyFill="1" applyBorder="1"/>
    <xf numFmtId="4" fontId="64" fillId="60" borderId="48" xfId="0" applyNumberFormat="1" applyFont="1" applyFill="1" applyBorder="1"/>
    <xf numFmtId="4" fontId="65" fillId="61" borderId="49" xfId="0" applyNumberFormat="1" applyFont="1" applyFill="1" applyBorder="1"/>
    <xf numFmtId="4" fontId="66" fillId="62" borderId="50" xfId="0" applyNumberFormat="1" applyFont="1" applyFill="1" applyBorder="1"/>
    <xf numFmtId="172" fontId="67" fillId="63" borderId="51" xfId="0" applyNumberFormat="1" applyFont="1" applyFill="1" applyBorder="1"/>
    <xf numFmtId="4" fontId="68" fillId="64" borderId="52" xfId="0" applyNumberFormat="1" applyFont="1" applyFill="1" applyBorder="1"/>
    <xf numFmtId="4" fontId="69" fillId="65" borderId="53" xfId="0" applyNumberFormat="1" applyFont="1" applyFill="1" applyBorder="1"/>
    <xf numFmtId="4" fontId="70" fillId="66" borderId="54" xfId="0" applyNumberFormat="1" applyFont="1" applyFill="1" applyBorder="1"/>
    <xf numFmtId="172" fontId="71" fillId="67" borderId="55" xfId="0" applyNumberFormat="1" applyFont="1" applyFill="1" applyBorder="1"/>
    <xf numFmtId="4" fontId="72" fillId="68" borderId="56" xfId="0" applyNumberFormat="1" applyFont="1" applyFill="1" applyBorder="1"/>
    <xf numFmtId="4" fontId="73" fillId="69" borderId="57" xfId="0" applyNumberFormat="1" applyFont="1" applyFill="1" applyBorder="1"/>
    <xf numFmtId="4" fontId="74" fillId="70" borderId="58" xfId="0" applyNumberFormat="1" applyFont="1" applyFill="1" applyBorder="1"/>
    <xf numFmtId="172" fontId="75" fillId="71" borderId="59" xfId="0" applyNumberFormat="1" applyFont="1" applyFill="1" applyBorder="1"/>
    <xf numFmtId="4" fontId="76" fillId="72" borderId="60" xfId="0" applyNumberFormat="1" applyFont="1" applyFill="1" applyBorder="1"/>
    <xf numFmtId="4" fontId="77" fillId="73" borderId="61" xfId="0" applyNumberFormat="1" applyFont="1" applyFill="1" applyBorder="1"/>
    <xf numFmtId="4" fontId="78" fillId="74" borderId="62" xfId="0" applyNumberFormat="1" applyFont="1" applyFill="1" applyBorder="1"/>
    <xf numFmtId="172" fontId="79" fillId="75" borderId="63" xfId="0" applyNumberFormat="1" applyFont="1" applyFill="1" applyBorder="1"/>
    <xf numFmtId="4" fontId="80" fillId="76" borderId="64" xfId="0" applyNumberFormat="1" applyFont="1" applyFill="1" applyBorder="1"/>
    <xf numFmtId="4" fontId="81" fillId="77" borderId="65" xfId="0" applyNumberFormat="1" applyFont="1" applyFill="1" applyBorder="1"/>
    <xf numFmtId="4" fontId="82" fillId="78" borderId="66" xfId="0" applyNumberFormat="1" applyFont="1" applyFill="1" applyBorder="1"/>
    <xf numFmtId="172" fontId="83" fillId="79" borderId="67" xfId="0" applyNumberFormat="1" applyFont="1" applyFill="1" applyBorder="1"/>
    <xf numFmtId="4" fontId="84" fillId="80" borderId="68" xfId="0" applyNumberFormat="1" applyFont="1" applyFill="1" applyBorder="1"/>
    <xf numFmtId="4" fontId="85" fillId="81" borderId="69" xfId="0" applyNumberFormat="1" applyFont="1" applyFill="1" applyBorder="1"/>
    <xf numFmtId="4" fontId="86" fillId="82" borderId="70" xfId="0" applyNumberFormat="1" applyFont="1" applyFill="1" applyBorder="1"/>
    <xf numFmtId="172" fontId="87" fillId="83" borderId="71" xfId="0" applyNumberFormat="1" applyFont="1" applyFill="1" applyBorder="1"/>
    <xf numFmtId="4" fontId="88" fillId="84" borderId="72" xfId="0" applyNumberFormat="1" applyFont="1" applyFill="1" applyBorder="1"/>
    <xf numFmtId="4" fontId="89" fillId="85" borderId="73" xfId="0" applyNumberFormat="1" applyFont="1" applyFill="1" applyBorder="1"/>
    <xf numFmtId="4" fontId="90" fillId="86" borderId="74" xfId="0" applyNumberFormat="1" applyFont="1" applyFill="1" applyBorder="1"/>
    <xf numFmtId="172" fontId="91" fillId="87" borderId="75" xfId="0" applyNumberFormat="1" applyFont="1" applyFill="1" applyBorder="1"/>
    <xf numFmtId="4" fontId="92" fillId="88" borderId="76" xfId="0" applyNumberFormat="1" applyFont="1" applyFill="1" applyBorder="1"/>
    <xf numFmtId="4" fontId="93" fillId="89" borderId="77" xfId="0" applyNumberFormat="1" applyFont="1" applyFill="1" applyBorder="1"/>
    <xf numFmtId="4" fontId="94" fillId="90" borderId="78" xfId="0" applyNumberFormat="1" applyFont="1" applyFill="1" applyBorder="1"/>
    <xf numFmtId="172" fontId="95" fillId="91" borderId="79" xfId="0" applyNumberFormat="1" applyFont="1" applyFill="1" applyBorder="1"/>
    <xf numFmtId="4" fontId="96" fillId="92" borderId="80" xfId="0" applyNumberFormat="1" applyFont="1" applyFill="1" applyBorder="1"/>
    <xf numFmtId="4" fontId="97" fillId="93" borderId="81" xfId="0" applyNumberFormat="1" applyFont="1" applyFill="1" applyBorder="1"/>
    <xf numFmtId="4" fontId="98" fillId="94" borderId="82" xfId="0" applyNumberFormat="1" applyFont="1" applyFill="1" applyBorder="1"/>
    <xf numFmtId="172" fontId="99" fillId="95" borderId="83" xfId="0" applyNumberFormat="1" applyFont="1" applyFill="1" applyBorder="1"/>
    <xf numFmtId="4" fontId="100" fillId="96" borderId="84" xfId="0" applyNumberFormat="1" applyFont="1" applyFill="1" applyBorder="1"/>
    <xf numFmtId="4" fontId="101" fillId="97" borderId="85" xfId="0" applyNumberFormat="1" applyFont="1" applyFill="1" applyBorder="1"/>
    <xf numFmtId="4" fontId="102" fillId="98" borderId="86" xfId="0" applyNumberFormat="1" applyFont="1" applyFill="1" applyBorder="1"/>
    <xf numFmtId="172" fontId="103" fillId="99" borderId="87" xfId="0" applyNumberFormat="1" applyFont="1" applyFill="1" applyBorder="1"/>
    <xf numFmtId="4" fontId="104" fillId="100" borderId="88" xfId="0" applyNumberFormat="1" applyFont="1" applyFill="1" applyBorder="1"/>
    <xf numFmtId="4" fontId="105" fillId="101" borderId="89" xfId="0" applyNumberFormat="1" applyFont="1" applyFill="1" applyBorder="1"/>
    <xf numFmtId="4" fontId="106" fillId="102" borderId="90" xfId="0" applyNumberFormat="1" applyFont="1" applyFill="1" applyBorder="1"/>
    <xf numFmtId="172" fontId="107" fillId="103" borderId="91" xfId="0" applyNumberFormat="1" applyFont="1" applyFill="1" applyBorder="1"/>
    <xf numFmtId="4" fontId="108" fillId="104" borderId="92" xfId="0" applyNumberFormat="1" applyFont="1" applyFill="1" applyBorder="1"/>
    <xf numFmtId="4" fontId="109" fillId="105" borderId="93" xfId="0" applyNumberFormat="1" applyFont="1" applyFill="1" applyBorder="1"/>
    <xf numFmtId="4" fontId="110" fillId="106" borderId="94" xfId="0" applyNumberFormat="1" applyFont="1" applyFill="1" applyBorder="1"/>
    <xf numFmtId="172" fontId="111" fillId="107" borderId="95" xfId="0" applyNumberFormat="1" applyFont="1" applyFill="1" applyBorder="1"/>
    <xf numFmtId="4" fontId="112" fillId="108" borderId="96" xfId="0" applyNumberFormat="1" applyFont="1" applyFill="1" applyBorder="1"/>
    <xf numFmtId="4" fontId="113" fillId="109" borderId="97" xfId="0" applyNumberFormat="1" applyFont="1" applyFill="1" applyBorder="1"/>
    <xf numFmtId="4" fontId="114" fillId="110" borderId="98" xfId="0" applyNumberFormat="1" applyFont="1" applyFill="1" applyBorder="1"/>
    <xf numFmtId="172" fontId="115" fillId="111" borderId="99" xfId="0" applyNumberFormat="1" applyFont="1" applyFill="1" applyBorder="1"/>
    <xf numFmtId="4" fontId="116" fillId="112" borderId="100" xfId="0" applyNumberFormat="1" applyFont="1" applyFill="1" applyBorder="1"/>
    <xf numFmtId="4" fontId="117" fillId="113" borderId="101" xfId="0" applyNumberFormat="1" applyFont="1" applyFill="1" applyBorder="1"/>
    <xf numFmtId="4" fontId="118" fillId="114" borderId="102" xfId="0" applyNumberFormat="1" applyFont="1" applyFill="1" applyBorder="1"/>
    <xf numFmtId="172" fontId="119" fillId="115" borderId="103" xfId="0" applyNumberFormat="1" applyFont="1" applyFill="1" applyBorder="1"/>
    <xf numFmtId="4" fontId="120" fillId="116" borderId="104" xfId="0" applyNumberFormat="1" applyFont="1" applyFill="1" applyBorder="1"/>
    <xf numFmtId="4" fontId="121" fillId="117" borderId="105" xfId="0" applyNumberFormat="1" applyFont="1" applyFill="1" applyBorder="1"/>
    <xf numFmtId="4" fontId="122" fillId="118" borderId="106" xfId="0" applyNumberFormat="1" applyFont="1" applyFill="1" applyBorder="1"/>
    <xf numFmtId="172" fontId="123" fillId="119" borderId="107" xfId="0" applyNumberFormat="1" applyFont="1" applyFill="1" applyBorder="1"/>
    <xf numFmtId="4" fontId="124" fillId="120" borderId="108" xfId="0" applyNumberFormat="1" applyFont="1" applyFill="1" applyBorder="1"/>
    <xf numFmtId="4" fontId="125" fillId="121" borderId="109" xfId="0" applyNumberFormat="1" applyFont="1" applyFill="1" applyBorder="1"/>
    <xf numFmtId="4" fontId="126" fillId="122" borderId="110" xfId="0" applyNumberFormat="1" applyFont="1" applyFill="1" applyBorder="1"/>
    <xf numFmtId="172" fontId="127" fillId="123" borderId="111" xfId="0" applyNumberFormat="1" applyFont="1" applyFill="1" applyBorder="1"/>
    <xf numFmtId="4" fontId="128" fillId="124" borderId="112" xfId="0" applyNumberFormat="1" applyFont="1" applyFill="1" applyBorder="1"/>
    <xf numFmtId="4" fontId="129" fillId="125" borderId="113" xfId="0" applyNumberFormat="1" applyFont="1" applyFill="1" applyBorder="1"/>
    <xf numFmtId="4" fontId="130" fillId="126" borderId="114" xfId="0" applyNumberFormat="1" applyFont="1" applyFill="1" applyBorder="1"/>
    <xf numFmtId="172" fontId="131" fillId="127" borderId="115" xfId="0" applyNumberFormat="1" applyFont="1" applyFill="1" applyBorder="1"/>
    <xf numFmtId="4" fontId="132" fillId="128" borderId="116" xfId="0" applyNumberFormat="1" applyFont="1" applyFill="1" applyBorder="1"/>
    <xf numFmtId="4" fontId="133" fillId="129" borderId="117" xfId="0" applyNumberFormat="1" applyFont="1" applyFill="1" applyBorder="1"/>
    <xf numFmtId="4" fontId="134" fillId="130" borderId="118" xfId="0" applyNumberFormat="1" applyFont="1" applyFill="1" applyBorder="1"/>
    <xf numFmtId="172" fontId="135" fillId="131" borderId="119" xfId="0" applyNumberFormat="1" applyFont="1" applyFill="1" applyBorder="1"/>
    <xf numFmtId="4" fontId="136" fillId="132" borderId="120" xfId="0" applyNumberFormat="1" applyFont="1" applyFill="1" applyBorder="1"/>
    <xf numFmtId="4" fontId="137" fillId="133" borderId="121" xfId="0" applyNumberFormat="1" applyFont="1" applyFill="1" applyBorder="1"/>
    <xf numFmtId="4" fontId="138" fillId="134" borderId="122" xfId="0" applyNumberFormat="1" applyFont="1" applyFill="1" applyBorder="1"/>
    <xf numFmtId="172" fontId="139" fillId="135" borderId="123" xfId="0" applyNumberFormat="1" applyFont="1" applyFill="1" applyBorder="1"/>
    <xf numFmtId="4" fontId="140" fillId="136" borderId="124" xfId="0" applyNumberFormat="1" applyFont="1" applyFill="1" applyBorder="1"/>
    <xf numFmtId="4" fontId="141" fillId="137" borderId="125" xfId="0" applyNumberFormat="1" applyFont="1" applyFill="1" applyBorder="1"/>
    <xf numFmtId="4" fontId="142" fillId="138" borderId="126" xfId="0" applyNumberFormat="1" applyFont="1" applyFill="1" applyBorder="1"/>
    <xf numFmtId="172" fontId="143" fillId="139" borderId="127" xfId="0" applyNumberFormat="1" applyFont="1" applyFill="1" applyBorder="1"/>
    <xf numFmtId="4" fontId="144" fillId="140" borderId="128" xfId="0" applyNumberFormat="1" applyFont="1" applyFill="1" applyBorder="1"/>
    <xf numFmtId="4" fontId="145" fillId="141" borderId="129" xfId="0" applyNumberFormat="1" applyFont="1" applyFill="1" applyBorder="1"/>
    <xf numFmtId="4" fontId="146" fillId="142" borderId="130" xfId="0" applyNumberFormat="1" applyFont="1" applyFill="1" applyBorder="1"/>
    <xf numFmtId="172" fontId="147" fillId="143" borderId="131" xfId="0" applyNumberFormat="1" applyFont="1" applyFill="1" applyBorder="1"/>
    <xf numFmtId="4" fontId="148" fillId="144" borderId="132" xfId="0" applyNumberFormat="1" applyFont="1" applyFill="1" applyBorder="1"/>
    <xf numFmtId="4" fontId="149" fillId="145" borderId="133" xfId="0" applyNumberFormat="1" applyFont="1" applyFill="1" applyBorder="1"/>
    <xf numFmtId="4" fontId="150" fillId="146" borderId="134" xfId="0" applyNumberFormat="1" applyFont="1" applyFill="1" applyBorder="1"/>
    <xf numFmtId="172" fontId="151" fillId="147" borderId="135" xfId="0" applyNumberFormat="1" applyFont="1" applyFill="1" applyBorder="1"/>
    <xf numFmtId="4" fontId="152" fillId="148" borderId="136" xfId="0" applyNumberFormat="1" applyFont="1" applyFill="1" applyBorder="1"/>
    <xf numFmtId="4" fontId="153" fillId="149" borderId="137" xfId="0" applyNumberFormat="1" applyFont="1" applyFill="1" applyBorder="1"/>
    <xf numFmtId="4" fontId="154" fillId="150" borderId="138" xfId="0" applyNumberFormat="1" applyFont="1" applyFill="1" applyBorder="1"/>
    <xf numFmtId="172" fontId="155" fillId="151" borderId="139" xfId="0" applyNumberFormat="1" applyFont="1" applyFill="1" applyBorder="1"/>
    <xf numFmtId="4" fontId="156" fillId="152" borderId="140" xfId="0" applyNumberFormat="1" applyFont="1" applyFill="1" applyBorder="1"/>
    <xf numFmtId="4" fontId="157" fillId="153" borderId="141" xfId="0" applyNumberFormat="1" applyFont="1" applyFill="1" applyBorder="1"/>
    <xf numFmtId="4" fontId="158" fillId="154" borderId="142" xfId="0" applyNumberFormat="1" applyFont="1" applyFill="1" applyBorder="1"/>
    <xf numFmtId="172" fontId="159" fillId="155" borderId="143" xfId="0" applyNumberFormat="1" applyFont="1" applyFill="1" applyBorder="1"/>
    <xf numFmtId="4" fontId="160" fillId="156" borderId="144" xfId="0" applyNumberFormat="1" applyFont="1" applyFill="1" applyBorder="1"/>
    <xf numFmtId="4" fontId="161" fillId="157" borderId="145" xfId="0" applyNumberFormat="1" applyFont="1" applyFill="1" applyBorder="1"/>
    <xf numFmtId="4" fontId="162" fillId="158" borderId="146" xfId="0" applyNumberFormat="1" applyFont="1" applyFill="1" applyBorder="1"/>
    <xf numFmtId="172" fontId="163" fillId="159" borderId="147" xfId="0" applyNumberFormat="1" applyFont="1" applyFill="1" applyBorder="1"/>
    <xf numFmtId="4" fontId="164" fillId="160" borderId="148" xfId="0" applyNumberFormat="1" applyFont="1" applyFill="1" applyBorder="1"/>
    <xf numFmtId="4" fontId="165" fillId="161" borderId="149" xfId="0" applyNumberFormat="1" applyFont="1" applyFill="1" applyBorder="1"/>
    <xf numFmtId="4" fontId="166" fillId="162" borderId="150" xfId="0" applyNumberFormat="1" applyFont="1" applyFill="1" applyBorder="1"/>
    <xf numFmtId="172" fontId="167" fillId="163" borderId="151" xfId="0" applyNumberFormat="1" applyFont="1" applyFill="1" applyBorder="1"/>
    <xf numFmtId="4" fontId="168" fillId="164" borderId="152" xfId="0" applyNumberFormat="1" applyFont="1" applyFill="1" applyBorder="1"/>
    <xf numFmtId="4" fontId="169" fillId="165" borderId="153" xfId="0" applyNumberFormat="1" applyFont="1" applyFill="1" applyBorder="1"/>
    <xf numFmtId="4" fontId="170" fillId="166" borderId="154" xfId="0" applyNumberFormat="1" applyFont="1" applyFill="1" applyBorder="1"/>
    <xf numFmtId="172" fontId="171" fillId="167" borderId="155" xfId="0" applyNumberFormat="1" applyFont="1" applyFill="1" applyBorder="1"/>
    <xf numFmtId="4" fontId="172" fillId="168" borderId="156" xfId="0" applyNumberFormat="1" applyFont="1" applyFill="1" applyBorder="1"/>
    <xf numFmtId="4" fontId="173" fillId="169" borderId="157" xfId="0" applyNumberFormat="1" applyFont="1" applyFill="1" applyBorder="1"/>
    <xf numFmtId="4" fontId="174" fillId="170" borderId="158" xfId="0" applyNumberFormat="1" applyFont="1" applyFill="1" applyBorder="1"/>
    <xf numFmtId="172" fontId="175" fillId="171" borderId="159" xfId="0" applyNumberFormat="1" applyFont="1" applyFill="1" applyBorder="1"/>
    <xf numFmtId="4" fontId="176" fillId="172" borderId="160" xfId="0" applyNumberFormat="1" applyFont="1" applyFill="1" applyBorder="1"/>
    <xf numFmtId="4" fontId="177" fillId="173" borderId="161" xfId="0" applyNumberFormat="1" applyFont="1" applyFill="1" applyBorder="1"/>
    <xf numFmtId="4" fontId="178" fillId="174" borderId="162" xfId="0" applyNumberFormat="1" applyFont="1" applyFill="1" applyBorder="1"/>
    <xf numFmtId="172" fontId="179" fillId="175" borderId="163" xfId="0" applyNumberFormat="1" applyFont="1" applyFill="1" applyBorder="1"/>
    <xf numFmtId="4" fontId="180" fillId="176" borderId="164" xfId="0" applyNumberFormat="1" applyFont="1" applyFill="1" applyBorder="1"/>
    <xf numFmtId="4" fontId="181" fillId="177" borderId="165" xfId="0" applyNumberFormat="1" applyFont="1" applyFill="1" applyBorder="1"/>
    <xf numFmtId="4" fontId="182" fillId="178" borderId="166" xfId="0" applyNumberFormat="1" applyFont="1" applyFill="1" applyBorder="1"/>
    <xf numFmtId="172" fontId="183" fillId="179" borderId="167" xfId="0" applyNumberFormat="1" applyFont="1" applyFill="1" applyBorder="1"/>
    <xf numFmtId="4" fontId="184" fillId="180" borderId="168" xfId="0" applyNumberFormat="1" applyFont="1" applyFill="1" applyBorder="1"/>
    <xf numFmtId="4" fontId="185" fillId="181" borderId="169" xfId="0" applyNumberFormat="1" applyFont="1" applyFill="1" applyBorder="1"/>
    <xf numFmtId="4" fontId="186" fillId="182" borderId="170" xfId="0" applyNumberFormat="1" applyFont="1" applyFill="1" applyBorder="1"/>
    <xf numFmtId="172" fontId="187" fillId="183" borderId="171" xfId="0" applyNumberFormat="1" applyFont="1" applyAlignment="1" applyFill="1" applyBorder="1">
      <alignment horizontal="right"/>
    </xf>
    <xf numFmtId="172" fontId="188" fillId="184" borderId="172" xfId="0" applyNumberFormat="1" applyFont="1" applyAlignment="1" applyFill="1" applyBorder="1">
      <alignment horizontal="right"/>
    </xf>
    <xf numFmtId="172" fontId="189" fillId="185" borderId="173" xfId="0" applyNumberFormat="1" applyFont="1" applyAlignment="1" applyFill="1" applyBorder="1">
      <alignment horizontal="right"/>
    </xf>
    <xf numFmtId="172" fontId="190" fillId="186" borderId="174" xfId="0" applyNumberFormat="1" applyFont="1" applyAlignment="1" applyFill="1" applyBorder="1">
      <alignment horizontal="right"/>
    </xf>
    <xf numFmtId="172" fontId="191" fillId="187" borderId="175" xfId="0" applyNumberFormat="1" applyFont="1" applyAlignment="1" applyFill="1" applyBorder="1">
      <alignment horizontal="right"/>
    </xf>
    <xf numFmtId="172" fontId="192" fillId="188" borderId="176" xfId="0" applyNumberFormat="1" applyFont="1" applyAlignment="1" applyFill="1" applyBorder="1">
      <alignment horizontal="right"/>
    </xf>
    <xf numFmtId="172" fontId="193" fillId="189" borderId="177" xfId="0" applyNumberFormat="1" applyFont="1" applyFill="1" applyBorder="1"/>
    <xf numFmtId="173" fontId="194" fillId="190" borderId="178" xfId="0" applyNumberFormat="1" applyFont="1" applyFill="1" applyBorder="1"/>
    <xf numFmtId="172" fontId="195" fillId="191" borderId="179" xfId="0" applyNumberFormat="1" applyFont="1" applyFill="1" applyBorder="1"/>
    <xf numFmtId="173" fontId="196" fillId="192" borderId="180" xfId="0" applyNumberFormat="1" applyFont="1" applyFill="1" applyBorder="1"/>
    <xf numFmtId="172" fontId="197" fillId="193" borderId="181" xfId="0" applyNumberFormat="1" applyFont="1" applyFill="1" applyBorder="1"/>
    <xf numFmtId="173" fontId="198" fillId="194" borderId="182" xfId="0" applyNumberFormat="1" applyFont="1" applyFill="1" applyBorder="1"/>
    <xf numFmtId="172" fontId="199" fillId="195" borderId="183" xfId="0" applyNumberFormat="1" applyFont="1" applyFill="1" applyBorder="1"/>
    <xf numFmtId="173" fontId="200" fillId="196" borderId="184" xfId="0" applyNumberFormat="1" applyFont="1" applyFill="1" applyBorder="1"/>
    <xf numFmtId="172" fontId="201" fillId="197" borderId="185" xfId="0" applyNumberFormat="1" applyFont="1" applyFill="1" applyBorder="1"/>
    <xf numFmtId="173" fontId="202" fillId="198" borderId="186" xfId="0" applyNumberFormat="1" applyFont="1" applyFill="1" applyBorder="1"/>
    <xf numFmtId="172" fontId="203" fillId="199" borderId="187" xfId="0" applyNumberFormat="1" applyFont="1" applyFill="1" applyBorder="1"/>
    <xf numFmtId="173" fontId="204" fillId="200" borderId="188" xfId="0" applyNumberFormat="1" applyFont="1" applyFill="1" applyBorder="1"/>
    <xf numFmtId="172" fontId="205" fillId="201" borderId="189" xfId="0" applyNumberFormat="1" applyFont="1" applyFill="1" applyBorder="1"/>
    <xf numFmtId="173" fontId="206" fillId="202" borderId="190" xfId="0" applyNumberFormat="1" applyFont="1" applyFill="1" applyBorder="1"/>
    <xf numFmtId="172" fontId="207" fillId="203" borderId="191" xfId="0" applyNumberFormat="1" applyFont="1" applyFill="1" applyBorder="1"/>
    <xf numFmtId="173" fontId="208" fillId="204" borderId="192" xfId="0" applyNumberFormat="1" applyFont="1" applyFill="1" applyBorder="1"/>
    <xf numFmtId="172" fontId="209" fillId="205" borderId="193" xfId="0" applyNumberFormat="1" applyFont="1" applyFill="1" applyBorder="1"/>
    <xf numFmtId="173" fontId="210" fillId="206" borderId="194" xfId="0" applyNumberFormat="1" applyFont="1" applyFill="1" applyBorder="1"/>
    <xf numFmtId="172" fontId="211" fillId="207" borderId="195" xfId="0" applyNumberFormat="1" applyFont="1" applyFill="1" applyBorder="1"/>
    <xf numFmtId="173" fontId="212" fillId="208" borderId="196" xfId="0" applyNumberFormat="1" applyFont="1" applyFill="1" applyBorder="1"/>
    <xf numFmtId="172" fontId="213" fillId="209" borderId="197" xfId="0" applyNumberFormat="1" applyFont="1" applyFill="1" applyBorder="1"/>
    <xf numFmtId="173" fontId="214" fillId="210" borderId="198" xfId="0" applyNumberFormat="1" applyFont="1" applyFill="1" applyBorder="1"/>
    <xf numFmtId="172" fontId="215" fillId="211" borderId="199" xfId="0" applyNumberFormat="1" applyFont="1" applyFill="1" applyBorder="1"/>
    <xf numFmtId="173" fontId="216" fillId="212" borderId="200" xfId="0" applyNumberFormat="1" applyFont="1" applyFill="1" applyBorder="1"/>
    <xf numFmtId="172" fontId="217" fillId="213" borderId="201" xfId="0" applyNumberFormat="1" applyFont="1" applyFill="1" applyBorder="1"/>
    <xf numFmtId="173" fontId="218" fillId="214" borderId="202" xfId="0" applyNumberFormat="1" applyFont="1" applyFill="1" applyBorder="1"/>
    <xf numFmtId="172" fontId="219" fillId="215" borderId="203" xfId="0" applyNumberFormat="1" applyFont="1" applyFill="1" applyBorder="1"/>
    <xf numFmtId="173" fontId="220" fillId="216" borderId="204" xfId="0" applyNumberFormat="1" applyFont="1" applyFill="1" applyBorder="1"/>
    <xf numFmtId="172" fontId="221" fillId="217" borderId="205" xfId="0" applyNumberFormat="1" applyFont="1" applyFill="1" applyBorder="1"/>
    <xf numFmtId="173" fontId="222" fillId="218" borderId="206" xfId="0" applyNumberFormat="1" applyFont="1" applyFill="1" applyBorder="1"/>
    <xf numFmtId="172" fontId="223" fillId="219" borderId="207" xfId="0" applyNumberFormat="1" applyFont="1" applyFill="1" applyBorder="1"/>
    <xf numFmtId="173" fontId="224" fillId="220" borderId="208" xfId="0" applyNumberFormat="1" applyFont="1" applyFill="1" applyBorder="1"/>
    <xf numFmtId="172" fontId="225" fillId="221" borderId="209" xfId="0" applyNumberFormat="1" applyFont="1" applyFill="1" applyBorder="1"/>
    <xf numFmtId="173" fontId="226" fillId="222" borderId="210" xfId="0" applyNumberFormat="1" applyFont="1" applyFill="1" applyBorder="1"/>
    <xf numFmtId="172" fontId="227" fillId="223" borderId="211" xfId="0" applyNumberFormat="1" applyFont="1" applyFill="1" applyBorder="1"/>
    <xf numFmtId="173" fontId="228" fillId="224" borderId="212" xfId="0" applyNumberFormat="1" applyFont="1" applyFill="1" applyBorder="1"/>
    <xf numFmtId="172" fontId="229" fillId="225" borderId="213" xfId="0" applyNumberFormat="1" applyFont="1" applyFill="1" applyBorder="1"/>
    <xf numFmtId="173" fontId="230" fillId="226" borderId="214" xfId="0" applyNumberFormat="1" applyFont="1" applyFill="1" applyBorder="1"/>
    <xf numFmtId="172" fontId="231" fillId="227" borderId="215" xfId="0" applyNumberFormat="1" applyFont="1" applyFill="1" applyBorder="1"/>
    <xf numFmtId="173" fontId="232" fillId="228" borderId="216" xfId="0" applyNumberFormat="1" applyFont="1" applyFill="1" applyBorder="1"/>
    <xf numFmtId="172" fontId="233" fillId="229" borderId="217" xfId="0" applyNumberFormat="1" applyFont="1" applyFill="1" applyBorder="1"/>
    <xf numFmtId="173" fontId="234" fillId="230" borderId="218" xfId="0" applyNumberFormat="1" applyFont="1" applyFill="1" applyBorder="1"/>
    <xf numFmtId="172" fontId="235" fillId="231" borderId="219" xfId="0" applyNumberFormat="1" applyFont="1" applyFill="1" applyBorder="1"/>
    <xf numFmtId="173" fontId="236" fillId="232" borderId="220" xfId="0" applyNumberFormat="1" applyFont="1" applyFill="1" applyBorder="1"/>
    <xf numFmtId="172" fontId="237" fillId="233" borderId="221" xfId="0" applyNumberFormat="1" applyFont="1" applyFill="1" applyBorder="1"/>
    <xf numFmtId="173" fontId="238" fillId="234" borderId="222" xfId="0" applyNumberFormat="1" applyFont="1" applyFill="1" applyBorder="1"/>
    <xf numFmtId="172" fontId="239" fillId="235" borderId="223" xfId="0" applyNumberFormat="1" applyFont="1" applyFill="1" applyBorder="1"/>
    <xf numFmtId="173" fontId="240" fillId="236" borderId="224" xfId="0" applyNumberFormat="1" applyFont="1" applyFill="1" applyBorder="1"/>
    <xf numFmtId="172" fontId="241" fillId="237" borderId="225" xfId="0" applyNumberFormat="1" applyFont="1" applyFill="1" applyBorder="1"/>
    <xf numFmtId="173" fontId="242" fillId="238" borderId="226" xfId="0" applyNumberFormat="1" applyFont="1" applyFill="1" applyBorder="1"/>
  </cellXfs>
  <cellStyles count="6">
    <cellStyle name="Currency" xfId="1" xr:uid="{00000000-0005-0000-0000-000000000000}"/>
    <cellStyle name="Normal" xfId="0" builtinId="0"/>
    <cellStyle name="Normal 2" xfId="2" xr:uid="{00000000-0005-0000-0000-000002000000}"/>
    <cellStyle name="Normal 3" xfId="5" xr:uid="{D0F76CCA-D3AB-4745-BB50-7D6CCBC99F7D}"/>
    <cellStyle name="Percent" xfId="4" xr:uid="{00000000-0005-0000-0000-000003000000}"/>
    <cellStyle name="Title 2" xfId="3" xr:uid="{00000000-0005-0000-0000-000004000000}"/>
  </cellStyles>
  <dxfs count="14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18" Type="http://schemas.openxmlformats.org/officeDocument/2006/relationships/worksheet" Target="worksheets/sheet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W"/>
              <a:t>Planned vs Actual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invertIfNegative val="1"/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Dashboard!$I$14:$I$22</c:f>
              <c:numCache>
                <c:formatCode>\$#,##0.00;[Red]\(\$#,##0.00\);\-</c:formatCode>
                <c:ptCount val="9"/>
                <c:pt idx="0">
                  <c:v>2669.7799999999997</c:v>
                </c:pt>
                <c:pt idx="1">
                  <c:v>2149.88</c:v>
                </c:pt>
                <c:pt idx="2">
                  <c:v>2962.51</c:v>
                </c:pt>
                <c:pt idx="3">
                  <c:v>1300</c:v>
                </c:pt>
                <c:pt idx="4">
                  <c:v>619.89</c:v>
                </c:pt>
                <c:pt idx="5">
                  <c:v>90</c:v>
                </c:pt>
                <c:pt idx="6">
                  <c:v>1000</c:v>
                </c:pt>
                <c:pt idx="7">
                  <c:v>1600</c:v>
                </c:pt>
                <c:pt idx="8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B-4515-893F-A7A7826DDEA1}"/>
            </c:ext>
          </c:extLst>
        </c:ser>
        <c:ser>
          <c:idx val="1"/>
          <c:order val="1"/>
          <c:tx>
            <c:v>Actual</c:v>
          </c:tx>
          <c:invertIfNegative val="1"/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Dashboard!$J$14:$J$22</c:f>
              <c:numCache>
                <c:formatCode>\$#,##0.00;[Red]\(\$#,##0.00\);\-</c:formatCode>
                <c:ptCount val="9"/>
                <c:pt idx="0">
                  <c:v>545.90000000000009</c:v>
                </c:pt>
                <c:pt idx="1">
                  <c:v>121</c:v>
                </c:pt>
                <c:pt idx="2">
                  <c:v>1489.84</c:v>
                </c:pt>
                <c:pt idx="3">
                  <c:v>20.47</c:v>
                </c:pt>
                <c:pt idx="4">
                  <c:v>289.12</c:v>
                </c:pt>
                <c:pt idx="5">
                  <c:v>0</c:v>
                </c:pt>
                <c:pt idx="6">
                  <c:v>0</c:v>
                </c:pt>
                <c:pt idx="7">
                  <c:v>377.77</c:v>
                </c:pt>
                <c:pt idx="8">
                  <c:v>921.75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B-4515-893F-A7A7826DD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;[Red]\(\$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W"/>
              <a:t>Actual Spending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Planned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Dashboard!$I$14:$I$22</c:f>
              <c:numCache>
                <c:formatCode>\$#,##0.00;[Red]\(\$#,##0.00\);\-</c:formatCode>
                <c:ptCount val="9"/>
                <c:pt idx="0">
                  <c:v>2669.7799999999997</c:v>
                </c:pt>
                <c:pt idx="1">
                  <c:v>2149.88</c:v>
                </c:pt>
                <c:pt idx="2">
                  <c:v>2962.51</c:v>
                </c:pt>
                <c:pt idx="3">
                  <c:v>1300</c:v>
                </c:pt>
                <c:pt idx="4">
                  <c:v>619.89</c:v>
                </c:pt>
                <c:pt idx="5">
                  <c:v>90</c:v>
                </c:pt>
                <c:pt idx="6">
                  <c:v>1000</c:v>
                </c:pt>
                <c:pt idx="7">
                  <c:v>1600</c:v>
                </c:pt>
                <c:pt idx="8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2-4912-82EF-66683B6DFEB4}"/>
            </c:ext>
          </c:extLst>
        </c:ser>
        <c:ser>
          <c:idx val="1"/>
          <c:order val="1"/>
          <c:tx>
            <c:v>Actual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Dashboard!$J$14:$J$22</c:f>
              <c:numCache>
                <c:formatCode>\$#,##0.00;[Red]\(\$#,##0.00\);\-</c:formatCode>
                <c:ptCount val="9"/>
                <c:pt idx="0">
                  <c:v>545.90000000000009</c:v>
                </c:pt>
                <c:pt idx="1">
                  <c:v>121</c:v>
                </c:pt>
                <c:pt idx="2">
                  <c:v>1489.84</c:v>
                </c:pt>
                <c:pt idx="3">
                  <c:v>20.47</c:v>
                </c:pt>
                <c:pt idx="4">
                  <c:v>289.12</c:v>
                </c:pt>
                <c:pt idx="5">
                  <c:v>0</c:v>
                </c:pt>
                <c:pt idx="6">
                  <c:v>0</c:v>
                </c:pt>
                <c:pt idx="7">
                  <c:v>377.77</c:v>
                </c:pt>
                <c:pt idx="8">
                  <c:v>921.75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2-4912-82EF-66683B6DFEB4}"/>
            </c:ext>
          </c:extLst>
        </c:ser>
        <c:ser>
          <c:idx val="2"/>
          <c:order val="2"/>
          <c:tx>
            <c:v>Remaining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Dashboard!$K$14:$K$22</c:f>
              <c:numCache>
                <c:formatCode>\$#,##0.00;[Red]\(\$#,##0.00\);\-</c:formatCode>
                <c:ptCount val="9"/>
                <c:pt idx="0">
                  <c:v>2123.8799999999997</c:v>
                </c:pt>
                <c:pt idx="1">
                  <c:v>2028.88</c:v>
                </c:pt>
                <c:pt idx="2">
                  <c:v>1472.6700000000003</c:v>
                </c:pt>
                <c:pt idx="3">
                  <c:v>1279.53</c:v>
                </c:pt>
                <c:pt idx="4">
                  <c:v>330.77</c:v>
                </c:pt>
                <c:pt idx="5">
                  <c:v>90</c:v>
                </c:pt>
                <c:pt idx="6">
                  <c:v>1000</c:v>
                </c:pt>
                <c:pt idx="7">
                  <c:v>1222.23</c:v>
                </c:pt>
                <c:pt idx="8">
                  <c:v>1878.25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2-4912-82EF-66683B6D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2" customWidth="1"/>
    <col min="3" max="3" width="80" customWidth="1"/>
    <col min="4" max="4" width="55" customWidth="1"/>
  </cols>
  <sheetData>
    <row r="1" spans="1:8" ht="21" x14ac:dyDescent="0.4">
      <c r="A1" t="s" s="62">
        <v>0</v>
      </c>
      <c r="B1" s="62"/>
      <c r="C1" s="62"/>
      <c r="D1" s="62"/>
      <c r="E1" s="63"/>
      <c r="F1" s="63"/>
      <c r="G1" s="63"/>
      <c r="H1" s="63"/>
    </row>
    <row r="2" spans="1:8" x14ac:dyDescent="0.3">
      <c r="A2" s="52"/>
      <c r="B2" s="52"/>
      <c r="C2" s="52"/>
      <c r="D2" s="52"/>
    </row>
    <row r="3" spans="1:8" x14ac:dyDescent="0.3">
      <c r="A3" t="s" s="20">
        <v>1</v>
      </c>
      <c r="B3" t="s" s="20">
        <v>2</v>
      </c>
      <c r="C3" t="s" s="20">
        <v>3</v>
      </c>
      <c r="D3" t="s" s="20">
        <v>4</v>
      </c>
    </row>
    <row r="4" spans="1:8" ht="43.2" x14ac:dyDescent="0.3">
      <c r="A4" s="52">
        <v>1</v>
      </c>
      <c r="B4" t="s" s="52">
        <v>6</v>
      </c>
      <c r="C4" t="s" s="52">
        <v>7</v>
      </c>
      <c r="D4" t="s" s="52">
        <v>8</v>
      </c>
    </row>
    <row r="5" spans="1:8" ht="43.2" x14ac:dyDescent="0.3">
      <c r="A5" s="52">
        <v>2</v>
      </c>
      <c r="B5" t="s" s="52">
        <v>10</v>
      </c>
      <c r="C5" t="s" s="52">
        <v>7</v>
      </c>
      <c r="D5" t="s" s="52">
        <v>11</v>
      </c>
    </row>
    <row r="6" spans="1:8" ht="43.2" x14ac:dyDescent="0.3">
      <c r="A6" s="52">
        <v>3</v>
      </c>
      <c r="B6" t="s" s="52">
        <v>13</v>
      </c>
      <c r="C6" t="s" s="52">
        <v>14</v>
      </c>
      <c r="D6" t="s" s="52">
        <v>15</v>
      </c>
    </row>
    <row r="7" spans="1:8" ht="43.2" x14ac:dyDescent="0.3">
      <c r="A7" s="52">
        <v>4</v>
      </c>
      <c r="B7" t="s" s="52">
        <v>17</v>
      </c>
      <c r="C7" t="s" s="52">
        <v>18</v>
      </c>
      <c r="D7" t="s" s="52">
        <v>19</v>
      </c>
    </row>
    <row r="8" spans="1:8" ht="57.6" x14ac:dyDescent="0.3">
      <c r="A8" s="52">
        <v>5</v>
      </c>
      <c r="B8" t="s" s="52">
        <v>21</v>
      </c>
      <c r="C8" t="s" s="52">
        <v>18</v>
      </c>
      <c r="D8" t="s" s="52">
        <v>22</v>
      </c>
    </row>
    <row r="9" spans="1:8" ht="57.6" x14ac:dyDescent="0.3">
      <c r="A9" s="52">
        <v>6</v>
      </c>
      <c r="B9" t="s" s="52">
        <v>24</v>
      </c>
      <c r="C9" t="s" s="52">
        <v>18</v>
      </c>
      <c r="D9" t="s" s="52">
        <v>25</v>
      </c>
    </row>
    <row r="10" spans="1:8" ht="43.2" x14ac:dyDescent="0.3">
      <c r="A10" s="52">
        <v>7</v>
      </c>
      <c r="B10" t="s" s="52">
        <v>27</v>
      </c>
      <c r="C10" t="s" s="52">
        <v>28</v>
      </c>
      <c r="D10" t="s" s="52">
        <v>29</v>
      </c>
    </row>
    <row r="11" spans="1:8" ht="43.2" x14ac:dyDescent="0.3">
      <c r="A11" s="52">
        <v>8</v>
      </c>
      <c r="B11" t="s" s="52">
        <v>31</v>
      </c>
      <c r="C11" t="s" s="52">
        <v>32</v>
      </c>
      <c r="D11" t="s" s="52">
        <v>33</v>
      </c>
    </row>
    <row r="12" spans="1:8" ht="43.2" x14ac:dyDescent="0.3">
      <c r="A12" s="52">
        <v>9</v>
      </c>
      <c r="B12" t="s" s="52">
        <v>35</v>
      </c>
      <c r="C12" t="s" s="52">
        <v>36</v>
      </c>
      <c r="D12" t="s" s="52">
        <v>37</v>
      </c>
    </row>
    <row r="13" spans="1:8" ht="57.6" x14ac:dyDescent="0.3">
      <c r="A13" s="52">
        <v>10</v>
      </c>
      <c r="B13" t="s" s="52">
        <v>39</v>
      </c>
      <c r="C13" t="s" s="52">
        <v>40</v>
      </c>
      <c r="D13" t="s" s="52">
        <v>41</v>
      </c>
    </row>
    <row r="14" spans="1:8" x14ac:dyDescent="0.3">
      <c r="A14" s="52"/>
      <c r="B14" s="52"/>
      <c r="C14" s="52"/>
      <c r="D14" s="52"/>
    </row>
    <row r="15" spans="1:8" x14ac:dyDescent="0.3">
      <c r="A15" t="s" s="26">
        <v>42</v>
      </c>
      <c r="B15" t="s" s="26">
        <v>43</v>
      </c>
      <c r="C15" s="26"/>
      <c r="D15" s="26"/>
    </row>
    <row r="16" spans="1:8" ht="43.2" x14ac:dyDescent="0.3">
      <c r="A16" t="s" s="27">
        <v>44</v>
      </c>
      <c r="B16" t="s" s="52">
        <v>45</v>
      </c>
      <c r="C16" s="52"/>
      <c r="D16" s="52"/>
    </row>
    <row r="17" spans="1:4" ht="28.8" x14ac:dyDescent="0.3">
      <c r="A17" t="s" s="28">
        <v>46</v>
      </c>
      <c r="B17" t="s" s="52">
        <v>47</v>
      </c>
      <c r="C17" s="52"/>
      <c r="D17" s="52"/>
    </row>
    <row r="18" spans="1:4" x14ac:dyDescent="0.3">
      <c r="A18" t="s" s="29">
        <v>48</v>
      </c>
      <c r="B18" t="s" s="52">
        <v>49</v>
      </c>
      <c r="C18" s="52"/>
      <c r="D18" s="52"/>
    </row>
    <row r="19" spans="1:4" ht="28.8" x14ac:dyDescent="0.3">
      <c r="A19" t="s" s="55">
        <v>50</v>
      </c>
      <c r="B19" t="s" s="55">
        <v>51</v>
      </c>
      <c r="C19" s="52"/>
      <c r="D19" s="52"/>
    </row>
    <row r="20" spans="1:4" x14ac:dyDescent="0.3">
      <c r="A20" s="52"/>
      <c r="B20" s="52"/>
      <c r="C20" s="52"/>
      <c r="D20" s="52"/>
    </row>
    <row r="21" spans="1:4" x14ac:dyDescent="0.3">
      <c r="A21" t="s" s="26">
        <v>52</v>
      </c>
      <c r="B21" s="26"/>
      <c r="C21" s="26"/>
      <c r="D21" s="26"/>
    </row>
    <row r="22" spans="1:4" ht="57.6" x14ac:dyDescent="0.3">
      <c r="A22" t="s" s="52">
        <v>53</v>
      </c>
      <c r="B22" t="s" s="52">
        <v>54</v>
      </c>
      <c r="C22" s="52"/>
      <c r="D22" s="52"/>
    </row>
    <row r="23" spans="1:4" ht="57.6" x14ac:dyDescent="0.3">
      <c r="A23" t="s" s="52">
        <v>55</v>
      </c>
      <c r="B23" t="s" s="52">
        <v>56</v>
      </c>
      <c r="C23" s="52"/>
      <c r="D23" s="52"/>
    </row>
    <row r="24" spans="1:4" ht="72" x14ac:dyDescent="0.3">
      <c r="A24" t="s" s="52">
        <v>57</v>
      </c>
      <c r="B24" t="s" s="52">
        <v>58</v>
      </c>
      <c r="C24" s="52"/>
      <c r="D24" s="52"/>
    </row>
    <row r="25" spans="1:4" x14ac:dyDescent="0.3">
      <c r="A25" t="s" s="64">
        <v>59</v>
      </c>
      <c r="B25" s="65"/>
      <c r="C25" s="65"/>
      <c r="D25" s="65"/>
    </row>
    <row r="26" spans="1:4" ht="28.8" x14ac:dyDescent="0.3">
      <c r="A26" s="2">
        <v>1</v>
      </c>
      <c r="B26" t="s" s="52">
        <v>60</v>
      </c>
      <c r="C26" t="s" s="52">
        <v>61</v>
      </c>
      <c r="D26" s="52"/>
    </row>
    <row r="27" spans="1:4" ht="28.8" x14ac:dyDescent="0.3">
      <c r="A27" s="2">
        <v>2</v>
      </c>
      <c r="B27" t="s" s="52">
        <v>62</v>
      </c>
      <c r="C27" t="s" s="52">
        <v>63</v>
      </c>
      <c r="D27" s="52"/>
    </row>
    <row r="28" spans="1:4" x14ac:dyDescent="0.3">
      <c r="A28" s="2">
        <v>3</v>
      </c>
      <c r="B28" t="s" s="52">
        <v>64</v>
      </c>
      <c r="C28" t="s" s="52">
        <v>65</v>
      </c>
      <c r="D28" s="52"/>
    </row>
    <row r="29" spans="1:4" x14ac:dyDescent="0.3">
      <c r="A29" s="2">
        <v>4</v>
      </c>
      <c r="B29" t="s" s="52">
        <v>66</v>
      </c>
      <c r="C29" t="s" s="52">
        <v>67</v>
      </c>
      <c r="D29" s="52"/>
    </row>
    <row r="30" spans="1:4" ht="28.8" x14ac:dyDescent="0.3">
      <c r="A30" s="2">
        <v>5</v>
      </c>
      <c r="B30" t="s" s="52">
        <v>68</v>
      </c>
      <c r="C30" t="s" s="52">
        <v>69</v>
      </c>
      <c r="D30" s="52"/>
    </row>
    <row r="31" spans="1:4" x14ac:dyDescent="0.3">
      <c r="A31" s="1">
        <v>6</v>
      </c>
      <c r="B31" t="s" s="52">
        <v>70</v>
      </c>
      <c r="C31" t="s" s="52">
        <v>71</v>
      </c>
    </row>
  </sheetData>
  <mergeCells count="2">
    <mergeCell ref="A1:H1"/>
    <mergeCell ref="A25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topLeftCell="B10" workbookViewId="0">
      <selection activeCell="M20" sqref="M20"/>
    </sheetView>
  </sheetViews>
  <sheetFormatPr defaultRowHeight="14.4" x14ac:dyDescent="0.3"/>
  <cols>
    <col min="1" max="1" width="16" customWidth="1"/>
    <col min="2" max="2" width="19" customWidth="1"/>
    <col min="3" max="3" width="16" customWidth="1"/>
    <col min="4" max="4" width="15" customWidth="1"/>
    <col min="5" max="5" width="31" customWidth="1"/>
    <col min="6" max="6" width="18" customWidth="1"/>
    <col min="7" max="7" width="4" customWidth="1"/>
    <col min="8" max="8" width="18" customWidth="1"/>
    <col min="9" max="11" width="15" customWidth="1"/>
    <col min="12" max="14" width="12" customWidth="1"/>
  </cols>
  <sheetData>
    <row r="1" spans="1:14" x14ac:dyDescent="0.3">
      <c r="A1" t="s" s="66">
        <v>72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x14ac:dyDescent="0.3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x14ac:dyDescent="0.3">
      <c r="A3" s="67">
        <f>"Reporting Month: "&amp;TEXT(Setup!B4,"mmmm yyyy")&amp;" | Actuals: "&amp;Setup!B8</f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5" spans="1:14" x14ac:dyDescent="0.3">
      <c r="A5" t="s" s="68">
        <v>73</v>
      </c>
      <c r="B5" s="68"/>
      <c r="C5" s="68"/>
      <c r="D5" t="s" s="68">
        <v>74</v>
      </c>
      <c r="E5" s="68"/>
      <c r="F5" s="68"/>
      <c r="G5" t="s" s="68">
        <v>75</v>
      </c>
      <c r="H5" s="68"/>
      <c r="I5" s="68"/>
      <c r="J5" t="s" s="68">
        <v>76</v>
      </c>
      <c r="K5" s="68"/>
      <c r="L5" s="68"/>
    </row>
    <row r="6" spans="1:14" ht="19.8" x14ac:dyDescent="0.4">
      <c r="A6" s="69">
        <f>Setup!H11</f>
      </c>
      <c r="B6" s="70"/>
      <c r="C6" s="70"/>
      <c r="D6" s="69">
        <f>'Budget Plan'!C57</f>
      </c>
      <c r="E6" s="70"/>
      <c r="F6" s="70"/>
      <c r="G6" s="69">
        <f>'Budget Plan'!D57</f>
      </c>
      <c r="H6" s="70"/>
      <c r="I6" s="70"/>
      <c r="J6" s="69">
        <f>B5-G6</f>
      </c>
      <c r="K6" s="70"/>
      <c r="L6" s="70"/>
    </row>
    <row r="9" spans="1:14" x14ac:dyDescent="0.3">
      <c r="A9" t="s" s="68">
        <v>77</v>
      </c>
      <c r="B9" s="68"/>
      <c r="C9" s="68"/>
      <c r="D9" t="s" s="68">
        <v>78</v>
      </c>
      <c r="E9" s="68"/>
      <c r="F9" s="68"/>
      <c r="G9" t="s" s="68">
        <v>79</v>
      </c>
      <c r="H9" s="68"/>
      <c r="I9" s="68"/>
      <c r="J9" t="s" s="68">
        <v>80</v>
      </c>
      <c r="K9" s="68"/>
      <c r="L9" s="68"/>
    </row>
    <row r="10" spans="1:14" ht="19.8" x14ac:dyDescent="0.4">
      <c r="A10" s="69">
        <f>B6-E6</f>
      </c>
      <c r="B10" s="70"/>
      <c r="C10" s="70"/>
      <c r="D10" s="69">
        <f>Debts!B14</f>
      </c>
      <c r="E10" s="70"/>
      <c r="F10" s="70"/>
      <c r="G10" s="69">
        <f>SUM(Goals!H4:H9)</f>
      </c>
      <c r="H10" s="70"/>
      <c r="I10" s="70"/>
      <c r="J10" s="69">
        <f>MAX(0,B6-G6-K10)</f>
      </c>
      <c r="K10" s="70"/>
      <c r="L10" s="70"/>
    </row>
    <row r="13" spans="1:14" x14ac:dyDescent="0.3">
      <c r="A13" t="s" s="71">
        <v>81</v>
      </c>
      <c r="B13" s="71"/>
      <c r="C13" s="71"/>
      <c r="D13" s="71"/>
      <c r="E13" s="71"/>
      <c r="F13" s="71"/>
      <c r="H13" t="s" s="3">
        <v>82</v>
      </c>
      <c r="I13" t="s" s="3">
        <v>83</v>
      </c>
      <c r="J13" t="s" s="3">
        <v>84</v>
      </c>
      <c r="K13" t="s" s="3">
        <v>85</v>
      </c>
    </row>
    <row r="14" spans="1:14" x14ac:dyDescent="0.3">
      <c r="A14" t="s" s="53">
        <v>86</v>
      </c>
      <c r="B14" t="s" s="53">
        <v>87</v>
      </c>
      <c r="C14" t="s" s="53">
        <v>88</v>
      </c>
      <c r="D14" t="s" s="53">
        <v>89</v>
      </c>
      <c r="E14" t="s" s="53">
        <v>90</v>
      </c>
      <c r="F14" t="s" s="53">
        <v>91</v>
      </c>
      <c r="H14" t="s">
        <v>92</v>
      </c>
      <c r="I14" s="5">
        <f>SUMIF('Monthly Summary'!$A$4:$A$20,H14,'Monthly Summary'!$B$4:$B$20)</f>
      </c>
      <c r="J14" s="5">
        <f>SUMIF('Monthly Summary'!$A$4:$A$20,H14,'Monthly Summary'!$C$4:$C$20)</f>
      </c>
      <c r="K14" s="5">
        <f t="shared" ref="K14:K22" si="0">I14-J14</f>
      </c>
    </row>
    <row r="15" spans="1:14" x14ac:dyDescent="0.3">
      <c r="A15">
        <v>1</v>
      </c>
      <c r="B15" t="s">
        <v>93</v>
      </c>
      <c r="C15" s="5">
        <f>SUMIFS('Budget Plan'!$C$4:$C$55,'Budget Plan'!$G$4:$G$55,"Critical")+SUMIFS('Budget Plan'!$C$4:$C$55,'Budget Plan'!$H$4:$H$55,"Fixed")</f>
      </c>
      <c r="D15" t="s">
        <v>94</v>
      </c>
      <c r="E15" t="s">
        <v>95</v>
      </c>
      <c r="F15">
        <f>IF(B6&gt;=C15,"Funded","Shortfall")</f>
      </c>
      <c r="H15" t="s">
        <v>96</v>
      </c>
      <c r="I15" s="5">
        <f>SUMIF('Monthly Summary'!$A$4:$A$20,H15,'Monthly Summary'!$B$4:$B$20)</f>
      </c>
      <c r="J15" s="5">
        <f>SUMIF('Monthly Summary'!$A$4:$A$20,H15,'Monthly Summary'!$C$4:$C$20)</f>
      </c>
      <c r="K15" s="5">
        <f t="shared" si="0"/>
      </c>
    </row>
    <row r="16" spans="1:14" x14ac:dyDescent="0.3">
      <c r="A16">
        <v>2</v>
      </c>
      <c r="B16" t="s">
        <v>97</v>
      </c>
      <c r="C16" s="5">
        <f>Setup!B5</f>
      </c>
      <c r="D16" t="s">
        <v>98</v>
      </c>
      <c r="E16" t="s">
        <v>99</v>
      </c>
      <c r="F16">
        <f>IF(B6-G6&gt;=C16,"Protected","At Risk")</f>
      </c>
      <c r="H16" t="s">
        <v>100</v>
      </c>
      <c r="I16" s="5">
        <f>SUMIF('Monthly Summary'!$A$4:$A$20,H16,'Monthly Summary'!$B$4:$B$20)</f>
      </c>
      <c r="J16" s="5">
        <f>SUMIF('Monthly Summary'!$A$4:$A$20,H16,'Monthly Summary'!$C$4:$C$20)</f>
      </c>
      <c r="K16" s="5">
        <f t="shared" si="0"/>
      </c>
    </row>
    <row r="17" spans="1:11" x14ac:dyDescent="0.3">
      <c r="A17">
        <v>3</v>
      </c>
      <c r="B17" t="s">
        <v>101</v>
      </c>
      <c r="C17" s="5">
        <f>Debts!B15</f>
      </c>
      <c r="D17" t="s">
        <v>102</v>
      </c>
      <c r="E17" t="s">
        <v>103</v>
      </c>
      <c r="F17">
        <f>IF(B6&gt;=C15+C17,"Funded","Review")</f>
      </c>
      <c r="H17" t="s">
        <v>104</v>
      </c>
      <c r="I17" s="5">
        <f>SUMIF('Monthly Summary'!$A$4:$A$20,H17,'Monthly Summary'!$B$4:$B$20)</f>
      </c>
      <c r="J17" s="5">
        <f>SUMIF('Monthly Summary'!$A$4:$A$20,H17,'Monthly Summary'!$C$4:$C$20)</f>
      </c>
      <c r="K17" s="5">
        <f t="shared" si="0"/>
      </c>
    </row>
    <row r="18" spans="1:11" x14ac:dyDescent="0.3">
      <c r="A18">
        <v>4</v>
      </c>
      <c r="B18" t="s">
        <v>105</v>
      </c>
      <c r="C18" s="5">
        <f>SUM(Goals!H4:H9)</f>
      </c>
      <c r="D18" t="s">
        <v>106</v>
      </c>
      <c r="E18" t="s">
        <v>107</v>
      </c>
      <c r="F18">
        <f>IF(B6-G6-C17&gt;=C18,"Funded","Reduce/Delay")</f>
      </c>
      <c r="H18" t="s">
        <v>108</v>
      </c>
      <c r="I18" s="5">
        <f>SUMIF('Monthly Summary'!$A$4:$A$20,H18,'Monthly Summary'!$B$4:$B$20)</f>
      </c>
      <c r="J18" s="5">
        <f>SUMIF('Monthly Summary'!$A$4:$A$20,H18,'Monthly Summary'!$C$4:$C$20)</f>
      </c>
      <c r="K18" s="5">
        <f t="shared" si="0"/>
      </c>
    </row>
    <row r="19" spans="1:11" x14ac:dyDescent="0.3">
      <c r="A19">
        <v>5</v>
      </c>
      <c r="B19" t="s">
        <v>109</v>
      </c>
      <c r="C19" s="5">
        <f>MAX(0,B10-Setup!B5)</f>
      </c>
      <c r="D19" t="s">
        <v>110</v>
      </c>
      <c r="E19" t="s">
        <v>111</v>
      </c>
      <c r="F19">
        <f>IF(C19&gt;0,"Recommended","No extra available")</f>
      </c>
      <c r="H19" t="s">
        <v>112</v>
      </c>
      <c r="I19" s="5">
        <f>SUMIF('Monthly Summary'!$A$4:$A$20,H19,'Monthly Summary'!$B$4:$B$20)</f>
      </c>
      <c r="J19" s="5">
        <f>SUMIF('Monthly Summary'!$A$4:$A$20,H19,'Monthly Summary'!$C$4:$C$20)</f>
      </c>
      <c r="K19" s="5">
        <f t="shared" si="0"/>
      </c>
    </row>
    <row r="20" spans="1:11" x14ac:dyDescent="0.3">
      <c r="H20" t="s">
        <v>113</v>
      </c>
      <c r="I20" s="5">
        <f>SUMIF('Monthly Summary'!$A$4:$A$20,H20,'Monthly Summary'!$B$4:$B$20)</f>
      </c>
      <c r="J20" s="5">
        <f>SUMIF('Monthly Summary'!$A$4:$A$20,H20,'Monthly Summary'!$C$4:$C$20)</f>
      </c>
      <c r="K20" s="5">
        <f t="shared" si="0"/>
      </c>
    </row>
    <row r="21" spans="1:11" x14ac:dyDescent="0.3">
      <c r="H21" t="s">
        <v>114</v>
      </c>
      <c r="I21" s="5">
        <f>SUMIF('Monthly Summary'!$A$4:$A$20,H21,'Monthly Summary'!$B$4:$B$20)</f>
      </c>
      <c r="J21" s="5">
        <f>SUMIF('Monthly Summary'!$A$4:$A$20,H21,'Monthly Summary'!$C$4:$C$20)</f>
      </c>
      <c r="K21" s="5">
        <f t="shared" si="0"/>
      </c>
    </row>
    <row r="22" spans="1:11" x14ac:dyDescent="0.3">
      <c r="A22" t="s" s="71">
        <v>115</v>
      </c>
      <c r="B22" s="71"/>
      <c r="C22" s="71"/>
      <c r="D22" s="71"/>
      <c r="E22" s="71"/>
      <c r="F22" s="71"/>
      <c r="H22" t="s">
        <v>116</v>
      </c>
      <c r="I22" s="5">
        <f>SUMIF('Monthly Summary'!$A$4:$A$20,H22,'Monthly Summary'!$B$4:$B$20)</f>
      </c>
      <c r="J22" s="5">
        <f>SUMIF('Monthly Summary'!$A$4:$A$20,H22,'Monthly Summary'!$C$4:$C$20)</f>
      </c>
      <c r="K22" s="5">
        <f t="shared" si="0"/>
      </c>
    </row>
    <row r="23" spans="1:11" x14ac:dyDescent="0.3">
      <c r="A23" t="s" s="3">
        <v>117</v>
      </c>
      <c r="B23" t="s" s="3">
        <v>118</v>
      </c>
      <c r="C23" t="s" s="3">
        <v>119</v>
      </c>
      <c r="D23" t="s" s="3">
        <v>91</v>
      </c>
      <c r="E23" t="s" s="3">
        <v>120</v>
      </c>
      <c r="F23" t="s" s="3">
        <v>121</v>
      </c>
    </row>
    <row r="24" spans="1:11" x14ac:dyDescent="0.3">
      <c r="A24" t="s">
        <v>122</v>
      </c>
      <c r="B24" s="25">
        <f>IF(B6=0,0,SUMIFS('Budget Plan'!$D$4:$D$55,'Budget Plan'!$A$4:$A$55,"Savings")/B6)</f>
      </c>
      <c r="C24" s="25">
        <v>0.1</v>
      </c>
      <c r="D24">
        <f>IF(B24&gt;=C24,"Healthy","Below target")</f>
      </c>
      <c r="E24" t="s">
        <v>123</v>
      </c>
    </row>
    <row r="25" spans="1:11" x14ac:dyDescent="0.3">
      <c r="A25" t="s">
        <v>124</v>
      </c>
      <c r="B25" s="25">
        <f>IF(B6=0,0,Debts!B15/B6)</f>
      </c>
      <c r="C25" s="25">
        <v>0.2</v>
      </c>
      <c r="D25">
        <f>IF(B25&lt;=C25,"Healthy","High")</f>
      </c>
      <c r="E25" t="s">
        <v>125</v>
      </c>
    </row>
    <row r="26" spans="1:11" x14ac:dyDescent="0.3">
      <c r="A26" t="s">
        <v>126</v>
      </c>
      <c r="B26" s="25">
        <f>IF(B6=0,0,SUMIFS('Budget Plan'!$D$4:$D$55,'Budget Plan'!$A$4:$A$55,"Housing")/B6)</f>
      </c>
      <c r="C26" s="25">
        <v>0.3</v>
      </c>
      <c r="D26">
        <f>IF(B26&lt;=C26,"Healthy","High")</f>
      </c>
      <c r="E26" t="s">
        <v>127</v>
      </c>
    </row>
    <row r="27" spans="1:11" x14ac:dyDescent="0.3">
      <c r="A27" t="s">
        <v>128</v>
      </c>
      <c r="B27" s="25">
        <f>IF(SUMIFS('Budget Plan'!$D$4:$D$55,'Budget Plan'!$G$4:$G$55,"Critical")=0,0,Goals!D4/SUMIFS('Budget Plan'!$D$4:$D$55,'Budget Plan'!$G$4:$G$55,"Critical"))</f>
      </c>
      <c r="C27" s="25">
        <f>Setup!B7</f>
      </c>
      <c r="D27">
        <f>IF(B27&gt;=C27,"Healthy","Below target")</f>
      </c>
      <c r="E27" t="s">
        <v>129</v>
      </c>
    </row>
    <row r="28" spans="1:11" x14ac:dyDescent="0.3">
      <c r="A28" t="s">
        <v>130</v>
      </c>
      <c r="B28" s="5">
        <f>'Budget Plan'!E57</f>
      </c>
      <c r="C28">
        <v>0</v>
      </c>
      <c r="D28">
        <f>IF(B28&gt;=C28,"On budget","Over budget")</f>
      </c>
      <c r="E28" t="s">
        <v>131</v>
      </c>
    </row>
  </sheetData>
  <mergeCells count="20">
    <mergeCell ref="J9:L9"/>
    <mergeCell ref="J10:L10"/>
    <mergeCell ref="A13:F13"/>
    <mergeCell ref="A22:F22"/>
    <mergeCell ref="A9:C9"/>
    <mergeCell ref="A10:C10"/>
    <mergeCell ref="D9:F9"/>
    <mergeCell ref="D10:F10"/>
    <mergeCell ref="G9:I9"/>
    <mergeCell ref="G10:I10"/>
    <mergeCell ref="A1:N2"/>
    <mergeCell ref="A3:N3"/>
    <mergeCell ref="A5:C5"/>
    <mergeCell ref="A6:C6"/>
    <mergeCell ref="D5:F5"/>
    <mergeCell ref="D6:F6"/>
    <mergeCell ref="G5:I5"/>
    <mergeCell ref="G6:I6"/>
    <mergeCell ref="J5:L5"/>
    <mergeCell ref="J6:L6"/>
  </mergeCells>
  <conditionalFormatting sqref="D24:D28">
    <cfRule type="expression" dxfId="13" priority="3">
      <formula>OR(D24="Below target",D24="High",D24="Over budget")</formula>
    </cfRule>
    <cfRule type="expression" dxfId="12" priority="4">
      <formula>OR(D24="Healthy",D24="On budget")</formula>
    </cfRule>
  </conditionalFormatting>
  <conditionalFormatting sqref="F15:F19">
    <cfRule type="expression" dxfId="11" priority="1">
      <formula>OR(F15="Shortfall",F15="At Risk",F15="Review",F15="Reduce/Delay")</formula>
    </cfRule>
    <cfRule type="expression" dxfId="10" priority="2">
      <formula>OR(F15="Funded",F15="Protected",F15="Recommended")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/>
  <sheetViews>
    <sheetView zoomScale="84" zoomScaleNormal="84" workbookViewId="0">
      <selection activeCell="B8" sqref="B8"/>
    </sheetView>
  </sheetViews>
  <sheetFormatPr defaultRowHeight="14.4" x14ac:dyDescent="0.3"/>
  <cols>
    <col min="1" max="1" width="32" bestFit="1" customWidth="1"/>
    <col min="2" max="2" width="20.6640625" bestFit="1" customWidth="1"/>
    <col min="3" max="3" width="6.5546875" bestFit="1" customWidth="1"/>
    <col min="4" max="4" width="14.109375" bestFit="1" customWidth="1"/>
    <col min="5" max="5" width="27" bestFit="1" customWidth="1"/>
    <col min="6" max="6" width="15.6640625" bestFit="1" customWidth="1"/>
    <col min="7" max="8" width="21.6640625" bestFit="1" customWidth="1"/>
    <col min="9" max="9" width="19.5546875" bestFit="1" customWidth="1"/>
    <col min="10" max="10" width="19.6640625" bestFit="1" customWidth="1"/>
    <col min="11" max="11" width="19.5546875" bestFit="1" customWidth="1"/>
    <col min="12" max="12" width="21.6640625" bestFit="1" customWidth="1"/>
    <col min="13" max="13" width="20.44140625" bestFit="1" customWidth="1"/>
    <col min="14" max="14" width="16.33203125" bestFit="1" customWidth="1"/>
    <col min="15" max="15" width="14.44140625" bestFit="1" customWidth="1"/>
    <col min="16" max="16" width="17.33203125" bestFit="1" customWidth="1"/>
    <col min="17" max="17" width="14.109375" bestFit="1" customWidth="1"/>
    <col min="18" max="18" width="15.5546875" bestFit="1" customWidth="1"/>
    <col min="19" max="19" width="19.6640625" bestFit="1" customWidth="1"/>
    <col min="20" max="20" width="13" bestFit="1" customWidth="1"/>
    <col min="21" max="21" width="8.6640625" bestFit="1" customWidth="1"/>
    <col min="22" max="22" width="12.33203125" bestFit="1" customWidth="1"/>
    <col min="23" max="23" width="16.33203125" bestFit="1" customWidth="1"/>
    <col min="24" max="24" width="19.88671875" bestFit="1" customWidth="1"/>
    <col min="25" max="25" width="6.109375" bestFit="1" customWidth="1"/>
    <col min="26" max="26" width="21.5546875" bestFit="1" customWidth="1"/>
    <col min="27" max="27" width="9.33203125" bestFit="1" customWidth="1"/>
  </cols>
  <sheetData>
    <row r="1" spans="1:27" ht="27.9" customHeight="1" x14ac:dyDescent="0.3">
      <c r="A1" t="s" s="72">
        <v>132</v>
      </c>
      <c r="B1" s="72"/>
      <c r="C1" s="72"/>
      <c r="D1" s="72"/>
      <c r="E1" s="72"/>
      <c r="F1" s="72"/>
      <c r="G1" s="72"/>
      <c r="H1" s="72"/>
      <c r="I1" t="s" s="42">
        <v>133</v>
      </c>
      <c r="J1" t="s" s="41">
        <v>92</v>
      </c>
      <c r="K1" t="s" s="41">
        <v>96</v>
      </c>
      <c r="L1" t="s" s="41">
        <v>100</v>
      </c>
      <c r="M1" t="s" s="41">
        <v>104</v>
      </c>
      <c r="N1" t="s" s="41">
        <v>134</v>
      </c>
      <c r="O1" t="s" s="41">
        <v>135</v>
      </c>
      <c r="P1" t="s" s="41">
        <v>136</v>
      </c>
      <c r="Q1" t="s" s="41">
        <v>137</v>
      </c>
      <c r="R1" t="s" s="41">
        <v>113</v>
      </c>
      <c r="S1" t="s" s="41">
        <v>114</v>
      </c>
      <c r="T1" t="s" s="41">
        <v>138</v>
      </c>
      <c r="U1" t="s" s="41">
        <v>139</v>
      </c>
      <c r="V1" t="s" s="41">
        <v>108</v>
      </c>
      <c r="W1" t="s" s="41">
        <v>112</v>
      </c>
      <c r="X1" t="s" s="41">
        <v>140</v>
      </c>
      <c r="Y1" t="s" s="41">
        <v>141</v>
      </c>
      <c r="Z1" t="s" s="43">
        <v>142</v>
      </c>
      <c r="AA1" t="s" s="41">
        <v>143</v>
      </c>
    </row>
    <row r="2" spans="1:27" x14ac:dyDescent="0.3">
      <c r="A2" s="8"/>
      <c r="B2" s="8"/>
      <c r="C2" s="8"/>
      <c r="D2" s="8"/>
      <c r="E2" s="8"/>
      <c r="F2" s="8"/>
      <c r="G2" s="8"/>
      <c r="H2" s="8"/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137</v>
      </c>
      <c r="R2" t="s">
        <v>113</v>
      </c>
      <c r="S2" t="s">
        <v>151</v>
      </c>
      <c r="T2" t="s">
        <v>152</v>
      </c>
      <c r="U2" t="s">
        <v>153</v>
      </c>
      <c r="V2" t="s">
        <v>154</v>
      </c>
      <c r="W2" t="s">
        <v>155</v>
      </c>
      <c r="X2" t="s">
        <v>156</v>
      </c>
      <c r="Y2" t="s">
        <v>141</v>
      </c>
      <c r="Z2" t="s">
        <v>157</v>
      </c>
      <c r="AA2" t="s">
        <v>158</v>
      </c>
    </row>
    <row r="3" spans="1:27" x14ac:dyDescent="0.3">
      <c r="A3" t="s" s="9">
        <v>159</v>
      </c>
      <c r="B3" t="s" s="9">
        <v>160</v>
      </c>
      <c r="C3" s="8"/>
      <c r="D3" t="s" s="10">
        <v>161</v>
      </c>
      <c r="E3" t="s" s="10">
        <v>162</v>
      </c>
      <c r="F3" t="s" s="10">
        <v>163</v>
      </c>
      <c r="G3" t="s" s="10">
        <v>164</v>
      </c>
      <c r="H3" t="s" s="10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R3" t="s">
        <v>174</v>
      </c>
      <c r="S3" t="s">
        <v>175</v>
      </c>
      <c r="T3" t="s">
        <v>176</v>
      </c>
      <c r="V3" t="s">
        <v>177</v>
      </c>
      <c r="W3" t="s">
        <v>178</v>
      </c>
      <c r="Z3" t="s">
        <v>179</v>
      </c>
      <c r="AA3" t="s">
        <v>112</v>
      </c>
    </row>
    <row r="4" spans="1:27" x14ac:dyDescent="0.3">
      <c r="A4" t="s" s="8">
        <v>180</v>
      </c>
      <c r="B4" t="s" s="56">
        <v>181</v>
      </c>
      <c r="C4" s="8"/>
      <c r="D4" t="s" s="11">
        <v>182</v>
      </c>
      <c r="E4" t="s" s="11">
        <v>183</v>
      </c>
      <c r="F4" t="s" s="11">
        <v>184</v>
      </c>
      <c r="G4" s="12">
        <v>3938.58</v>
      </c>
      <c r="H4" s="13">
        <f>IF(G4="","",G4*IF(F4="Weekly",52/12,IF(F4="Biweekly",26/12,IF(F4="Semimonthly",2,IF(F4="Monthly",1,IF(F4="Quarterly",1/3,IF(F4="Annual",1/12,1)))))))</f>
      </c>
      <c r="J4" t="s">
        <v>185</v>
      </c>
      <c r="K4" t="s">
        <v>186</v>
      </c>
      <c r="L4" t="s">
        <v>187</v>
      </c>
      <c r="M4" t="s">
        <v>188</v>
      </c>
      <c r="O4" t="s">
        <v>189</v>
      </c>
      <c r="Q4" t="s">
        <v>190</v>
      </c>
      <c r="R4" t="s">
        <v>114</v>
      </c>
      <c r="S4" t="s">
        <v>191</v>
      </c>
      <c r="V4" t="s">
        <v>192</v>
      </c>
      <c r="W4" t="s">
        <v>193</v>
      </c>
      <c r="Z4" t="s">
        <v>194</v>
      </c>
    </row>
    <row r="5" spans="1:27" x14ac:dyDescent="0.3">
      <c r="A5" t="s" s="8">
        <v>195</v>
      </c>
      <c r="B5" s="57">
        <v>500</v>
      </c>
      <c r="C5" s="8"/>
      <c r="D5" t="s" s="11">
        <v>196</v>
      </c>
      <c r="E5" t="s" s="11">
        <v>183</v>
      </c>
      <c r="F5" t="s" s="11">
        <v>184</v>
      </c>
      <c r="G5" s="12">
        <v>758.37</v>
      </c>
      <c r="H5" s="13">
        <v>758.37</v>
      </c>
      <c r="J5" t="s">
        <v>197</v>
      </c>
      <c r="K5" t="s">
        <v>198</v>
      </c>
      <c r="L5" t="s">
        <v>199</v>
      </c>
      <c r="S5" t="s">
        <v>200</v>
      </c>
      <c r="W5" t="s">
        <v>201</v>
      </c>
      <c r="Z5" t="s">
        <v>202</v>
      </c>
    </row>
    <row r="6" spans="1:27" x14ac:dyDescent="0.3">
      <c r="A6" t="s" s="8">
        <v>203</v>
      </c>
      <c r="B6" t="s" s="58">
        <v>204</v>
      </c>
      <c r="C6" s="8"/>
      <c r="D6" t="s" s="11">
        <v>205</v>
      </c>
      <c r="E6" t="s" s="11">
        <v>183</v>
      </c>
      <c r="F6" t="s" s="11">
        <v>184</v>
      </c>
      <c r="G6" s="12">
        <v>2240</v>
      </c>
      <c r="H6" s="13">
        <v>2240</v>
      </c>
      <c r="J6" t="s">
        <v>206</v>
      </c>
      <c r="K6" t="s">
        <v>207</v>
      </c>
      <c r="L6" t="s">
        <v>208</v>
      </c>
    </row>
    <row r="7" spans="1:27" x14ac:dyDescent="0.3">
      <c r="A7" t="s" s="8">
        <v>209</v>
      </c>
      <c r="B7" s="59">
        <v>3</v>
      </c>
      <c r="C7" s="8"/>
      <c r="D7" t="s" s="11">
        <v>210</v>
      </c>
      <c r="E7" t="s" s="11">
        <v>183</v>
      </c>
      <c r="F7" t="s" s="11">
        <v>184</v>
      </c>
      <c r="G7" s="12">
        <v>4275.17</v>
      </c>
      <c r="H7" s="13">
        <v>4275.17</v>
      </c>
      <c r="J7" t="s">
        <v>211</v>
      </c>
    </row>
    <row r="8" spans="1:27" x14ac:dyDescent="0.3">
      <c r="A8" t="s" s="31">
        <v>212</v>
      </c>
      <c r="B8" t="s" s="32">
        <v>213</v>
      </c>
      <c r="C8" s="8"/>
      <c r="D8" t="s" s="11">
        <v>214</v>
      </c>
      <c r="E8" t="s" s="11">
        <v>183</v>
      </c>
      <c r="F8" t="s" s="11">
        <v>184</v>
      </c>
      <c r="G8" s="12">
        <v>4078.45</v>
      </c>
      <c r="H8" s="13">
        <v>4078.45</v>
      </c>
    </row>
    <row r="9" spans="1:27" x14ac:dyDescent="0.3">
      <c r="A9" t="s" s="8">
        <v>447</v>
      </c>
      <c r="B9" s="8">
        <v>29</v>
      </c>
      <c r="C9" s="8"/>
      <c r="D9" t="s" s="11">
        <v>215</v>
      </c>
      <c r="E9" t="s" s="11">
        <v>183</v>
      </c>
      <c r="F9" t="s" s="11">
        <v>184</v>
      </c>
      <c r="G9" s="12">
        <v>1752.78</v>
      </c>
      <c r="H9" s="13">
        <v>1752.78</v>
      </c>
    </row>
    <row r="10" spans="1:27" x14ac:dyDescent="0.3">
      <c r="A10" t="s" s="14">
        <v>216</v>
      </c>
      <c r="B10" t="s" s="14">
        <v>217</v>
      </c>
      <c r="C10" t="s" s="14">
        <v>218</v>
      </c>
      <c r="D10" t="s" s="11">
        <v>219</v>
      </c>
      <c r="E10" t="s" s="11">
        <v>183</v>
      </c>
      <c r="F10" t="s" s="11">
        <v>184</v>
      </c>
      <c r="G10" s="12">
        <v>1752.78</v>
      </c>
      <c r="H10" s="13">
        <v>1752.78</v>
      </c>
    </row>
    <row r="11" spans="1:27" x14ac:dyDescent="0.3">
      <c r="A11" t="s" s="8">
        <v>92</v>
      </c>
      <c r="B11" t="s" s="8">
        <v>144</v>
      </c>
      <c r="C11" t="s" s="8">
        <v>220</v>
      </c>
      <c r="D11" t="s" s="73">
        <v>221</v>
      </c>
      <c r="E11" s="73"/>
      <c r="F11" s="73"/>
      <c r="G11" s="73"/>
      <c r="H11" s="15">
        <f>SUM(H4:H10)</f>
      </c>
    </row>
    <row r="12" spans="1:27" x14ac:dyDescent="0.3">
      <c r="A12" t="s" s="8">
        <v>96</v>
      </c>
      <c r="B12" t="s" s="8">
        <v>145</v>
      </c>
      <c r="C12" t="s" s="8">
        <v>220</v>
      </c>
      <c r="D12" s="8"/>
      <c r="E12" s="8"/>
      <c r="F12" s="8"/>
      <c r="G12" s="8"/>
      <c r="H12" s="8"/>
    </row>
    <row r="13" spans="1:27" x14ac:dyDescent="0.3">
      <c r="A13" t="s" s="8">
        <v>100</v>
      </c>
      <c r="B13" t="s" s="8">
        <v>146</v>
      </c>
      <c r="C13" t="s" s="8">
        <v>220</v>
      </c>
      <c r="D13" s="8"/>
      <c r="E13" s="8"/>
      <c r="F13" s="8"/>
      <c r="G13" s="8"/>
      <c r="H13" s="8"/>
    </row>
    <row r="14" spans="1:27" x14ac:dyDescent="0.3">
      <c r="A14" t="s" s="8">
        <v>104</v>
      </c>
      <c r="B14" t="s" s="8">
        <v>147</v>
      </c>
      <c r="C14" t="s" s="8">
        <v>220</v>
      </c>
      <c r="D14" s="8"/>
      <c r="E14" t="s" s="14">
        <v>222</v>
      </c>
      <c r="F14" t="s" s="14">
        <v>216</v>
      </c>
      <c r="G14" t="s" s="14">
        <v>223</v>
      </c>
      <c r="H14" s="8"/>
    </row>
    <row r="15" spans="1:27" x14ac:dyDescent="0.3">
      <c r="A15" t="s" s="8">
        <v>134</v>
      </c>
      <c r="B15" t="s" s="8">
        <v>224</v>
      </c>
      <c r="C15" t="s" s="8">
        <v>220</v>
      </c>
      <c r="D15" s="8"/>
      <c r="E15" t="s" s="8">
        <v>225</v>
      </c>
      <c r="F15" t="s" s="8">
        <v>92</v>
      </c>
      <c r="G15" t="s" s="8">
        <v>144</v>
      </c>
      <c r="H15" s="8"/>
    </row>
    <row r="16" spans="1:27" x14ac:dyDescent="0.3">
      <c r="A16" t="s" s="8">
        <v>135</v>
      </c>
      <c r="B16" t="s" s="8">
        <v>149</v>
      </c>
      <c r="C16" t="s" s="8">
        <v>220</v>
      </c>
      <c r="D16" s="8"/>
      <c r="E16" t="s" s="8">
        <v>206</v>
      </c>
      <c r="F16" t="s" s="8">
        <v>92</v>
      </c>
      <c r="G16" t="s" s="8">
        <v>206</v>
      </c>
      <c r="H16" s="8"/>
    </row>
    <row r="17" spans="1:8" x14ac:dyDescent="0.3">
      <c r="A17" t="s" s="8">
        <v>136</v>
      </c>
      <c r="B17" t="s" s="8">
        <v>150</v>
      </c>
      <c r="C17" t="s" s="8">
        <v>220</v>
      </c>
      <c r="D17" s="8"/>
      <c r="E17" t="s" s="8">
        <v>211</v>
      </c>
      <c r="F17" t="s" s="8">
        <v>92</v>
      </c>
      <c r="G17" t="s" s="8">
        <v>211</v>
      </c>
      <c r="H17" s="8"/>
    </row>
    <row r="18" spans="1:8" x14ac:dyDescent="0.3">
      <c r="A18" t="s" s="8">
        <v>137</v>
      </c>
      <c r="B18" t="s" s="8">
        <v>137</v>
      </c>
      <c r="C18" t="s" s="8">
        <v>220</v>
      </c>
      <c r="D18" s="8"/>
      <c r="E18" t="s" s="8">
        <v>226</v>
      </c>
      <c r="F18" t="s" s="8">
        <v>96</v>
      </c>
      <c r="G18" t="s" s="8">
        <v>186</v>
      </c>
      <c r="H18" s="8"/>
    </row>
    <row r="19" spans="1:8" x14ac:dyDescent="0.3">
      <c r="A19" t="s" s="8">
        <v>113</v>
      </c>
      <c r="B19" t="s" s="8">
        <v>114</v>
      </c>
      <c r="C19" t="s" s="8">
        <v>220</v>
      </c>
      <c r="D19" s="8"/>
      <c r="E19" t="s" s="8">
        <v>227</v>
      </c>
      <c r="F19" t="s" s="8">
        <v>96</v>
      </c>
      <c r="G19" t="s" s="8">
        <v>145</v>
      </c>
      <c r="H19" s="8"/>
    </row>
    <row r="20" spans="1:8" x14ac:dyDescent="0.3">
      <c r="A20" t="s" s="8">
        <v>114</v>
      </c>
      <c r="B20" t="s" s="8">
        <v>151</v>
      </c>
      <c r="C20" t="s" s="8">
        <v>220</v>
      </c>
      <c r="D20" s="8"/>
      <c r="E20" t="s" s="8">
        <v>228</v>
      </c>
      <c r="F20" t="s" s="8">
        <v>96</v>
      </c>
      <c r="G20" t="s" s="8">
        <v>167</v>
      </c>
      <c r="H20" s="8"/>
    </row>
    <row r="21" spans="1:8" x14ac:dyDescent="0.3">
      <c r="A21" t="s" s="8">
        <v>138</v>
      </c>
      <c r="B21" t="s" s="8">
        <v>152</v>
      </c>
      <c r="C21" t="s" s="8">
        <v>220</v>
      </c>
      <c r="D21" s="8"/>
      <c r="E21" t="s" s="8">
        <v>229</v>
      </c>
      <c r="F21" t="s" s="8">
        <v>96</v>
      </c>
      <c r="G21" t="s" s="8">
        <v>198</v>
      </c>
      <c r="H21" s="8"/>
    </row>
    <row r="22" spans="1:8" x14ac:dyDescent="0.3">
      <c r="A22" t="s" s="8">
        <v>139</v>
      </c>
      <c r="B22" t="s" s="8">
        <v>153</v>
      </c>
      <c r="C22" t="s" s="8">
        <v>220</v>
      </c>
      <c r="D22" s="8"/>
      <c r="E22" t="s" s="8">
        <v>146</v>
      </c>
      <c r="F22" t="s" s="8">
        <v>100</v>
      </c>
      <c r="G22" t="s" s="8">
        <v>146</v>
      </c>
      <c r="H22" s="8"/>
    </row>
    <row r="23" spans="1:8" x14ac:dyDescent="0.3">
      <c r="A23" t="s" s="8">
        <v>108</v>
      </c>
      <c r="B23" t="s" s="8">
        <v>230</v>
      </c>
      <c r="C23" t="s" s="8">
        <v>220</v>
      </c>
      <c r="D23" s="8"/>
      <c r="E23" t="s" s="8">
        <v>231</v>
      </c>
      <c r="F23" t="s" s="8">
        <v>100</v>
      </c>
      <c r="G23" t="s" s="8">
        <v>199</v>
      </c>
      <c r="H23" s="8"/>
    </row>
    <row r="24" spans="1:8" x14ac:dyDescent="0.3">
      <c r="A24" t="s" s="8">
        <v>112</v>
      </c>
      <c r="B24" t="s" s="8">
        <v>232</v>
      </c>
      <c r="C24" t="s" s="8">
        <v>220</v>
      </c>
      <c r="D24" s="8"/>
      <c r="E24" t="s" s="8">
        <v>233</v>
      </c>
      <c r="F24" t="s" s="8">
        <v>100</v>
      </c>
      <c r="G24" t="s" s="8">
        <v>187</v>
      </c>
      <c r="H24" s="8"/>
    </row>
    <row r="25" spans="1:8" x14ac:dyDescent="0.3">
      <c r="A25" t="s" s="8">
        <v>140</v>
      </c>
      <c r="B25" t="s" s="8">
        <v>140</v>
      </c>
      <c r="C25" t="s" s="8">
        <v>220</v>
      </c>
      <c r="D25" s="8"/>
      <c r="E25" t="s" s="8">
        <v>147</v>
      </c>
      <c r="F25" t="s" s="8">
        <v>104</v>
      </c>
      <c r="G25" t="s" s="8">
        <v>147</v>
      </c>
      <c r="H25" s="8"/>
    </row>
    <row r="26" spans="1:8" x14ac:dyDescent="0.3">
      <c r="A26" t="s" s="8">
        <v>141</v>
      </c>
      <c r="B26" t="s" s="8">
        <v>141</v>
      </c>
      <c r="C26" t="s" s="8">
        <v>220</v>
      </c>
      <c r="D26" s="8"/>
      <c r="E26" t="s" s="8">
        <v>234</v>
      </c>
      <c r="F26" t="s" s="8">
        <v>104</v>
      </c>
      <c r="G26" t="s" s="8">
        <v>169</v>
      </c>
      <c r="H26" s="8"/>
    </row>
    <row r="27" spans="1:8" x14ac:dyDescent="0.3">
      <c r="A27" t="s" s="8">
        <v>116</v>
      </c>
      <c r="B27" t="s" s="8">
        <v>194</v>
      </c>
      <c r="C27" t="s" s="8">
        <v>220</v>
      </c>
      <c r="D27" s="8"/>
      <c r="E27" t="s" s="8">
        <v>134</v>
      </c>
      <c r="F27" t="s" s="8">
        <v>134</v>
      </c>
      <c r="G27" t="s" s="8">
        <v>134</v>
      </c>
      <c r="H27" s="8"/>
    </row>
    <row r="28" spans="1:8" x14ac:dyDescent="0.3">
      <c r="A28" t="s" s="8">
        <v>235</v>
      </c>
      <c r="B28" t="s" s="8">
        <v>235</v>
      </c>
      <c r="C28" t="s" s="8">
        <v>220</v>
      </c>
      <c r="D28" s="8"/>
      <c r="E28" t="s" s="8">
        <v>236</v>
      </c>
      <c r="F28" t="s" s="8">
        <v>135</v>
      </c>
      <c r="G28" t="s" s="8">
        <v>149</v>
      </c>
      <c r="H28" s="8"/>
    </row>
    <row r="29" spans="1:8" x14ac:dyDescent="0.3">
      <c r="A29" t="s" s="8">
        <v>237</v>
      </c>
      <c r="B29" t="s" s="8">
        <v>237</v>
      </c>
      <c r="C29" t="s" s="8">
        <v>238</v>
      </c>
      <c r="D29" s="8"/>
      <c r="E29" t="s" s="8">
        <v>239</v>
      </c>
      <c r="F29" t="s" s="8">
        <v>136</v>
      </c>
      <c r="G29" t="s" s="8">
        <v>150</v>
      </c>
      <c r="H29" s="8"/>
    </row>
    <row r="30" spans="1:8" x14ac:dyDescent="0.3">
      <c r="A30" s="8"/>
      <c r="B30" s="8"/>
      <c r="C30" s="8"/>
      <c r="D30" s="8"/>
      <c r="E30" t="s" s="8">
        <v>240</v>
      </c>
      <c r="F30" t="s" s="8">
        <v>137</v>
      </c>
      <c r="G30" t="s" s="8">
        <v>173</v>
      </c>
      <c r="H30" s="8"/>
    </row>
    <row r="31" spans="1:8" x14ac:dyDescent="0.3">
      <c r="A31" s="8"/>
      <c r="B31" s="8"/>
      <c r="C31" s="8"/>
      <c r="D31" s="8"/>
      <c r="E31" t="s" s="8">
        <v>137</v>
      </c>
      <c r="F31" t="s" s="8">
        <v>137</v>
      </c>
      <c r="G31" t="s" s="8">
        <v>137</v>
      </c>
      <c r="H31" s="8"/>
    </row>
    <row r="32" spans="1:8" x14ac:dyDescent="0.3">
      <c r="A32" s="8"/>
      <c r="B32" s="8"/>
      <c r="C32" s="8"/>
      <c r="D32" s="8"/>
      <c r="E32" t="s" s="8">
        <v>113</v>
      </c>
      <c r="F32" t="s" s="8">
        <v>113</v>
      </c>
      <c r="G32" t="s" s="8">
        <v>113</v>
      </c>
      <c r="H32" s="8"/>
    </row>
    <row r="33" spans="1:8" x14ac:dyDescent="0.3">
      <c r="A33" s="8"/>
      <c r="B33" s="8"/>
      <c r="C33" s="8"/>
      <c r="D33" s="8"/>
      <c r="E33" t="s" s="8">
        <v>174</v>
      </c>
      <c r="F33" t="s" s="8">
        <v>113</v>
      </c>
      <c r="G33" t="s" s="8">
        <v>174</v>
      </c>
      <c r="H33" s="8"/>
    </row>
    <row r="34" spans="1:8" x14ac:dyDescent="0.3">
      <c r="A34" s="8"/>
      <c r="B34" s="8"/>
      <c r="C34" s="8"/>
      <c r="D34" s="8"/>
      <c r="E34" t="s" s="8">
        <v>241</v>
      </c>
      <c r="F34" t="s" s="8">
        <v>139</v>
      </c>
      <c r="G34" t="s" s="8">
        <v>153</v>
      </c>
      <c r="H34" s="8"/>
    </row>
    <row r="35" spans="1:8" x14ac:dyDescent="0.3">
      <c r="A35" s="8"/>
      <c r="B35" s="8"/>
      <c r="C35" s="8"/>
      <c r="D35" s="8"/>
      <c r="E35" t="s" s="8">
        <v>154</v>
      </c>
      <c r="F35" t="s" s="8">
        <v>108</v>
      </c>
      <c r="G35" t="s" s="8">
        <v>154</v>
      </c>
      <c r="H35" s="8"/>
    </row>
    <row r="36" spans="1:8" x14ac:dyDescent="0.3">
      <c r="A36" s="8"/>
      <c r="B36" s="8"/>
      <c r="C36" s="8"/>
      <c r="D36" s="8"/>
      <c r="E36" t="s" s="8">
        <v>242</v>
      </c>
      <c r="F36" t="s" s="8">
        <v>116</v>
      </c>
      <c r="G36" t="s" s="8">
        <v>157</v>
      </c>
      <c r="H36" s="8"/>
    </row>
    <row r="37" spans="1:8" x14ac:dyDescent="0.3">
      <c r="A37" s="8"/>
      <c r="B37" s="8"/>
      <c r="C37" s="8"/>
      <c r="D37" s="8"/>
      <c r="E37" t="s" s="8">
        <v>179</v>
      </c>
      <c r="F37" t="s" s="8">
        <v>116</v>
      </c>
      <c r="G37" t="s" s="8">
        <v>179</v>
      </c>
      <c r="H37" s="8"/>
    </row>
    <row r="38" spans="1:8" x14ac:dyDescent="0.3">
      <c r="A38" s="8"/>
      <c r="B38" s="8"/>
      <c r="C38" s="8"/>
      <c r="D38" s="8"/>
      <c r="E38" t="s" s="8">
        <v>243</v>
      </c>
      <c r="F38" t="s" s="8">
        <v>116</v>
      </c>
      <c r="G38" t="s" s="8">
        <v>194</v>
      </c>
      <c r="H38" s="8"/>
    </row>
    <row r="39" spans="1:8" x14ac:dyDescent="0.3">
      <c r="A39" s="8"/>
      <c r="B39" s="8"/>
      <c r="C39" s="8"/>
      <c r="D39" s="8"/>
      <c r="E39" t="s" s="8">
        <v>202</v>
      </c>
      <c r="F39" t="s" s="8">
        <v>116</v>
      </c>
      <c r="G39" t="s" s="8">
        <v>202</v>
      </c>
      <c r="H39" s="8"/>
    </row>
    <row r="40" spans="1:8" x14ac:dyDescent="0.3">
      <c r="A40" s="8"/>
      <c r="B40" s="8"/>
      <c r="C40" s="8"/>
      <c r="D40" s="8"/>
      <c r="E40" t="s" s="8">
        <v>244</v>
      </c>
      <c r="F40" t="s" s="8">
        <v>235</v>
      </c>
      <c r="G40" t="s" s="8">
        <v>244</v>
      </c>
      <c r="H40" s="8"/>
    </row>
    <row r="41" spans="1:8" x14ac:dyDescent="0.3">
      <c r="A41" s="8"/>
      <c r="B41" s="8"/>
      <c r="C41" s="8"/>
      <c r="D41" s="8"/>
      <c r="E41" t="s" s="8">
        <v>237</v>
      </c>
      <c r="F41" t="s" s="8">
        <v>237</v>
      </c>
      <c r="G41" t="s" s="8">
        <v>237</v>
      </c>
      <c r="H41" s="8"/>
    </row>
    <row r="42" spans="1:8" x14ac:dyDescent="0.3">
      <c r="A42" s="8"/>
      <c r="B42" s="8"/>
      <c r="C42" s="8"/>
      <c r="D42" s="8"/>
      <c r="E42" t="s" s="8">
        <v>245</v>
      </c>
      <c r="F42" t="s" s="8">
        <v>114</v>
      </c>
      <c r="G42" t="s" s="8">
        <v>151</v>
      </c>
      <c r="H42" s="8"/>
    </row>
    <row r="43" spans="1:8" x14ac:dyDescent="0.3">
      <c r="A43" s="8"/>
      <c r="B43" s="8"/>
      <c r="C43" s="8"/>
      <c r="D43" s="8"/>
      <c r="E43" t="s" s="8">
        <v>246</v>
      </c>
      <c r="F43" t="s" s="8">
        <v>114</v>
      </c>
      <c r="G43" t="s" s="8">
        <v>175</v>
      </c>
      <c r="H43" s="8"/>
    </row>
    <row r="44" spans="1:8" x14ac:dyDescent="0.3">
      <c r="A44" s="8"/>
      <c r="B44" s="8"/>
      <c r="C44" s="8"/>
      <c r="D44" s="8"/>
      <c r="E44" t="s" s="8">
        <v>247</v>
      </c>
      <c r="F44" t="s" s="8">
        <v>114</v>
      </c>
      <c r="G44" t="s" s="8">
        <v>191</v>
      </c>
      <c r="H44" s="8"/>
    </row>
    <row r="45" spans="1:8" x14ac:dyDescent="0.3">
      <c r="A45" s="8"/>
      <c r="B45" s="8"/>
      <c r="C45" s="8"/>
      <c r="D45" s="8"/>
      <c r="E45" t="s" s="8">
        <v>248</v>
      </c>
      <c r="F45" t="s" s="8">
        <v>114</v>
      </c>
      <c r="G45" t="s" s="8">
        <v>200</v>
      </c>
      <c r="H45" s="8"/>
    </row>
    <row r="46" spans="1:8" x14ac:dyDescent="0.3">
      <c r="A46" s="8"/>
      <c r="B46" s="8"/>
      <c r="C46" s="8"/>
      <c r="D46" s="8"/>
      <c r="E46" s="8"/>
      <c r="F46" s="8"/>
      <c r="G46" s="8"/>
      <c r="H46" s="8"/>
    </row>
    <row r="47" spans="1:8" x14ac:dyDescent="0.3">
      <c r="A47" s="8"/>
      <c r="B47" s="8"/>
      <c r="C47" s="8"/>
      <c r="D47" s="8"/>
      <c r="E47" t="s" s="8">
        <v>249</v>
      </c>
      <c r="F47" t="s" s="8">
        <v>104</v>
      </c>
      <c r="G47" t="s" s="8">
        <v>169</v>
      </c>
      <c r="H47" s="8"/>
    </row>
    <row r="48" spans="1:8" x14ac:dyDescent="0.3">
      <c r="A48" s="8"/>
      <c r="B48" s="8"/>
      <c r="C48" s="8"/>
      <c r="D48" s="8"/>
      <c r="E48" t="s" s="8">
        <v>250</v>
      </c>
      <c r="F48" t="s" s="8">
        <v>116</v>
      </c>
      <c r="G48" t="s" s="8">
        <v>194</v>
      </c>
      <c r="H48" s="8"/>
    </row>
    <row r="49" spans="1:8" x14ac:dyDescent="0.3">
      <c r="A49" s="8"/>
      <c r="B49" s="8"/>
      <c r="C49" s="8"/>
      <c r="D49" s="8"/>
      <c r="E49" t="s" s="8">
        <v>251</v>
      </c>
      <c r="F49" t="s" s="8">
        <v>100</v>
      </c>
      <c r="G49" t="s" s="8">
        <v>199</v>
      </c>
      <c r="H49" s="8"/>
    </row>
    <row r="50" spans="1:8" x14ac:dyDescent="0.3">
      <c r="A50" s="8"/>
      <c r="B50" s="8"/>
      <c r="C50" s="8"/>
      <c r="D50" s="8"/>
      <c r="E50" t="s" s="8">
        <v>252</v>
      </c>
      <c r="F50" t="s" s="8">
        <v>100</v>
      </c>
      <c r="G50" t="s" s="8">
        <v>146</v>
      </c>
      <c r="H50" s="8"/>
    </row>
    <row r="51" spans="1:8" x14ac:dyDescent="0.3">
      <c r="A51" s="8"/>
      <c r="B51" s="8"/>
      <c r="C51" s="8"/>
      <c r="D51" s="8"/>
      <c r="E51" t="s" s="8">
        <v>253</v>
      </c>
      <c r="F51" t="s" s="8">
        <v>116</v>
      </c>
      <c r="G51" t="s" s="8">
        <v>194</v>
      </c>
      <c r="H51" s="8"/>
    </row>
    <row r="52" spans="1:8" x14ac:dyDescent="0.3">
      <c r="A52" s="8"/>
      <c r="B52" s="8"/>
      <c r="C52" s="8"/>
      <c r="D52" s="8"/>
      <c r="E52" t="s" s="8">
        <v>254</v>
      </c>
      <c r="F52" t="s" s="8">
        <v>116</v>
      </c>
      <c r="G52" t="s" s="8">
        <v>157</v>
      </c>
      <c r="H52" s="8"/>
    </row>
    <row r="53" spans="1:8" x14ac:dyDescent="0.3">
      <c r="A53" s="8"/>
      <c r="B53" s="8"/>
      <c r="C53" s="8"/>
      <c r="D53" s="8"/>
      <c r="E53" t="s" s="8">
        <v>255</v>
      </c>
      <c r="F53" t="s" s="8">
        <v>116</v>
      </c>
      <c r="G53" t="s" s="8">
        <v>202</v>
      </c>
      <c r="H53" s="8"/>
    </row>
    <row r="54" spans="1:8" x14ac:dyDescent="0.3">
      <c r="A54" s="8"/>
      <c r="B54" s="8"/>
      <c r="C54" s="8"/>
      <c r="D54" s="8"/>
      <c r="E54" t="s" s="8">
        <v>256</v>
      </c>
      <c r="F54" t="s" s="8">
        <v>104</v>
      </c>
      <c r="G54" t="s" s="8">
        <v>169</v>
      </c>
      <c r="H54" s="8"/>
    </row>
    <row r="55" spans="1:8" x14ac:dyDescent="0.3">
      <c r="A55" s="8"/>
      <c r="B55" s="8"/>
      <c r="C55" s="8"/>
      <c r="D55" s="8"/>
      <c r="E55" t="s" s="8">
        <v>257</v>
      </c>
      <c r="F55" t="s" s="8">
        <v>108</v>
      </c>
      <c r="G55" t="s" s="8">
        <v>177</v>
      </c>
      <c r="H55" s="8"/>
    </row>
    <row r="56" spans="1:8" x14ac:dyDescent="0.3">
      <c r="A56" s="8"/>
      <c r="B56" s="8"/>
      <c r="C56" s="8"/>
      <c r="D56" s="8"/>
      <c r="E56" t="s" s="8">
        <v>258</v>
      </c>
      <c r="F56" t="s" s="8">
        <v>114</v>
      </c>
      <c r="G56" t="s" s="8">
        <v>191</v>
      </c>
      <c r="H56" s="8"/>
    </row>
    <row r="57" spans="1:8" x14ac:dyDescent="0.3">
      <c r="A57" s="8"/>
      <c r="B57" s="8"/>
      <c r="C57" s="8"/>
      <c r="D57" s="8"/>
      <c r="E57" t="s" s="8">
        <v>259</v>
      </c>
      <c r="F57" t="s" s="8">
        <v>104</v>
      </c>
      <c r="G57" t="s" s="8">
        <v>169</v>
      </c>
      <c r="H57" s="8"/>
    </row>
    <row r="58" spans="1:8" x14ac:dyDescent="0.3">
      <c r="A58" s="8"/>
      <c r="B58" s="8"/>
      <c r="C58" s="8"/>
      <c r="D58" s="8"/>
      <c r="E58" t="s" s="8">
        <v>260</v>
      </c>
      <c r="F58" t="s" s="8">
        <v>116</v>
      </c>
      <c r="G58" t="s" s="8">
        <v>194</v>
      </c>
      <c r="H58" s="8"/>
    </row>
    <row r="59" spans="1:8" x14ac:dyDescent="0.3">
      <c r="A59" s="8"/>
      <c r="B59" s="8"/>
      <c r="C59" s="8"/>
      <c r="D59" s="8"/>
      <c r="E59" t="s" s="8">
        <v>261</v>
      </c>
      <c r="F59" t="s" s="8">
        <v>108</v>
      </c>
      <c r="G59" t="s" s="8">
        <v>154</v>
      </c>
      <c r="H59" s="8"/>
    </row>
    <row r="60" spans="1:8" x14ac:dyDescent="0.3">
      <c r="A60" s="8"/>
      <c r="B60" s="8"/>
      <c r="C60" s="8"/>
      <c r="D60" s="8"/>
      <c r="E60" t="s" s="8">
        <v>262</v>
      </c>
      <c r="F60" t="s" s="8">
        <v>104</v>
      </c>
      <c r="G60" t="s" s="8">
        <v>169</v>
      </c>
      <c r="H60" s="8"/>
    </row>
    <row r="61" spans="1:8" x14ac:dyDescent="0.3">
      <c r="A61" s="8"/>
      <c r="B61" s="8"/>
      <c r="C61" s="8"/>
      <c r="E61" t="s">
        <v>207</v>
      </c>
      <c r="F61" t="s">
        <v>100</v>
      </c>
      <c r="G61" t="s">
        <v>187</v>
      </c>
    </row>
    <row r="62" spans="1:8" x14ac:dyDescent="0.3">
      <c r="E62" t="s">
        <v>263</v>
      </c>
      <c r="F62" t="s">
        <v>137</v>
      </c>
      <c r="G62" t="s">
        <v>137</v>
      </c>
    </row>
    <row r="63" spans="1:8" x14ac:dyDescent="0.3">
      <c r="E63" t="s">
        <v>264</v>
      </c>
      <c r="F63" t="s">
        <v>135</v>
      </c>
      <c r="G63" t="s">
        <v>149</v>
      </c>
    </row>
    <row r="64" spans="1:8" x14ac:dyDescent="0.3">
      <c r="E64" t="s">
        <v>265</v>
      </c>
      <c r="F64" t="s">
        <v>92</v>
      </c>
      <c r="G64" t="s">
        <v>206</v>
      </c>
    </row>
    <row r="65" spans="5:7" x14ac:dyDescent="0.3">
      <c r="E65" t="s">
        <v>266</v>
      </c>
      <c r="F65" t="s">
        <v>92</v>
      </c>
      <c r="G65" t="s">
        <v>206</v>
      </c>
    </row>
    <row r="66" spans="5:7" x14ac:dyDescent="0.3">
      <c r="E66" t="s">
        <v>235</v>
      </c>
      <c r="F66" t="s">
        <v>235</v>
      </c>
      <c r="G66" t="s">
        <v>244</v>
      </c>
    </row>
    <row r="67" spans="5:7" x14ac:dyDescent="0.3">
      <c r="E67" t="s">
        <v>267</v>
      </c>
      <c r="F67" t="s">
        <v>235</v>
      </c>
      <c r="G67" t="s">
        <v>244</v>
      </c>
    </row>
    <row r="68" spans="5:7" x14ac:dyDescent="0.3">
      <c r="E68" t="s">
        <v>268</v>
      </c>
      <c r="F68" t="s">
        <v>137</v>
      </c>
      <c r="G68" t="s">
        <v>137</v>
      </c>
    </row>
    <row r="69" spans="5:7" x14ac:dyDescent="0.3">
      <c r="E69" t="s">
        <v>269</v>
      </c>
      <c r="F69" t="s">
        <v>96</v>
      </c>
      <c r="G69" t="s">
        <v>198</v>
      </c>
    </row>
    <row r="70" spans="5:7" x14ac:dyDescent="0.3">
      <c r="E70" t="s">
        <v>270</v>
      </c>
      <c r="F70" t="s">
        <v>92</v>
      </c>
      <c r="G70" t="s">
        <v>144</v>
      </c>
    </row>
    <row r="71" spans="5:7" x14ac:dyDescent="0.3">
      <c r="E71" t="s">
        <v>271</v>
      </c>
      <c r="F71" t="s">
        <v>92</v>
      </c>
      <c r="G71" t="s">
        <v>144</v>
      </c>
    </row>
    <row r="72" spans="5:7" x14ac:dyDescent="0.3">
      <c r="E72" t="s">
        <v>272</v>
      </c>
      <c r="F72" t="s">
        <v>113</v>
      </c>
      <c r="G72" t="s">
        <v>113</v>
      </c>
    </row>
    <row r="73" spans="5:7" x14ac:dyDescent="0.3">
      <c r="E73" t="s">
        <v>273</v>
      </c>
      <c r="F73" t="s">
        <v>113</v>
      </c>
      <c r="G73" t="s">
        <v>174</v>
      </c>
    </row>
    <row r="74" spans="5:7" x14ac:dyDescent="0.3">
      <c r="E74" t="s">
        <v>274</v>
      </c>
      <c r="F74" t="s">
        <v>235</v>
      </c>
      <c r="G74" t="s">
        <v>244</v>
      </c>
    </row>
    <row r="75" spans="5:7" x14ac:dyDescent="0.3">
      <c r="E75" t="s">
        <v>275</v>
      </c>
      <c r="F75" t="s">
        <v>104</v>
      </c>
      <c r="G75" t="s">
        <v>169</v>
      </c>
    </row>
    <row r="76" spans="5:7" x14ac:dyDescent="0.3">
      <c r="E76" t="s">
        <v>276</v>
      </c>
      <c r="F76" t="s">
        <v>100</v>
      </c>
      <c r="G76" t="s">
        <v>199</v>
      </c>
    </row>
    <row r="77" spans="5:7" x14ac:dyDescent="0.3">
      <c r="E77" t="s">
        <v>277</v>
      </c>
      <c r="F77" t="s">
        <v>116</v>
      </c>
      <c r="G77" t="s">
        <v>179</v>
      </c>
    </row>
    <row r="78" spans="5:7" x14ac:dyDescent="0.3">
      <c r="E78" t="s">
        <v>278</v>
      </c>
      <c r="F78" t="s">
        <v>237</v>
      </c>
      <c r="G78" t="s">
        <v>237</v>
      </c>
    </row>
    <row r="79" spans="5:7" x14ac:dyDescent="0.3">
      <c r="E79" t="s">
        <v>96</v>
      </c>
      <c r="F79" t="s">
        <v>96</v>
      </c>
      <c r="G79" t="s">
        <v>145</v>
      </c>
    </row>
  </sheetData>
  <mergeCells count="2">
    <mergeCell ref="A1:H1"/>
    <mergeCell ref="D11:G11"/>
  </mergeCells>
  <dataValidations count="5">
    <dataValidation type="list" sqref="B6" xr:uid="{00000000-0002-0000-0500-000000000000}">
      <formula1>"Avalanche,Snowball,Cash Flow"</formula1>
    </dataValidation>
    <dataValidation type="list" sqref="F4:F10" xr:uid="{00000000-0002-0000-0500-000001000000}">
      <formula1>"Weekly,Biweekly,Semimonthly,Monthly,Quarterly,Annual,Irregular"</formula1>
    </dataValidation>
    <dataValidation type="list" sqref="B8" xr:uid="{00000000-0002-0000-0500-000003000000}">
      <formula1>"Manual (Live),Bank (Closed)"</formula1>
    </dataValidation>
    <dataValidation type="list" sqref="C11:C29" xr:uid="{00000000-0002-0000-0500-000002000000}">
      <formula1>"Yes,No"</formula1>
    </dataValidation>
    <dataValidation type="list" allowBlank="1" showInputMessage="1" showErrorMessage="1" sqref="B4" xr:uid="{71DC2A22-B738-4564-8C84-F388D21FD7F7}">
      <formula1>_xlfn._LONGTEXT("January 2026,February 2026,March 2026,April 2026,May 2026,June 2026,July 2026,August 2026,September 2026,October 2026,November 2026,December 2026,January 2027,February 2027,March 2027,April 2027,May 2027,June 2027,July 2027,August 2027,September 2027,Octo","ber 2027,November 2027,December 2027")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/>
  <sheetViews>
    <sheetView topLeftCell="A37" workbookViewId="0">
      <selection activeCell="C58" sqref="C58"/>
    </sheetView>
  </sheetViews>
  <sheetFormatPr defaultRowHeight="14.4" x14ac:dyDescent="0.3"/>
  <cols>
    <col min="1" max="1" width="18" customWidth="1"/>
    <col min="2" max="2" width="24" customWidth="1"/>
    <col min="3" max="6" width="16" customWidth="1"/>
    <col min="7" max="8" width="15" customWidth="1"/>
    <col min="9" max="9" width="10" customWidth="1"/>
    <col min="10" max="10" width="28" customWidth="1"/>
    <col min="11" max="13" width="17" customWidth="1"/>
  </cols>
  <sheetData>
    <row r="1" spans="1:13" ht="21" x14ac:dyDescent="0.4">
      <c r="A1" t="s" s="63">
        <v>279</v>
      </c>
      <c r="B1" s="63"/>
      <c r="C1" s="63"/>
      <c r="D1" s="63"/>
      <c r="E1" s="63"/>
      <c r="F1" s="63"/>
      <c r="G1" s="63"/>
      <c r="H1" s="63"/>
      <c r="I1" s="63"/>
      <c r="J1" s="63"/>
    </row>
    <row r="3" spans="1:13" x14ac:dyDescent="0.3">
      <c r="A3" t="s" s="33">
        <v>82</v>
      </c>
      <c r="B3" t="s" s="33">
        <v>223</v>
      </c>
      <c r="C3" t="s" s="33">
        <v>280</v>
      </c>
      <c r="D3" t="s" s="34">
        <v>281</v>
      </c>
      <c r="E3" t="s" s="33">
        <v>282</v>
      </c>
      <c r="F3" t="s" s="33">
        <v>283</v>
      </c>
      <c r="G3" t="s" s="33">
        <v>86</v>
      </c>
      <c r="H3" t="s" s="33">
        <v>284</v>
      </c>
      <c r="I3" t="s" s="33">
        <v>285</v>
      </c>
      <c r="J3" t="s" s="33">
        <v>121</v>
      </c>
      <c r="K3" t="s" s="35">
        <v>286</v>
      </c>
      <c r="L3" t="s" s="36">
        <v>287</v>
      </c>
      <c r="M3" t="s" s="37">
        <v>288</v>
      </c>
    </row>
    <row r="4" spans="1:13" x14ac:dyDescent="0.3">
      <c r="A4" t="s" s="7">
        <v>92</v>
      </c>
      <c r="B4" t="s" s="7">
        <v>144</v>
      </c>
      <c r="C4" s="6">
        <f>1396.87+767+406.91</f>
      </c>
      <c r="D4" s="18">
        <f>IF(Setup!$B$8="Bank (Closed)",L4,K4)</f>
      </c>
      <c r="E4" s="18">
        <f t="shared" ref="E4:E55" si="0">C4-D4</f>
      </c>
      <c r="F4" s="21">
        <f t="shared" ref="F4:F55" si="1">IF(C4=0,IF(D4=0,0,-1),(C4-D4)/C4)</f>
      </c>
      <c r="G4" t="s">
        <v>289</v>
      </c>
      <c r="H4" t="s">
        <v>290</v>
      </c>
      <c r="K4" s="5">
        <f>SUMIFS('Manual Actuals'!$C$2:$C$861,'Manual Actuals'!$D$2:$D$861,$A4,'Manual Actuals'!$E$2:$E$861,$B4,'Manual Actuals'!$H$2:$H$861,Setup!$B$4,'Manual Actuals'!$G$2:$G$861,"Yes")</f>
      </c>
      <c r="L4" s="5">
        <f>SUMIFS(bk_download!$L$2:$L$1902,bk_download!$H$2:$H$1902,$A4,bk_download!$I$2:$I$1902,$B4,bk_download!$K$2:$K$1902,Setup!$B$4,bk_download!$J$2:$J$1902,"Yes")</f>
      </c>
      <c r="M4" s="5">
        <f t="shared" ref="M4:M35" si="2">K4-L4</f>
      </c>
    </row>
    <row r="5" spans="1:13" x14ac:dyDescent="0.3">
      <c r="A5" t="s" s="7">
        <v>92</v>
      </c>
      <c r="B5" t="s" s="7">
        <v>166</v>
      </c>
      <c r="C5" s="6">
        <v>0</v>
      </c>
      <c r="D5" s="18">
        <f>IF(Setup!$B$8="Bank (Closed)",L5,K5)</f>
      </c>
      <c r="E5" s="18">
        <f t="shared" si="0"/>
      </c>
      <c r="F5" s="21">
        <f t="shared" si="1"/>
      </c>
      <c r="G5" t="s">
        <v>289</v>
      </c>
      <c r="H5" t="s">
        <v>291</v>
      </c>
      <c r="J5" t="s">
        <v>292</v>
      </c>
      <c r="K5" s="5">
        <f>SUMIFS('Manual Actuals'!$C$2:$C$861,'Manual Actuals'!$D$2:$D$861,$A5,'Manual Actuals'!$E$2:$E$861,$B5,'Manual Actuals'!$H$2:$H$861,Setup!$B$4,'Manual Actuals'!$G$2:$G$861,"Yes")</f>
      </c>
      <c r="L5" s="5">
        <f>SUMIFS(bk_download!$L$2:$L$1902,bk_download!$H$2:$H$1902,$A5,bk_download!$I$2:$I$1902,$B5,bk_download!$K$2:$K$1902,Setup!$B$4,bk_download!$J$2:$J$1902,"Yes")</f>
      </c>
      <c r="M5" s="5">
        <f t="shared" si="2"/>
      </c>
    </row>
    <row r="6" spans="1:13" x14ac:dyDescent="0.3">
      <c r="A6" t="s" s="7">
        <v>92</v>
      </c>
      <c r="B6" t="s" s="7">
        <v>185</v>
      </c>
      <c r="C6" s="6">
        <v>0</v>
      </c>
      <c r="D6" s="18">
        <f>IF(Setup!$B$8="Bank (Closed)",L6,K6)</f>
      </c>
      <c r="E6" s="18">
        <f t="shared" si="0"/>
      </c>
      <c r="F6" s="21">
        <f t="shared" si="1"/>
      </c>
      <c r="G6" t="s">
        <v>289</v>
      </c>
      <c r="H6" t="s">
        <v>291</v>
      </c>
      <c r="J6" t="s">
        <v>293</v>
      </c>
      <c r="K6" s="5">
        <f>SUMIFS('Manual Actuals'!$C$2:$C$861,'Manual Actuals'!$D$2:$D$861,$A6,'Manual Actuals'!$E$2:$E$861,$B6,'Manual Actuals'!$H$2:$H$861,Setup!$B$4,'Manual Actuals'!$G$2:$G$861,"Yes")</f>
      </c>
      <c r="L6" s="5">
        <f>SUMIFS(bk_download!$L$2:$L$1902,bk_download!$H$2:$H$1902,$A6,bk_download!$I$2:$I$1902,$B6,bk_download!$K$2:$K$1902,Setup!$B$4,bk_download!$J$2:$J$1902,"Yes")</f>
      </c>
      <c r="M6" s="5">
        <f t="shared" si="2"/>
      </c>
    </row>
    <row r="7" spans="1:13" x14ac:dyDescent="0.3">
      <c r="A7" t="s" s="7">
        <v>92</v>
      </c>
      <c r="B7" t="s" s="7">
        <v>197</v>
      </c>
      <c r="C7" s="6">
        <v>99</v>
      </c>
      <c r="D7" s="18">
        <f>IF(Setup!$B$8="Bank (Closed)",L7,K7)</f>
      </c>
      <c r="E7" s="18">
        <f t="shared" si="0"/>
      </c>
      <c r="F7" s="21">
        <f t="shared" si="1"/>
      </c>
      <c r="G7" t="s">
        <v>289</v>
      </c>
      <c r="H7" t="s">
        <v>290</v>
      </c>
      <c r="K7" s="5">
        <f>SUMIFS('Manual Actuals'!$C$2:$C$861,'Manual Actuals'!$D$2:$D$861,$A7,'Manual Actuals'!$E$2:$E$861,$B7,'Manual Actuals'!$H$2:$H$861,Setup!$B$4,'Manual Actuals'!$G$2:$G$861,"Yes")</f>
      </c>
      <c r="L7" s="5">
        <f>SUMIFS(bk_download!$L$2:$L$1902,bk_download!$H$2:$H$1902,$A7,bk_download!$I$2:$I$1902,$B7,bk_download!$K$2:$K$1902,Setup!$B$4,bk_download!$J$2:$J$1902,"Yes")</f>
      </c>
      <c r="M7" s="5">
        <f t="shared" si="2"/>
      </c>
    </row>
    <row r="8" spans="1:13" x14ac:dyDescent="0.3">
      <c r="A8" t="s" s="7">
        <v>92</v>
      </c>
      <c r="B8" t="s" s="7">
        <v>206</v>
      </c>
      <c r="C8" s="6">
        <v>0</v>
      </c>
      <c r="D8" s="18">
        <f>IF(Setup!$B$8="Bank (Closed)",L8,K8)</f>
      </c>
      <c r="E8" s="18">
        <f t="shared" si="0"/>
      </c>
      <c r="F8" s="21">
        <f t="shared" si="1"/>
      </c>
      <c r="G8" t="s">
        <v>289</v>
      </c>
      <c r="H8" t="s">
        <v>291</v>
      </c>
      <c r="K8" s="5">
        <f>SUMIFS('Manual Actuals'!$C$2:$C$861,'Manual Actuals'!$D$2:$D$861,$A8,'Manual Actuals'!$E$2:$E$861,$B8,'Manual Actuals'!$H$2:$H$861,Setup!$B$4,'Manual Actuals'!$G$2:$G$861,"Yes")</f>
      </c>
      <c r="L8" s="5">
        <f>SUMIFS(bk_download!$L$2:$L$1902,bk_download!$H$2:$H$1902,$A8,bk_download!$I$2:$I$1902,$B8,bk_download!$K$2:$K$1902,Setup!$B$4,bk_download!$J$2:$J$1902,"Yes")</f>
      </c>
      <c r="M8" s="5">
        <f t="shared" si="2"/>
      </c>
    </row>
    <row r="9" spans="1:13" x14ac:dyDescent="0.3">
      <c r="A9" t="s" s="7">
        <v>92</v>
      </c>
      <c r="B9" t="s" s="7">
        <v>211</v>
      </c>
      <c r="C9" s="6">
        <v>0</v>
      </c>
      <c r="D9" s="18">
        <f>IF(Setup!$B$8="Bank (Closed)",L9,K9)</f>
      </c>
      <c r="E9" s="18">
        <f t="shared" si="0"/>
      </c>
      <c r="F9" s="21">
        <f t="shared" si="1"/>
      </c>
      <c r="G9" t="s">
        <v>289</v>
      </c>
      <c r="H9" t="s">
        <v>291</v>
      </c>
      <c r="K9" s="5">
        <f>SUMIFS('Manual Actuals'!$C$2:$C$861,'Manual Actuals'!$D$2:$D$861,$A9,'Manual Actuals'!$E$2:$E$861,$B9,'Manual Actuals'!$H$2:$H$861,Setup!$B$4,'Manual Actuals'!$G$2:$G$861,"Yes")</f>
      </c>
      <c r="L9" s="5">
        <f>SUMIFS(bk_download!$L$2:$L$1902,bk_download!$H$2:$H$1902,$A9,bk_download!$I$2:$I$1902,$B9,bk_download!$K$2:$K$1902,Setup!$B$4,bk_download!$J$2:$J$1902,"Yes")</f>
      </c>
      <c r="M9" s="5">
        <f t="shared" si="2"/>
      </c>
    </row>
    <row r="10" spans="1:13" x14ac:dyDescent="0.3">
      <c r="A10" t="s" s="7">
        <v>96</v>
      </c>
      <c r="B10" t="s" s="7">
        <v>145</v>
      </c>
      <c r="C10" s="6">
        <f>326+508+140</f>
      </c>
      <c r="D10" s="18">
        <f>IF(Setup!$B$8="Bank (Closed)",L10,K10)</f>
      </c>
      <c r="E10" s="18">
        <f t="shared" si="0"/>
      </c>
      <c r="F10" s="21">
        <f t="shared" si="1"/>
      </c>
      <c r="G10" t="s">
        <v>289</v>
      </c>
      <c r="H10" t="s">
        <v>291</v>
      </c>
      <c r="J10" t="s">
        <v>294</v>
      </c>
      <c r="K10" s="5">
        <f>SUMIFS('Manual Actuals'!$C$2:$C$861,'Manual Actuals'!$D$2:$D$861,$A10,'Manual Actuals'!$E$2:$E$861,$B10,'Manual Actuals'!$H$2:$H$861,Setup!$B$4,'Manual Actuals'!$G$2:$G$861,"Yes")</f>
      </c>
      <c r="L10" s="5">
        <f>SUMIFS(bk_download!$L$2:$L$1902,bk_download!$H$2:$H$1902,$A10,bk_download!$I$2:$I$1902,$B10,bk_download!$K$2:$K$1902,Setup!$B$4,bk_download!$J$2:$J$1902,"Yes")</f>
      </c>
      <c r="M10" s="5">
        <f t="shared" si="2"/>
      </c>
    </row>
    <row r="11" spans="1:13" x14ac:dyDescent="0.3">
      <c r="A11" t="s" s="7">
        <v>96</v>
      </c>
      <c r="B11" t="s" s="7">
        <v>167</v>
      </c>
      <c r="C11" s="6">
        <f>188.88+87+100</f>
      </c>
      <c r="D11" s="18">
        <f>IF(Setup!$B$8="Bank (Closed)",L11,K11)</f>
      </c>
      <c r="E11" s="18">
        <f t="shared" si="0"/>
      </c>
      <c r="F11" s="21">
        <f t="shared" si="1"/>
      </c>
      <c r="G11" t="s">
        <v>289</v>
      </c>
      <c r="H11" t="s">
        <v>291</v>
      </c>
      <c r="J11" t="s">
        <v>294</v>
      </c>
      <c r="K11" s="5">
        <f>SUMIFS('Manual Actuals'!$C$2:$C$861,'Manual Actuals'!$D$2:$D$861,$A11,'Manual Actuals'!$E$2:$E$861,$B11,'Manual Actuals'!$H$2:$H$861,Setup!$B$4,'Manual Actuals'!$G$2:$G$861,"Yes")</f>
      </c>
      <c r="L11" s="5">
        <f>SUMIFS(bk_download!$L$2:$L$1902,bk_download!$H$2:$H$1902,$A11,bk_download!$I$2:$I$1902,$B11,bk_download!$K$2:$K$1902,Setup!$B$4,bk_download!$J$2:$J$1902,"Yes")</f>
      </c>
      <c r="M11" s="5">
        <f t="shared" si="2"/>
      </c>
    </row>
    <row r="12" spans="1:13" x14ac:dyDescent="0.3">
      <c r="A12" t="s" s="7">
        <v>96</v>
      </c>
      <c r="B12" t="s" s="7">
        <v>186</v>
      </c>
      <c r="C12" s="6">
        <v>200</v>
      </c>
      <c r="D12" s="18">
        <f>IF(Setup!$B$8="Bank (Closed)",L12,K12)</f>
      </c>
      <c r="E12" s="18">
        <f t="shared" si="0"/>
      </c>
      <c r="F12" s="21">
        <f t="shared" si="1"/>
      </c>
      <c r="G12" t="s">
        <v>289</v>
      </c>
      <c r="H12" t="s">
        <v>290</v>
      </c>
      <c r="K12" s="5">
        <f>SUMIFS('Manual Actuals'!$C$2:$C$861,'Manual Actuals'!$D$2:$D$861,$A12,'Manual Actuals'!$E$2:$E$861,$B12,'Manual Actuals'!$H$2:$H$861,Setup!$B$4,'Manual Actuals'!$G$2:$G$861,"Yes")</f>
      </c>
      <c r="L12" s="5">
        <f>SUMIFS(bk_download!$L$2:$L$1902,bk_download!$H$2:$H$1902,$A12,bk_download!$I$2:$I$1902,$B12,bk_download!$K$2:$K$1902,Setup!$B$4,bk_download!$J$2:$J$1902,"Yes")</f>
      </c>
      <c r="M12" s="5">
        <f t="shared" si="2"/>
      </c>
    </row>
    <row r="13" spans="1:13" x14ac:dyDescent="0.3">
      <c r="A13" t="s" s="7">
        <v>96</v>
      </c>
      <c r="B13" t="s" s="7">
        <v>198</v>
      </c>
      <c r="C13" s="6">
        <v>500</v>
      </c>
      <c r="D13" s="18">
        <f>IF(Setup!$B$8="Bank (Closed)",L13,K13)</f>
      </c>
      <c r="E13" s="18">
        <f t="shared" si="0"/>
      </c>
      <c r="F13" s="21">
        <f t="shared" si="1"/>
      </c>
      <c r="G13" t="s">
        <v>289</v>
      </c>
      <c r="H13" t="s">
        <v>291</v>
      </c>
      <c r="J13" t="s">
        <v>295</v>
      </c>
      <c r="K13" s="5">
        <f>SUMIFS('Manual Actuals'!$C$2:$C$861,'Manual Actuals'!$D$2:$D$861,$A13,'Manual Actuals'!$E$2:$E$861,$B13,'Manual Actuals'!$H$2:$H$861,Setup!$B$4,'Manual Actuals'!$G$2:$G$861,"Yes")</f>
      </c>
      <c r="L13" s="5">
        <f>SUMIFS(bk_download!$L$2:$L$1902,bk_download!$H$2:$H$1902,$A13,bk_download!$I$2:$I$1902,$B13,bk_download!$K$2:$K$1902,Setup!$B$4,bk_download!$J$2:$J$1902,"Yes")</f>
      </c>
      <c r="M13" s="5">
        <f t="shared" si="2"/>
      </c>
    </row>
    <row r="14" spans="1:13" x14ac:dyDescent="0.3">
      <c r="A14" t="s" s="7">
        <v>96</v>
      </c>
      <c r="B14" t="s" s="7">
        <v>207</v>
      </c>
      <c r="C14" s="6">
        <v>100</v>
      </c>
      <c r="D14" s="18">
        <f>IF(Setup!$B$8="Bank (Closed)",L14,K14)</f>
      </c>
      <c r="E14" s="18">
        <f t="shared" si="0"/>
      </c>
      <c r="F14" s="21">
        <f t="shared" si="1"/>
      </c>
      <c r="G14" t="s">
        <v>289</v>
      </c>
      <c r="H14" t="s">
        <v>291</v>
      </c>
      <c r="K14" s="5">
        <f>SUMIFS('Manual Actuals'!$C$2:$C$861,'Manual Actuals'!$D$2:$D$861,$A14,'Manual Actuals'!$E$2:$E$861,$B14,'Manual Actuals'!$H$2:$H$861,Setup!$B$4,'Manual Actuals'!$G$2:$G$861,"Yes")</f>
      </c>
      <c r="L14" s="5">
        <f>SUMIFS(bk_download!$L$2:$L$1902,bk_download!$H$2:$H$1902,$A14,bk_download!$I$2:$I$1902,$B14,bk_download!$K$2:$K$1902,Setup!$B$4,bk_download!$J$2:$J$1902,"Yes")</f>
      </c>
      <c r="M14" s="5">
        <f t="shared" si="2"/>
      </c>
    </row>
    <row r="15" spans="1:13" x14ac:dyDescent="0.3">
      <c r="A15" t="s" s="7">
        <v>100</v>
      </c>
      <c r="B15" t="s" s="7">
        <v>146</v>
      </c>
      <c r="C15" s="6">
        <f>600+1459.84</f>
      </c>
      <c r="D15" s="18">
        <f>IF(Setup!$B$8="Bank (Closed)",L15,K15)</f>
      </c>
      <c r="E15" s="18">
        <f t="shared" si="0"/>
      </c>
      <c r="F15" s="21">
        <f t="shared" si="1"/>
      </c>
      <c r="G15" t="s">
        <v>289</v>
      </c>
      <c r="H15" t="s">
        <v>290</v>
      </c>
      <c r="J15" t="s">
        <v>295</v>
      </c>
      <c r="K15" s="5">
        <f>SUMIFS('Manual Actuals'!$C$2:$C$861,'Manual Actuals'!$D$2:$D$861,$A15,'Manual Actuals'!$E$2:$E$861,$B15,'Manual Actuals'!$H$2:$H$861,Setup!$B$4,'Manual Actuals'!$G$2:$G$861,"Yes")</f>
      </c>
      <c r="L15" s="5">
        <f>SUMIFS(bk_download!$L$2:$L$1902,bk_download!$H$2:$H$1902,$A15,bk_download!$I$2:$I$1902,$B15,bk_download!$K$2:$K$1902,Setup!$B$4,bk_download!$J$2:$J$1902,"Yes")</f>
      </c>
      <c r="M15" s="5">
        <f t="shared" si="2"/>
      </c>
    </row>
    <row r="16" spans="1:13" x14ac:dyDescent="0.3">
      <c r="A16" t="s" s="7">
        <v>100</v>
      </c>
      <c r="B16" t="s" s="7">
        <v>168</v>
      </c>
      <c r="C16" s="6">
        <f>411.19+274.48+157</f>
      </c>
      <c r="D16" s="18">
        <f>IF(Setup!$B$8="Bank (Closed)",L16,K16)</f>
      </c>
      <c r="E16" s="18">
        <f t="shared" si="0"/>
      </c>
      <c r="F16" s="21">
        <f t="shared" si="1"/>
      </c>
      <c r="G16" t="s">
        <v>289</v>
      </c>
      <c r="H16" t="s">
        <v>290</v>
      </c>
      <c r="J16" t="s">
        <v>295</v>
      </c>
      <c r="K16" s="5">
        <f>SUMIFS('Manual Actuals'!$C$2:$C$861,'Manual Actuals'!$D$2:$D$861,$A16,'Manual Actuals'!$E$2:$E$861,$B16,'Manual Actuals'!$H$2:$H$861,Setup!$B$4,'Manual Actuals'!$G$2:$G$861,"Yes")</f>
      </c>
      <c r="L16" s="5">
        <f>SUMIFS(bk_download!$L$2:$L$1902,bk_download!$H$2:$H$1902,$A16,bk_download!$I$2:$I$1902,$B16,bk_download!$K$2:$K$1902,Setup!$B$4,bk_download!$J$2:$J$1902,"Yes")</f>
      </c>
      <c r="M16" s="5">
        <f t="shared" si="2"/>
      </c>
    </row>
    <row r="17" spans="1:13" x14ac:dyDescent="0.3">
      <c r="A17" t="s" s="7">
        <v>100</v>
      </c>
      <c r="B17" t="s" s="7">
        <v>187</v>
      </c>
      <c r="C17" s="6">
        <v>60</v>
      </c>
      <c r="D17" s="18">
        <f>IF(Setup!$B$8="Bank (Closed)",L17,K17)</f>
      </c>
      <c r="E17" s="18">
        <f t="shared" si="0"/>
      </c>
      <c r="F17" s="21">
        <f t="shared" si="1"/>
      </c>
      <c r="G17" t="s">
        <v>289</v>
      </c>
      <c r="H17" t="s">
        <v>291</v>
      </c>
      <c r="K17" s="5">
        <f>SUMIFS('Manual Actuals'!$C$2:$C$861,'Manual Actuals'!$D$2:$D$861,$A17,'Manual Actuals'!$E$2:$E$861,$B17,'Manual Actuals'!$H$2:$H$861,Setup!$B$4,'Manual Actuals'!$G$2:$G$861,"Yes")</f>
      </c>
      <c r="L17" s="5">
        <f>SUMIFS(bk_download!$L$2:$L$1902,bk_download!$H$2:$H$1902,$A17,bk_download!$I$2:$I$1902,$B17,bk_download!$K$2:$K$1902,Setup!$B$4,bk_download!$J$2:$J$1902,"Yes")</f>
      </c>
      <c r="M17" s="5">
        <f t="shared" si="2"/>
      </c>
    </row>
    <row r="18" spans="1:13" x14ac:dyDescent="0.3">
      <c r="A18" t="s" s="7">
        <v>100</v>
      </c>
      <c r="B18" t="s" s="7">
        <v>199</v>
      </c>
      <c r="C18" s="6"/>
      <c r="D18" s="18">
        <f>IF(Setup!$B$8="Bank (Closed)",L18,K18)</f>
      </c>
      <c r="E18" s="18">
        <f t="shared" si="0"/>
      </c>
      <c r="F18" s="21">
        <f t="shared" si="1"/>
      </c>
      <c r="G18" t="s">
        <v>289</v>
      </c>
      <c r="H18" t="s">
        <v>291</v>
      </c>
      <c r="K18" s="5">
        <f>SUMIFS('Manual Actuals'!$C$2:$C$861,'Manual Actuals'!$D$2:$D$861,$A18,'Manual Actuals'!$E$2:$E$861,$B18,'Manual Actuals'!$H$2:$H$861,Setup!$B$4,'Manual Actuals'!$G$2:$G$861,"Yes")</f>
      </c>
      <c r="L18" s="5">
        <f>SUMIFS(bk_download!$L$2:$L$1902,bk_download!$H$2:$H$1902,$A18,bk_download!$I$2:$I$1902,$B18,bk_download!$K$2:$K$1902,Setup!$B$4,bk_download!$J$2:$J$1902,"Yes")</f>
      </c>
      <c r="M18" s="5">
        <f t="shared" si="2"/>
      </c>
    </row>
    <row r="19" spans="1:13" x14ac:dyDescent="0.3">
      <c r="A19" t="s" s="7">
        <v>100</v>
      </c>
      <c r="B19" t="s" s="7">
        <v>208</v>
      </c>
      <c r="C19" s="6"/>
      <c r="D19" s="18">
        <f>IF(Setup!$B$8="Bank (Closed)",L19,K19)</f>
      </c>
      <c r="E19" s="18">
        <f t="shared" si="0"/>
      </c>
      <c r="F19" s="21">
        <f t="shared" si="1"/>
      </c>
      <c r="G19" t="s">
        <v>289</v>
      </c>
      <c r="H19" t="s">
        <v>291</v>
      </c>
      <c r="K19" s="5">
        <f>SUMIFS('Manual Actuals'!$C$2:$C$861,'Manual Actuals'!$D$2:$D$861,$A19,'Manual Actuals'!$E$2:$E$861,$B19,'Manual Actuals'!$H$2:$H$861,Setup!$B$4,'Manual Actuals'!$G$2:$G$861,"Yes")</f>
      </c>
      <c r="L19" s="5">
        <f>SUMIFS(bk_download!$L$2:$L$1902,bk_download!$H$2:$H$1902,$A19,bk_download!$I$2:$I$1902,$B19,bk_download!$K$2:$K$1902,Setup!$B$4,bk_download!$J$2:$J$1902,"Yes")</f>
      </c>
      <c r="M19" s="5">
        <f t="shared" si="2"/>
      </c>
    </row>
    <row r="20" spans="1:13" x14ac:dyDescent="0.3">
      <c r="A20" t="s" s="7">
        <v>104</v>
      </c>
      <c r="B20" t="s" s="7">
        <v>147</v>
      </c>
      <c r="C20" s="6">
        <v>800</v>
      </c>
      <c r="D20" s="18">
        <f>IF(Setup!$B$8="Bank (Closed)",L20,K20)</f>
      </c>
      <c r="E20" s="18">
        <f t="shared" si="0"/>
      </c>
      <c r="F20" s="21">
        <f t="shared" si="1"/>
      </c>
      <c r="G20" t="s">
        <v>289</v>
      </c>
      <c r="H20" t="s">
        <v>291</v>
      </c>
      <c r="K20" s="5">
        <f>SUMIFS('Manual Actuals'!$C$2:$C$861,'Manual Actuals'!$D$2:$D$861,$A20,'Manual Actuals'!$E$2:$E$861,$B20,'Manual Actuals'!$H$2:$H$861,Setup!$B$4,'Manual Actuals'!$G$2:$G$861,"Yes")</f>
      </c>
      <c r="L20" s="5">
        <f>SUMIFS(bk_download!$L$2:$L$1902,bk_download!$H$2:$H$1902,$A20,bk_download!$I$2:$I$1902,$B20,bk_download!$K$2:$K$1902,Setup!$B$4,bk_download!$J$2:$J$1902,"Yes")</f>
      </c>
      <c r="M20" s="5">
        <f t="shared" si="2"/>
      </c>
    </row>
    <row r="21" spans="1:13" x14ac:dyDescent="0.3">
      <c r="A21" t="s" s="7">
        <v>104</v>
      </c>
      <c r="B21" t="s" s="7">
        <v>169</v>
      </c>
      <c r="C21" s="6">
        <v>500</v>
      </c>
      <c r="D21" s="18">
        <f>IF(Setup!$B$8="Bank (Closed)",L21,K21)</f>
      </c>
      <c r="E21" s="18">
        <f t="shared" si="0"/>
      </c>
      <c r="F21" s="21">
        <f t="shared" si="1"/>
      </c>
      <c r="G21" t="s">
        <v>289</v>
      </c>
      <c r="H21" t="s">
        <v>291</v>
      </c>
      <c r="K21" s="5">
        <f>SUMIFS('Manual Actuals'!$C$2:$C$861,'Manual Actuals'!$D$2:$D$861,$A21,'Manual Actuals'!$E$2:$E$861,$B21,'Manual Actuals'!$H$2:$H$861,Setup!$B$4,'Manual Actuals'!$G$2:$G$861,"Yes")</f>
      </c>
      <c r="L21" s="5">
        <f>SUMIFS(bk_download!$L$2:$L$1902,bk_download!$H$2:$H$1902,$A21,bk_download!$I$2:$I$1902,$B21,bk_download!$K$2:$K$1902,Setup!$B$4,bk_download!$J$2:$J$1902,"Yes")</f>
      </c>
      <c r="M21" s="5">
        <f t="shared" si="2"/>
      </c>
    </row>
    <row r="22" spans="1:13" x14ac:dyDescent="0.3">
      <c r="A22" t="s" s="7">
        <v>104</v>
      </c>
      <c r="B22" t="s" s="7">
        <v>188</v>
      </c>
      <c r="C22" s="6">
        <v>0</v>
      </c>
      <c r="D22" s="18">
        <f>IF(Setup!$B$8="Bank (Closed)",L22,K22)</f>
      </c>
      <c r="E22" s="18">
        <f t="shared" si="0"/>
      </c>
      <c r="F22" s="21">
        <f t="shared" si="1"/>
      </c>
      <c r="G22" t="s">
        <v>289</v>
      </c>
      <c r="H22" t="s">
        <v>291</v>
      </c>
      <c r="K22" s="5">
        <f>SUMIFS('Manual Actuals'!$C$2:$C$861,'Manual Actuals'!$D$2:$D$861,$A22,'Manual Actuals'!$E$2:$E$861,$B22,'Manual Actuals'!$H$2:$H$861,Setup!$B$4,'Manual Actuals'!$G$2:$G$861,"Yes")</f>
      </c>
      <c r="L22" s="5">
        <f>SUMIFS(bk_download!$L$2:$L$1902,bk_download!$H$2:$H$1902,$A22,bk_download!$I$2:$I$1902,$B22,bk_download!$K$2:$K$1902,Setup!$B$4,bk_download!$J$2:$J$1902,"Yes")</f>
      </c>
      <c r="M22" s="5">
        <f t="shared" si="2"/>
      </c>
    </row>
    <row r="23" spans="1:13" x14ac:dyDescent="0.3">
      <c r="A23" t="s" s="7">
        <v>134</v>
      </c>
      <c r="B23" t="s" s="7">
        <v>148</v>
      </c>
      <c r="C23" s="6">
        <v>0</v>
      </c>
      <c r="D23" s="18">
        <f>IF(Setup!$B$8="Bank (Closed)",L23,K23)</f>
      </c>
      <c r="E23" s="18">
        <f t="shared" si="0"/>
      </c>
      <c r="F23" s="21">
        <f t="shared" si="1"/>
      </c>
      <c r="G23" t="s">
        <v>289</v>
      </c>
      <c r="H23" t="s">
        <v>291</v>
      </c>
      <c r="K23" s="5">
        <f>SUMIFS('Manual Actuals'!$C$2:$C$861,'Manual Actuals'!$D$2:$D$861,$A23,'Manual Actuals'!$E$2:$E$861,$B23,'Manual Actuals'!$H$2:$H$861,Setup!$B$4,'Manual Actuals'!$G$2:$G$861,"Yes")</f>
      </c>
      <c r="L23" s="5">
        <f>SUMIFS(bk_download!$L$2:$L$1902,bk_download!$H$2:$H$1902,$A23,bk_download!$I$2:$I$1902,$B23,bk_download!$K$2:$K$1902,Setup!$B$4,bk_download!$J$2:$J$1902,"Yes")</f>
      </c>
      <c r="M23" s="5">
        <f t="shared" si="2"/>
      </c>
    </row>
    <row r="24" spans="1:13" x14ac:dyDescent="0.3">
      <c r="A24" t="s" s="7">
        <v>134</v>
      </c>
      <c r="B24" t="s" s="7">
        <v>170</v>
      </c>
      <c r="C24" s="6">
        <v>0</v>
      </c>
      <c r="D24" s="18">
        <f>IF(Setup!$B$8="Bank (Closed)",L24,K24)</f>
      </c>
      <c r="E24" s="18">
        <f t="shared" si="0"/>
      </c>
      <c r="F24" s="21">
        <f t="shared" si="1"/>
      </c>
      <c r="G24" t="s">
        <v>289</v>
      </c>
      <c r="H24" t="s">
        <v>291</v>
      </c>
      <c r="K24" s="5">
        <f>SUMIFS('Manual Actuals'!$C$2:$C$861,'Manual Actuals'!$D$2:$D$861,$A24,'Manual Actuals'!$E$2:$E$861,$B24,'Manual Actuals'!$H$2:$H$861,Setup!$B$4,'Manual Actuals'!$G$2:$G$861,"Yes")</f>
      </c>
      <c r="L24" s="5">
        <f>SUMIFS(bk_download!$L$2:$L$1902,bk_download!$H$2:$H$1902,$A24,bk_download!$I$2:$I$1902,$B24,bk_download!$K$2:$K$1902,Setup!$B$4,bk_download!$J$2:$J$1902,"Yes")</f>
      </c>
      <c r="M24" s="5">
        <f t="shared" si="2"/>
      </c>
    </row>
    <row r="25" spans="1:13" x14ac:dyDescent="0.3">
      <c r="A25" t="s" s="7">
        <v>135</v>
      </c>
      <c r="B25" t="s" s="7">
        <v>149</v>
      </c>
      <c r="C25" s="6">
        <v>0</v>
      </c>
      <c r="D25" s="18">
        <f>IF(Setup!$B$8="Bank (Closed)",L25,K25)</f>
      </c>
      <c r="E25" s="18">
        <f t="shared" si="0"/>
      </c>
      <c r="F25" s="21">
        <f t="shared" si="1"/>
      </c>
      <c r="G25" t="s">
        <v>289</v>
      </c>
      <c r="H25" t="s">
        <v>291</v>
      </c>
      <c r="J25" t="s">
        <v>296</v>
      </c>
      <c r="K25" s="5">
        <f>SUMIFS('Manual Actuals'!$C$2:$C$861,'Manual Actuals'!$D$2:$D$861,$A25,'Manual Actuals'!$E$2:$E$861,$B25,'Manual Actuals'!$H$2:$H$861,Setup!$B$4,'Manual Actuals'!$G$2:$G$861,"Yes")</f>
      </c>
      <c r="L25" s="5">
        <f>SUMIFS(bk_download!$L$2:$L$1902,bk_download!$H$2:$H$1902,$A25,bk_download!$I$2:$I$1902,$B25,bk_download!$K$2:$K$1902,Setup!$B$4,bk_download!$J$2:$J$1902,"Yes")</f>
      </c>
      <c r="M25" s="5">
        <f t="shared" si="2"/>
      </c>
    </row>
    <row r="26" spans="1:13" x14ac:dyDescent="0.3">
      <c r="A26" t="s" s="7">
        <v>135</v>
      </c>
      <c r="B26" t="s" s="7">
        <v>171</v>
      </c>
      <c r="C26" s="6">
        <v>0</v>
      </c>
      <c r="D26" s="18">
        <f>IF(Setup!$B$8="Bank (Closed)",L26,K26)</f>
      </c>
      <c r="E26" s="18">
        <f t="shared" si="0"/>
      </c>
      <c r="F26" s="21">
        <f t="shared" si="1"/>
      </c>
      <c r="G26" t="s">
        <v>289</v>
      </c>
      <c r="H26" t="s">
        <v>291</v>
      </c>
      <c r="J26" t="s">
        <v>296</v>
      </c>
      <c r="K26" s="5">
        <f>SUMIFS('Manual Actuals'!$C$2:$C$861,'Manual Actuals'!$D$2:$D$861,$A26,'Manual Actuals'!$E$2:$E$861,$B26,'Manual Actuals'!$H$2:$H$861,Setup!$B$4,'Manual Actuals'!$G$2:$G$861,"Yes")</f>
      </c>
      <c r="L26" s="5">
        <f>SUMIFS(bk_download!$L$2:$L$1902,bk_download!$H$2:$H$1902,$A26,bk_download!$I$2:$I$1902,$B26,bk_download!$K$2:$K$1902,Setup!$B$4,bk_download!$J$2:$J$1902,"Yes")</f>
      </c>
      <c r="M26" s="5">
        <f t="shared" si="2"/>
      </c>
    </row>
    <row r="27" spans="1:13" x14ac:dyDescent="0.3">
      <c r="A27" t="s" s="7">
        <v>135</v>
      </c>
      <c r="B27" t="s" s="7">
        <v>189</v>
      </c>
      <c r="C27" s="6">
        <f>40.76+12.31</f>
      </c>
      <c r="D27" s="18">
        <f>IF(Setup!$B$8="Bank (Closed)",L27,K27)</f>
      </c>
      <c r="E27" s="18">
        <f t="shared" si="0"/>
      </c>
      <c r="F27" s="21">
        <f t="shared" si="1"/>
      </c>
      <c r="G27" t="s">
        <v>289</v>
      </c>
      <c r="H27" t="s">
        <v>290</v>
      </c>
      <c r="J27" t="s">
        <v>297</v>
      </c>
      <c r="K27" s="5">
        <f>SUMIFS('Manual Actuals'!$C$2:$C$861,'Manual Actuals'!$D$2:$D$861,$A27,'Manual Actuals'!$E$2:$E$861,$B27,'Manual Actuals'!$H$2:$H$861,Setup!$B$4,'Manual Actuals'!$G$2:$G$861,"Yes")</f>
      </c>
      <c r="L27" s="5">
        <f>SUMIFS(bk_download!$L$2:$L$1902,bk_download!$H$2:$H$1902,$A27,bk_download!$I$2:$I$1902,$B27,bk_download!$K$2:$K$1902,Setup!$B$4,bk_download!$J$2:$J$1902,"Yes")</f>
      </c>
      <c r="M27" s="5">
        <f t="shared" si="2"/>
      </c>
    </row>
    <row r="28" spans="1:13" x14ac:dyDescent="0.3">
      <c r="A28" t="s" s="7">
        <v>136</v>
      </c>
      <c r="B28" t="s" s="7">
        <v>150</v>
      </c>
      <c r="C28" s="6">
        <v>0</v>
      </c>
      <c r="D28" s="18">
        <f>IF(Setup!$B$8="Bank (Closed)",L28,K28)</f>
      </c>
      <c r="E28" s="18">
        <f t="shared" si="0"/>
      </c>
      <c r="F28" s="21">
        <f t="shared" si="1"/>
      </c>
      <c r="G28" t="s">
        <v>289</v>
      </c>
      <c r="H28" t="s">
        <v>291</v>
      </c>
      <c r="K28" s="5">
        <f>SUMIFS('Manual Actuals'!$C$2:$C$861,'Manual Actuals'!$D$2:$D$861,$A28,'Manual Actuals'!$E$2:$E$861,$B28,'Manual Actuals'!$H$2:$H$861,Setup!$B$4,'Manual Actuals'!$G$2:$G$861,"Yes")</f>
      </c>
      <c r="L28" s="5">
        <f>SUMIFS(bk_download!$L$2:$L$1902,bk_download!$H$2:$H$1902,$A28,bk_download!$I$2:$I$1902,$B28,bk_download!$K$2:$K$1902,Setup!$B$4,bk_download!$J$2:$J$1902,"Yes")</f>
      </c>
      <c r="M28" s="5">
        <f t="shared" si="2"/>
      </c>
    </row>
    <row r="29" spans="1:13" x14ac:dyDescent="0.3">
      <c r="A29" t="s" s="7">
        <v>136</v>
      </c>
      <c r="B29" t="s" s="7">
        <v>172</v>
      </c>
      <c r="C29" s="6">
        <v>0</v>
      </c>
      <c r="D29" s="18">
        <f>IF(Setup!$B$8="Bank (Closed)",L29,K29)</f>
      </c>
      <c r="E29" s="18">
        <f t="shared" si="0"/>
      </c>
      <c r="F29" s="21">
        <f t="shared" si="1"/>
      </c>
      <c r="G29" t="s">
        <v>289</v>
      </c>
      <c r="H29" t="s">
        <v>291</v>
      </c>
      <c r="K29" s="5">
        <f>SUMIFS('Manual Actuals'!$C$2:$C$861,'Manual Actuals'!$D$2:$D$861,$A29,'Manual Actuals'!$E$2:$E$861,$B29,'Manual Actuals'!$H$2:$H$861,Setup!$B$4,'Manual Actuals'!$G$2:$G$861,"Yes")</f>
      </c>
      <c r="L29" s="5">
        <f>SUMIFS(bk_download!$L$2:$L$1902,bk_download!$H$2:$H$1902,$A29,bk_download!$I$2:$I$1902,$B29,bk_download!$K$2:$K$1902,Setup!$B$4,bk_download!$J$2:$J$1902,"Yes")</f>
      </c>
      <c r="M29" s="5">
        <f t="shared" si="2"/>
      </c>
    </row>
    <row r="30" spans="1:13" x14ac:dyDescent="0.3">
      <c r="A30" t="s" s="7">
        <v>137</v>
      </c>
      <c r="B30" t="s" s="7">
        <v>137</v>
      </c>
      <c r="C30" s="6">
        <v>120</v>
      </c>
      <c r="D30" s="18">
        <f>IF(Setup!$B$8="Bank (Closed)",L30,K30)</f>
      </c>
      <c r="E30" s="18">
        <f t="shared" si="0"/>
      </c>
      <c r="F30" s="21">
        <f t="shared" si="1"/>
      </c>
      <c r="G30" t="s">
        <v>289</v>
      </c>
      <c r="H30" t="s">
        <v>291</v>
      </c>
      <c r="J30" t="s">
        <v>295</v>
      </c>
      <c r="K30" s="5">
        <f>SUMIFS('Manual Actuals'!$C$2:$C$861,'Manual Actuals'!$D$2:$D$861,$A30,'Manual Actuals'!$E$2:$E$861,$B30,'Manual Actuals'!$H$2:$H$861,Setup!$B$4,'Manual Actuals'!$G$2:$G$861,"Yes")</f>
      </c>
      <c r="L30" s="5">
        <f>SUMIFS(bk_download!$L$2:$L$1902,bk_download!$H$2:$H$1902,$A30,bk_download!$I$2:$I$1902,$B30,bk_download!$K$2:$K$1902,Setup!$B$4,bk_download!$J$2:$J$1902,"Yes")</f>
      </c>
      <c r="M30" s="5">
        <f t="shared" si="2"/>
      </c>
    </row>
    <row r="31" spans="1:13" x14ac:dyDescent="0.3">
      <c r="A31" t="s" s="7">
        <v>137</v>
      </c>
      <c r="B31" t="s" s="7">
        <v>173</v>
      </c>
      <c r="C31" s="6">
        <v>0</v>
      </c>
      <c r="D31" s="18">
        <f>IF(Setup!$B$8="Bank (Closed)",L31,K31)</f>
      </c>
      <c r="E31" s="18">
        <f t="shared" si="0"/>
      </c>
      <c r="F31" s="21">
        <f t="shared" si="1"/>
      </c>
      <c r="G31" t="s">
        <v>289</v>
      </c>
      <c r="H31" t="s">
        <v>291</v>
      </c>
      <c r="K31" s="5">
        <f>SUMIFS('Manual Actuals'!$C$2:$C$861,'Manual Actuals'!$D$2:$D$861,$A31,'Manual Actuals'!$E$2:$E$861,$B31,'Manual Actuals'!$H$2:$H$861,Setup!$B$4,'Manual Actuals'!$G$2:$G$861,"Yes")</f>
      </c>
      <c r="L31" s="5">
        <f>SUMIFS(bk_download!$L$2:$L$1902,bk_download!$H$2:$H$1902,$A31,bk_download!$I$2:$I$1902,$B31,bk_download!$K$2:$K$1902,Setup!$B$4,bk_download!$J$2:$J$1902,"Yes")</f>
      </c>
      <c r="M31" s="5">
        <f t="shared" si="2"/>
      </c>
    </row>
    <row r="32" spans="1:13" x14ac:dyDescent="0.3">
      <c r="A32" t="s" s="7">
        <v>137</v>
      </c>
      <c r="B32" t="s" s="7">
        <v>190</v>
      </c>
      <c r="C32" s="6">
        <v>350</v>
      </c>
      <c r="D32" s="18">
        <f>IF(Setup!$B$8="Bank (Closed)",L32,K32)</f>
      </c>
      <c r="E32" s="18">
        <f t="shared" si="0"/>
      </c>
      <c r="F32" s="21">
        <f t="shared" si="1"/>
      </c>
      <c r="G32" t="s">
        <v>289</v>
      </c>
      <c r="H32" t="s">
        <v>291</v>
      </c>
      <c r="J32" t="s">
        <v>295</v>
      </c>
      <c r="K32" s="5">
        <f>SUMIFS('Manual Actuals'!$C$2:$C$861,'Manual Actuals'!$D$2:$D$861,$A32,'Manual Actuals'!$E$2:$E$861,$B32,'Manual Actuals'!$H$2:$H$861,Setup!$B$4,'Manual Actuals'!$G$2:$G$861,"Yes")</f>
      </c>
      <c r="L32" s="5">
        <f>SUMIFS(bk_download!$L$2:$L$1902,bk_download!$H$2:$H$1902,$A32,bk_download!$I$2:$I$1902,$B32,bk_download!$K$2:$K$1902,Setup!$B$4,bk_download!$J$2:$J$1902,"Yes")</f>
      </c>
      <c r="M32" s="5">
        <f t="shared" si="2"/>
      </c>
    </row>
    <row r="33" spans="1:13" x14ac:dyDescent="0.3">
      <c r="A33" t="s" s="7">
        <v>113</v>
      </c>
      <c r="B33" t="s" s="7">
        <v>113</v>
      </c>
      <c r="C33" s="6">
        <v>400</v>
      </c>
      <c r="D33" s="18">
        <f>IF(Setup!$B$8="Bank (Closed)",L33,K33)</f>
      </c>
      <c r="E33" s="18">
        <f t="shared" si="0"/>
      </c>
      <c r="F33" s="21">
        <f t="shared" si="1"/>
      </c>
      <c r="G33" t="s">
        <v>289</v>
      </c>
      <c r="H33" t="s">
        <v>291</v>
      </c>
      <c r="K33" s="5">
        <f>SUMIFS('Manual Actuals'!$C$2:$C$861,'Manual Actuals'!$D$2:$D$861,$A33,'Manual Actuals'!$E$2:$E$861,$B33,'Manual Actuals'!$H$2:$H$861,Setup!$B$4,'Manual Actuals'!$G$2:$G$861,"Yes")</f>
      </c>
      <c r="L33" s="5">
        <f>SUMIFS(bk_download!$L$2:$L$1902,bk_download!$H$2:$H$1902,$A33,bk_download!$I$2:$I$1902,$B33,bk_download!$K$2:$K$1902,Setup!$B$4,bk_download!$J$2:$J$1902,"Yes")</f>
      </c>
      <c r="M33" s="5">
        <f t="shared" si="2"/>
      </c>
    </row>
    <row r="34" spans="1:13" x14ac:dyDescent="0.3">
      <c r="A34" t="s" s="7">
        <v>113</v>
      </c>
      <c r="B34" t="s" s="7">
        <v>174</v>
      </c>
      <c r="C34" s="6">
        <v>300</v>
      </c>
      <c r="D34" s="18">
        <f>IF(Setup!$B$8="Bank (Closed)",L34,K34)</f>
      </c>
      <c r="E34" s="18">
        <f t="shared" si="0"/>
      </c>
      <c r="F34" s="21">
        <f t="shared" si="1"/>
      </c>
      <c r="G34" t="s">
        <v>289</v>
      </c>
      <c r="H34" t="s">
        <v>291</v>
      </c>
      <c r="K34" s="5">
        <f>SUMIFS('Manual Actuals'!$C$2:$C$861,'Manual Actuals'!$D$2:$D$861,$A34,'Manual Actuals'!$E$2:$E$861,$B34,'Manual Actuals'!$H$2:$H$861,Setup!$B$4,'Manual Actuals'!$G$2:$G$861,"Yes")</f>
      </c>
      <c r="L34" s="5">
        <f>SUMIFS(bk_download!$L$2:$L$1902,bk_download!$H$2:$H$1902,$A34,bk_download!$I$2:$I$1902,$B34,bk_download!$K$2:$K$1902,Setup!$B$4,bk_download!$J$2:$J$1902,"Yes")</f>
      </c>
      <c r="M34" s="5">
        <f t="shared" si="2"/>
      </c>
    </row>
    <row r="35" spans="1:13" x14ac:dyDescent="0.3">
      <c r="A35" t="s" s="7">
        <v>113</v>
      </c>
      <c r="B35" t="s" s="7">
        <v>114</v>
      </c>
      <c r="C35" s="6">
        <v>300</v>
      </c>
      <c r="D35" s="18">
        <f>IF(Setup!$B$8="Bank (Closed)",L35,K35)</f>
      </c>
      <c r="E35" s="18">
        <f t="shared" si="0"/>
      </c>
      <c r="F35" s="21">
        <f t="shared" si="1"/>
      </c>
      <c r="G35" t="s">
        <v>289</v>
      </c>
      <c r="H35" t="s">
        <v>291</v>
      </c>
      <c r="K35" s="5">
        <f>SUMIFS('Manual Actuals'!$C$2:$C$861,'Manual Actuals'!$D$2:$D$861,$A35,'Manual Actuals'!$E$2:$E$861,$B35,'Manual Actuals'!$H$2:$H$861,Setup!$B$4,'Manual Actuals'!$G$2:$G$861,"Yes")</f>
      </c>
      <c r="L35" s="5">
        <f>SUMIFS(bk_download!$L$2:$L$1902,bk_download!$H$2:$H$1902,$A35,bk_download!$I$2:$I$1902,$B35,bk_download!$K$2:$K$1902,Setup!$B$4,bk_download!$J$2:$J$1902,"Yes")</f>
      </c>
      <c r="M35" s="5">
        <f t="shared" si="2"/>
      </c>
    </row>
    <row r="36" spans="1:13" x14ac:dyDescent="0.3">
      <c r="A36" t="s" s="7">
        <v>114</v>
      </c>
      <c r="B36" t="s" s="7">
        <v>151</v>
      </c>
      <c r="C36" s="6">
        <v>400</v>
      </c>
      <c r="D36" s="18">
        <f>IF(Setup!$B$8="Bank (Closed)",L36,K36)</f>
      </c>
      <c r="E36" s="18">
        <f>C36-D36</f>
      </c>
      <c r="F36" s="21">
        <f>IF(C36=0,IF(D36=0,0,-1),(C36-D36)/C36)</f>
      </c>
      <c r="G36" t="s">
        <v>289</v>
      </c>
      <c r="H36" t="s">
        <v>290</v>
      </c>
      <c r="K36" s="5">
        <f>SUMIFS('Manual Actuals'!$C$2:$C$861,'Manual Actuals'!$D$2:$D$861,$A36,'Manual Actuals'!$E$2:$E$861,$B36,'Manual Actuals'!$H$2:$H$861,Setup!$B$4,'Manual Actuals'!$G$2:$G$861,"Yes")</f>
      </c>
      <c r="L36" s="5">
        <f>SUMIFS(bk_download!$L$2:$L$1902,bk_download!$H$2:$H$1902,$A36,bk_download!$I$2:$I$1902,$B36,bk_download!$K$2:$K$1902,Setup!$B$4,bk_download!$J$2:$J$1902,"Yes")</f>
      </c>
      <c r="M36" s="5">
        <f>K36-L36</f>
      </c>
    </row>
    <row r="37" spans="1:13" x14ac:dyDescent="0.3">
      <c r="A37" t="s" s="7">
        <v>114</v>
      </c>
      <c r="B37" t="s" s="7">
        <v>175</v>
      </c>
      <c r="C37" s="6">
        <v>200</v>
      </c>
      <c r="D37" s="18">
        <f>IF(Setup!$B$8="Bank (Closed)",L37,K37)</f>
      </c>
      <c r="E37" s="18">
        <f>C37-D37</f>
      </c>
      <c r="F37" s="21">
        <f>IF(C37=0,IF(D37=0,0,-1),(C37-D37)/C37)</f>
      </c>
      <c r="G37" t="s">
        <v>289</v>
      </c>
      <c r="H37" t="s">
        <v>290</v>
      </c>
      <c r="K37" s="5">
        <f>SUMIFS('Manual Actuals'!$C$2:$C$861,'Manual Actuals'!$D$2:$D$861,$A37,'Manual Actuals'!$E$2:$E$861,$B37,'Manual Actuals'!$H$2:$H$861,Setup!$B$4,'Manual Actuals'!$G$2:$G$861,"Yes")</f>
      </c>
      <c r="L37" s="5">
        <f>SUMIFS(bk_download!$L$2:$L$1902,bk_download!$H$2:$H$1902,$A37,bk_download!$I$2:$I$1902,$B37,bk_download!$K$2:$K$1902,Setup!$B$4,bk_download!$J$2:$J$1902,"Yes")</f>
      </c>
      <c r="M37" s="5">
        <f>K37-L37</f>
      </c>
    </row>
    <row r="38" spans="1:13" x14ac:dyDescent="0.3">
      <c r="A38" t="s" s="7">
        <v>114</v>
      </c>
      <c r="B38" t="s" s="7">
        <v>191</v>
      </c>
      <c r="C38" s="6">
        <v>500</v>
      </c>
      <c r="D38" s="18">
        <f>IF(Setup!$B$8="Bank (Closed)",L38,K38)</f>
      </c>
      <c r="E38" s="18">
        <f>C38-D38</f>
      </c>
      <c r="F38" s="21">
        <f>IF(C38=0,IF(D38=0,0,-1),(C38-D38)/C38)</f>
      </c>
      <c r="G38" t="s">
        <v>289</v>
      </c>
      <c r="H38" t="s">
        <v>290</v>
      </c>
      <c r="K38" s="5">
        <f>SUMIFS('Manual Actuals'!$C$2:$C$861,'Manual Actuals'!$D$2:$D$861,$A38,'Manual Actuals'!$E$2:$E$861,$B38,'Manual Actuals'!$H$2:$H$861,Setup!$B$4,'Manual Actuals'!$G$2:$G$861,"Yes")</f>
      </c>
      <c r="L38" s="5">
        <f>SUMIFS(bk_download!$L$2:$L$1902,bk_download!$H$2:$H$1902,$A38,bk_download!$I$2:$I$1902,$B38,bk_download!$K$2:$K$1902,Setup!$B$4,bk_download!$J$2:$J$1902,"Yes")</f>
      </c>
      <c r="M38" s="5">
        <f>K38-L38</f>
      </c>
    </row>
    <row r="39" spans="1:13" x14ac:dyDescent="0.3">
      <c r="A39" t="s" s="7">
        <v>114</v>
      </c>
      <c r="B39" t="s" s="7">
        <v>200</v>
      </c>
      <c r="C39" s="6">
        <v>500</v>
      </c>
      <c r="D39" s="18">
        <f>IF(Setup!$B$8="Bank (Closed)",L39,K39)</f>
      </c>
      <c r="E39" s="18">
        <f>C39-D39</f>
      </c>
      <c r="F39" s="21">
        <f>IF(C39=0,IF(D39=0,0,-1),(C39-D39)/C39)</f>
      </c>
      <c r="G39" t="s">
        <v>289</v>
      </c>
      <c r="H39" t="s">
        <v>290</v>
      </c>
      <c r="K39" s="5">
        <f>SUMIFS('Manual Actuals'!$C$2:$C$861,'Manual Actuals'!$D$2:$D$861,$A39,'Manual Actuals'!$E$2:$E$861,$B39,'Manual Actuals'!$H$2:$H$861,Setup!$B$4,'Manual Actuals'!$G$2:$G$861,"Yes")</f>
      </c>
      <c r="L39" s="5">
        <f>SUMIFS(bk_download!$L$2:$L$1902,bk_download!$H$2:$H$1902,$A39,bk_download!$I$2:$I$1902,$B39,bk_download!$K$2:$K$1902,Setup!$B$4,bk_download!$J$2:$J$1902,"Yes")</f>
      </c>
      <c r="M39" s="5">
        <f>K39-L39</f>
      </c>
    </row>
    <row r="40" spans="1:13" x14ac:dyDescent="0.3">
      <c r="A40" t="s" s="7">
        <v>138</v>
      </c>
      <c r="B40" t="s" s="7">
        <v>152</v>
      </c>
      <c r="C40" s="6">
        <v>0</v>
      </c>
      <c r="D40" s="18">
        <f>IF(Setup!$B$8="Bank (Closed)",L40,K40)</f>
      </c>
      <c r="E40" s="18">
        <f t="shared" si="0"/>
      </c>
      <c r="F40" s="21">
        <f t="shared" si="1"/>
      </c>
      <c r="G40" t="s">
        <v>289</v>
      </c>
      <c r="H40" t="s">
        <v>291</v>
      </c>
      <c r="K40" s="5">
        <f>SUMIFS('Manual Actuals'!$C$2:$C$861,'Manual Actuals'!$D$2:$D$861,$A40,'Manual Actuals'!$E$2:$E$861,$B40,'Manual Actuals'!$H$2:$H$861,Setup!$B$4,'Manual Actuals'!$G$2:$G$861,"Yes")</f>
      </c>
      <c r="L40" s="5">
        <f>SUMIFS(bk_download!$L$2:$L$1902,bk_download!$H$2:$H$1902,$A40,bk_download!$I$2:$I$1902,$B40,bk_download!$K$2:$K$1902,Setup!$B$4,bk_download!$J$2:$J$1902,"Yes")</f>
      </c>
      <c r="M40" s="5">
        <f t="shared" ref="M40:M57" si="3">K40-L40</f>
      </c>
    </row>
    <row r="41" spans="1:13" x14ac:dyDescent="0.3">
      <c r="A41" t="s" s="7">
        <v>138</v>
      </c>
      <c r="B41" t="s" s="7">
        <v>176</v>
      </c>
      <c r="C41" s="6">
        <v>0</v>
      </c>
      <c r="D41" s="18">
        <f>IF(Setup!$B$8="Bank (Closed)",L41,K41)</f>
      </c>
      <c r="E41" s="18">
        <f t="shared" si="0"/>
      </c>
      <c r="F41" s="21">
        <f t="shared" si="1"/>
      </c>
      <c r="G41" t="s">
        <v>289</v>
      </c>
      <c r="H41" t="s">
        <v>291</v>
      </c>
      <c r="K41" s="5">
        <f>SUMIFS('Manual Actuals'!$C$2:$C$861,'Manual Actuals'!$D$2:$D$861,$A41,'Manual Actuals'!$E$2:$E$861,$B41,'Manual Actuals'!$H$2:$H$861,Setup!$B$4,'Manual Actuals'!$G$2:$G$861,"Yes")</f>
      </c>
      <c r="L41" s="5">
        <f>SUMIFS(bk_download!$L$2:$L$1902,bk_download!$H$2:$H$1902,$A41,bk_download!$I$2:$I$1902,$B41,bk_download!$K$2:$K$1902,Setup!$B$4,bk_download!$J$2:$J$1902,"Yes")</f>
      </c>
      <c r="M41" s="5">
        <f t="shared" si="3"/>
      </c>
    </row>
    <row r="42" spans="1:13" x14ac:dyDescent="0.3">
      <c r="A42" t="s" s="7">
        <v>139</v>
      </c>
      <c r="B42" t="s" s="7">
        <v>153</v>
      </c>
      <c r="C42" s="6">
        <v>200</v>
      </c>
      <c r="D42" s="18">
        <f>IF(Setup!$B$8="Bank (Closed)",L42,K42)</f>
      </c>
      <c r="E42" s="18">
        <f t="shared" si="0"/>
      </c>
      <c r="F42" s="21">
        <f t="shared" si="1"/>
      </c>
      <c r="G42" t="s">
        <v>289</v>
      </c>
      <c r="H42" t="s">
        <v>291</v>
      </c>
      <c r="K42" s="5">
        <f>SUMIFS('Manual Actuals'!$C$2:$C$861,'Manual Actuals'!$D$2:$D$861,$A42,'Manual Actuals'!$E$2:$E$861,$B42,'Manual Actuals'!$H$2:$H$861,Setup!$B$4,'Manual Actuals'!$G$2:$G$861,"Yes")</f>
      </c>
      <c r="L42" s="5">
        <f>SUMIFS(bk_download!$L$2:$L$1902,bk_download!$H$2:$H$1902,$A42,bk_download!$I$2:$I$1902,$B42,bk_download!$K$2:$K$1902,Setup!$B$4,bk_download!$J$2:$J$1902,"Yes")</f>
      </c>
      <c r="M42" s="5">
        <f t="shared" si="3"/>
      </c>
    </row>
    <row r="43" spans="1:13" x14ac:dyDescent="0.3">
      <c r="A43" t="s" s="7">
        <v>108</v>
      </c>
      <c r="B43" t="s" s="7">
        <v>154</v>
      </c>
      <c r="C43" s="6">
        <f>191.61+235.06+193.22</f>
      </c>
      <c r="D43" s="18">
        <f>IF(Setup!$B$8="Bank (Closed)",L43,K43)</f>
      </c>
      <c r="E43" s="18">
        <f t="shared" si="0"/>
      </c>
      <c r="F43" s="21">
        <f t="shared" si="1"/>
      </c>
      <c r="G43" t="s">
        <v>289</v>
      </c>
      <c r="H43" t="s">
        <v>290</v>
      </c>
      <c r="J43" t="s">
        <v>298</v>
      </c>
      <c r="K43" s="5">
        <f>SUMIFS('Manual Actuals'!$C$2:$C$861,'Manual Actuals'!$D$2:$D$861,$A43,'Manual Actuals'!$E$2:$E$861,$B43,'Manual Actuals'!$H$2:$H$861,Setup!$B$4,'Manual Actuals'!$G$2:$G$861,"Yes")</f>
      </c>
      <c r="L43" s="5">
        <f>SUMIFS(bk_download!$L$2:$L$1902,bk_download!$H$2:$H$1902,$A43,bk_download!$I$2:$I$1902,$B43,bk_download!$K$2:$K$1902,Setup!$B$4,bk_download!$J$2:$J$1902,"Yes")</f>
      </c>
      <c r="M43" s="5">
        <f t="shared" si="3"/>
      </c>
    </row>
    <row r="44" spans="1:13" x14ac:dyDescent="0.3">
      <c r="A44" t="s" s="7">
        <v>108</v>
      </c>
      <c r="B44" t="s" s="7">
        <v>177</v>
      </c>
      <c r="C44" s="6">
        <v>0</v>
      </c>
      <c r="D44" s="18">
        <f>IF(Setup!$B$8="Bank (Closed)",L44,K44)</f>
      </c>
      <c r="E44" s="18">
        <f t="shared" si="0"/>
      </c>
      <c r="F44" s="21">
        <f t="shared" si="1"/>
      </c>
      <c r="G44" t="s">
        <v>289</v>
      </c>
      <c r="H44" t="s">
        <v>291</v>
      </c>
      <c r="K44" s="5">
        <f>SUMIFS('Manual Actuals'!$C$2:$C$861,'Manual Actuals'!$D$2:$D$861,$A44,'Manual Actuals'!$E$2:$E$861,$B44,'Manual Actuals'!$H$2:$H$861,Setup!$B$4,'Manual Actuals'!$G$2:$G$861,"Yes")</f>
      </c>
      <c r="L44" s="5">
        <f>SUMIFS(bk_download!$L$2:$L$1902,bk_download!$H$2:$H$1902,$A44,bk_download!$I$2:$I$1902,$B44,bk_download!$K$2:$K$1902,Setup!$B$4,bk_download!$J$2:$J$1902,"Yes")</f>
      </c>
      <c r="M44" s="5">
        <f t="shared" si="3"/>
      </c>
    </row>
    <row r="45" spans="1:13" x14ac:dyDescent="0.3">
      <c r="A45" t="s" s="7">
        <v>108</v>
      </c>
      <c r="B45" t="s" s="7">
        <v>192</v>
      </c>
      <c r="C45" s="6">
        <v>0</v>
      </c>
      <c r="D45" s="18">
        <f>IF(Setup!$B$8="Bank (Closed)",L45,K45)</f>
      </c>
      <c r="E45" s="18">
        <f t="shared" si="0"/>
      </c>
      <c r="F45" s="21">
        <f t="shared" si="1"/>
      </c>
      <c r="G45" t="s">
        <v>289</v>
      </c>
      <c r="H45" t="s">
        <v>291</v>
      </c>
      <c r="K45" s="5">
        <f>SUMIFS('Manual Actuals'!$C$2:$C$861,'Manual Actuals'!$D$2:$D$861,$A45,'Manual Actuals'!$E$2:$E$861,$B45,'Manual Actuals'!$H$2:$H$861,Setup!$B$4,'Manual Actuals'!$G$2:$G$861,"Yes")</f>
      </c>
      <c r="L45" s="5">
        <f>SUMIFS(bk_download!$L$2:$L$1902,bk_download!$H$2:$H$1902,$A45,bk_download!$I$2:$I$1902,$B45,bk_download!$K$2:$K$1902,Setup!$B$4,bk_download!$J$2:$J$1902,"Yes")</f>
      </c>
      <c r="M45" s="5">
        <f t="shared" si="3"/>
      </c>
    </row>
    <row r="46" spans="1:13" x14ac:dyDescent="0.3">
      <c r="A46" t="s" s="7">
        <v>112</v>
      </c>
      <c r="B46" t="s" s="7">
        <v>155</v>
      </c>
      <c r="C46" s="6">
        <v>50</v>
      </c>
      <c r="D46" s="18">
        <f>IF(Setup!$B$8="Bank (Closed)",L46,K46)</f>
      </c>
      <c r="E46" s="18">
        <f t="shared" si="0"/>
      </c>
      <c r="F46" s="21">
        <f t="shared" si="1"/>
      </c>
      <c r="G46" t="s">
        <v>289</v>
      </c>
      <c r="H46" t="s">
        <v>291</v>
      </c>
      <c r="K46" s="5">
        <f>SUMIFS('Manual Actuals'!$C$2:$C$861,'Manual Actuals'!$D$2:$D$861,$A46,'Manual Actuals'!$E$2:$E$861,$B46,'Manual Actuals'!$H$2:$H$861,Setup!$B$4,'Manual Actuals'!$G$2:$G$861,"Yes")</f>
      </c>
      <c r="L46" s="5">
        <f>SUMIFS(bk_download!$L$2:$L$1902,bk_download!$H$2:$H$1902,$A46,bk_download!$I$2:$I$1902,$B46,bk_download!$K$2:$K$1902,Setup!$B$4,bk_download!$J$2:$J$1902,"Yes")</f>
      </c>
      <c r="M46" s="5">
        <f t="shared" si="3"/>
      </c>
    </row>
    <row r="47" spans="1:13" x14ac:dyDescent="0.3">
      <c r="A47" t="s" s="7">
        <v>112</v>
      </c>
      <c r="B47" t="s" s="7">
        <v>178</v>
      </c>
      <c r="C47" s="6">
        <v>20</v>
      </c>
      <c r="D47" s="18">
        <f>IF(Setup!$B$8="Bank (Closed)",L47,K47)</f>
      </c>
      <c r="E47" s="18">
        <f t="shared" si="0"/>
      </c>
      <c r="F47" s="21">
        <f t="shared" si="1"/>
      </c>
      <c r="G47" t="s">
        <v>289</v>
      </c>
      <c r="H47" t="s">
        <v>291</v>
      </c>
      <c r="K47" s="5">
        <f>SUMIFS('Manual Actuals'!$C$2:$C$861,'Manual Actuals'!$D$2:$D$861,$A47,'Manual Actuals'!$E$2:$E$861,$B47,'Manual Actuals'!$H$2:$H$861,Setup!$B$4,'Manual Actuals'!$G$2:$G$861,"Yes")</f>
      </c>
      <c r="L47" s="5">
        <f>SUMIFS(bk_download!$L$2:$L$1902,bk_download!$H$2:$H$1902,$A47,bk_download!$I$2:$I$1902,$B47,bk_download!$K$2:$K$1902,Setup!$B$4,bk_download!$J$2:$J$1902,"Yes")</f>
      </c>
      <c r="M47" s="5">
        <f t="shared" si="3"/>
      </c>
    </row>
    <row r="48" spans="1:13" x14ac:dyDescent="0.3">
      <c r="A48" t="s" s="7">
        <v>112</v>
      </c>
      <c r="B48" t="s" s="7">
        <v>193</v>
      </c>
      <c r="C48" s="6">
        <v>20</v>
      </c>
      <c r="D48" s="18">
        <f>IF(Setup!$B$8="Bank (Closed)",L48,K48)</f>
      </c>
      <c r="E48" s="18">
        <f t="shared" si="0"/>
      </c>
      <c r="F48" s="21">
        <f t="shared" si="1"/>
      </c>
      <c r="G48" t="s">
        <v>289</v>
      </c>
      <c r="H48" t="s">
        <v>291</v>
      </c>
      <c r="K48" s="5">
        <f>SUMIFS('Manual Actuals'!$C$2:$C$861,'Manual Actuals'!$D$2:$D$861,$A48,'Manual Actuals'!$E$2:$E$861,$B48,'Manual Actuals'!$H$2:$H$861,Setup!$B$4,'Manual Actuals'!$G$2:$G$861,"Yes")</f>
      </c>
      <c r="L48" s="5">
        <f>SUMIFS(bk_download!$L$2:$L$1902,bk_download!$H$2:$H$1902,$A48,bk_download!$I$2:$I$1902,$B48,bk_download!$K$2:$K$1902,Setup!$B$4,bk_download!$J$2:$J$1902,"Yes")</f>
      </c>
      <c r="M48" s="5">
        <f t="shared" si="3"/>
      </c>
    </row>
    <row r="49" spans="1:13" x14ac:dyDescent="0.3">
      <c r="A49" t="s" s="7">
        <v>112</v>
      </c>
      <c r="B49" t="s" s="7">
        <v>201</v>
      </c>
      <c r="C49" s="6">
        <v>0</v>
      </c>
      <c r="D49" s="18">
        <f>IF(Setup!$B$8="Bank (Closed)",L49,K49)</f>
      </c>
      <c r="E49" s="18">
        <f t="shared" si="0"/>
      </c>
      <c r="F49" s="21">
        <f t="shared" si="1"/>
      </c>
      <c r="G49" t="s">
        <v>289</v>
      </c>
      <c r="H49" t="s">
        <v>291</v>
      </c>
      <c r="K49" s="5">
        <f>SUMIFS('Manual Actuals'!$C$2:$C$861,'Manual Actuals'!$D$2:$D$861,$A49,'Manual Actuals'!$E$2:$E$861,$B49,'Manual Actuals'!$H$2:$H$861,Setup!$B$4,'Manual Actuals'!$G$2:$G$861,"Yes")</f>
      </c>
      <c r="L49" s="5">
        <f>SUMIFS(bk_download!$L$2:$L$1902,bk_download!$H$2:$H$1902,$A49,bk_download!$I$2:$I$1902,$B49,bk_download!$K$2:$K$1902,Setup!$B$4,bk_download!$J$2:$J$1902,"Yes")</f>
      </c>
      <c r="M49" s="5">
        <f t="shared" si="3"/>
      </c>
    </row>
    <row r="50" spans="1:13" x14ac:dyDescent="0.3">
      <c r="A50" t="s" s="7">
        <v>140</v>
      </c>
      <c r="B50" t="s" s="7">
        <v>156</v>
      </c>
      <c r="C50" s="6">
        <v>0</v>
      </c>
      <c r="D50" s="18">
        <f>IF(Setup!$B$8="Bank (Closed)",L50,K50)</f>
      </c>
      <c r="E50" s="18">
        <f t="shared" si="0"/>
      </c>
      <c r="F50" s="21">
        <f t="shared" si="1"/>
      </c>
      <c r="G50" t="s">
        <v>289</v>
      </c>
      <c r="H50" t="s">
        <v>291</v>
      </c>
      <c r="K50" s="5">
        <f>SUMIFS('Manual Actuals'!$C$2:$C$861,'Manual Actuals'!$D$2:$D$861,$A50,'Manual Actuals'!$E$2:$E$861,$B50,'Manual Actuals'!$H$2:$H$861,Setup!$B$4,'Manual Actuals'!$G$2:$G$861,"Yes")</f>
      </c>
      <c r="L50" s="5">
        <f>SUMIFS(bk_download!$L$2:$L$1902,bk_download!$H$2:$H$1902,$A50,bk_download!$I$2:$I$1902,$B50,bk_download!$K$2:$K$1902,Setup!$B$4,bk_download!$J$2:$J$1902,"Yes")</f>
      </c>
      <c r="M50" s="5">
        <f t="shared" si="3"/>
      </c>
    </row>
    <row r="51" spans="1:13" x14ac:dyDescent="0.3">
      <c r="A51" t="s" s="7">
        <v>141</v>
      </c>
      <c r="B51" t="s" s="7">
        <v>141</v>
      </c>
      <c r="C51" s="6">
        <v>0</v>
      </c>
      <c r="D51" s="18">
        <f>IF(Setup!$B$8="Bank (Closed)",L51,K51)</f>
      </c>
      <c r="E51" s="18">
        <f t="shared" si="0"/>
      </c>
      <c r="F51" s="21">
        <f t="shared" si="1"/>
      </c>
      <c r="G51" t="s">
        <v>289</v>
      </c>
      <c r="H51" t="s">
        <v>291</v>
      </c>
      <c r="K51" s="5">
        <f>SUMIFS('Manual Actuals'!$C$2:$C$861,'Manual Actuals'!$D$2:$D$861,$A51,'Manual Actuals'!$E$2:$E$861,$B51,'Manual Actuals'!$H$2:$H$861,Setup!$B$4,'Manual Actuals'!$G$2:$G$861,"Yes")</f>
      </c>
      <c r="L51" s="5">
        <f>SUMIFS(bk_download!$L$2:$L$1902,bk_download!$H$2:$H$1902,$A51,bk_download!$I$2:$I$1902,$B51,bk_download!$K$2:$K$1902,Setup!$B$4,bk_download!$J$2:$J$1902,"Yes")</f>
      </c>
      <c r="M51" s="5">
        <f t="shared" si="3"/>
      </c>
    </row>
    <row r="52" spans="1:13" x14ac:dyDescent="0.3">
      <c r="A52" t="s" s="7">
        <v>116</v>
      </c>
      <c r="B52" t="s" s="7">
        <v>157</v>
      </c>
      <c r="C52" s="6">
        <v>400</v>
      </c>
      <c r="D52" s="18">
        <f>IF(Setup!$B$8="Bank (Closed)",L52,K52)</f>
      </c>
      <c r="E52" s="18">
        <f t="shared" si="0"/>
      </c>
      <c r="F52" s="21">
        <f t="shared" si="1"/>
      </c>
      <c r="G52" t="s">
        <v>289</v>
      </c>
      <c r="H52" t="s">
        <v>291</v>
      </c>
      <c r="K52" s="5">
        <f>SUMIFS('Manual Actuals'!$C$2:$C$861,'Manual Actuals'!$D$2:$D$861,$A52,'Manual Actuals'!$E$2:$E$861,$B52,'Manual Actuals'!$H$2:$H$861,Setup!$B$4,'Manual Actuals'!$G$2:$G$861,"Yes")</f>
      </c>
      <c r="L52" s="5">
        <f>SUMIFS(bk_download!$L$2:$L$1902,bk_download!$H$2:$H$1902,$A52,bk_download!$I$2:$I$1902,$B52,bk_download!$K$2:$K$1902,Setup!$B$4,bk_download!$J$2:$J$1902,"Yes")</f>
      </c>
      <c r="M52" s="5">
        <f t="shared" si="3"/>
      </c>
    </row>
    <row r="53" spans="1:13" x14ac:dyDescent="0.3">
      <c r="A53" t="s" s="7">
        <v>116</v>
      </c>
      <c r="B53" t="s" s="7">
        <v>179</v>
      </c>
      <c r="C53" s="6">
        <v>500</v>
      </c>
      <c r="D53" s="18">
        <f>IF(Setup!$B$8="Bank (Closed)",L53,K53)</f>
      </c>
      <c r="E53" s="18">
        <f t="shared" si="0"/>
      </c>
      <c r="F53" s="21">
        <f t="shared" si="1"/>
      </c>
      <c r="G53" t="s">
        <v>289</v>
      </c>
      <c r="H53" t="s">
        <v>291</v>
      </c>
      <c r="K53" s="5">
        <f>SUMIFS('Manual Actuals'!$C$2:$C$861,'Manual Actuals'!$D$2:$D$861,$A53,'Manual Actuals'!$E$2:$E$861,$B53,'Manual Actuals'!$H$2:$H$861,Setup!$B$4,'Manual Actuals'!$G$2:$G$861,"Yes")</f>
      </c>
      <c r="L53" s="5">
        <f>SUMIFS(bk_download!$L$2:$L$1902,bk_download!$H$2:$H$1902,$A53,bk_download!$I$2:$I$1902,$B53,bk_download!$K$2:$K$1902,Setup!$B$4,bk_download!$J$2:$J$1902,"Yes")</f>
      </c>
      <c r="M53" s="5">
        <f t="shared" si="3"/>
      </c>
    </row>
    <row r="54" spans="1:13" x14ac:dyDescent="0.3">
      <c r="A54" t="s" s="7">
        <v>116</v>
      </c>
      <c r="B54" t="s" s="7">
        <v>194</v>
      </c>
      <c r="C54" s="6">
        <v>900</v>
      </c>
      <c r="D54" s="18">
        <f>IF(Setup!$B$8="Bank (Closed)",L54,K54)</f>
      </c>
      <c r="E54" s="18">
        <f t="shared" si="0"/>
      </c>
      <c r="F54" s="21">
        <f t="shared" si="1"/>
      </c>
      <c r="G54" t="s">
        <v>289</v>
      </c>
      <c r="H54" t="s">
        <v>291</v>
      </c>
      <c r="K54" s="5">
        <f>SUMIFS('Manual Actuals'!$C$2:$C$861,'Manual Actuals'!$D$2:$D$861,$A54,'Manual Actuals'!$E$2:$E$861,$B54,'Manual Actuals'!$H$2:$H$861,Setup!$B$4,'Manual Actuals'!$G$2:$G$861,"Yes")</f>
      </c>
      <c r="L54" s="5">
        <f>SUMIFS(bk_download!$L$2:$L$1902,bk_download!$H$2:$H$1902,$A54,bk_download!$I$2:$I$1902,$B54,bk_download!$K$2:$K$1902,Setup!$B$4,bk_download!$J$2:$J$1902,"Yes")</f>
      </c>
      <c r="M54" s="5">
        <f t="shared" si="3"/>
      </c>
    </row>
    <row r="55" spans="1:13" x14ac:dyDescent="0.3">
      <c r="A55" t="s" s="7">
        <v>116</v>
      </c>
      <c r="B55" t="s" s="7">
        <v>202</v>
      </c>
      <c r="C55" s="6">
        <v>1000</v>
      </c>
      <c r="D55" s="18">
        <f>IF(Setup!$B$8="Bank (Closed)",L55,K55)</f>
      </c>
      <c r="E55" s="18">
        <f t="shared" si="0"/>
      </c>
      <c r="F55" s="21">
        <f t="shared" si="1"/>
      </c>
      <c r="G55" t="s">
        <v>289</v>
      </c>
      <c r="H55" t="s">
        <v>291</v>
      </c>
      <c r="K55" s="5">
        <f>SUMIFS('Manual Actuals'!$C$2:$C$861,'Manual Actuals'!$D$2:$D$861,$A55,'Manual Actuals'!$E$2:$E$861,$B55,'Manual Actuals'!$H$2:$H$861,Setup!$B$4,'Manual Actuals'!$G$2:$G$861,"Yes")</f>
      </c>
      <c r="L55" s="5">
        <f>SUMIFS(bk_download!$L$2:$L$1902,bk_download!$H$2:$H$1902,$A55,bk_download!$I$2:$I$1902,$B55,bk_download!$K$2:$K$1902,Setup!$B$4,bk_download!$J$2:$J$1902,"Yes")</f>
      </c>
      <c r="M55" s="5">
        <f t="shared" si="3"/>
      </c>
    </row>
    <row r="56" spans="1:13" x14ac:dyDescent="0.3">
      <c r="D56">
        <f>IF(Setup!$B$8="Bank (Closed)",L56,K56)</f>
      </c>
      <c r="K56" s="5">
        <f>SUMIFS('Manual Actuals'!$C$2:$C$861,'Manual Actuals'!$D$2:$D$861,$A56,'Manual Actuals'!$E$2:$E$861,$B56,'Manual Actuals'!$H$2:$H$861,Setup!$B$4,'Manual Actuals'!$G$2:$G$861,"Yes")</f>
      </c>
      <c r="L56" s="5">
        <f>SUMIFS(bk_download!$L$2:$L$1902,bk_download!$H$2:$H$1902,$A56,bk_download!$I$2:$I$1902,$B56,bk_download!$K$2:$K$1902,Setup!$B$4,bk_download!$J$2:$J$1902,"Yes")</f>
      </c>
      <c r="M56" s="5">
        <f t="shared" si="3"/>
      </c>
    </row>
    <row r="57" spans="1:13" x14ac:dyDescent="0.3">
      <c r="A57" t="s" s="74">
        <v>299</v>
      </c>
      <c r="B57" s="74"/>
      <c r="C57" s="60">
        <f>SUM(C4:C55)</f>
      </c>
      <c r="D57" s="60">
        <f>IF(Setup!$B$8="Bank (Closed)",L57,K57)</f>
      </c>
      <c r="E57" s="60">
        <f>C57-D57</f>
      </c>
      <c r="F57" s="61">
        <f>IF(C57=0,0,E57/C57)</f>
      </c>
      <c r="K57" s="5">
        <f>SUMIFS('Manual Actuals'!$C$2:$C$861,'Manual Actuals'!$D$2:$D$861,$A57,'Manual Actuals'!$E$2:$E$861,$B57,'Manual Actuals'!$H$2:$H$861,Setup!$B$4,'Manual Actuals'!$G$2:$G$861,"Yes")</f>
      </c>
      <c r="L57" s="5">
        <f>SUMIFS(bk_download!$M$2:$M$1902,bk_download!$I$2:$I$1902,$A57,bk_download!$J$2:$J$1902,$B57,bk_download!$L$2:$L$1902,Setup!$B$4,bk_download!$K$2:$K$1902,"Yes")</f>
      </c>
      <c r="M57" s="5">
        <f t="shared" si="3"/>
      </c>
    </row>
  </sheetData>
  <mergeCells count="2">
    <mergeCell ref="A1:J1"/>
    <mergeCell ref="A57:B57"/>
  </mergeCells>
  <conditionalFormatting sqref="E4:E55">
    <cfRule type="expression" dxfId="9" priority="1">
      <formula>E4&lt;0</formula>
    </cfRule>
    <cfRule type="expression" dxfId="8" priority="2">
      <formula>E4&gt;=0</formula>
    </cfRule>
  </conditionalFormatting>
  <conditionalFormatting sqref="M4:M57">
    <cfRule type="expression" dxfId="7" priority="3">
      <formula>ABS(M4)&gt;1</formula>
    </cfRule>
  </conditionalFormatting>
  <dataValidations count="2">
    <dataValidation type="list" sqref="G4:G55" xr:uid="{00000000-0002-0000-0600-000000000000}">
      <formula1>"Critical,High,Medium,Low"</formula1>
    </dataValidation>
    <dataValidation type="list" sqref="H4:H55" xr:uid="{00000000-0002-0000-0600-000001000000}">
      <formula1>"Fixed,Variable,Sinking Fund"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/>
  <sheetViews>
    <sheetView tabSelected="1" topLeftCell="A8" workbookViewId="0">
      <selection activeCell="A21" sqref="A21:XFD154"/>
    </sheetView>
  </sheetViews>
  <sheetFormatPr defaultRowHeight="14.4" x14ac:dyDescent="0.3"/>
  <cols>
    <col min="1" max="1" width="12" style="50" customWidth="1"/>
    <col min="2" max="2" width="30" customWidth="1"/>
    <col min="3" max="3" width="16" customWidth="1"/>
    <col min="4" max="4" width="18" customWidth="1"/>
    <col min="5" max="5" width="22" customWidth="1"/>
    <col min="6" max="6" width="18" customWidth="1"/>
    <col min="7" max="7" width="11" customWidth="1"/>
    <col min="8" max="8" width="12" customWidth="1"/>
    <col min="9" max="9" width="30" customWidth="1"/>
  </cols>
  <sheetData>
    <row r="1" spans="1:9" x14ac:dyDescent="0.3">
      <c r="A1" t="s" s="49">
        <v>300</v>
      </c>
      <c r="B1" t="s" s="30">
        <v>301</v>
      </c>
      <c r="C1" t="s" s="30">
        <v>302</v>
      </c>
      <c r="D1" t="s" s="30">
        <v>216</v>
      </c>
      <c r="E1" t="s" s="30">
        <v>223</v>
      </c>
      <c r="F1" t="s" s="30">
        <v>143</v>
      </c>
      <c r="G1" t="s" s="30">
        <v>303</v>
      </c>
      <c r="H1" t="s" s="30">
        <v>304</v>
      </c>
      <c r="I1" t="s" s="30">
        <v>121</v>
      </c>
    </row>
    <row r="2" spans="1:9" x14ac:dyDescent="0.3">
      <c r="A2" s="51">
        <v>46232</v>
      </c>
      <c r="B2" t="s" s="7">
        <v>305</v>
      </c>
      <c r="C2" s="6">
        <v>121</v>
      </c>
      <c r="D2" t="s" s="7">
        <v>96</v>
      </c>
      <c r="E2" t="s" s="7">
        <v>167</v>
      </c>
      <c r="F2" t="s" s="7">
        <v>158</v>
      </c>
      <c r="G2" t="s" s="7">
        <v>220</v>
      </c>
      <c r="H2" t="s" s="17">
        <v>181</v>
      </c>
    </row>
    <row r="3" spans="1:9" x14ac:dyDescent="0.3">
      <c r="A3" s="51">
        <v>46233</v>
      </c>
      <c r="B3" t="s" s="7">
        <v>306</v>
      </c>
      <c r="C3" s="6">
        <v>82.89</v>
      </c>
      <c r="D3" t="s" s="7">
        <v>114</v>
      </c>
      <c r="E3" t="s" s="7">
        <v>151</v>
      </c>
      <c r="F3" t="s" s="7">
        <v>158</v>
      </c>
      <c r="G3" t="s" s="7">
        <v>220</v>
      </c>
      <c r="H3" t="s" s="17">
        <v>181</v>
      </c>
    </row>
    <row r="4" spans="1:9" x14ac:dyDescent="0.3">
      <c r="A4" s="51">
        <v>46232</v>
      </c>
      <c r="B4" t="s" s="7">
        <v>307</v>
      </c>
      <c r="C4" s="6">
        <v>16.5</v>
      </c>
      <c r="D4" t="s" s="7">
        <v>104</v>
      </c>
      <c r="E4" t="s" s="7">
        <v>169</v>
      </c>
      <c r="F4" t="s" s="7">
        <v>158</v>
      </c>
      <c r="G4" t="s" s="7">
        <v>220</v>
      </c>
      <c r="H4" t="s" s="17">
        <v>181</v>
      </c>
    </row>
    <row r="5" spans="1:9" x14ac:dyDescent="0.3">
      <c r="A5" s="51">
        <v>46232</v>
      </c>
      <c r="B5" t="s" s="7">
        <v>308</v>
      </c>
      <c r="C5" s="6">
        <v>3.97</v>
      </c>
      <c r="D5" t="s" s="7">
        <v>104</v>
      </c>
      <c r="E5" t="s" s="7">
        <v>169</v>
      </c>
      <c r="F5" t="s" s="7">
        <v>158</v>
      </c>
      <c r="G5" t="s" s="7">
        <v>220</v>
      </c>
      <c r="H5" t="s" s="17">
        <v>181</v>
      </c>
    </row>
    <row r="6" spans="1:9" x14ac:dyDescent="0.3">
      <c r="A6" s="51">
        <v>46231</v>
      </c>
      <c r="B6" t="s" s="7">
        <v>309</v>
      </c>
      <c r="C6" s="6">
        <v>29.99</v>
      </c>
      <c r="D6" t="s" s="7">
        <v>114</v>
      </c>
      <c r="E6" t="s" s="7">
        <v>151</v>
      </c>
      <c r="F6" t="s" s="7">
        <v>158</v>
      </c>
      <c r="G6" t="s" s="7">
        <v>220</v>
      </c>
      <c r="H6" t="s" s="17">
        <v>448</v>
      </c>
    </row>
    <row r="7" spans="1:9" x14ac:dyDescent="0.3">
      <c r="A7" s="51">
        <v>46232</v>
      </c>
      <c r="B7" t="s" s="7">
        <v>310</v>
      </c>
      <c r="C7" s="6">
        <v>30</v>
      </c>
      <c r="D7" t="s" s="7">
        <v>100</v>
      </c>
      <c r="E7" t="s" s="7">
        <v>187</v>
      </c>
      <c r="F7" t="s" s="7">
        <v>158</v>
      </c>
      <c r="G7" t="s" s="7">
        <v>220</v>
      </c>
      <c r="H7" t="s" s="17">
        <v>181</v>
      </c>
    </row>
    <row r="8" spans="1:9" x14ac:dyDescent="0.3">
      <c r="A8" s="51">
        <v>46232</v>
      </c>
      <c r="B8" t="s" s="7">
        <v>311</v>
      </c>
      <c r="C8" s="6">
        <v>75.04</v>
      </c>
      <c r="D8" t="s" s="7">
        <v>114</v>
      </c>
      <c r="E8" t="s" s="7">
        <v>200</v>
      </c>
      <c r="F8" t="s" s="7">
        <v>158</v>
      </c>
      <c r="G8" t="s" s="7">
        <v>220</v>
      </c>
      <c r="H8" t="s" s="17">
        <v>181</v>
      </c>
    </row>
    <row r="9" spans="1:9" x14ac:dyDescent="0.3">
      <c r="A9" s="51">
        <v>46233</v>
      </c>
      <c r="B9" t="s" s="7">
        <v>312</v>
      </c>
      <c r="C9" s="6">
        <v>406.91</v>
      </c>
      <c r="D9" t="s" s="7">
        <v>92</v>
      </c>
      <c r="E9" t="s" s="7">
        <v>144</v>
      </c>
      <c r="F9" t="s" s="7">
        <v>158</v>
      </c>
      <c r="G9" t="s" s="7">
        <v>220</v>
      </c>
      <c r="H9" t="s" s="17">
        <v>181</v>
      </c>
    </row>
    <row r="10" spans="1:9" x14ac:dyDescent="0.3">
      <c r="A10" s="51">
        <v>46232</v>
      </c>
      <c r="B10" t="s" s="7">
        <v>313</v>
      </c>
      <c r="C10" s="6">
        <v>138.99</v>
      </c>
      <c r="D10" t="s" s="7">
        <v>92</v>
      </c>
      <c r="E10" t="s" s="7">
        <v>185</v>
      </c>
      <c r="F10" t="s" s="7">
        <v>158</v>
      </c>
      <c r="G10" t="s" s="7">
        <v>220</v>
      </c>
      <c r="H10" t="s" s="17">
        <v>181</v>
      </c>
    </row>
    <row r="11" spans="1:9" x14ac:dyDescent="0.3">
      <c r="A11" s="51">
        <v>46232</v>
      </c>
      <c r="B11" t="s" s="7">
        <v>310</v>
      </c>
      <c r="C11" s="6">
        <v>202.95</v>
      </c>
      <c r="D11" t="s" s="7">
        <v>116</v>
      </c>
      <c r="E11" t="s" s="7">
        <v>157</v>
      </c>
      <c r="F11" t="s" s="7">
        <v>158</v>
      </c>
      <c r="G11" t="s" s="7">
        <v>220</v>
      </c>
      <c r="H11" t="s" s="17">
        <v>181</v>
      </c>
    </row>
    <row r="12" spans="1:9" x14ac:dyDescent="0.3">
      <c r="A12" s="51">
        <v>46233</v>
      </c>
      <c r="B12" t="s" s="7">
        <v>314</v>
      </c>
      <c r="C12" s="6">
        <v>50.98</v>
      </c>
      <c r="D12" t="s" s="7">
        <v>114</v>
      </c>
      <c r="E12" t="s" s="7">
        <v>200</v>
      </c>
      <c r="F12" t="s" s="7">
        <v>158</v>
      </c>
      <c r="G12" t="s" s="7">
        <v>220</v>
      </c>
      <c r="H12" t="s" s="17">
        <v>181</v>
      </c>
    </row>
    <row r="13" spans="1:9" x14ac:dyDescent="0.3">
      <c r="A13" s="51">
        <v>46233</v>
      </c>
      <c r="B13" t="s" s="7">
        <v>315</v>
      </c>
      <c r="C13" s="6">
        <v>29.22</v>
      </c>
      <c r="D13" t="s" s="7">
        <v>114</v>
      </c>
      <c r="E13" t="s" s="7">
        <v>151</v>
      </c>
      <c r="F13" t="s" s="7">
        <v>158</v>
      </c>
      <c r="G13" t="s" s="7">
        <v>220</v>
      </c>
      <c r="H13" t="s" s="17">
        <v>181</v>
      </c>
    </row>
    <row r="14" spans="1:9" x14ac:dyDescent="0.3">
      <c r="A14" s="51">
        <v>46232</v>
      </c>
      <c r="B14" t="s" s="7">
        <v>316</v>
      </c>
      <c r="C14" s="6">
        <v>139.64</v>
      </c>
      <c r="D14" t="s" s="7">
        <v>114</v>
      </c>
      <c r="E14" t="s" s="7">
        <v>200</v>
      </c>
      <c r="F14" t="s" s="7">
        <v>158</v>
      </c>
      <c r="G14" t="s" s="7">
        <v>220</v>
      </c>
      <c r="H14" t="s" s="17">
        <v>181</v>
      </c>
    </row>
    <row r="15" spans="1:9" x14ac:dyDescent="0.3">
      <c r="A15" s="243">
        <v>46234</v>
      </c>
      <c r="B15" t="s" s="7">
        <v>318</v>
      </c>
      <c r="C15" s="6">
        <v>1459.84</v>
      </c>
      <c r="D15" t="s" s="7">
        <v>100</v>
      </c>
      <c r="E15" t="s" s="7">
        <v>146</v>
      </c>
      <c r="F15" t="s" s="7">
        <v>158</v>
      </c>
      <c r="G15" t="s" s="7">
        <v>220</v>
      </c>
      <c r="H15" t="s" s="17">
        <v>181</v>
      </c>
    </row>
    <row r="16" spans="1:9" x14ac:dyDescent="0.3">
      <c r="A16" s="244">
        <v>46233</v>
      </c>
      <c r="B16" t="s" s="7">
        <v>320</v>
      </c>
      <c r="C16" s="6">
        <v>718.8</v>
      </c>
      <c r="D16" t="s" s="7">
        <v>116</v>
      </c>
      <c r="E16" t="s" s="7">
        <v>194</v>
      </c>
      <c r="F16" t="s" s="7">
        <v>158</v>
      </c>
      <c r="G16" t="s" s="7">
        <v>220</v>
      </c>
      <c r="H16" t="s" s="17">
        <v>181</v>
      </c>
    </row>
    <row r="17" spans="1:8" x14ac:dyDescent="0.3">
      <c r="A17" s="245">
        <v>46232</v>
      </c>
      <c r="B17" t="s" s="7">
        <v>322</v>
      </c>
      <c r="C17" s="6">
        <v>216.34</v>
      </c>
      <c r="D17" t="s" s="7">
        <v>108</v>
      </c>
      <c r="E17" t="s" s="7">
        <v>154</v>
      </c>
      <c r="F17" t="s" s="7">
        <v>158</v>
      </c>
      <c r="G17" t="s" s="7">
        <v>220</v>
      </c>
      <c r="H17" t="s" s="17">
        <v>181</v>
      </c>
    </row>
    <row r="18" spans="1:8" x14ac:dyDescent="0.3">
      <c r="A18" s="246">
        <v>46232</v>
      </c>
      <c r="B18" t="s" s="7">
        <v>322</v>
      </c>
      <c r="C18" s="6">
        <v>17.02</v>
      </c>
      <c r="D18" t="s" s="7">
        <v>108</v>
      </c>
      <c r="E18" t="s" s="7">
        <v>154</v>
      </c>
      <c r="F18" t="s" s="7">
        <v>158</v>
      </c>
      <c r="G18" t="s" s="7">
        <v>220</v>
      </c>
      <c r="H18" t="s" s="17">
        <v>181</v>
      </c>
    </row>
    <row r="19" spans="1:8" x14ac:dyDescent="0.3">
      <c r="A19" s="247">
        <v>46232</v>
      </c>
      <c r="B19" t="s" s="7">
        <v>298</v>
      </c>
      <c r="C19" s="6">
        <v>33.45</v>
      </c>
      <c r="D19" t="s" s="7">
        <v>108</v>
      </c>
      <c r="E19" t="s" s="7">
        <v>154</v>
      </c>
      <c r="F19" t="s" s="7">
        <v>158</v>
      </c>
      <c r="G19" t="s" s="7">
        <v>220</v>
      </c>
      <c r="H19" t="s" s="17">
        <v>181</v>
      </c>
    </row>
    <row r="20" spans="1:8" x14ac:dyDescent="0.3">
      <c r="A20" s="248">
        <v>46233</v>
      </c>
      <c r="B20" t="s" s="7">
        <v>298</v>
      </c>
      <c r="C20" s="6">
        <v>22.31</v>
      </c>
      <c r="D20" t="s" s="7">
        <v>108</v>
      </c>
      <c r="E20" t="s" s="7">
        <v>154</v>
      </c>
      <c r="F20" t="s" s="7">
        <v>158</v>
      </c>
      <c r="G20" t="s" s="7">
        <v>220</v>
      </c>
      <c r="H20" t="s" s="17">
        <v>181</v>
      </c>
    </row>
    <row r="21" spans="1:8" x14ac:dyDescent="0.3">
      <c r="A21" s="249">
        <v>46241</v>
      </c>
      <c r="B21" t="s" s="7">
        <v>385</v>
      </c>
      <c r="C21" s="250">
        <v>154.67</v>
      </c>
      <c r="D21" t="s" s="7">
        <v>96</v>
      </c>
      <c r="E21" t="s" s="7">
        <v>198</v>
      </c>
      <c r="F21" t="s" s="7">
        <v>158</v>
      </c>
      <c r="G21" t="s" s="7">
        <v>220</v>
      </c>
      <c r="H21" t="s" s="17">
        <v>181</v>
      </c>
      <c r="I21" t="s">
        <v>449</v>
      </c>
    </row>
    <row r="22" spans="1:8" x14ac:dyDescent="0.3">
      <c r="A22" s="251">
        <v>46239</v>
      </c>
      <c r="B22" t="s" s="7">
        <v>227</v>
      </c>
      <c r="C22" s="252">
        <v>362.14</v>
      </c>
      <c r="D22" t="s" s="7">
        <v>96</v>
      </c>
      <c r="E22" t="s" s="7">
        <v>145</v>
      </c>
      <c r="F22" t="s" s="7">
        <v>158</v>
      </c>
      <c r="G22" t="s" s="7">
        <v>220</v>
      </c>
      <c r="H22" t="s" s="17">
        <v>181</v>
      </c>
      <c r="I22" t="s">
        <v>449</v>
      </c>
    </row>
    <row r="23" spans="1:8" x14ac:dyDescent="0.3">
      <c r="A23" s="253">
        <v>46239</v>
      </c>
      <c r="B23" t="s" s="7">
        <v>227</v>
      </c>
      <c r="C23" s="254">
        <v>38.03</v>
      </c>
      <c r="D23" t="s" s="7">
        <v>96</v>
      </c>
      <c r="E23" t="s" s="7">
        <v>145</v>
      </c>
      <c r="F23" t="s" s="7">
        <v>158</v>
      </c>
      <c r="G23" t="s" s="7">
        <v>220</v>
      </c>
      <c r="H23" t="s" s="17">
        <v>181</v>
      </c>
      <c r="I23" t="s">
        <v>449</v>
      </c>
    </row>
    <row r="24" spans="1:8" x14ac:dyDescent="0.3">
      <c r="A24" s="255">
        <v>46239</v>
      </c>
      <c r="B24" t="s" s="7">
        <v>383</v>
      </c>
      <c r="C24" s="256">
        <v>135.25</v>
      </c>
      <c r="D24" t="s" s="7">
        <v>104</v>
      </c>
      <c r="E24" t="s" s="7">
        <v>147</v>
      </c>
      <c r="F24" t="s" s="7">
        <v>158</v>
      </c>
      <c r="G24" t="s" s="7">
        <v>220</v>
      </c>
      <c r="H24" t="s" s="17">
        <v>181</v>
      </c>
      <c r="I24" t="s">
        <v>449</v>
      </c>
    </row>
    <row r="25" spans="1:8" x14ac:dyDescent="0.3">
      <c r="A25" s="257">
        <v>46239</v>
      </c>
      <c r="B25" t="s" s="7">
        <v>399</v>
      </c>
      <c r="C25" s="258">
        <v>41.59</v>
      </c>
      <c r="D25" t="s" s="7">
        <v>104</v>
      </c>
      <c r="E25" t="s" s="7">
        <v>169</v>
      </c>
      <c r="F25" t="s" s="7">
        <v>158</v>
      </c>
      <c r="G25" t="s" s="7">
        <v>220</v>
      </c>
      <c r="H25" t="s" s="17">
        <v>181</v>
      </c>
      <c r="I25" t="s">
        <v>449</v>
      </c>
    </row>
    <row r="26" spans="1:8" x14ac:dyDescent="0.3">
      <c r="A26" s="259">
        <v>46238</v>
      </c>
      <c r="B26" t="s" s="7">
        <v>392</v>
      </c>
      <c r="C26" s="260">
        <v>14.16</v>
      </c>
      <c r="D26" t="s" s="7">
        <v>104</v>
      </c>
      <c r="E26" t="s" s="7">
        <v>169</v>
      </c>
      <c r="F26" t="s" s="7">
        <v>158</v>
      </c>
      <c r="G26" t="s" s="7">
        <v>220</v>
      </c>
      <c r="H26" t="s" s="17">
        <v>181</v>
      </c>
      <c r="I26" t="s">
        <v>449</v>
      </c>
    </row>
    <row r="27" spans="1:8" x14ac:dyDescent="0.3">
      <c r="A27" s="261">
        <v>46237</v>
      </c>
      <c r="B27" t="s" s="7">
        <v>383</v>
      </c>
      <c r="C27" s="262">
        <v>114.89</v>
      </c>
      <c r="D27" t="s" s="7">
        <v>104</v>
      </c>
      <c r="E27" t="s" s="7">
        <v>147</v>
      </c>
      <c r="F27" t="s" s="7">
        <v>158</v>
      </c>
      <c r="G27" t="s" s="7">
        <v>220</v>
      </c>
      <c r="H27" t="s" s="17">
        <v>181</v>
      </c>
      <c r="I27" t="s">
        <v>449</v>
      </c>
    </row>
    <row r="28" spans="1:8" x14ac:dyDescent="0.3">
      <c r="A28" s="263">
        <v>46237</v>
      </c>
      <c r="B28" t="s" s="7">
        <v>393</v>
      </c>
      <c r="C28" s="264">
        <v>99.07</v>
      </c>
      <c r="D28" t="s" s="7">
        <v>104</v>
      </c>
      <c r="E28" t="s" s="7">
        <v>169</v>
      </c>
      <c r="F28" t="s" s="7">
        <v>158</v>
      </c>
      <c r="G28" t="s" s="7">
        <v>220</v>
      </c>
      <c r="H28" t="s" s="17">
        <v>181</v>
      </c>
      <c r="I28" t="s">
        <v>449</v>
      </c>
    </row>
    <row r="29" spans="1:8" x14ac:dyDescent="0.3">
      <c r="A29" s="265">
        <v>46237</v>
      </c>
      <c r="B29" t="s" s="7">
        <v>396</v>
      </c>
      <c r="C29" s="266">
        <v>35.71</v>
      </c>
      <c r="D29" t="s" s="7">
        <v>104</v>
      </c>
      <c r="E29" t="s" s="7">
        <v>169</v>
      </c>
      <c r="F29" t="s" s="7">
        <v>158</v>
      </c>
      <c r="G29" t="s" s="7">
        <v>220</v>
      </c>
      <c r="H29" t="s" s="17">
        <v>181</v>
      </c>
      <c r="I29" t="s">
        <v>449</v>
      </c>
    </row>
    <row r="30" spans="1:8" x14ac:dyDescent="0.3">
      <c r="A30" s="267">
        <v>46237</v>
      </c>
      <c r="B30" t="s" s="7">
        <v>411</v>
      </c>
      <c r="C30" s="268">
        <v>25.41</v>
      </c>
      <c r="D30" t="s" s="7">
        <v>113</v>
      </c>
      <c r="E30" t="s" s="7">
        <v>113</v>
      </c>
      <c r="F30" t="s" s="7">
        <v>158</v>
      </c>
      <c r="G30" t="s" s="7">
        <v>220</v>
      </c>
      <c r="H30" t="s" s="17">
        <v>181</v>
      </c>
      <c r="I30" t="s">
        <v>449</v>
      </c>
    </row>
    <row r="31" spans="1:8" x14ac:dyDescent="0.3">
      <c r="A31" s="269">
        <v>46237</v>
      </c>
      <c r="B31" t="s" s="7">
        <v>386</v>
      </c>
      <c r="C31" s="270">
        <v>12.81</v>
      </c>
      <c r="D31" t="s" s="7">
        <v>100</v>
      </c>
      <c r="E31" t="s" s="7">
        <v>187</v>
      </c>
      <c r="F31" t="s" s="7">
        <v>158</v>
      </c>
      <c r="G31" t="s" s="7">
        <v>220</v>
      </c>
      <c r="H31" t="s" s="17">
        <v>181</v>
      </c>
      <c r="I31" t="s">
        <v>449</v>
      </c>
    </row>
    <row r="32" spans="1:8" x14ac:dyDescent="0.3">
      <c r="A32" s="271">
        <v>46237</v>
      </c>
      <c r="B32" t="s" s="7">
        <v>414</v>
      </c>
      <c r="C32" s="272">
        <v>11.64</v>
      </c>
      <c r="D32" t="s" s="7">
        <v>116</v>
      </c>
      <c r="E32" t="s" s="7">
        <v>179</v>
      </c>
      <c r="F32" t="s" s="7">
        <v>158</v>
      </c>
      <c r="G32" t="s" s="7">
        <v>220</v>
      </c>
      <c r="H32" t="s" s="17">
        <v>181</v>
      </c>
      <c r="I32" t="s">
        <v>449</v>
      </c>
    </row>
    <row r="33" spans="1:8" x14ac:dyDescent="0.3">
      <c r="A33" s="273">
        <v>46237</v>
      </c>
      <c r="B33" t="s" s="7">
        <v>386</v>
      </c>
      <c r="C33" s="274">
        <v>4.52</v>
      </c>
      <c r="D33" t="s" s="7">
        <v>100</v>
      </c>
      <c r="E33" t="s" s="7">
        <v>187</v>
      </c>
      <c r="F33" t="s" s="7">
        <v>158</v>
      </c>
      <c r="G33" t="s" s="7">
        <v>220</v>
      </c>
      <c r="H33" t="s" s="17">
        <v>181</v>
      </c>
      <c r="I33" t="s">
        <v>449</v>
      </c>
    </row>
    <row r="34" spans="1:8" x14ac:dyDescent="0.3">
      <c r="A34" s="275">
        <v>46231</v>
      </c>
      <c r="B34" t="s" s="7">
        <v>423</v>
      </c>
      <c r="C34" s="276">
        <v>11.36</v>
      </c>
      <c r="D34" t="s" s="7">
        <v>100</v>
      </c>
      <c r="E34" t="s" s="7">
        <v>187</v>
      </c>
      <c r="F34" t="s" s="7">
        <v>158</v>
      </c>
      <c r="G34" t="s" s="7">
        <v>220</v>
      </c>
      <c r="H34" t="s" s="17">
        <v>448</v>
      </c>
      <c r="I34" t="s">
        <v>449</v>
      </c>
    </row>
    <row r="35" spans="1:8" x14ac:dyDescent="0.3">
      <c r="A35" s="277">
        <v>46230</v>
      </c>
      <c r="B35" t="s" s="7">
        <v>425</v>
      </c>
      <c r="C35" s="278">
        <v>119.9</v>
      </c>
      <c r="D35" t="s" s="7">
        <v>116</v>
      </c>
      <c r="E35" t="s" s="7">
        <v>202</v>
      </c>
      <c r="F35" t="s" s="7">
        <v>158</v>
      </c>
      <c r="G35" t="s" s="7">
        <v>220</v>
      </c>
      <c r="H35" t="s" s="17">
        <v>448</v>
      </c>
      <c r="I35" t="s">
        <v>450</v>
      </c>
    </row>
    <row r="36" spans="1:8" x14ac:dyDescent="0.3">
      <c r="A36" s="279">
        <v>46230</v>
      </c>
      <c r="B36" t="s" s="7">
        <v>428</v>
      </c>
      <c r="C36" s="280">
        <v>55.38</v>
      </c>
      <c r="D36" t="s" s="7">
        <v>116</v>
      </c>
      <c r="E36" t="s" s="7">
        <v>202</v>
      </c>
      <c r="F36" t="s" s="7">
        <v>158</v>
      </c>
      <c r="G36" t="s" s="7">
        <v>220</v>
      </c>
      <c r="H36" t="s" s="17">
        <v>448</v>
      </c>
      <c r="I36" t="s">
        <v>450</v>
      </c>
    </row>
    <row r="37" spans="1:8" x14ac:dyDescent="0.3">
      <c r="A37" s="281">
        <v>46230</v>
      </c>
      <c r="B37" t="s" s="7">
        <v>389</v>
      </c>
      <c r="C37" s="282">
        <v>51.38</v>
      </c>
      <c r="D37" t="s" s="7">
        <v>104</v>
      </c>
      <c r="E37" t="s" s="7">
        <v>169</v>
      </c>
      <c r="F37" t="s" s="7">
        <v>158</v>
      </c>
      <c r="G37" t="s" s="7">
        <v>220</v>
      </c>
      <c r="H37" t="s" s="17">
        <v>448</v>
      </c>
      <c r="I37" t="s">
        <v>449</v>
      </c>
    </row>
    <row r="38" spans="1:8" x14ac:dyDescent="0.3">
      <c r="A38" s="283">
        <v>46230</v>
      </c>
      <c r="B38" t="s" s="7">
        <v>432</v>
      </c>
      <c r="C38" s="284">
        <v>35</v>
      </c>
      <c r="D38" t="s" s="7">
        <v>116</v>
      </c>
      <c r="E38" t="s" s="7">
        <v>202</v>
      </c>
      <c r="F38" t="s" s="7">
        <v>158</v>
      </c>
      <c r="G38" t="s" s="7">
        <v>220</v>
      </c>
      <c r="H38" t="s" s="17">
        <v>448</v>
      </c>
      <c r="I38" t="s">
        <v>450</v>
      </c>
    </row>
    <row r="39" spans="1:8" x14ac:dyDescent="0.3">
      <c r="A39" s="285">
        <v>46230</v>
      </c>
      <c r="B39" t="s" s="7">
        <v>435</v>
      </c>
      <c r="C39" s="286">
        <v>31.26</v>
      </c>
      <c r="D39" t="s" s="7">
        <v>104</v>
      </c>
      <c r="E39" t="s" s="7">
        <v>169</v>
      </c>
      <c r="F39" t="s" s="7">
        <v>158</v>
      </c>
      <c r="G39" t="s" s="7">
        <v>220</v>
      </c>
      <c r="H39" t="s" s="17">
        <v>448</v>
      </c>
      <c r="I39" t="s">
        <v>449</v>
      </c>
    </row>
    <row r="40" spans="1:8" x14ac:dyDescent="0.3">
      <c r="A40" s="287">
        <v>46230</v>
      </c>
      <c r="B40" t="s" s="7">
        <v>437</v>
      </c>
      <c r="C40" s="288">
        <v>24.15</v>
      </c>
      <c r="D40" t="s" s="7">
        <v>116</v>
      </c>
      <c r="E40" t="s" s="7">
        <v>202</v>
      </c>
      <c r="F40" t="s" s="7">
        <v>158</v>
      </c>
      <c r="G40" t="s" s="7">
        <v>220</v>
      </c>
      <c r="H40" t="s" s="17">
        <v>448</v>
      </c>
      <c r="I40" t="s">
        <v>450</v>
      </c>
    </row>
    <row r="41" spans="1:8" x14ac:dyDescent="0.3">
      <c r="A41" s="289">
        <v>46230</v>
      </c>
      <c r="B41" t="s" s="7">
        <v>437</v>
      </c>
      <c r="C41" s="290">
        <v>24.15</v>
      </c>
      <c r="D41" t="s" s="7">
        <v>116</v>
      </c>
      <c r="E41" t="s" s="7">
        <v>202</v>
      </c>
      <c r="F41" t="s" s="7">
        <v>158</v>
      </c>
      <c r="G41" t="s" s="7">
        <v>220</v>
      </c>
      <c r="H41" t="s" s="17">
        <v>448</v>
      </c>
      <c r="I41" t="s">
        <v>450</v>
      </c>
    </row>
    <row r="42" spans="1:8" x14ac:dyDescent="0.3">
      <c r="A42" s="291">
        <v>46230</v>
      </c>
      <c r="B42" t="s" s="7">
        <v>440</v>
      </c>
      <c r="C42" s="292">
        <v>16.29</v>
      </c>
      <c r="D42" t="s" s="7">
        <v>104</v>
      </c>
      <c r="E42" t="s" s="7">
        <v>169</v>
      </c>
      <c r="F42" t="s" s="7">
        <v>158</v>
      </c>
      <c r="G42" t="s" s="7">
        <v>220</v>
      </c>
      <c r="H42" t="s" s="17">
        <v>448</v>
      </c>
      <c r="I42" t="s">
        <v>449</v>
      </c>
    </row>
    <row r="43" spans="1:8" x14ac:dyDescent="0.3">
      <c r="A43" s="293">
        <v>46230</v>
      </c>
      <c r="B43" t="s" s="7">
        <v>428</v>
      </c>
      <c r="C43" s="294">
        <v>16</v>
      </c>
      <c r="D43" t="s" s="7">
        <v>116</v>
      </c>
      <c r="E43" t="s" s="7">
        <v>202</v>
      </c>
      <c r="F43" t="s" s="7">
        <v>158</v>
      </c>
      <c r="G43" t="s" s="7">
        <v>220</v>
      </c>
      <c r="H43" t="s" s="17">
        <v>448</v>
      </c>
      <c r="I43" t="s">
        <v>450</v>
      </c>
    </row>
    <row r="44" spans="1:8" x14ac:dyDescent="0.3">
      <c r="A44" s="295">
        <v>46230</v>
      </c>
      <c r="B44" t="s" s="7">
        <v>442</v>
      </c>
      <c r="C44" s="296">
        <v>10</v>
      </c>
      <c r="D44" t="s" s="7">
        <v>96</v>
      </c>
      <c r="E44" t="s" s="7">
        <v>145</v>
      </c>
      <c r="F44" t="s" s="7">
        <v>158</v>
      </c>
      <c r="G44" t="s" s="7">
        <v>220</v>
      </c>
      <c r="H44" t="s" s="17">
        <v>448</v>
      </c>
      <c r="I44" t="s">
        <v>449</v>
      </c>
    </row>
    <row r="45" spans="1:8" x14ac:dyDescent="0.3">
      <c r="A45" s="297">
        <v>46230</v>
      </c>
      <c r="B45" t="s" s="7">
        <v>442</v>
      </c>
      <c r="C45" s="298">
        <v>10</v>
      </c>
      <c r="D45" t="s" s="7">
        <v>96</v>
      </c>
      <c r="E45" t="s" s="7">
        <v>145</v>
      </c>
      <c r="F45" t="s" s="7">
        <v>158</v>
      </c>
      <c r="G45" t="s" s="7">
        <v>220</v>
      </c>
      <c r="H45" t="s" s="17">
        <v>448</v>
      </c>
      <c r="I45" t="s">
        <v>449</v>
      </c>
    </row>
    <row r="46" spans="1:8" x14ac:dyDescent="0.3">
      <c r="A46" s="48"/>
      <c r="B46" s="7"/>
      <c r="C46" s="6"/>
      <c r="D46" s="7"/>
      <c r="E46" s="7"/>
      <c r="F46" s="7"/>
      <c r="G46" s="7"/>
      <c r="H46" s="17">
        <f>IF(A46="","",TEXT(IF(DAY(A46)&gt;=Setup!$B$9,DATE(YEAR(A46),MONTH(A46)+1,1),DATE(YEAR(A46),MONTH(A46),1)),"mmmm yyyy"))</f>
      </c>
    </row>
    <row r="47" spans="1:8" x14ac:dyDescent="0.3">
      <c r="A47" s="48"/>
      <c r="B47" s="7"/>
      <c r="C47" s="6"/>
      <c r="D47" s="7"/>
      <c r="E47" s="7"/>
      <c r="F47" s="7"/>
      <c r="G47" s="7"/>
      <c r="H47" s="17">
        <f>IF(A47="","",TEXT(IF(DAY(A47)&gt;=Setup!$B$9,DATE(YEAR(A47),MONTH(A47)+1,1),DATE(YEAR(A47),MONTH(A47),1)),"mmmm yyyy"))</f>
      </c>
    </row>
    <row r="48" spans="1:8" x14ac:dyDescent="0.3">
      <c r="A48" s="48"/>
      <c r="B48" s="7"/>
      <c r="C48" s="6"/>
      <c r="D48" s="7"/>
      <c r="E48" s="7"/>
      <c r="F48" s="7"/>
      <c r="G48" s="7"/>
      <c r="H48" s="17">
        <f>IF(A48="","",TEXT(IF(DAY(A48)&gt;=Setup!$B$9,DATE(YEAR(A48),MONTH(A48)+1,1),DATE(YEAR(A48),MONTH(A48),1)),"mmmm yyyy"))</f>
      </c>
    </row>
    <row r="49" spans="1:8" x14ac:dyDescent="0.3">
      <c r="A49" s="48"/>
      <c r="B49" s="7"/>
      <c r="C49" s="6"/>
      <c r="D49" s="7"/>
      <c r="E49" s="7"/>
      <c r="F49" s="7"/>
      <c r="G49" s="7"/>
      <c r="H49" s="17">
        <f>IF(A49="","",TEXT(IF(DAY(A49)&gt;=Setup!$B$9,DATE(YEAR(A49),MONTH(A49)+1,1),DATE(YEAR(A49),MONTH(A49),1)),"mmmm yyyy"))</f>
      </c>
    </row>
    <row r="50" spans="1:8" x14ac:dyDescent="0.3">
      <c r="A50" s="48"/>
      <c r="B50" s="7"/>
      <c r="C50" s="6"/>
      <c r="D50" s="7"/>
      <c r="E50" s="7"/>
      <c r="F50" s="7"/>
      <c r="G50" s="7"/>
      <c r="H50" s="17">
        <f>IF(A50="","",TEXT(IF(DAY(A50)&gt;=Setup!$B$9,DATE(YEAR(A50),MONTH(A50)+1,1),DATE(YEAR(A50),MONTH(A50),1)),"mmmm yyyy"))</f>
      </c>
    </row>
    <row r="51" spans="1:8" x14ac:dyDescent="0.3">
      <c r="A51" s="48"/>
      <c r="B51" s="7"/>
      <c r="C51" s="6"/>
      <c r="D51" s="7"/>
      <c r="E51" s="7"/>
      <c r="F51" s="7"/>
      <c r="G51" s="7"/>
      <c r="H51" s="17">
        <f>IF(A51="","",TEXT(IF(DAY(A51)&gt;=Setup!$B$9,DATE(YEAR(A51),MONTH(A51)+1,1),DATE(YEAR(A51),MONTH(A51),1)),"mmmm yyyy"))</f>
      </c>
    </row>
    <row r="52" spans="1:8" x14ac:dyDescent="0.3">
      <c r="A52" s="48"/>
      <c r="B52" s="7"/>
      <c r="C52" s="6"/>
      <c r="D52" s="7"/>
      <c r="E52" s="7"/>
      <c r="F52" s="7"/>
      <c r="G52" s="7"/>
      <c r="H52" s="17">
        <f>IF(A52="","",TEXT(IF(DAY(A52)&gt;=Setup!$B$9,DATE(YEAR(A52),MONTH(A52)+1,1),DATE(YEAR(A52),MONTH(A52),1)),"mmmm yyyy"))</f>
      </c>
    </row>
    <row r="53" spans="1:8" x14ac:dyDescent="0.3">
      <c r="A53" s="48"/>
      <c r="B53" s="7"/>
      <c r="C53" s="6"/>
      <c r="D53" s="7"/>
      <c r="E53" s="7"/>
      <c r="F53" s="7"/>
      <c r="G53" s="7"/>
      <c r="H53" s="17">
        <f>IF(A53="","",TEXT(IF(DAY(A53)&gt;=Setup!$B$9,DATE(YEAR(A53),MONTH(A53)+1,1),DATE(YEAR(A53),MONTH(A53),1)),"mmmm yyyy"))</f>
      </c>
    </row>
    <row r="54" spans="1:8" x14ac:dyDescent="0.3">
      <c r="A54" s="48"/>
      <c r="B54" s="7"/>
      <c r="C54" s="6"/>
      <c r="D54" s="7"/>
      <c r="E54" s="7"/>
      <c r="F54" s="7"/>
      <c r="G54" s="7"/>
      <c r="H54" s="17">
        <f>IF(A54="","",TEXT(IF(DAY(A54)&gt;=Setup!$B$9,DATE(YEAR(A54),MONTH(A54)+1,1),DATE(YEAR(A54),MONTH(A54),1)),"mmmm yyyy"))</f>
      </c>
    </row>
    <row r="55" spans="1:8" x14ac:dyDescent="0.3">
      <c r="A55" s="48"/>
      <c r="B55" s="7"/>
      <c r="C55" s="6"/>
      <c r="D55" s="7"/>
      <c r="E55" s="7"/>
      <c r="F55" s="7"/>
      <c r="G55" s="7"/>
      <c r="H55" s="17">
        <f>IF(A55="","",TEXT(IF(DAY(A55)&gt;=Setup!$B$9,DATE(YEAR(A55),MONTH(A55)+1,1),DATE(YEAR(A55),MONTH(A55),1)),"mmmm yyyy"))</f>
      </c>
    </row>
    <row r="56" spans="1:8" x14ac:dyDescent="0.3">
      <c r="A56" s="48"/>
      <c r="B56" s="7"/>
      <c r="C56" s="6"/>
      <c r="D56" s="7"/>
      <c r="E56" s="7"/>
      <c r="F56" s="7"/>
      <c r="G56" s="7"/>
      <c r="H56" s="17">
        <f>IF(A56="","",TEXT(IF(DAY(A56)&gt;=Setup!$B$9,DATE(YEAR(A56),MONTH(A56)+1,1),DATE(YEAR(A56),MONTH(A56),1)),"mmmm yyyy"))</f>
      </c>
    </row>
    <row r="57" spans="1:8" x14ac:dyDescent="0.3">
      <c r="A57" s="48"/>
      <c r="B57" s="7"/>
      <c r="C57" s="6"/>
      <c r="D57" s="7"/>
      <c r="E57" s="7"/>
      <c r="F57" s="7"/>
      <c r="G57" s="7"/>
      <c r="H57" s="17">
        <f>IF(A57="","",TEXT(IF(DAY(A57)&gt;=Setup!$B$9,DATE(YEAR(A57),MONTH(A57)+1,1),DATE(YEAR(A57),MONTH(A57),1)),"mmmm yyyy"))</f>
      </c>
    </row>
    <row r="58" spans="1:8" x14ac:dyDescent="0.3">
      <c r="A58" s="48"/>
      <c r="B58" s="7"/>
      <c r="C58" s="6"/>
      <c r="D58" s="7"/>
      <c r="E58" s="7"/>
      <c r="F58" s="7"/>
      <c r="G58" s="7"/>
      <c r="H58" s="17">
        <f>IF(A58="","",TEXT(IF(DAY(A58)&gt;=Setup!$B$9,DATE(YEAR(A58),MONTH(A58)+1,1),DATE(YEAR(A58),MONTH(A58),1)),"mmmm yyyy"))</f>
      </c>
    </row>
    <row r="59" spans="1:8" x14ac:dyDescent="0.3">
      <c r="A59" s="48"/>
      <c r="B59" s="7"/>
      <c r="C59" s="6"/>
      <c r="D59" s="7"/>
      <c r="E59" s="7"/>
      <c r="F59" s="7"/>
      <c r="G59" s="7"/>
      <c r="H59" s="17">
        <f>IF(A59="","",TEXT(IF(DAY(A59)&gt;=Setup!$B$9,DATE(YEAR(A59),MONTH(A59)+1,1),DATE(YEAR(A59),MONTH(A59),1)),"mmmm yyyy"))</f>
      </c>
    </row>
    <row r="60" spans="1:8" x14ac:dyDescent="0.3">
      <c r="A60" s="48"/>
      <c r="B60" s="7"/>
      <c r="C60" s="6"/>
      <c r="D60" s="7"/>
      <c r="E60" s="7"/>
      <c r="F60" s="7"/>
      <c r="G60" s="7"/>
      <c r="H60" s="17">
        <f>IF(A60="","",TEXT(IF(DAY(A60)&gt;=Setup!$B$9,DATE(YEAR(A60),MONTH(A60)+1,1),DATE(YEAR(A60),MONTH(A60),1)),"mmmm yyyy"))</f>
      </c>
    </row>
    <row r="61" spans="1:8" x14ac:dyDescent="0.3">
      <c r="A61" s="48"/>
      <c r="B61" s="7"/>
      <c r="C61" s="6"/>
      <c r="D61" s="7"/>
      <c r="E61" s="7"/>
      <c r="F61" s="7"/>
      <c r="G61" s="7"/>
      <c r="H61" s="17">
        <f>IF(A61="","",TEXT(IF(DAY(A61)&gt;=Setup!$B$9,DATE(YEAR(A61),MONTH(A61)+1,1),DATE(YEAR(A61),MONTH(A61),1)),"mmmm yyyy"))</f>
      </c>
    </row>
    <row r="62" spans="1:8" x14ac:dyDescent="0.3">
      <c r="A62" s="48"/>
      <c r="B62" s="7"/>
      <c r="C62" s="6"/>
      <c r="D62" s="7"/>
      <c r="E62" s="7"/>
      <c r="F62" s="7"/>
      <c r="G62" s="7"/>
      <c r="H62" s="17">
        <f>IF(A62="","",TEXT(IF(DAY(A62)&gt;=Setup!$B$9,DATE(YEAR(A62),MONTH(A62)+1,1),DATE(YEAR(A62),MONTH(A62),1)),"mmmm yyyy"))</f>
      </c>
    </row>
    <row r="63" spans="1:8" x14ac:dyDescent="0.3">
      <c r="A63" s="48"/>
      <c r="B63" s="7"/>
      <c r="C63" s="6"/>
      <c r="D63" s="7"/>
      <c r="E63" s="7"/>
      <c r="F63" s="7"/>
      <c r="G63" s="7"/>
      <c r="H63" s="17">
        <f>IF(A63="","",TEXT(IF(DAY(A63)&gt;=Setup!$B$9,DATE(YEAR(A63),MONTH(A63)+1,1),DATE(YEAR(A63),MONTH(A63),1)),"mmmm yyyy"))</f>
      </c>
    </row>
    <row r="64" spans="1:8" x14ac:dyDescent="0.3">
      <c r="A64" s="48"/>
      <c r="B64" s="7"/>
      <c r="C64" s="6"/>
      <c r="D64" s="7"/>
      <c r="E64" s="7"/>
      <c r="F64" s="7"/>
      <c r="G64" s="7"/>
      <c r="H64" s="17">
        <f>IF(A64="","",TEXT(IF(DAY(A64)&gt;=Setup!$B$9,DATE(YEAR(A64),MONTH(A64)+1,1),DATE(YEAR(A64),MONTH(A64),1)),"mmmm yyyy"))</f>
      </c>
    </row>
    <row r="65" spans="1:8" x14ac:dyDescent="0.3">
      <c r="A65" s="48"/>
      <c r="B65" s="7"/>
      <c r="C65" s="6"/>
      <c r="D65" s="7"/>
      <c r="E65" s="7"/>
      <c r="F65" s="7"/>
      <c r="G65" s="7"/>
      <c r="H65" s="17">
        <f>IF(A65="","",TEXT(IF(DAY(A65)&gt;=Setup!$B$9,DATE(YEAR(A65),MONTH(A65)+1,1),DATE(YEAR(A65),MONTH(A65),1)),"mmmm yyyy"))</f>
      </c>
    </row>
    <row r="66" spans="1:8" x14ac:dyDescent="0.3">
      <c r="A66" s="48"/>
      <c r="B66" s="7"/>
      <c r="C66" s="6"/>
      <c r="D66" s="7"/>
      <c r="E66" s="7"/>
      <c r="F66" s="7"/>
      <c r="G66" s="7"/>
      <c r="H66" s="17">
        <f>IF(A66="","",TEXT(IF(DAY(A66)&gt;=Setup!$B$9,DATE(YEAR(A66),MONTH(A66)+1,1),DATE(YEAR(A66),MONTH(A66),1)),"mmmm yyyy"))</f>
      </c>
    </row>
    <row r="67" spans="1:8" x14ac:dyDescent="0.3">
      <c r="A67" s="48"/>
      <c r="B67" s="7"/>
      <c r="C67" s="6"/>
      <c r="D67" s="7"/>
      <c r="E67" s="7"/>
      <c r="F67" s="7"/>
      <c r="G67" s="7"/>
      <c r="H67" s="17">
        <f>IF(A67="","",TEXT(IF(DAY(A67)&gt;=Setup!$B$9,DATE(YEAR(A67),MONTH(A67)+1,1),DATE(YEAR(A67),MONTH(A67),1)),"mmmm yyyy"))</f>
      </c>
    </row>
    <row r="68" spans="1:8" x14ac:dyDescent="0.3">
      <c r="A68" s="48"/>
      <c r="B68" s="7"/>
      <c r="C68" s="6"/>
      <c r="D68" s="7"/>
      <c r="E68" s="7"/>
      <c r="F68" s="7"/>
      <c r="G68" s="7"/>
      <c r="H68" s="17">
        <f>IF(A68="","",TEXT(IF(DAY(A68)&gt;=Setup!$B$9,DATE(YEAR(A68),MONTH(A68)+1,1),DATE(YEAR(A68),MONTH(A68),1)),"mmmm yyyy"))</f>
      </c>
    </row>
    <row r="69" spans="1:8" x14ac:dyDescent="0.3">
      <c r="A69" s="48"/>
      <c r="B69" s="7"/>
      <c r="C69" s="6"/>
      <c r="D69" s="7"/>
      <c r="E69" s="7"/>
      <c r="F69" s="7"/>
      <c r="G69" s="7"/>
      <c r="H69" s="17">
        <f>IF(A69="","",TEXT(IF(DAY(A69)&gt;=Setup!$B$9,DATE(YEAR(A69),MONTH(A69)+1,1),DATE(YEAR(A69),MONTH(A69),1)),"mmmm yyyy"))</f>
      </c>
    </row>
    <row r="70" spans="1:8" x14ac:dyDescent="0.3">
      <c r="A70" s="48"/>
      <c r="B70" s="7"/>
      <c r="C70" s="6"/>
      <c r="D70" s="7"/>
      <c r="E70" s="7"/>
      <c r="F70" s="7"/>
      <c r="G70" s="7"/>
      <c r="H70" s="17">
        <f>IF(A70="","",TEXT(IF(DAY(A70)&gt;=Setup!$B$9,DATE(YEAR(A70),MONTH(A70)+1,1),DATE(YEAR(A70),MONTH(A70),1)),"mmmm yyyy"))</f>
      </c>
    </row>
    <row r="71" spans="1:8" x14ac:dyDescent="0.3">
      <c r="A71" s="48"/>
      <c r="B71" s="7"/>
      <c r="C71" s="6"/>
      <c r="D71" s="7"/>
      <c r="E71" s="7"/>
      <c r="F71" s="7"/>
      <c r="G71" s="7"/>
      <c r="H71" s="17">
        <f>IF(A71="","",TEXT(IF(DAY(A71)&gt;=Setup!$B$9,DATE(YEAR(A71),MONTH(A71)+1,1),DATE(YEAR(A71),MONTH(A71),1)),"mmmm yyyy"))</f>
      </c>
    </row>
    <row r="72" spans="1:8" x14ac:dyDescent="0.3">
      <c r="A72" s="48"/>
      <c r="B72" s="7"/>
      <c r="C72" s="6"/>
      <c r="D72" s="7"/>
      <c r="E72" s="7"/>
      <c r="F72" s="7"/>
      <c r="G72" s="7"/>
      <c r="H72" s="17">
        <f>IF(A72="","",TEXT(IF(DAY(A72)&gt;=Setup!$B$9,DATE(YEAR(A72),MONTH(A72)+1,1),DATE(YEAR(A72),MONTH(A72),1)),"mmmm yyyy"))</f>
      </c>
    </row>
    <row r="73" spans="1:8" x14ac:dyDescent="0.3">
      <c r="A73" s="48"/>
      <c r="B73" s="7"/>
      <c r="C73" s="6"/>
      <c r="D73" s="7"/>
      <c r="E73" s="7"/>
      <c r="F73" s="7"/>
      <c r="G73" s="7"/>
      <c r="H73" s="17">
        <f>IF(A73="","",TEXT(IF(DAY(A73)&gt;=Setup!$B$9,DATE(YEAR(A73),MONTH(A73)+1,1),DATE(YEAR(A73),MONTH(A73),1)),"mmmm yyyy"))</f>
      </c>
    </row>
    <row r="74" spans="1:8" x14ac:dyDescent="0.3">
      <c r="A74" s="48"/>
      <c r="B74" s="7"/>
      <c r="C74" s="6"/>
      <c r="D74" s="7"/>
      <c r="E74" s="7"/>
      <c r="F74" s="7"/>
      <c r="G74" s="7"/>
      <c r="H74" s="17">
        <f>IF(A74="","",TEXT(IF(DAY(A74)&gt;=Setup!$B$9,DATE(YEAR(A74),MONTH(A74)+1,1),DATE(YEAR(A74),MONTH(A74),1)),"mmmm yyyy"))</f>
      </c>
    </row>
    <row r="75" spans="1:8" x14ac:dyDescent="0.3">
      <c r="A75" s="48"/>
      <c r="B75" s="7"/>
      <c r="C75" s="6"/>
      <c r="D75" s="7"/>
      <c r="E75" s="7"/>
      <c r="F75" s="7"/>
      <c r="G75" s="7"/>
      <c r="H75" s="17">
        <f>IF(A75="","",TEXT(IF(DAY(A75)&gt;=Setup!$B$9,DATE(YEAR(A75),MONTH(A75)+1,1),DATE(YEAR(A75),MONTH(A75),1)),"mmmm yyyy"))</f>
      </c>
    </row>
    <row r="76" spans="1:8" x14ac:dyDescent="0.3">
      <c r="A76" s="48"/>
      <c r="B76" s="7"/>
      <c r="C76" s="6"/>
      <c r="D76" s="7"/>
      <c r="E76" s="7"/>
      <c r="F76" s="7"/>
      <c r="G76" s="7"/>
      <c r="H76" s="17">
        <f>IF(A76="","",TEXT(IF(DAY(A76)&gt;=Setup!$B$9,DATE(YEAR(A76),MONTH(A76)+1,1),DATE(YEAR(A76),MONTH(A76),1)),"mmmm yyyy"))</f>
      </c>
    </row>
    <row r="77" spans="1:8" x14ac:dyDescent="0.3">
      <c r="A77" s="48"/>
      <c r="B77" s="7"/>
      <c r="C77" s="6"/>
      <c r="D77" s="7"/>
      <c r="E77" s="7"/>
      <c r="F77" s="7"/>
      <c r="G77" s="7"/>
      <c r="H77" s="17">
        <f>IF(A77="","",TEXT(IF(DAY(A77)&gt;=Setup!$B$9,DATE(YEAR(A77),MONTH(A77)+1,1),DATE(YEAR(A77),MONTH(A77),1)),"mmmm yyyy"))</f>
      </c>
    </row>
    <row r="78" spans="1:8" x14ac:dyDescent="0.3">
      <c r="A78" s="48"/>
      <c r="B78" s="7"/>
      <c r="C78" s="6"/>
      <c r="D78" s="7"/>
      <c r="E78" s="7"/>
      <c r="F78" s="7"/>
      <c r="G78" s="7"/>
      <c r="H78" s="17">
        <f>IF(A78="","",TEXT(IF(DAY(A78)&gt;=Setup!$B$9,DATE(YEAR(A78),MONTH(A78)+1,1),DATE(YEAR(A78),MONTH(A78),1)),"mmmm yyyy"))</f>
      </c>
    </row>
    <row r="79" spans="1:8" x14ac:dyDescent="0.3">
      <c r="A79" s="48"/>
      <c r="B79" s="7"/>
      <c r="C79" s="6"/>
      <c r="D79" s="7"/>
      <c r="E79" s="7"/>
      <c r="F79" s="7"/>
      <c r="G79" s="7"/>
      <c r="H79" s="17">
        <f>IF(A79="","",TEXT(IF(DAY(A79)&gt;=Setup!$B$9,DATE(YEAR(A79),MONTH(A79)+1,1),DATE(YEAR(A79),MONTH(A79),1)),"mmmm yyyy"))</f>
      </c>
    </row>
    <row r="80" spans="1:8" x14ac:dyDescent="0.3">
      <c r="A80" s="48"/>
      <c r="B80" s="7"/>
      <c r="C80" s="6"/>
      <c r="D80" s="7"/>
      <c r="E80" s="7"/>
      <c r="F80" s="7"/>
      <c r="G80" s="7"/>
      <c r="H80" s="17">
        <f>IF(A80="","",TEXT(IF(DAY(A80)&gt;=Setup!$B$9,DATE(YEAR(A80),MONTH(A80)+1,1),DATE(YEAR(A80),MONTH(A80),1)),"mmmm yyyy"))</f>
      </c>
    </row>
    <row r="81" spans="1:8" x14ac:dyDescent="0.3">
      <c r="A81" s="48"/>
      <c r="B81" s="7"/>
      <c r="C81" s="6"/>
      <c r="D81" s="7"/>
      <c r="E81" s="7"/>
      <c r="F81" s="7"/>
      <c r="G81" s="7"/>
      <c r="H81" s="17">
        <f>IF(A81="","",TEXT(IF(DAY(A81)&gt;=Setup!$B$9,DATE(YEAR(A81),MONTH(A81)+1,1),DATE(YEAR(A81),MONTH(A81),1)),"mmmm yyyy"))</f>
      </c>
    </row>
    <row r="82" spans="1:8" x14ac:dyDescent="0.3">
      <c r="A82" s="48"/>
      <c r="B82" s="7"/>
      <c r="C82" s="6"/>
      <c r="D82" s="7"/>
      <c r="E82" s="7"/>
      <c r="F82" s="7"/>
      <c r="G82" s="7"/>
      <c r="H82" s="17">
        <f>IF(A82="","",TEXT(IF(DAY(A82)&gt;=Setup!$B$9,DATE(YEAR(A82),MONTH(A82)+1,1),DATE(YEAR(A82),MONTH(A82),1)),"mmmm yyyy"))</f>
      </c>
    </row>
    <row r="83" spans="1:8" x14ac:dyDescent="0.3">
      <c r="A83" s="48"/>
      <c r="B83" s="7"/>
      <c r="C83" s="6"/>
      <c r="D83" s="7"/>
      <c r="E83" s="7"/>
      <c r="F83" s="7"/>
      <c r="G83" s="7"/>
      <c r="H83" s="17">
        <f>IF(A83="","",TEXT(IF(DAY(A83)&gt;=Setup!$B$9,DATE(YEAR(A83),MONTH(A83)+1,1),DATE(YEAR(A83),MONTH(A83),1)),"mmmm yyyy"))</f>
      </c>
    </row>
    <row r="84" spans="1:8" x14ac:dyDescent="0.3">
      <c r="A84" s="48"/>
      <c r="B84" s="7"/>
      <c r="C84" s="6"/>
      <c r="D84" s="7"/>
      <c r="E84" s="7"/>
      <c r="F84" s="7"/>
      <c r="G84" s="7"/>
      <c r="H84" s="17">
        <f>IF(A84="","",TEXT(IF(DAY(A84)&gt;=Setup!$B$9,DATE(YEAR(A84),MONTH(A84)+1,1),DATE(YEAR(A84),MONTH(A84),1)),"mmmm yyyy"))</f>
      </c>
    </row>
    <row r="85" spans="1:8" x14ac:dyDescent="0.3">
      <c r="A85" s="48"/>
      <c r="B85" s="7"/>
      <c r="C85" s="6"/>
      <c r="D85" s="7"/>
      <c r="E85" s="7"/>
      <c r="F85" s="7"/>
      <c r="G85" s="7"/>
      <c r="H85" s="17">
        <f>IF(A85="","",TEXT(IF(DAY(A85)&gt;=Setup!$B$9,DATE(YEAR(A85),MONTH(A85)+1,1),DATE(YEAR(A85),MONTH(A85),1)),"mmmm yyyy"))</f>
      </c>
    </row>
    <row r="86" spans="1:8" x14ac:dyDescent="0.3">
      <c r="A86" s="48"/>
      <c r="B86" s="7"/>
      <c r="C86" s="6"/>
      <c r="D86" s="7"/>
      <c r="E86" s="7"/>
      <c r="F86" s="7"/>
      <c r="G86" s="7"/>
      <c r="H86" s="17">
        <f>IF(A86="","",TEXT(IF(DAY(A86)&gt;=Setup!$B$9,DATE(YEAR(A86),MONTH(A86)+1,1),DATE(YEAR(A86),MONTH(A86),1)),"mmmm yyyy"))</f>
      </c>
    </row>
    <row r="87" spans="1:8" x14ac:dyDescent="0.3">
      <c r="A87" s="48"/>
      <c r="B87" s="7"/>
      <c r="C87" s="6"/>
      <c r="D87" s="7"/>
      <c r="E87" s="7"/>
      <c r="F87" s="7"/>
      <c r="G87" s="7"/>
      <c r="H87" s="17">
        <f>IF(A87="","",TEXT(IF(DAY(A87)&gt;=Setup!$B$9,DATE(YEAR(A87),MONTH(A87)+1,1),DATE(YEAR(A87),MONTH(A87),1)),"mmmm yyyy"))</f>
      </c>
    </row>
    <row r="88" spans="1:8" x14ac:dyDescent="0.3">
      <c r="A88" s="48"/>
      <c r="B88" s="7"/>
      <c r="C88" s="6"/>
      <c r="D88" s="7"/>
      <c r="E88" s="7"/>
      <c r="F88" s="7"/>
      <c r="G88" s="7"/>
      <c r="H88" s="17">
        <f>IF(A88="","",TEXT(IF(DAY(A88)&gt;=Setup!$B$9,DATE(YEAR(A88),MONTH(A88)+1,1),DATE(YEAR(A88),MONTH(A88),1)),"mmmm yyyy"))</f>
      </c>
    </row>
    <row r="89" spans="1:8" x14ac:dyDescent="0.3">
      <c r="A89" s="48"/>
      <c r="B89" s="7"/>
      <c r="C89" s="6"/>
      <c r="D89" s="7"/>
      <c r="E89" s="7"/>
      <c r="F89" s="7"/>
      <c r="G89" s="7"/>
      <c r="H89" s="17">
        <f>IF(A89="","",TEXT(IF(DAY(A89)&gt;=Setup!$B$9,DATE(YEAR(A89),MONTH(A89)+1,1),DATE(YEAR(A89),MONTH(A89),1)),"mmmm yyyy"))</f>
      </c>
    </row>
    <row r="90" spans="1:8" x14ac:dyDescent="0.3">
      <c r="A90" s="48"/>
      <c r="B90" s="7"/>
      <c r="C90" s="6"/>
      <c r="D90" s="7"/>
      <c r="E90" s="7"/>
      <c r="F90" s="7"/>
      <c r="G90" s="7"/>
      <c r="H90" s="17">
        <f>IF(A90="","",TEXT(IF(DAY(A90)&gt;=Setup!$B$9,DATE(YEAR(A90),MONTH(A90)+1,1),DATE(YEAR(A90),MONTH(A90),1)),"mmmm yyyy"))</f>
      </c>
    </row>
    <row r="91" spans="1:8" x14ac:dyDescent="0.3">
      <c r="A91" s="48"/>
      <c r="B91" s="7"/>
      <c r="C91" s="6"/>
      <c r="D91" s="7"/>
      <c r="E91" s="7"/>
      <c r="F91" s="7"/>
      <c r="G91" s="7"/>
      <c r="H91" s="17">
        <f>IF(A91="","",TEXT(IF(DAY(A91)&gt;=Setup!$B$9,DATE(YEAR(A91),MONTH(A91)+1,1),DATE(YEAR(A91),MONTH(A91),1)),"mmmm yyyy"))</f>
      </c>
    </row>
    <row r="92" spans="1:8" x14ac:dyDescent="0.3">
      <c r="A92" s="48"/>
      <c r="B92" s="7"/>
      <c r="C92" s="6"/>
      <c r="D92" s="7"/>
      <c r="E92" s="7"/>
      <c r="F92" s="7"/>
      <c r="G92" s="7"/>
      <c r="H92" s="17">
        <f>IF(A92="","",TEXT(IF(DAY(A92)&gt;=Setup!$B$9,DATE(YEAR(A92),MONTH(A92)+1,1),DATE(YEAR(A92),MONTH(A92),1)),"mmmm yyyy"))</f>
      </c>
    </row>
    <row r="93" spans="1:8" x14ac:dyDescent="0.3">
      <c r="A93" s="48"/>
      <c r="B93" s="7"/>
      <c r="C93" s="6"/>
      <c r="D93" s="7"/>
      <c r="E93" s="7"/>
      <c r="F93" s="7"/>
      <c r="G93" s="7"/>
      <c r="H93" s="17">
        <f>IF(A93="","",TEXT(IF(DAY(A93)&gt;=Setup!$B$9,DATE(YEAR(A93),MONTH(A93)+1,1),DATE(YEAR(A93),MONTH(A93),1)),"mmmm yyyy"))</f>
      </c>
    </row>
    <row r="94" spans="1:8" x14ac:dyDescent="0.3">
      <c r="A94" s="48"/>
      <c r="B94" s="7"/>
      <c r="C94" s="6"/>
      <c r="D94" s="7"/>
      <c r="E94" s="7"/>
      <c r="F94" s="7"/>
      <c r="G94" s="7"/>
      <c r="H94" s="17">
        <f>IF(A94="","",TEXT(IF(DAY(A94)&gt;=Setup!$B$9,DATE(YEAR(A94),MONTH(A94)+1,1),DATE(YEAR(A94),MONTH(A94),1)),"mmmm yyyy"))</f>
      </c>
    </row>
    <row r="95" spans="1:8" x14ac:dyDescent="0.3">
      <c r="A95" s="48"/>
      <c r="B95" s="7"/>
      <c r="C95" s="6"/>
      <c r="D95" s="7"/>
      <c r="E95" s="7"/>
      <c r="F95" s="7"/>
      <c r="G95" s="7"/>
      <c r="H95" s="17">
        <f>IF(A95="","",TEXT(IF(DAY(A95)&gt;=Setup!$B$9,DATE(YEAR(A95),MONTH(A95)+1,1),DATE(YEAR(A95),MONTH(A95),1)),"mmmm yyyy"))</f>
      </c>
    </row>
    <row r="96" spans="1:8" x14ac:dyDescent="0.3">
      <c r="A96" s="48"/>
      <c r="B96" s="7"/>
      <c r="C96" s="6"/>
      <c r="D96" s="7"/>
      <c r="E96" s="7"/>
      <c r="F96" s="7"/>
      <c r="G96" s="7"/>
      <c r="H96" s="17">
        <f>IF(A96="","",TEXT(IF(DAY(A96)&gt;=Setup!$B$9,DATE(YEAR(A96),MONTH(A96)+1,1),DATE(YEAR(A96),MONTH(A96),1)),"mmmm yyyy"))</f>
      </c>
    </row>
    <row r="97" spans="1:8" x14ac:dyDescent="0.3">
      <c r="A97" s="48"/>
      <c r="B97" s="7"/>
      <c r="C97" s="6"/>
      <c r="D97" s="7"/>
      <c r="E97" s="7"/>
      <c r="F97" s="7"/>
      <c r="G97" s="7"/>
      <c r="H97" s="17">
        <f>IF(A97="","",TEXT(IF(DAY(A97)&gt;=Setup!$B$9,DATE(YEAR(A97),MONTH(A97)+1,1),DATE(YEAR(A97),MONTH(A97),1)),"mmmm yyyy"))</f>
      </c>
    </row>
    <row r="98" spans="1:8" x14ac:dyDescent="0.3">
      <c r="A98" s="48"/>
      <c r="B98" s="7"/>
      <c r="C98" s="6"/>
      <c r="D98" s="7"/>
      <c r="E98" s="7"/>
      <c r="F98" s="7"/>
      <c r="G98" s="7"/>
      <c r="H98" s="17">
        <f>IF(A98="","",TEXT(IF(DAY(A98)&gt;=Setup!$B$9,DATE(YEAR(A98),MONTH(A98)+1,1),DATE(YEAR(A98),MONTH(A98),1)),"mmmm yyyy"))</f>
      </c>
    </row>
    <row r="99" spans="1:8" x14ac:dyDescent="0.3">
      <c r="A99" s="48"/>
      <c r="B99" s="7"/>
      <c r="C99" s="6"/>
      <c r="D99" s="7"/>
      <c r="E99" s="7"/>
      <c r="F99" s="7"/>
      <c r="G99" s="7"/>
      <c r="H99" s="17">
        <f>IF(A99="","",TEXT(IF(DAY(A99)&gt;=Setup!$B$9,DATE(YEAR(A99),MONTH(A99)+1,1),DATE(YEAR(A99),MONTH(A99),1)),"mmmm yyyy"))</f>
      </c>
    </row>
    <row r="100" spans="1:8" x14ac:dyDescent="0.3">
      <c r="A100" s="48"/>
      <c r="B100" s="7"/>
      <c r="C100" s="6"/>
      <c r="D100" s="7"/>
      <c r="E100" s="7"/>
      <c r="F100" s="7"/>
      <c r="G100" s="7"/>
      <c r="H100" s="17">
        <f>IF(A100="","",TEXT(IF(DAY(A100)&gt;=Setup!$B$9,DATE(YEAR(A100),MONTH(A100)+1,1),DATE(YEAR(A100),MONTH(A100),1)),"mmmm yyyy"))</f>
      </c>
    </row>
    <row r="101" spans="1:8" x14ac:dyDescent="0.3">
      <c r="A101" s="48"/>
      <c r="B101" s="7"/>
      <c r="C101" s="6"/>
      <c r="D101" s="7"/>
      <c r="E101" s="7"/>
      <c r="F101" s="7"/>
      <c r="G101" s="7"/>
      <c r="H101" s="17">
        <f>IF(A101="","",TEXT(IF(DAY(A101)&gt;=Setup!$B$9,DATE(YEAR(A101),MONTH(A101)+1,1),DATE(YEAR(A101),MONTH(A101),1)),"mmmm yyyy"))</f>
      </c>
    </row>
    <row r="102" spans="1:8" x14ac:dyDescent="0.3">
      <c r="A102" s="48"/>
      <c r="B102" s="7"/>
      <c r="C102" s="6"/>
      <c r="D102" s="7"/>
      <c r="E102" s="7"/>
      <c r="F102" s="7"/>
      <c r="G102" s="7"/>
      <c r="H102" s="17">
        <f>IF(A102="","",TEXT(IF(DAY(A102)&gt;=Setup!$B$9,DATE(YEAR(A102),MONTH(A102)+1,1),DATE(YEAR(A102),MONTH(A102),1)),"mmmm yyyy"))</f>
      </c>
    </row>
    <row r="103" spans="1:8" x14ac:dyDescent="0.3">
      <c r="A103" s="48"/>
      <c r="B103" s="7"/>
      <c r="C103" s="6"/>
      <c r="D103" s="7"/>
      <c r="E103" s="7"/>
      <c r="F103" s="7"/>
      <c r="G103" s="7"/>
      <c r="H103" s="17">
        <f>IF(A103="","",TEXT(IF(DAY(A103)&gt;=Setup!$B$9,DATE(YEAR(A103),MONTH(A103)+1,1),DATE(YEAR(A103),MONTH(A103),1)),"mmmm yyyy"))</f>
      </c>
    </row>
    <row r="104" spans="1:8" x14ac:dyDescent="0.3">
      <c r="A104" s="48"/>
      <c r="B104" s="7"/>
      <c r="C104" s="6"/>
      <c r="D104" s="7"/>
      <c r="E104" s="7"/>
      <c r="F104" s="7"/>
      <c r="G104" s="7"/>
      <c r="H104" s="17">
        <f>IF(A104="","",TEXT(IF(DAY(A104)&gt;=Setup!$B$9,DATE(YEAR(A104),MONTH(A104)+1,1),DATE(YEAR(A104),MONTH(A104),1)),"mmmm yyyy"))</f>
      </c>
    </row>
    <row r="105" spans="1:8" x14ac:dyDescent="0.3">
      <c r="A105" s="48"/>
      <c r="B105" s="7"/>
      <c r="C105" s="6"/>
      <c r="D105" s="7"/>
      <c r="E105" s="7"/>
      <c r="F105" s="7"/>
      <c r="G105" s="7"/>
      <c r="H105" s="17">
        <f>IF(A105="","",TEXT(IF(DAY(A105)&gt;=Setup!$B$9,DATE(YEAR(A105),MONTH(A105)+1,1),DATE(YEAR(A105),MONTH(A105),1)),"mmmm yyyy"))</f>
      </c>
    </row>
    <row r="106" spans="1:8" x14ac:dyDescent="0.3">
      <c r="A106" s="48"/>
      <c r="B106" s="7"/>
      <c r="C106" s="6"/>
      <c r="D106" s="7"/>
      <c r="E106" s="7"/>
      <c r="F106" s="7"/>
      <c r="G106" s="7"/>
      <c r="H106" s="17">
        <f>IF(A106="","",TEXT(IF(DAY(A106)&gt;=Setup!$B$9,DATE(YEAR(A106),MONTH(A106)+1,1),DATE(YEAR(A106),MONTH(A106),1)),"mmmm yyyy"))</f>
      </c>
    </row>
    <row r="107" spans="1:8" x14ac:dyDescent="0.3">
      <c r="A107" s="48"/>
      <c r="B107" s="7"/>
      <c r="C107" s="6"/>
      <c r="D107" s="7"/>
      <c r="E107" s="7"/>
      <c r="F107" s="7"/>
      <c r="G107" s="7"/>
      <c r="H107" s="17">
        <f>IF(A107="","",TEXT(IF(DAY(A107)&gt;=Setup!$B$9,DATE(YEAR(A107),MONTH(A107)+1,1),DATE(YEAR(A107),MONTH(A107),1)),"mmmm yyyy"))</f>
      </c>
    </row>
    <row r="108" spans="1:8" x14ac:dyDescent="0.3">
      <c r="A108" s="48"/>
      <c r="B108" s="7"/>
      <c r="C108" s="6"/>
      <c r="D108" s="7"/>
      <c r="E108" s="7"/>
      <c r="F108" s="7"/>
      <c r="G108" s="7"/>
      <c r="H108" s="17">
        <f>IF(A108="","",TEXT(IF(DAY(A108)&gt;=Setup!$B$9,DATE(YEAR(A108),MONTH(A108)+1,1),DATE(YEAR(A108),MONTH(A108),1)),"mmmm yyyy"))</f>
      </c>
    </row>
    <row r="109" spans="1:8" x14ac:dyDescent="0.3">
      <c r="A109" s="48"/>
      <c r="B109" s="7"/>
      <c r="C109" s="6"/>
      <c r="D109" s="7"/>
      <c r="E109" s="7"/>
      <c r="F109" s="7"/>
      <c r="G109" s="7"/>
      <c r="H109" s="17">
        <f>IF(A109="","",TEXT(IF(DAY(A109)&gt;=Setup!$B$9,DATE(YEAR(A109),MONTH(A109)+1,1),DATE(YEAR(A109),MONTH(A109),1)),"mmmm yyyy"))</f>
      </c>
    </row>
    <row r="110" spans="1:8" x14ac:dyDescent="0.3">
      <c r="A110" s="48"/>
      <c r="B110" s="7"/>
      <c r="C110" s="6"/>
      <c r="D110" s="7"/>
      <c r="E110" s="7"/>
      <c r="F110" s="7"/>
      <c r="G110" s="7"/>
      <c r="H110" s="17">
        <f>IF(A110="","",TEXT(IF(DAY(A110)&gt;=Setup!$B$9,DATE(YEAR(A110),MONTH(A110)+1,1),DATE(YEAR(A110),MONTH(A110),1)),"mmmm yyyy"))</f>
      </c>
    </row>
    <row r="111" spans="1:8" x14ac:dyDescent="0.3">
      <c r="A111" s="48"/>
      <c r="B111" s="7"/>
      <c r="C111" s="6"/>
      <c r="D111" s="7"/>
      <c r="E111" s="7"/>
      <c r="F111" s="7"/>
      <c r="G111" s="7"/>
      <c r="H111" s="17">
        <f>IF(A111="","",TEXT(IF(DAY(A111)&gt;=Setup!$B$9,DATE(YEAR(A111),MONTH(A111)+1,1),DATE(YEAR(A111),MONTH(A111),1)),"mmmm yyyy"))</f>
      </c>
    </row>
    <row r="112" spans="1:8" x14ac:dyDescent="0.3">
      <c r="A112" s="48"/>
      <c r="B112" s="7"/>
      <c r="C112" s="6"/>
      <c r="D112" s="7"/>
      <c r="E112" s="7"/>
      <c r="F112" s="7"/>
      <c r="G112" s="7"/>
      <c r="H112" s="17">
        <f>IF(A112="","",TEXT(IF(DAY(A112)&gt;=Setup!$B$9,DATE(YEAR(A112),MONTH(A112)+1,1),DATE(YEAR(A112),MONTH(A112),1)),"mmmm yyyy"))</f>
      </c>
    </row>
    <row r="113" spans="1:8" x14ac:dyDescent="0.3">
      <c r="A113" s="48"/>
      <c r="B113" s="7"/>
      <c r="C113" s="6"/>
      <c r="D113" s="7"/>
      <c r="E113" s="7"/>
      <c r="F113" s="7"/>
      <c r="G113" s="7"/>
      <c r="H113" s="17">
        <f>IF(A113="","",TEXT(IF(DAY(A113)&gt;=Setup!$B$9,DATE(YEAR(A113),MONTH(A113)+1,1),DATE(YEAR(A113),MONTH(A113),1)),"mmmm yyyy"))</f>
      </c>
    </row>
    <row r="114" spans="1:8" x14ac:dyDescent="0.3">
      <c r="A114" s="48"/>
      <c r="B114" s="7"/>
      <c r="C114" s="6"/>
      <c r="D114" s="7"/>
      <c r="E114" s="7"/>
      <c r="F114" s="7"/>
      <c r="G114" s="7"/>
      <c r="H114" s="17">
        <f>IF(A114="","",TEXT(IF(DAY(A114)&gt;=Setup!$B$9,DATE(YEAR(A114),MONTH(A114)+1,1),DATE(YEAR(A114),MONTH(A114),1)),"mmmm yyyy"))</f>
      </c>
    </row>
    <row r="115" spans="1:8" x14ac:dyDescent="0.3">
      <c r="A115" s="48"/>
      <c r="B115" s="7"/>
      <c r="C115" s="6"/>
      <c r="D115" s="7"/>
      <c r="E115" s="7"/>
      <c r="F115" s="7"/>
      <c r="G115" s="7"/>
      <c r="H115" s="17">
        <f>IF(A115="","",TEXT(IF(DAY(A115)&gt;=Setup!$B$9,DATE(YEAR(A115),MONTH(A115)+1,1),DATE(YEAR(A115),MONTH(A115),1)),"mmmm yyyy"))</f>
      </c>
    </row>
    <row r="116" spans="1:8" x14ac:dyDescent="0.3">
      <c r="A116" s="48"/>
      <c r="B116" s="7"/>
      <c r="C116" s="6"/>
      <c r="D116" s="7"/>
      <c r="E116" s="7"/>
      <c r="F116" s="7"/>
      <c r="G116" s="7"/>
      <c r="H116" s="17">
        <f>IF(A116="","",TEXT(IF(DAY(A116)&gt;=Setup!$B$9,DATE(YEAR(A116),MONTH(A116)+1,1),DATE(YEAR(A116),MONTH(A116),1)),"mmmm yyyy"))</f>
      </c>
    </row>
    <row r="117" spans="1:8" x14ac:dyDescent="0.3">
      <c r="A117" s="48"/>
      <c r="B117" s="7"/>
      <c r="C117" s="6"/>
      <c r="D117" s="7"/>
      <c r="E117" s="7"/>
      <c r="F117" s="7"/>
      <c r="G117" s="7"/>
      <c r="H117" s="17">
        <f>IF(A117="","",TEXT(IF(DAY(A117)&gt;=Setup!$B$9,DATE(YEAR(A117),MONTH(A117)+1,1),DATE(YEAR(A117),MONTH(A117),1)),"mmmm yyyy"))</f>
      </c>
    </row>
    <row r="118" spans="1:8" x14ac:dyDescent="0.3">
      <c r="A118" s="48"/>
      <c r="B118" s="7"/>
      <c r="C118" s="6"/>
      <c r="D118" s="7"/>
      <c r="E118" s="7"/>
      <c r="F118" s="7"/>
      <c r="G118" s="7"/>
      <c r="H118" s="17">
        <f>IF(A118="","",TEXT(IF(DAY(A118)&gt;=Setup!$B$9,DATE(YEAR(A118),MONTH(A118)+1,1),DATE(YEAR(A118),MONTH(A118),1)),"mmmm yyyy"))</f>
      </c>
    </row>
    <row r="119" spans="1:8" x14ac:dyDescent="0.3">
      <c r="A119" s="48"/>
      <c r="B119" s="7"/>
      <c r="C119" s="6"/>
      <c r="D119" s="7"/>
      <c r="E119" s="7"/>
      <c r="F119" s="7"/>
      <c r="G119" s="7"/>
      <c r="H119" s="17">
        <f>IF(A119="","",TEXT(IF(DAY(A119)&gt;=Setup!$B$9,DATE(YEAR(A119),MONTH(A119)+1,1),DATE(YEAR(A119),MONTH(A119),1)),"mmmm yyyy"))</f>
      </c>
    </row>
    <row r="120" spans="1:8" x14ac:dyDescent="0.3">
      <c r="A120" s="48"/>
      <c r="B120" s="7"/>
      <c r="C120" s="6"/>
      <c r="D120" s="7"/>
      <c r="E120" s="7"/>
      <c r="F120" s="7"/>
      <c r="G120" s="7"/>
      <c r="H120" s="17">
        <f>IF(A120="","",TEXT(IF(DAY(A120)&gt;=Setup!$B$9,DATE(YEAR(A120),MONTH(A120)+1,1),DATE(YEAR(A120),MONTH(A120),1)),"mmmm yyyy"))</f>
      </c>
    </row>
    <row r="121" spans="1:8" x14ac:dyDescent="0.3">
      <c r="A121" s="48"/>
      <c r="B121" s="7"/>
      <c r="C121" s="6"/>
      <c r="D121" s="7"/>
      <c r="E121" s="7"/>
      <c r="F121" s="7"/>
      <c r="G121" s="7"/>
      <c r="H121" s="17">
        <f>IF(A121="","",TEXT(IF(DAY(A121)&gt;=Setup!$B$9,DATE(YEAR(A121),MONTH(A121)+1,1),DATE(YEAR(A121),MONTH(A121),1)),"mmmm yyyy"))</f>
      </c>
    </row>
    <row r="122" spans="1:8" x14ac:dyDescent="0.3">
      <c r="A122" s="48"/>
      <c r="B122" s="7"/>
      <c r="C122" s="6"/>
      <c r="D122" s="7"/>
      <c r="E122" s="7"/>
      <c r="F122" s="7"/>
      <c r="G122" s="7"/>
      <c r="H122" s="17">
        <f>IF(A122="","",TEXT(IF(DAY(A122)&gt;=Setup!$B$9,DATE(YEAR(A122),MONTH(A122)+1,1),DATE(YEAR(A122),MONTH(A122),1)),"mmmm yyyy"))</f>
      </c>
    </row>
    <row r="123" spans="1:8" x14ac:dyDescent="0.3">
      <c r="A123" s="48"/>
      <c r="B123" s="7"/>
      <c r="C123" s="6"/>
      <c r="D123" s="7"/>
      <c r="E123" s="7"/>
      <c r="F123" s="7"/>
      <c r="G123" s="7"/>
      <c r="H123" s="17">
        <f>IF(A123="","",TEXT(IF(DAY(A123)&gt;=Setup!$B$9,DATE(YEAR(A123),MONTH(A123)+1,1),DATE(YEAR(A123),MONTH(A123),1)),"mmmm yyyy"))</f>
      </c>
    </row>
    <row r="124" spans="1:8" x14ac:dyDescent="0.3">
      <c r="A124" s="48"/>
      <c r="B124" s="7"/>
      <c r="C124" s="6"/>
      <c r="D124" s="7"/>
      <c r="E124" s="7"/>
      <c r="F124" s="7"/>
      <c r="G124" s="7"/>
      <c r="H124" s="17">
        <f>IF(A124="","",TEXT(IF(DAY(A124)&gt;=Setup!$B$9,DATE(YEAR(A124),MONTH(A124)+1,1),DATE(YEAR(A124),MONTH(A124),1)),"mmmm yyyy"))</f>
      </c>
    </row>
    <row r="125" spans="1:8" x14ac:dyDescent="0.3">
      <c r="A125" s="48"/>
      <c r="B125" s="7"/>
      <c r="C125" s="6"/>
      <c r="D125" s="7"/>
      <c r="E125" s="7"/>
      <c r="F125" s="7"/>
      <c r="G125" s="7"/>
      <c r="H125" s="17">
        <f>IF(A125="","",TEXT(IF(DAY(A125)&gt;=Setup!$B$9,DATE(YEAR(A125),MONTH(A125)+1,1),DATE(YEAR(A125),MONTH(A125),1)),"mmmm yyyy"))</f>
      </c>
    </row>
    <row r="126" spans="1:8" x14ac:dyDescent="0.3">
      <c r="A126" s="48"/>
      <c r="B126" s="7"/>
      <c r="C126" s="6"/>
      <c r="D126" s="7"/>
      <c r="E126" s="7"/>
      <c r="F126" s="7"/>
      <c r="G126" s="7"/>
      <c r="H126" s="17">
        <f>IF(A126="","",TEXT(IF(DAY(A126)&gt;=Setup!$B$9,DATE(YEAR(A126),MONTH(A126)+1,1),DATE(YEAR(A126),MONTH(A126),1)),"mmmm yyyy"))</f>
      </c>
    </row>
    <row r="127" spans="1:8" x14ac:dyDescent="0.3">
      <c r="A127" s="48"/>
      <c r="B127" s="7"/>
      <c r="C127" s="6"/>
      <c r="D127" s="7"/>
      <c r="E127" s="7"/>
      <c r="F127" s="7"/>
      <c r="G127" s="7"/>
      <c r="H127" s="17">
        <f>IF(A127="","",TEXT(IF(DAY(A127)&gt;=Setup!$B$9,DATE(YEAR(A127),MONTH(A127)+1,1),DATE(YEAR(A127),MONTH(A127),1)),"mmmm yyyy"))</f>
      </c>
    </row>
    <row r="128" spans="1:8" x14ac:dyDescent="0.3">
      <c r="A128" s="48"/>
      <c r="B128" s="7"/>
      <c r="C128" s="6"/>
      <c r="D128" s="7"/>
      <c r="E128" s="7"/>
      <c r="F128" s="7"/>
      <c r="G128" s="7"/>
      <c r="H128" s="17">
        <f>IF(A128="","",TEXT(IF(DAY(A128)&gt;=Setup!$B$9,DATE(YEAR(A128),MONTH(A128)+1,1),DATE(YEAR(A128),MONTH(A128),1)),"mmmm yyyy"))</f>
      </c>
    </row>
    <row r="129" spans="1:8" x14ac:dyDescent="0.3">
      <c r="A129" s="48"/>
      <c r="B129" s="7"/>
      <c r="C129" s="6"/>
      <c r="D129" s="7"/>
      <c r="E129" s="7"/>
      <c r="F129" s="7"/>
      <c r="G129" s="7"/>
      <c r="H129" s="17">
        <f>IF(A129="","",TEXT(IF(DAY(A129)&gt;=Setup!$B$9,DATE(YEAR(A129),MONTH(A129)+1,1),DATE(YEAR(A129),MONTH(A129),1)),"mmmm yyyy"))</f>
      </c>
    </row>
    <row r="130" spans="1:8" x14ac:dyDescent="0.3">
      <c r="A130" s="48"/>
      <c r="B130" s="7"/>
      <c r="C130" s="6"/>
      <c r="D130" s="7"/>
      <c r="E130" s="7"/>
      <c r="F130" s="7"/>
      <c r="G130" s="7"/>
      <c r="H130" s="17">
        <f>IF(A130="","",TEXT(IF(DAY(A130)&gt;=Setup!$B$9,DATE(YEAR(A130),MONTH(A130)+1,1),DATE(YEAR(A130),MONTH(A130),1)),"mmmm yyyy"))</f>
      </c>
    </row>
    <row r="131" spans="1:8" x14ac:dyDescent="0.3">
      <c r="A131" s="48"/>
      <c r="B131" s="7"/>
      <c r="C131" s="6"/>
      <c r="D131" s="7"/>
      <c r="E131" s="7"/>
      <c r="F131" s="7"/>
      <c r="G131" s="7"/>
      <c r="H131" s="17">
        <f>IF(A131="","",TEXT(IF(DAY(A131)&gt;=Setup!$B$9,DATE(YEAR(A131),MONTH(A131)+1,1),DATE(YEAR(A131),MONTH(A131),1)),"mmmm yyyy"))</f>
      </c>
    </row>
    <row r="132" spans="1:8" x14ac:dyDescent="0.3">
      <c r="A132" s="48"/>
      <c r="B132" s="7"/>
      <c r="C132" s="6"/>
      <c r="D132" s="7"/>
      <c r="E132" s="7"/>
      <c r="F132" s="7"/>
      <c r="G132" s="7"/>
      <c r="H132" s="17">
        <f>IF(A132="","",TEXT(IF(DAY(A132)&gt;=Setup!$B$9,DATE(YEAR(A132),MONTH(A132)+1,1),DATE(YEAR(A132),MONTH(A132),1)),"mmmm yyyy"))</f>
      </c>
    </row>
    <row r="133" spans="1:8" x14ac:dyDescent="0.3">
      <c r="A133" s="48"/>
      <c r="B133" s="7"/>
      <c r="C133" s="6"/>
      <c r="D133" s="7"/>
      <c r="E133" s="7"/>
      <c r="F133" s="7"/>
      <c r="G133" s="7"/>
      <c r="H133" s="17">
        <f>IF(A133="","",TEXT(IF(DAY(A133)&gt;=Setup!$B$9,DATE(YEAR(A133),MONTH(A133)+1,1),DATE(YEAR(A133),MONTH(A133),1)),"mmmm yyyy"))</f>
      </c>
    </row>
    <row r="134" spans="1:8" x14ac:dyDescent="0.3">
      <c r="A134" s="48"/>
      <c r="B134" s="7"/>
      <c r="C134" s="6"/>
      <c r="D134" s="7"/>
      <c r="E134" s="7"/>
      <c r="F134" s="7"/>
      <c r="G134" s="7"/>
      <c r="H134" s="17">
        <f>IF(A134="","",TEXT(IF(DAY(A134)&gt;=Setup!$B$9,DATE(YEAR(A134),MONTH(A134)+1,1),DATE(YEAR(A134),MONTH(A134),1)),"mmmm yyyy"))</f>
      </c>
    </row>
    <row r="135" spans="1:8" x14ac:dyDescent="0.3">
      <c r="A135" s="48"/>
      <c r="B135" s="7"/>
      <c r="C135" s="6"/>
      <c r="D135" s="7"/>
      <c r="E135" s="7"/>
      <c r="F135" s="7"/>
      <c r="G135" s="7"/>
      <c r="H135" s="17">
        <f>IF(A135="","",TEXT(IF(DAY(A135)&gt;=Setup!$B$9,DATE(YEAR(A135),MONTH(A135)+1,1),DATE(YEAR(A135),MONTH(A135),1)),"mmmm yyyy"))</f>
      </c>
    </row>
    <row r="136" spans="1:8" x14ac:dyDescent="0.3">
      <c r="A136" s="48"/>
      <c r="B136" s="7"/>
      <c r="C136" s="6"/>
      <c r="D136" s="7"/>
      <c r="E136" s="7"/>
      <c r="F136" s="7"/>
      <c r="G136" s="7"/>
      <c r="H136" s="17">
        <f>IF(A136="","",TEXT(IF(DAY(A136)&gt;=Setup!$B$9,DATE(YEAR(A136),MONTH(A136)+1,1),DATE(YEAR(A136),MONTH(A136),1)),"mmmm yyyy"))</f>
      </c>
    </row>
    <row r="137" spans="1:8" x14ac:dyDescent="0.3">
      <c r="A137" s="48"/>
      <c r="B137" s="7"/>
      <c r="C137" s="6"/>
      <c r="D137" s="7"/>
      <c r="E137" s="7"/>
      <c r="F137" s="7"/>
      <c r="G137" s="7"/>
      <c r="H137" s="17">
        <f>IF(A137="","",TEXT(IF(DAY(A137)&gt;=Setup!$B$9,DATE(YEAR(A137),MONTH(A137)+1,1),DATE(YEAR(A137),MONTH(A137),1)),"mmmm yyyy"))</f>
      </c>
    </row>
    <row r="138" spans="1:8" x14ac:dyDescent="0.3">
      <c r="A138" s="48"/>
      <c r="B138" s="7"/>
      <c r="C138" s="6"/>
      <c r="D138" s="7"/>
      <c r="E138" s="7"/>
      <c r="F138" s="7"/>
      <c r="G138" s="7"/>
      <c r="H138" s="17">
        <f>IF(A138="","",TEXT(IF(DAY(A138)&gt;=Setup!$B$9,DATE(YEAR(A138),MONTH(A138)+1,1),DATE(YEAR(A138),MONTH(A138),1)),"mmmm yyyy"))</f>
      </c>
    </row>
    <row r="139" spans="1:8" x14ac:dyDescent="0.3">
      <c r="A139" s="48"/>
      <c r="B139" s="7"/>
      <c r="C139" s="6"/>
      <c r="D139" s="7"/>
      <c r="E139" s="7"/>
      <c r="F139" s="7"/>
      <c r="G139" s="7"/>
      <c r="H139" s="17">
        <f>IF(A139="","",TEXT(IF(DAY(A139)&gt;=Setup!$B$9,DATE(YEAR(A139),MONTH(A139)+1,1),DATE(YEAR(A139),MONTH(A139),1)),"mmmm yyyy"))</f>
      </c>
    </row>
    <row r="140" spans="1:8" x14ac:dyDescent="0.3">
      <c r="A140" s="48"/>
      <c r="B140" s="7"/>
      <c r="C140" s="6"/>
      <c r="D140" s="7"/>
      <c r="E140" s="7"/>
      <c r="F140" s="7"/>
      <c r="G140" s="7"/>
      <c r="H140" s="17">
        <f>IF(A140="","",TEXT(IF(DAY(A140)&gt;=Setup!$B$9,DATE(YEAR(A140),MONTH(A140)+1,1),DATE(YEAR(A140),MONTH(A140),1)),"mmmm yyyy"))</f>
      </c>
    </row>
    <row r="141" spans="1:8" x14ac:dyDescent="0.3">
      <c r="A141" s="48"/>
      <c r="B141" s="7"/>
      <c r="C141" s="6"/>
      <c r="D141" s="7"/>
      <c r="E141" s="7"/>
      <c r="F141" s="7"/>
      <c r="G141" s="7"/>
      <c r="H141" s="17">
        <f>IF(A141="","",TEXT(IF(DAY(A141)&gt;=Setup!$B$9,DATE(YEAR(A141),MONTH(A141)+1,1),DATE(YEAR(A141),MONTH(A141),1)),"mmmm yyyy"))</f>
      </c>
    </row>
    <row r="142" spans="1:8" x14ac:dyDescent="0.3">
      <c r="A142" s="48"/>
      <c r="B142" s="7"/>
      <c r="C142" s="6"/>
      <c r="D142" s="7"/>
      <c r="E142" s="7"/>
      <c r="F142" s="7"/>
      <c r="G142" s="7"/>
      <c r="H142" s="17">
        <f>IF(A142="","",TEXT(IF(DAY(A142)&gt;=Setup!$B$9,DATE(YEAR(A142),MONTH(A142)+1,1),DATE(YEAR(A142),MONTH(A142),1)),"mmmm yyyy"))</f>
      </c>
    </row>
    <row r="143" spans="1:8" x14ac:dyDescent="0.3">
      <c r="A143" s="48"/>
      <c r="B143" s="7"/>
      <c r="C143" s="6"/>
      <c r="D143" s="7"/>
      <c r="E143" s="7"/>
      <c r="F143" s="7"/>
      <c r="G143" s="7"/>
      <c r="H143" s="17">
        <f>IF(A143="","",TEXT(IF(DAY(A143)&gt;=Setup!$B$9,DATE(YEAR(A143),MONTH(A143)+1,1),DATE(YEAR(A143),MONTH(A143),1)),"mmmm yyyy"))</f>
      </c>
    </row>
    <row r="144" spans="1:8" x14ac:dyDescent="0.3">
      <c r="A144" s="48"/>
      <c r="B144" s="7"/>
      <c r="C144" s="6"/>
      <c r="D144" s="7"/>
      <c r="E144" s="7"/>
      <c r="F144" s="7"/>
      <c r="G144" s="7"/>
      <c r="H144" s="17">
        <f>IF(A144="","",TEXT(IF(DAY(A144)&gt;=Setup!$B$9,DATE(YEAR(A144),MONTH(A144)+1,1),DATE(YEAR(A144),MONTH(A144),1)),"mmmm yyyy"))</f>
      </c>
    </row>
    <row r="145" spans="1:8" x14ac:dyDescent="0.3">
      <c r="A145" s="48"/>
      <c r="B145" s="7"/>
      <c r="C145" s="6"/>
      <c r="D145" s="7"/>
      <c r="E145" s="7"/>
      <c r="F145" s="7"/>
      <c r="G145" s="7"/>
      <c r="H145" s="17">
        <f>IF(A145="","",TEXT(IF(DAY(A145)&gt;=Setup!$B$9,DATE(YEAR(A145),MONTH(A145)+1,1),DATE(YEAR(A145),MONTH(A145),1)),"mmmm yyyy"))</f>
      </c>
    </row>
    <row r="146" spans="1:8" x14ac:dyDescent="0.3">
      <c r="A146" s="48"/>
      <c r="B146" s="7"/>
      <c r="C146" s="6"/>
      <c r="D146" s="7"/>
      <c r="E146" s="7"/>
      <c r="F146" s="7"/>
      <c r="G146" s="7"/>
      <c r="H146" s="17">
        <f>IF(A146="","",TEXT(IF(DAY(A146)&gt;=Setup!$B$9,DATE(YEAR(A146),MONTH(A146)+1,1),DATE(YEAR(A146),MONTH(A146),1)),"mmmm yyyy"))</f>
      </c>
    </row>
    <row r="147" spans="1:8" x14ac:dyDescent="0.3">
      <c r="A147" s="48"/>
      <c r="B147" s="7"/>
      <c r="C147" s="6"/>
      <c r="D147" s="7"/>
      <c r="E147" s="7"/>
      <c r="F147" s="7"/>
      <c r="G147" s="7"/>
      <c r="H147" s="17">
        <f>IF(A147="","",TEXT(IF(DAY(A147)&gt;=Setup!$B$9,DATE(YEAR(A147),MONTH(A147)+1,1),DATE(YEAR(A147),MONTH(A147),1)),"mmmm yyyy"))</f>
      </c>
    </row>
    <row r="148" spans="1:8" x14ac:dyDescent="0.3">
      <c r="A148" s="48"/>
      <c r="B148" s="7"/>
      <c r="C148" s="6"/>
      <c r="D148" s="7"/>
      <c r="E148" s="7"/>
      <c r="F148" s="7"/>
      <c r="G148" s="7"/>
      <c r="H148" s="17">
        <f>IF(A148="","",TEXT(IF(DAY(A148)&gt;=Setup!$B$9,DATE(YEAR(A148),MONTH(A148)+1,1),DATE(YEAR(A148),MONTH(A148),1)),"mmmm yyyy"))</f>
      </c>
    </row>
    <row r="149" spans="1:8" x14ac:dyDescent="0.3">
      <c r="A149" s="48"/>
      <c r="B149" s="7"/>
      <c r="C149" s="6"/>
      <c r="D149" s="7"/>
      <c r="E149" s="7"/>
      <c r="F149" s="7"/>
      <c r="G149" s="7"/>
      <c r="H149" s="17">
        <f>IF(A149="","",TEXT(IF(DAY(A149)&gt;=Setup!$B$9,DATE(YEAR(A149),MONTH(A149)+1,1),DATE(YEAR(A149),MONTH(A149),1)),"mmmm yyyy"))</f>
      </c>
    </row>
    <row r="150" spans="1:8" x14ac:dyDescent="0.3">
      <c r="A150" s="48"/>
      <c r="B150" s="7"/>
      <c r="C150" s="6"/>
      <c r="D150" s="7"/>
      <c r="E150" s="7"/>
      <c r="F150" s="7"/>
      <c r="G150" s="7"/>
      <c r="H150" s="17">
        <f>IF(A150="","",TEXT(IF(DAY(A150)&gt;=Setup!$B$9,DATE(YEAR(A150),MONTH(A150)+1,1),DATE(YEAR(A150),MONTH(A150),1)),"mmmm yyyy"))</f>
      </c>
    </row>
    <row r="151" spans="1:8" x14ac:dyDescent="0.3">
      <c r="A151" s="48"/>
      <c r="B151" s="7"/>
      <c r="C151" s="6"/>
      <c r="D151" s="7"/>
      <c r="E151" s="7"/>
      <c r="F151" s="7"/>
      <c r="G151" s="7"/>
      <c r="H151" s="17">
        <f>IF(A151="","",TEXT(IF(DAY(A151)&gt;=Setup!$B$9,DATE(YEAR(A151),MONTH(A151)+1,1),DATE(YEAR(A151),MONTH(A151),1)),"mmmm yyyy"))</f>
      </c>
    </row>
    <row r="152" spans="1:8" x14ac:dyDescent="0.3">
      <c r="A152" s="48"/>
      <c r="B152" s="7"/>
      <c r="C152" s="6"/>
      <c r="D152" s="7"/>
      <c r="E152" s="7"/>
      <c r="F152" s="7"/>
      <c r="G152" s="7"/>
      <c r="H152" s="17">
        <f>IF(A152="","",TEXT(IF(DAY(A152)&gt;=Setup!$B$9,DATE(YEAR(A152),MONTH(A152)+1,1),DATE(YEAR(A152),MONTH(A152),1)),"mmmm yyyy"))</f>
      </c>
    </row>
    <row r="153" spans="1:8" x14ac:dyDescent="0.3">
      <c r="A153" s="48"/>
      <c r="B153" s="7"/>
      <c r="C153" s="6"/>
      <c r="D153" s="7"/>
      <c r="E153" s="7"/>
      <c r="F153" s="7"/>
      <c r="G153" s="7"/>
      <c r="H153" s="17">
        <f>IF(A153="","",TEXT(IF(DAY(A153)&gt;=Setup!$B$9,DATE(YEAR(A153),MONTH(A153)+1,1),DATE(YEAR(A153),MONTH(A153),1)),"mmmm yyyy"))</f>
      </c>
    </row>
    <row r="154" spans="1:8" x14ac:dyDescent="0.3">
      <c r="A154" s="48"/>
      <c r="B154" s="7"/>
      <c r="C154" s="6"/>
      <c r="D154" s="7"/>
      <c r="E154" s="7"/>
      <c r="F154" s="7"/>
      <c r="G154" s="7"/>
      <c r="H154" s="17">
        <f>IF(A154="","",TEXT(IF(DAY(A154)&gt;=Setup!$B$9,DATE(YEAR(A154),MONTH(A154)+1,1),DATE(YEAR(A154),MONTH(A154),1)),"mmmm yyyy"))</f>
      </c>
    </row>
    <row r="155" spans="1:8" x14ac:dyDescent="0.3">
      <c r="A155" s="48"/>
      <c r="B155" s="7"/>
      <c r="C155" s="6"/>
      <c r="D155" s="7"/>
      <c r="E155" s="7"/>
      <c r="F155" s="7"/>
      <c r="G155" s="7"/>
      <c r="H155" s="17">
        <f>IF(A155="","",TEXT(IF(DAY(A155)&gt;=Setup!$B$9,DATE(YEAR(A155),MONTH(A155)+1,1),DATE(YEAR(A155),MONTH(A155),1)),"mmmm yyyy"))</f>
      </c>
    </row>
    <row r="156" spans="1:8" x14ac:dyDescent="0.3">
      <c r="A156" s="48"/>
      <c r="B156" s="7"/>
      <c r="C156" s="6"/>
      <c r="D156" s="7"/>
      <c r="E156" s="7"/>
      <c r="F156" s="7"/>
      <c r="G156" s="7"/>
      <c r="H156" s="17">
        <f>IF(A156="","",TEXT(IF(DAY(A156)&gt;=Setup!$B$9,DATE(YEAR(A156),MONTH(A156)+1,1),DATE(YEAR(A156),MONTH(A156),1)),"mmmm yyyy"))</f>
      </c>
    </row>
    <row r="157" spans="1:8" x14ac:dyDescent="0.3">
      <c r="A157" s="48"/>
      <c r="B157" s="7"/>
      <c r="C157" s="6"/>
      <c r="D157" s="7"/>
      <c r="E157" s="7"/>
      <c r="F157" s="7"/>
      <c r="G157" s="7"/>
      <c r="H157" s="17">
        <f>IF(A157="","",TEXT(IF(DAY(A157)&gt;=Setup!$B$9,DATE(YEAR(A157),MONTH(A157)+1,1),DATE(YEAR(A157),MONTH(A157),1)),"mmmm yyyy"))</f>
      </c>
    </row>
    <row r="158" spans="1:8" x14ac:dyDescent="0.3">
      <c r="A158" s="48"/>
      <c r="B158" s="7"/>
      <c r="C158" s="6"/>
      <c r="D158" s="7"/>
      <c r="E158" s="7"/>
      <c r="F158" s="7"/>
      <c r="G158" s="7"/>
      <c r="H158" s="17">
        <f>IF(A158="","",TEXT(IF(DAY(A158)&gt;=Setup!$B$9,DATE(YEAR(A158),MONTH(A158)+1,1),DATE(YEAR(A158),MONTH(A158),1)),"mmmm yyyy"))</f>
      </c>
    </row>
    <row r="159" spans="1:8" x14ac:dyDescent="0.3">
      <c r="A159" s="48"/>
      <c r="B159" s="7"/>
      <c r="C159" s="6"/>
      <c r="D159" s="7"/>
      <c r="E159" s="7"/>
      <c r="F159" s="7"/>
      <c r="G159" s="7"/>
      <c r="H159" s="17">
        <f>IF(A159="","",TEXT(IF(DAY(A159)&gt;=Setup!$B$9,DATE(YEAR(A159),MONTH(A159)+1,1),DATE(YEAR(A159),MONTH(A159),1)),"mmmm yyyy"))</f>
      </c>
    </row>
    <row r="160" spans="1:8" x14ac:dyDescent="0.3">
      <c r="A160" s="48"/>
      <c r="B160" s="7"/>
      <c r="C160" s="6"/>
      <c r="D160" s="7"/>
      <c r="E160" s="7"/>
      <c r="F160" s="7"/>
      <c r="G160" s="7"/>
      <c r="H160" s="17">
        <f>IF(A160="","",TEXT(IF(DAY(A160)&gt;=Setup!$B$9,DATE(YEAR(A160),MONTH(A160)+1,1),DATE(YEAR(A160),MONTH(A160),1)),"mmmm yyyy"))</f>
      </c>
    </row>
    <row r="161" spans="1:8" x14ac:dyDescent="0.3">
      <c r="A161" s="48"/>
      <c r="B161" s="7"/>
      <c r="C161" s="6"/>
      <c r="D161" s="7"/>
      <c r="E161" s="7"/>
      <c r="F161" s="7"/>
      <c r="G161" s="7"/>
      <c r="H161" s="17">
        <f>IF(A161="","",TEXT(IF(DAY(A161)&gt;=Setup!$B$9,DATE(YEAR(A161),MONTH(A161)+1,1),DATE(YEAR(A161),MONTH(A161),1)),"mmmm yyyy"))</f>
      </c>
    </row>
    <row r="162" spans="1:8" x14ac:dyDescent="0.3">
      <c r="A162" s="48"/>
      <c r="B162" s="7"/>
      <c r="C162" s="6"/>
      <c r="D162" s="7"/>
      <c r="E162" s="7"/>
      <c r="F162" s="7"/>
      <c r="G162" s="7"/>
      <c r="H162" s="17">
        <f>IF(A162="","",TEXT(IF(DAY(A162)&gt;=Setup!$B$9,DATE(YEAR(A162),MONTH(A162)+1,1),DATE(YEAR(A162),MONTH(A162),1)),"mmmm yyyy"))</f>
      </c>
    </row>
    <row r="163" spans="1:8" x14ac:dyDescent="0.3">
      <c r="A163" s="48"/>
      <c r="B163" s="7"/>
      <c r="C163" s="6"/>
      <c r="D163" s="7"/>
      <c r="E163" s="7"/>
      <c r="F163" s="7"/>
      <c r="G163" s="7"/>
      <c r="H163" s="17">
        <f>IF(A163="","",TEXT(IF(DAY(A163)&gt;=Setup!$B$9,DATE(YEAR(A163),MONTH(A163)+1,1),DATE(YEAR(A163),MONTH(A163),1)),"mmmm yyyy"))</f>
      </c>
    </row>
    <row r="164" spans="1:8" x14ac:dyDescent="0.3">
      <c r="A164" s="48"/>
      <c r="B164" s="7"/>
      <c r="C164" s="6"/>
      <c r="D164" s="7"/>
      <c r="E164" s="7"/>
      <c r="F164" s="7"/>
      <c r="G164" s="7"/>
      <c r="H164" s="17">
        <f>IF(A164="","",TEXT(IF(DAY(A164)&gt;=Setup!$B$9,DATE(YEAR(A164),MONTH(A164)+1,1),DATE(YEAR(A164),MONTH(A164),1)),"mmmm yyyy"))</f>
      </c>
    </row>
    <row r="165" spans="1:8" x14ac:dyDescent="0.3">
      <c r="A165" s="48"/>
      <c r="B165" s="7"/>
      <c r="C165" s="6"/>
      <c r="D165" s="7"/>
      <c r="E165" s="7"/>
      <c r="F165" s="7"/>
      <c r="G165" s="7"/>
      <c r="H165" s="17">
        <f>IF(A165="","",TEXT(IF(DAY(A165)&gt;=Setup!$B$9,DATE(YEAR(A165),MONTH(A165)+1,1),DATE(YEAR(A165),MONTH(A165),1)),"mmmm yyyy"))</f>
      </c>
    </row>
    <row r="166" spans="1:8" x14ac:dyDescent="0.3">
      <c r="A166" s="48"/>
      <c r="B166" s="7"/>
      <c r="C166" s="6"/>
      <c r="D166" s="7"/>
      <c r="E166" s="7"/>
      <c r="F166" s="7"/>
      <c r="G166" s="7"/>
      <c r="H166" s="17">
        <f>IF(A166="","",TEXT(IF(DAY(A166)&gt;=Setup!$B$9,DATE(YEAR(A166),MONTH(A166)+1,1),DATE(YEAR(A166),MONTH(A166),1)),"mmmm yyyy"))</f>
      </c>
    </row>
    <row r="167" spans="1:8" x14ac:dyDescent="0.3">
      <c r="A167" s="48"/>
      <c r="B167" s="7"/>
      <c r="C167" s="6"/>
      <c r="D167" s="7"/>
      <c r="E167" s="7"/>
      <c r="F167" s="7"/>
      <c r="G167" s="7"/>
      <c r="H167" s="17">
        <f>IF(A167="","",TEXT(IF(DAY(A167)&gt;=Setup!$B$9,DATE(YEAR(A167),MONTH(A167)+1,1),DATE(YEAR(A167),MONTH(A167),1)),"mmmm yyyy"))</f>
      </c>
    </row>
    <row r="168" spans="1:8" x14ac:dyDescent="0.3">
      <c r="A168" s="48"/>
      <c r="B168" s="7"/>
      <c r="C168" s="6"/>
      <c r="D168" s="7"/>
      <c r="E168" s="7"/>
      <c r="F168" s="7"/>
      <c r="G168" s="7"/>
      <c r="H168" s="17">
        <f>IF(A168="","",TEXT(IF(DAY(A168)&gt;=Setup!$B$9,DATE(YEAR(A168),MONTH(A168)+1,1),DATE(YEAR(A168),MONTH(A168),1)),"mmmm yyyy"))</f>
      </c>
    </row>
    <row r="169" spans="1:8" x14ac:dyDescent="0.3">
      <c r="A169" s="48"/>
      <c r="B169" s="7"/>
      <c r="C169" s="6"/>
      <c r="D169" s="7"/>
      <c r="E169" s="7"/>
      <c r="F169" s="7"/>
      <c r="G169" s="7"/>
      <c r="H169" s="17">
        <f>IF(A169="","",TEXT(IF(DAY(A169)&gt;=Setup!$B$9,DATE(YEAR(A169),MONTH(A169)+1,1),DATE(YEAR(A169),MONTH(A169),1)),"mmmm yyyy"))</f>
      </c>
    </row>
    <row r="170" spans="1:8" x14ac:dyDescent="0.3">
      <c r="A170" s="48"/>
      <c r="B170" s="7"/>
      <c r="C170" s="6"/>
      <c r="D170" s="7"/>
      <c r="E170" s="7"/>
      <c r="F170" s="7"/>
      <c r="G170" s="7"/>
      <c r="H170" s="17">
        <f>IF(A170="","",TEXT(IF(DAY(A170)&gt;=Setup!$B$9,DATE(YEAR(A170),MONTH(A170)+1,1),DATE(YEAR(A170),MONTH(A170),1)),"mmmm yyyy"))</f>
      </c>
    </row>
    <row r="171" spans="1:8" x14ac:dyDescent="0.3">
      <c r="A171" s="48"/>
      <c r="B171" s="7"/>
      <c r="C171" s="6"/>
      <c r="D171" s="7"/>
      <c r="E171" s="7"/>
      <c r="F171" s="7"/>
      <c r="G171" s="7"/>
      <c r="H171" s="17">
        <f>IF(A171="","",TEXT(IF(DAY(A171)&gt;=Setup!$B$9,DATE(YEAR(A171),MONTH(A171)+1,1),DATE(YEAR(A171),MONTH(A171),1)),"mmmm yyyy"))</f>
      </c>
    </row>
    <row r="172" spans="1:8" x14ac:dyDescent="0.3">
      <c r="A172" s="48"/>
      <c r="B172" s="7"/>
      <c r="C172" s="6"/>
      <c r="D172" s="7"/>
      <c r="E172" s="7"/>
      <c r="F172" s="7"/>
      <c r="G172" s="7"/>
      <c r="H172" s="17">
        <f>IF(A172="","",TEXT(IF(DAY(A172)&gt;=Setup!$B$9,DATE(YEAR(A172),MONTH(A172)+1,1),DATE(YEAR(A172),MONTH(A172),1)),"mmmm yyyy"))</f>
      </c>
    </row>
    <row r="173" spans="1:8" x14ac:dyDescent="0.3">
      <c r="A173" s="48"/>
      <c r="B173" s="7"/>
      <c r="C173" s="6"/>
      <c r="D173" s="7"/>
      <c r="E173" s="7"/>
      <c r="F173" s="7"/>
      <c r="G173" s="7"/>
      <c r="H173" s="17">
        <f>IF(A173="","",TEXT(IF(DAY(A173)&gt;=Setup!$B$9,DATE(YEAR(A173),MONTH(A173)+1,1),DATE(YEAR(A173),MONTH(A173),1)),"mmmm yyyy"))</f>
      </c>
    </row>
    <row r="174" spans="1:8" x14ac:dyDescent="0.3">
      <c r="A174" s="48"/>
      <c r="B174" s="7"/>
      <c r="C174" s="6"/>
      <c r="D174" s="7"/>
      <c r="E174" s="7"/>
      <c r="F174" s="7"/>
      <c r="G174" s="7"/>
      <c r="H174" s="17">
        <f>IF(A174="","",TEXT(IF(DAY(A174)&gt;=Setup!$B$9,DATE(YEAR(A174),MONTH(A174)+1,1),DATE(YEAR(A174),MONTH(A174),1)),"mmmm yyyy"))</f>
      </c>
    </row>
    <row r="175" spans="1:8" x14ac:dyDescent="0.3">
      <c r="A175" s="48"/>
      <c r="B175" s="7"/>
      <c r="C175" s="6"/>
      <c r="D175" s="7"/>
      <c r="E175" s="7"/>
      <c r="F175" s="7"/>
      <c r="G175" s="7"/>
      <c r="H175" s="17">
        <f>IF(A175="","",TEXT(IF(DAY(A175)&gt;=Setup!$B$9,DATE(YEAR(A175),MONTH(A175)+1,1),DATE(YEAR(A175),MONTH(A175),1)),"mmmm yyyy"))</f>
      </c>
    </row>
    <row r="176" spans="1:8" x14ac:dyDescent="0.3">
      <c r="A176" s="48"/>
      <c r="B176" s="7"/>
      <c r="C176" s="6"/>
      <c r="D176" s="7"/>
      <c r="E176" s="7"/>
      <c r="F176" s="7"/>
      <c r="G176" s="7"/>
      <c r="H176" s="17">
        <f>IF(A176="","",TEXT(IF(DAY(A176)&gt;=Setup!$B$9,DATE(YEAR(A176),MONTH(A176)+1,1),DATE(YEAR(A176),MONTH(A176),1)),"mmmm yyyy"))</f>
      </c>
    </row>
    <row r="177" spans="1:8" x14ac:dyDescent="0.3">
      <c r="A177" s="48"/>
      <c r="B177" s="7"/>
      <c r="C177" s="6"/>
      <c r="D177" s="7"/>
      <c r="E177" s="7"/>
      <c r="F177" s="7"/>
      <c r="G177" s="7"/>
      <c r="H177" s="17">
        <f>IF(A177="","",TEXT(IF(DAY(A177)&gt;=Setup!$B$9,DATE(YEAR(A177),MONTH(A177)+1,1),DATE(YEAR(A177),MONTH(A177),1)),"mmmm yyyy"))</f>
      </c>
    </row>
    <row r="178" spans="1:8" x14ac:dyDescent="0.3">
      <c r="A178" s="48"/>
      <c r="B178" s="7"/>
      <c r="C178" s="6"/>
      <c r="D178" s="7"/>
      <c r="E178" s="7"/>
      <c r="F178" s="7"/>
      <c r="G178" s="7"/>
      <c r="H178" s="17">
        <f>IF(A178="","",TEXT(IF(DAY(A178)&gt;=Setup!$B$9,DATE(YEAR(A178),MONTH(A178)+1,1),DATE(YEAR(A178),MONTH(A178),1)),"mmmm yyyy"))</f>
      </c>
    </row>
    <row r="179" spans="1:8" x14ac:dyDescent="0.3">
      <c r="A179" s="48"/>
      <c r="B179" s="7"/>
      <c r="C179" s="6"/>
      <c r="D179" s="7"/>
      <c r="E179" s="7"/>
      <c r="F179" s="7"/>
      <c r="G179" s="7"/>
      <c r="H179" s="17">
        <f>IF(A179="","",TEXT(IF(DAY(A179)&gt;=Setup!$B$9,DATE(YEAR(A179),MONTH(A179)+1,1),DATE(YEAR(A179),MONTH(A179),1)),"mmmm yyyy"))</f>
      </c>
    </row>
    <row r="180" spans="1:8" x14ac:dyDescent="0.3">
      <c r="A180" s="48"/>
      <c r="B180" s="7"/>
      <c r="C180" s="6"/>
      <c r="D180" s="7"/>
      <c r="E180" s="7"/>
      <c r="F180" s="7"/>
      <c r="G180" s="7"/>
      <c r="H180" s="17">
        <f>IF(A180="","",TEXT(IF(DAY(A180)&gt;=Setup!$B$9,DATE(YEAR(A180),MONTH(A180)+1,1),DATE(YEAR(A180),MONTH(A180),1)),"mmmm yyyy"))</f>
      </c>
    </row>
    <row r="181" spans="1:8" x14ac:dyDescent="0.3">
      <c r="A181" s="48"/>
      <c r="B181" s="7"/>
      <c r="C181" s="6"/>
      <c r="D181" s="7"/>
      <c r="E181" s="7"/>
      <c r="F181" s="7"/>
      <c r="G181" s="7"/>
      <c r="H181" s="17">
        <f>IF(A181="","",TEXT(IF(DAY(A181)&gt;=Setup!$B$9,DATE(YEAR(A181),MONTH(A181)+1,1),DATE(YEAR(A181),MONTH(A181),1)),"mmmm yyyy"))</f>
      </c>
    </row>
    <row r="182" spans="1:8" x14ac:dyDescent="0.3">
      <c r="A182" s="48"/>
      <c r="B182" s="7"/>
      <c r="C182" s="6"/>
      <c r="D182" s="7"/>
      <c r="E182" s="7"/>
      <c r="F182" s="7"/>
      <c r="G182" s="7"/>
      <c r="H182" s="17">
        <f>IF(A182="","",TEXT(IF(DAY(A182)&gt;=Setup!$B$9,DATE(YEAR(A182),MONTH(A182)+1,1),DATE(YEAR(A182),MONTH(A182),1)),"mmmm yyyy"))</f>
      </c>
    </row>
    <row r="183" spans="1:8" x14ac:dyDescent="0.3">
      <c r="A183" s="48"/>
      <c r="B183" s="7"/>
      <c r="C183" s="6"/>
      <c r="D183" s="7"/>
      <c r="E183" s="7"/>
      <c r="F183" s="7"/>
      <c r="G183" s="7"/>
      <c r="H183" s="17">
        <f>IF(A183="","",TEXT(IF(DAY(A183)&gt;=Setup!$B$9,DATE(YEAR(A183),MONTH(A183)+1,1),DATE(YEAR(A183),MONTH(A183),1)),"mmmm yyyy"))</f>
      </c>
    </row>
    <row r="184" spans="1:8" x14ac:dyDescent="0.3">
      <c r="A184" s="48"/>
      <c r="B184" s="7"/>
      <c r="C184" s="6"/>
      <c r="D184" s="7"/>
      <c r="E184" s="7"/>
      <c r="F184" s="7"/>
      <c r="G184" s="7"/>
      <c r="H184" s="17">
        <f>IF(A184="","",TEXT(IF(DAY(A184)&gt;=Setup!$B$9,DATE(YEAR(A184),MONTH(A184)+1,1),DATE(YEAR(A184),MONTH(A184),1)),"mmmm yyyy"))</f>
      </c>
    </row>
    <row r="185" spans="1:8" x14ac:dyDescent="0.3">
      <c r="A185" s="48"/>
      <c r="B185" s="7"/>
      <c r="C185" s="6"/>
      <c r="D185" s="7"/>
      <c r="E185" s="7"/>
      <c r="F185" s="7"/>
      <c r="G185" s="7"/>
      <c r="H185" s="17">
        <f>IF(A185="","",TEXT(IF(DAY(A185)&gt;=Setup!$B$9,DATE(YEAR(A185),MONTH(A185)+1,1),DATE(YEAR(A185),MONTH(A185),1)),"mmmm yyyy"))</f>
      </c>
    </row>
    <row r="186" spans="1:8" x14ac:dyDescent="0.3">
      <c r="A186" s="48"/>
      <c r="B186" s="7"/>
      <c r="C186" s="6"/>
      <c r="D186" s="7"/>
      <c r="E186" s="7"/>
      <c r="F186" s="7"/>
      <c r="G186" s="7"/>
      <c r="H186" s="17">
        <f>IF(A186="","",TEXT(IF(DAY(A186)&gt;=Setup!$B$9,DATE(YEAR(A186),MONTH(A186)+1,1),DATE(YEAR(A186),MONTH(A186),1)),"mmmm yyyy"))</f>
      </c>
    </row>
    <row r="187" spans="1:8" x14ac:dyDescent="0.3">
      <c r="A187" s="48"/>
      <c r="B187" s="7"/>
      <c r="C187" s="6"/>
      <c r="D187" s="7"/>
      <c r="E187" s="7"/>
      <c r="F187" s="7"/>
      <c r="G187" s="7"/>
      <c r="H187" s="17">
        <f>IF(A187="","",TEXT(IF(DAY(A187)&gt;=Setup!$B$9,DATE(YEAR(A187),MONTH(A187)+1,1),DATE(YEAR(A187),MONTH(A187),1)),"mmmm yyyy"))</f>
      </c>
    </row>
    <row r="188" spans="1:8" x14ac:dyDescent="0.3">
      <c r="A188" s="48"/>
      <c r="B188" s="7"/>
      <c r="C188" s="6"/>
      <c r="D188" s="7"/>
      <c r="E188" s="7"/>
      <c r="F188" s="7"/>
      <c r="G188" s="7"/>
      <c r="H188" s="17">
        <f>IF(A188="","",TEXT(IF(DAY(A188)&gt;=Setup!$B$9,DATE(YEAR(A188),MONTH(A188)+1,1),DATE(YEAR(A188),MONTH(A188),1)),"mmmm yyyy"))</f>
      </c>
    </row>
    <row r="189" spans="1:8" x14ac:dyDescent="0.3">
      <c r="A189" s="48"/>
      <c r="B189" s="7"/>
      <c r="C189" s="6"/>
      <c r="D189" s="7"/>
      <c r="E189" s="7"/>
      <c r="F189" s="7"/>
      <c r="G189" s="7"/>
      <c r="H189" s="17">
        <f>IF(A189="","",TEXT(IF(DAY(A189)&gt;=Setup!$B$9,DATE(YEAR(A189),MONTH(A189)+1,1),DATE(YEAR(A189),MONTH(A189),1)),"mmmm yyyy"))</f>
      </c>
    </row>
    <row r="190" spans="1:8" x14ac:dyDescent="0.3">
      <c r="A190" s="48"/>
      <c r="B190" s="7"/>
      <c r="C190" s="6"/>
      <c r="D190" s="7"/>
      <c r="E190" s="7"/>
      <c r="F190" s="7"/>
      <c r="G190" s="7"/>
      <c r="H190" s="17">
        <f>IF(A190="","",TEXT(IF(DAY(A190)&gt;=Setup!$B$9,DATE(YEAR(A190),MONTH(A190)+1,1),DATE(YEAR(A190),MONTH(A190),1)),"mmmm yyyy"))</f>
      </c>
    </row>
    <row r="191" spans="1:8" x14ac:dyDescent="0.3">
      <c r="A191" s="48"/>
      <c r="B191" s="7"/>
      <c r="C191" s="6"/>
      <c r="D191" s="7"/>
      <c r="E191" s="7"/>
      <c r="F191" s="7"/>
      <c r="G191" s="7"/>
      <c r="H191" s="17">
        <f>IF(A191="","",TEXT(IF(DAY(A191)&gt;=Setup!$B$9,DATE(YEAR(A191),MONTH(A191)+1,1),DATE(YEAR(A191),MONTH(A191),1)),"mmmm yyyy"))</f>
      </c>
    </row>
    <row r="192" spans="1:8" x14ac:dyDescent="0.3">
      <c r="A192" s="48"/>
      <c r="B192" s="7"/>
      <c r="C192" s="6"/>
      <c r="D192" s="7"/>
      <c r="E192" s="7"/>
      <c r="F192" s="7"/>
      <c r="G192" s="7"/>
      <c r="H192" s="17">
        <f>IF(A192="","",TEXT(IF(DAY(A192)&gt;=Setup!$B$9,DATE(YEAR(A192),MONTH(A192)+1,1),DATE(YEAR(A192),MONTH(A192),1)),"mmmm yyyy"))</f>
      </c>
    </row>
    <row r="193" spans="1:8" x14ac:dyDescent="0.3">
      <c r="A193" s="48"/>
      <c r="B193" s="7"/>
      <c r="C193" s="6"/>
      <c r="D193" s="7"/>
      <c r="E193" s="7"/>
      <c r="F193" s="7"/>
      <c r="G193" s="7"/>
      <c r="H193" s="17">
        <f>IF(A193="","",TEXT(IF(DAY(A193)&gt;=Setup!$B$9,DATE(YEAR(A193),MONTH(A193)+1,1),DATE(YEAR(A193),MONTH(A193),1)),"mmmm yyyy"))</f>
      </c>
    </row>
    <row r="194" spans="1:8" x14ac:dyDescent="0.3">
      <c r="A194" s="48"/>
      <c r="B194" s="7"/>
      <c r="C194" s="6"/>
      <c r="D194" s="7"/>
      <c r="E194" s="7"/>
      <c r="F194" s="7"/>
      <c r="G194" s="7"/>
      <c r="H194" s="17">
        <f>IF(A194="","",TEXT(IF(DAY(A194)&gt;=Setup!$B$9,DATE(YEAR(A194),MONTH(A194)+1,1),DATE(YEAR(A194),MONTH(A194),1)),"mmmm yyyy"))</f>
      </c>
    </row>
    <row r="195" spans="1:8" x14ac:dyDescent="0.3">
      <c r="A195" s="48"/>
      <c r="B195" s="7"/>
      <c r="C195" s="6"/>
      <c r="D195" s="7"/>
      <c r="E195" s="7"/>
      <c r="F195" s="7"/>
      <c r="G195" s="7"/>
      <c r="H195" s="17">
        <f>IF(A195="","",TEXT(IF(DAY(A195)&gt;=Setup!$B$9,DATE(YEAR(A195),MONTH(A195)+1,1),DATE(YEAR(A195),MONTH(A195),1)),"mmmm yyyy"))</f>
      </c>
    </row>
    <row r="196" spans="1:8" x14ac:dyDescent="0.3">
      <c r="A196" s="48"/>
      <c r="B196" s="7"/>
      <c r="C196" s="6"/>
      <c r="D196" s="7"/>
      <c r="E196" s="7"/>
      <c r="F196" s="7"/>
      <c r="G196" s="7"/>
      <c r="H196" s="17">
        <f>IF(A196="","",TEXT(IF(DAY(A196)&gt;=Setup!$B$9,DATE(YEAR(A196),MONTH(A196)+1,1),DATE(YEAR(A196),MONTH(A196),1)),"mmmm yyyy"))</f>
      </c>
    </row>
    <row r="197" spans="1:8" x14ac:dyDescent="0.3">
      <c r="A197" s="48"/>
      <c r="B197" s="7"/>
      <c r="C197" s="6"/>
      <c r="D197" s="7"/>
      <c r="E197" s="7"/>
      <c r="F197" s="7"/>
      <c r="G197" s="7"/>
      <c r="H197" s="17">
        <f>IF(A197="","",TEXT(IF(DAY(A197)&gt;=Setup!$B$9,DATE(YEAR(A197),MONTH(A197)+1,1),DATE(YEAR(A197),MONTH(A197),1)),"mmmm yyyy"))</f>
      </c>
    </row>
    <row r="198" spans="1:8" x14ac:dyDescent="0.3">
      <c r="A198" s="48"/>
      <c r="B198" s="7"/>
      <c r="C198" s="6"/>
      <c r="D198" s="7"/>
      <c r="E198" s="7"/>
      <c r="F198" s="7"/>
      <c r="G198" s="7"/>
      <c r="H198" s="17">
        <f>IF(A198="","",TEXT(IF(DAY(A198)&gt;=Setup!$B$9,DATE(YEAR(A198),MONTH(A198)+1,1),DATE(YEAR(A198),MONTH(A198),1)),"mmmm yyyy"))</f>
      </c>
    </row>
    <row r="199" spans="1:8" x14ac:dyDescent="0.3">
      <c r="A199" s="48"/>
      <c r="B199" s="7"/>
      <c r="C199" s="6"/>
      <c r="D199" s="7"/>
      <c r="E199" s="7"/>
      <c r="F199" s="7"/>
      <c r="G199" s="7"/>
      <c r="H199" s="17">
        <f>IF(A199="","",TEXT(IF(DAY(A199)&gt;=Setup!$B$9,DATE(YEAR(A199),MONTH(A199)+1,1),DATE(YEAR(A199),MONTH(A199),1)),"mmmm yyyy"))</f>
      </c>
    </row>
    <row r="200" spans="1:8" x14ac:dyDescent="0.3">
      <c r="A200" s="48"/>
      <c r="B200" s="7"/>
      <c r="C200" s="6"/>
      <c r="D200" s="7"/>
      <c r="E200" s="7"/>
      <c r="F200" s="7"/>
      <c r="G200" s="7"/>
      <c r="H200" s="17">
        <f>IF(A200="","",TEXT(IF(DAY(A200)&gt;=Setup!$B$9,DATE(YEAR(A200),MONTH(A200)+1,1),DATE(YEAR(A200),MONTH(A200),1)),"mmmm yyyy"))</f>
      </c>
    </row>
    <row r="201" spans="1:8" x14ac:dyDescent="0.3">
      <c r="A201" s="48"/>
      <c r="B201" s="7"/>
      <c r="C201" s="6"/>
      <c r="D201" s="7"/>
      <c r="E201" s="7"/>
      <c r="F201" s="7"/>
      <c r="G201" s="7"/>
      <c r="H201" s="17">
        <f>IF(A201="","",TEXT(IF(DAY(A201)&gt;=Setup!$B$9,DATE(YEAR(A201),MONTH(A201)+1,1),DATE(YEAR(A201),MONTH(A201),1)),"mmmm yyyy"))</f>
      </c>
    </row>
    <row r="202" spans="1:8" x14ac:dyDescent="0.3">
      <c r="A202" s="48"/>
      <c r="B202" s="7"/>
      <c r="C202" s="6"/>
      <c r="D202" s="7"/>
      <c r="E202" s="7"/>
      <c r="F202" s="7"/>
      <c r="G202" s="7"/>
      <c r="H202" s="17">
        <f>IF(A202="","",TEXT(IF(DAY(A202)&gt;=Setup!$B$9,DATE(YEAR(A202),MONTH(A202)+1,1),DATE(YEAR(A202),MONTH(A202),1)),"mmmm yyyy"))</f>
      </c>
    </row>
    <row r="203" spans="1:8" x14ac:dyDescent="0.3">
      <c r="A203" s="48"/>
      <c r="B203" s="7"/>
      <c r="C203" s="6"/>
      <c r="D203" s="7"/>
      <c r="E203" s="7"/>
      <c r="F203" s="7"/>
      <c r="G203" s="7"/>
      <c r="H203" s="17">
        <f>IF(A203="","",TEXT(IF(DAY(A203)&gt;=Setup!$B$9,DATE(YEAR(A203),MONTH(A203)+1,1),DATE(YEAR(A203),MONTH(A203),1)),"mmmm yyyy"))</f>
      </c>
    </row>
    <row r="204" spans="1:8" x14ac:dyDescent="0.3">
      <c r="A204" s="48"/>
      <c r="B204" s="7"/>
      <c r="C204" s="6"/>
      <c r="D204" s="7"/>
      <c r="E204" s="7"/>
      <c r="F204" s="7"/>
      <c r="G204" s="7"/>
      <c r="H204" s="17">
        <f>IF(A204="","",TEXT(IF(DAY(A204)&gt;=Setup!$B$9,DATE(YEAR(A204),MONTH(A204)+1,1),DATE(YEAR(A204),MONTH(A204),1)),"mmmm yyyy"))</f>
      </c>
    </row>
    <row r="205" spans="1:8" x14ac:dyDescent="0.3">
      <c r="A205" s="48"/>
      <c r="B205" s="7"/>
      <c r="C205" s="6"/>
      <c r="D205" s="7"/>
      <c r="E205" s="7"/>
      <c r="F205" s="7"/>
      <c r="G205" s="7"/>
      <c r="H205" s="17">
        <f>IF(A205="","",TEXT(IF(DAY(A205)&gt;=Setup!$B$9,DATE(YEAR(A205),MONTH(A205)+1,1),DATE(YEAR(A205),MONTH(A205),1)),"mmmm yyyy"))</f>
      </c>
    </row>
    <row r="206" spans="1:8" x14ac:dyDescent="0.3">
      <c r="A206" s="48"/>
      <c r="B206" s="7"/>
      <c r="C206" s="6"/>
      <c r="D206" s="7"/>
      <c r="E206" s="7"/>
      <c r="F206" s="7"/>
      <c r="G206" s="7"/>
      <c r="H206" s="17">
        <f>IF(A206="","",TEXT(IF(DAY(A206)&gt;=Setup!$B$9,DATE(YEAR(A206),MONTH(A206)+1,1),DATE(YEAR(A206),MONTH(A206),1)),"mmmm yyyy"))</f>
      </c>
    </row>
    <row r="207" spans="1:8" x14ac:dyDescent="0.3">
      <c r="A207" s="48"/>
      <c r="B207" s="7"/>
      <c r="C207" s="6"/>
      <c r="D207" s="7"/>
      <c r="E207" s="7"/>
      <c r="F207" s="7"/>
      <c r="G207" s="7"/>
      <c r="H207" s="17">
        <f>IF(A207="","",TEXT(IF(DAY(A207)&gt;=Setup!$B$9,DATE(YEAR(A207),MONTH(A207)+1,1),DATE(YEAR(A207),MONTH(A207),1)),"mmmm yyyy"))</f>
      </c>
    </row>
    <row r="208" spans="1:8" x14ac:dyDescent="0.3">
      <c r="A208" s="48"/>
      <c r="B208" s="7"/>
      <c r="C208" s="6"/>
      <c r="D208" s="7"/>
      <c r="E208" s="7"/>
      <c r="F208" s="7"/>
      <c r="G208" s="7"/>
      <c r="H208" s="17">
        <f>IF(A208="","",TEXT(IF(DAY(A208)&gt;=Setup!$B$9,DATE(YEAR(A208),MONTH(A208)+1,1),DATE(YEAR(A208),MONTH(A208),1)),"mmmm yyyy"))</f>
      </c>
    </row>
    <row r="209" spans="1:8" x14ac:dyDescent="0.3">
      <c r="A209" s="48"/>
      <c r="B209" s="7"/>
      <c r="C209" s="6"/>
      <c r="D209" s="7"/>
      <c r="E209" s="7"/>
      <c r="F209" s="7"/>
      <c r="G209" s="7"/>
      <c r="H209" s="17">
        <f>IF(A209="","",TEXT(IF(DAY(A209)&gt;=Setup!$B$9,DATE(YEAR(A209),MONTH(A209)+1,1),DATE(YEAR(A209),MONTH(A209),1)),"mmmm yyyy"))</f>
      </c>
    </row>
    <row r="210" spans="1:8" x14ac:dyDescent="0.3">
      <c r="A210" s="48"/>
      <c r="B210" s="7"/>
      <c r="C210" s="6"/>
      <c r="D210" s="7"/>
      <c r="E210" s="7"/>
      <c r="F210" s="7"/>
      <c r="G210" s="7"/>
      <c r="H210" s="17">
        <f>IF(A210="","",TEXT(IF(DAY(A210)&gt;=Setup!$B$9,DATE(YEAR(A210),MONTH(A210)+1,1),DATE(YEAR(A210),MONTH(A210),1)),"mmmm yyyy"))</f>
      </c>
    </row>
    <row r="211" spans="1:8" x14ac:dyDescent="0.3">
      <c r="A211" s="48"/>
      <c r="B211" s="7"/>
      <c r="C211" s="6"/>
      <c r="D211" s="7"/>
      <c r="E211" s="7"/>
      <c r="F211" s="7"/>
      <c r="G211" s="7"/>
      <c r="H211" s="17">
        <f>IF(A211="","",TEXT(IF(DAY(A211)&gt;=Setup!$B$9,DATE(YEAR(A211),MONTH(A211)+1,1),DATE(YEAR(A211),MONTH(A211),1)),"mmmm yyyy"))</f>
      </c>
    </row>
    <row r="212" spans="1:8" x14ac:dyDescent="0.3">
      <c r="A212" s="48"/>
      <c r="B212" s="7"/>
      <c r="C212" s="6"/>
      <c r="D212" s="7"/>
      <c r="E212" s="7"/>
      <c r="F212" s="7"/>
      <c r="G212" s="7"/>
      <c r="H212" s="17">
        <f>IF(A212="","",TEXT(IF(DAY(A212)&gt;=Setup!$B$9,DATE(YEAR(A212),MONTH(A212)+1,1),DATE(YEAR(A212),MONTH(A212),1)),"mmmm yyyy"))</f>
      </c>
    </row>
    <row r="213" spans="1:8" x14ac:dyDescent="0.3">
      <c r="A213" s="48"/>
      <c r="B213" s="7"/>
      <c r="C213" s="6"/>
      <c r="D213" s="7"/>
      <c r="E213" s="7"/>
      <c r="F213" s="7"/>
      <c r="G213" s="7"/>
      <c r="H213" s="17">
        <f>IF(A213="","",TEXT(IF(DAY(A213)&gt;=Setup!$B$9,DATE(YEAR(A213),MONTH(A213)+1,1),DATE(YEAR(A213),MONTH(A213),1)),"mmmm yyyy"))</f>
      </c>
    </row>
    <row r="214" spans="1:8" x14ac:dyDescent="0.3">
      <c r="A214" s="48"/>
      <c r="B214" s="7"/>
      <c r="C214" s="6"/>
      <c r="D214" s="7"/>
      <c r="E214" s="7"/>
      <c r="F214" s="7"/>
      <c r="G214" s="7"/>
      <c r="H214" s="17">
        <f>IF(A214="","",TEXT(IF(DAY(A214)&gt;=Setup!$B$9,DATE(YEAR(A214),MONTH(A214)+1,1),DATE(YEAR(A214),MONTH(A214),1)),"mmmm yyyy"))</f>
      </c>
    </row>
    <row r="215" spans="1:8" x14ac:dyDescent="0.3">
      <c r="A215" s="48"/>
      <c r="B215" s="7"/>
      <c r="C215" s="6"/>
      <c r="D215" s="7"/>
      <c r="E215" s="7"/>
      <c r="F215" s="7"/>
      <c r="G215" s="7"/>
      <c r="H215" s="17">
        <f>IF(A215="","",TEXT(IF(DAY(A215)&gt;=Setup!$B$9,DATE(YEAR(A215),MONTH(A215)+1,1),DATE(YEAR(A215),MONTH(A215),1)),"mmmm yyyy"))</f>
      </c>
    </row>
    <row r="216" spans="1:8" x14ac:dyDescent="0.3">
      <c r="A216" s="48"/>
      <c r="B216" s="7"/>
      <c r="C216" s="6"/>
      <c r="D216" s="7"/>
      <c r="E216" s="7"/>
      <c r="F216" s="7"/>
      <c r="G216" s="7"/>
      <c r="H216" s="17">
        <f>IF(A216="","",TEXT(IF(DAY(A216)&gt;=Setup!$B$9,DATE(YEAR(A216),MONTH(A216)+1,1),DATE(YEAR(A216),MONTH(A216),1)),"mmmm yyyy"))</f>
      </c>
    </row>
    <row r="217" spans="1:8" x14ac:dyDescent="0.3">
      <c r="A217" s="48"/>
      <c r="B217" s="7"/>
      <c r="C217" s="6"/>
      <c r="D217" s="7"/>
      <c r="E217" s="7"/>
      <c r="F217" s="7"/>
      <c r="G217" s="7"/>
      <c r="H217" s="17">
        <f>IF(A217="","",TEXT(IF(DAY(A217)&gt;=Setup!$B$9,DATE(YEAR(A217),MONTH(A217)+1,1),DATE(YEAR(A217),MONTH(A217),1)),"mmmm yyyy"))</f>
      </c>
    </row>
    <row r="218" spans="1:8" x14ac:dyDescent="0.3">
      <c r="A218" s="48"/>
      <c r="B218" s="7"/>
      <c r="C218" s="6"/>
      <c r="D218" s="7"/>
      <c r="E218" s="7"/>
      <c r="F218" s="7"/>
      <c r="G218" s="7"/>
      <c r="H218" s="17">
        <f>IF(A218="","",TEXT(IF(DAY(A218)&gt;=Setup!$B$9,DATE(YEAR(A218),MONTH(A218)+1,1),DATE(YEAR(A218),MONTH(A218),1)),"mmmm yyyy"))</f>
      </c>
    </row>
    <row r="219" spans="1:8" x14ac:dyDescent="0.3">
      <c r="A219" s="48"/>
      <c r="B219" s="7"/>
      <c r="C219" s="6"/>
      <c r="D219" s="7"/>
      <c r="E219" s="7"/>
      <c r="F219" s="7"/>
      <c r="G219" s="7"/>
      <c r="H219" s="17">
        <f>IF(A219="","",TEXT(IF(DAY(A219)&gt;=Setup!$B$9,DATE(YEAR(A219),MONTH(A219)+1,1),DATE(YEAR(A219),MONTH(A219),1)),"mmmm yyyy"))</f>
      </c>
    </row>
    <row r="220" spans="1:8" x14ac:dyDescent="0.3">
      <c r="A220" s="48"/>
      <c r="B220" s="7"/>
      <c r="C220" s="6"/>
      <c r="D220" s="7"/>
      <c r="E220" s="7"/>
      <c r="F220" s="7"/>
      <c r="G220" s="7"/>
      <c r="H220" s="17">
        <f>IF(A220="","",TEXT(IF(DAY(A220)&gt;=Setup!$B$9,DATE(YEAR(A220),MONTH(A220)+1,1),DATE(YEAR(A220),MONTH(A220),1)),"mmmm yyyy"))</f>
      </c>
    </row>
    <row r="221" spans="1:8" x14ac:dyDescent="0.3">
      <c r="A221" s="48"/>
      <c r="B221" s="7"/>
      <c r="C221" s="6"/>
      <c r="D221" s="7"/>
      <c r="E221" s="7"/>
      <c r="F221" s="7"/>
      <c r="G221" s="7"/>
      <c r="H221" s="17">
        <f>IF(A221="","",TEXT(IF(DAY(A221)&gt;=Setup!$B$9,DATE(YEAR(A221),MONTH(A221)+1,1),DATE(YEAR(A221),MONTH(A221),1)),"mmmm yyyy"))</f>
      </c>
    </row>
    <row r="222" spans="1:8" x14ac:dyDescent="0.3">
      <c r="A222" s="48"/>
      <c r="B222" s="7"/>
      <c r="C222" s="6"/>
      <c r="D222" s="7"/>
      <c r="E222" s="7"/>
      <c r="F222" s="7"/>
      <c r="G222" s="7"/>
      <c r="H222" s="17">
        <f>IF(A222="","",TEXT(IF(DAY(A222)&gt;=Setup!$B$9,DATE(YEAR(A222),MONTH(A222)+1,1),DATE(YEAR(A222),MONTH(A222),1)),"mmmm yyyy"))</f>
      </c>
    </row>
    <row r="223" spans="1:8" x14ac:dyDescent="0.3">
      <c r="A223" s="48"/>
      <c r="B223" s="7"/>
      <c r="C223" s="6"/>
      <c r="D223" s="7"/>
      <c r="E223" s="7"/>
      <c r="F223" s="7"/>
      <c r="G223" s="7"/>
      <c r="H223" s="17">
        <f>IF(A223="","",TEXT(IF(DAY(A223)&gt;=Setup!$B$9,DATE(YEAR(A223),MONTH(A223)+1,1),DATE(YEAR(A223),MONTH(A223),1)),"mmmm yyyy"))</f>
      </c>
    </row>
    <row r="224" spans="1:8" x14ac:dyDescent="0.3">
      <c r="A224" s="48"/>
      <c r="B224" s="7"/>
      <c r="C224" s="6"/>
      <c r="D224" s="7"/>
      <c r="E224" s="7"/>
      <c r="F224" s="7"/>
      <c r="G224" s="7"/>
      <c r="H224" s="17">
        <f>IF(A224="","",TEXT(IF(DAY(A224)&gt;=Setup!$B$9,DATE(YEAR(A224),MONTH(A224)+1,1),DATE(YEAR(A224),MONTH(A224),1)),"mmmm yyyy"))</f>
      </c>
    </row>
    <row r="225" spans="1:8" x14ac:dyDescent="0.3">
      <c r="A225" s="48"/>
      <c r="B225" s="7"/>
      <c r="C225" s="6"/>
      <c r="D225" s="7"/>
      <c r="E225" s="7"/>
      <c r="F225" s="7"/>
      <c r="G225" s="7"/>
      <c r="H225" s="17">
        <f>IF(A225="","",TEXT(IF(DAY(A225)&gt;=Setup!$B$9,DATE(YEAR(A225),MONTH(A225)+1,1),DATE(YEAR(A225),MONTH(A225),1)),"mmmm yyyy"))</f>
      </c>
    </row>
    <row r="226" spans="1:8" x14ac:dyDescent="0.3">
      <c r="A226" s="48"/>
      <c r="B226" s="7"/>
      <c r="C226" s="6"/>
      <c r="D226" s="7"/>
      <c r="E226" s="7"/>
      <c r="F226" s="7"/>
      <c r="G226" s="7"/>
      <c r="H226" s="17">
        <f>IF(A226="","",TEXT(IF(DAY(A226)&gt;=Setup!$B$9,DATE(YEAR(A226),MONTH(A226)+1,1),DATE(YEAR(A226),MONTH(A226),1)),"mmmm yyyy"))</f>
      </c>
    </row>
    <row r="227" spans="1:8" x14ac:dyDescent="0.3">
      <c r="A227" s="48"/>
      <c r="B227" s="7"/>
      <c r="C227" s="6"/>
      <c r="D227" s="7"/>
      <c r="E227" s="7"/>
      <c r="F227" s="7"/>
      <c r="G227" s="7"/>
      <c r="H227" s="17">
        <f>IF(A227="","",TEXT(IF(DAY(A227)&gt;=Setup!$B$9,DATE(YEAR(A227),MONTH(A227)+1,1),DATE(YEAR(A227),MONTH(A227),1)),"mmmm yyyy"))</f>
      </c>
    </row>
    <row r="228" spans="1:8" x14ac:dyDescent="0.3">
      <c r="A228" s="48"/>
      <c r="B228" s="7"/>
      <c r="C228" s="6"/>
      <c r="D228" s="7"/>
      <c r="E228" s="7"/>
      <c r="F228" s="7"/>
      <c r="G228" s="7"/>
      <c r="H228" s="17">
        <f>IF(A228="","",TEXT(IF(DAY(A228)&gt;=Setup!$B$9,DATE(YEAR(A228),MONTH(A228)+1,1),DATE(YEAR(A228),MONTH(A228),1)),"mmmm yyyy"))</f>
      </c>
    </row>
    <row r="229" spans="1:8" x14ac:dyDescent="0.3">
      <c r="A229" s="48"/>
      <c r="B229" s="7"/>
      <c r="C229" s="6"/>
      <c r="D229" s="7"/>
      <c r="E229" s="7"/>
      <c r="F229" s="7"/>
      <c r="G229" s="7"/>
      <c r="H229" s="17">
        <f>IF(A229="","",TEXT(IF(DAY(A229)&gt;=Setup!$B$9,DATE(YEAR(A229),MONTH(A229)+1,1),DATE(YEAR(A229),MONTH(A229),1)),"mmmm yyyy"))</f>
      </c>
    </row>
    <row r="230" spans="1:8" x14ac:dyDescent="0.3">
      <c r="A230" s="48"/>
      <c r="B230" s="7"/>
      <c r="C230" s="6"/>
      <c r="D230" s="7"/>
      <c r="E230" s="7"/>
      <c r="F230" s="7"/>
      <c r="G230" s="7"/>
      <c r="H230" s="17">
        <f>IF(A230="","",TEXT(IF(DAY(A230)&gt;=Setup!$B$9,DATE(YEAR(A230),MONTH(A230)+1,1),DATE(YEAR(A230),MONTH(A230),1)),"mmmm yyyy"))</f>
      </c>
    </row>
    <row r="231" spans="1:8" x14ac:dyDescent="0.3">
      <c r="A231" s="48"/>
      <c r="B231" s="7"/>
      <c r="C231" s="6"/>
      <c r="D231" s="7"/>
      <c r="E231" s="7"/>
      <c r="F231" s="7"/>
      <c r="G231" s="7"/>
      <c r="H231" s="17">
        <f>IF(A231="","",TEXT(IF(DAY(A231)&gt;=Setup!$B$9,DATE(YEAR(A231),MONTH(A231)+1,1),DATE(YEAR(A231),MONTH(A231),1)),"mmmm yyyy"))</f>
      </c>
    </row>
    <row r="232" spans="1:8" x14ac:dyDescent="0.3">
      <c r="A232" s="48"/>
      <c r="B232" s="7"/>
      <c r="C232" s="6"/>
      <c r="D232" s="7"/>
      <c r="E232" s="7"/>
      <c r="F232" s="7"/>
      <c r="G232" s="7"/>
      <c r="H232" s="17">
        <f>IF(A232="","",TEXT(IF(DAY(A232)&gt;=Setup!$B$9,DATE(YEAR(A232),MONTH(A232)+1,1),DATE(YEAR(A232),MONTH(A232),1)),"mmmm yyyy"))</f>
      </c>
    </row>
    <row r="233" spans="1:8" x14ac:dyDescent="0.3">
      <c r="A233" s="48"/>
      <c r="B233" s="7"/>
      <c r="C233" s="6"/>
      <c r="D233" s="7"/>
      <c r="E233" s="7"/>
      <c r="F233" s="7"/>
      <c r="G233" s="7"/>
      <c r="H233" s="17">
        <f>IF(A233="","",TEXT(IF(DAY(A233)&gt;=Setup!$B$9,DATE(YEAR(A233),MONTH(A233)+1,1),DATE(YEAR(A233),MONTH(A233),1)),"mmmm yyyy"))</f>
      </c>
    </row>
    <row r="234" spans="1:8" x14ac:dyDescent="0.3">
      <c r="A234" s="48"/>
      <c r="B234" s="7"/>
      <c r="C234" s="6"/>
      <c r="D234" s="7"/>
      <c r="E234" s="7"/>
      <c r="F234" s="7"/>
      <c r="G234" s="7"/>
      <c r="H234" s="17">
        <f>IF(A234="","",TEXT(IF(DAY(A234)&gt;=Setup!$B$9,DATE(YEAR(A234),MONTH(A234)+1,1),DATE(YEAR(A234),MONTH(A234),1)),"mmmm yyyy"))</f>
      </c>
    </row>
    <row r="235" spans="1:8" x14ac:dyDescent="0.3">
      <c r="A235" s="48"/>
      <c r="B235" s="7"/>
      <c r="C235" s="6"/>
      <c r="D235" s="7"/>
      <c r="E235" s="7"/>
      <c r="F235" s="7"/>
      <c r="G235" s="7"/>
      <c r="H235" s="17">
        <f>IF(A235="","",TEXT(IF(DAY(A235)&gt;=Setup!$B$9,DATE(YEAR(A235),MONTH(A235)+1,1),DATE(YEAR(A235),MONTH(A235),1)),"mmmm yyyy"))</f>
      </c>
    </row>
    <row r="236" spans="1:8" x14ac:dyDescent="0.3">
      <c r="A236" s="48"/>
      <c r="B236" s="7"/>
      <c r="C236" s="6"/>
      <c r="D236" s="7"/>
      <c r="E236" s="7"/>
      <c r="F236" s="7"/>
      <c r="G236" s="7"/>
      <c r="H236" s="17">
        <f>IF(A236="","",TEXT(IF(DAY(A236)&gt;=Setup!$B$9,DATE(YEAR(A236),MONTH(A236)+1,1),DATE(YEAR(A236),MONTH(A236),1)),"mmmm yyyy"))</f>
      </c>
    </row>
    <row r="237" spans="1:8" x14ac:dyDescent="0.3">
      <c r="A237" s="48"/>
      <c r="B237" s="7"/>
      <c r="C237" s="6"/>
      <c r="D237" s="7"/>
      <c r="E237" s="7"/>
      <c r="F237" s="7"/>
      <c r="G237" s="7"/>
      <c r="H237" s="17">
        <f>IF(A237="","",TEXT(IF(DAY(A237)&gt;=Setup!$B$9,DATE(YEAR(A237),MONTH(A237)+1,1),DATE(YEAR(A237),MONTH(A237),1)),"mmmm yyyy"))</f>
      </c>
    </row>
    <row r="238" spans="1:8" x14ac:dyDescent="0.3">
      <c r="A238" s="48"/>
      <c r="B238" s="7"/>
      <c r="C238" s="6"/>
      <c r="D238" s="7"/>
      <c r="E238" s="7"/>
      <c r="F238" s="7"/>
      <c r="G238" s="7"/>
      <c r="H238" s="17">
        <f>IF(A238="","",TEXT(IF(DAY(A238)&gt;=Setup!$B$9,DATE(YEAR(A238),MONTH(A238)+1,1),DATE(YEAR(A238),MONTH(A238),1)),"mmmm yyyy"))</f>
      </c>
    </row>
    <row r="239" spans="1:8" x14ac:dyDescent="0.3">
      <c r="A239" s="48"/>
      <c r="B239" s="7"/>
      <c r="C239" s="6"/>
      <c r="D239" s="7"/>
      <c r="E239" s="7"/>
      <c r="F239" s="7"/>
      <c r="G239" s="7"/>
      <c r="H239" s="17">
        <f>IF(A239="","",TEXT(IF(DAY(A239)&gt;=Setup!$B$9,DATE(YEAR(A239),MONTH(A239)+1,1),DATE(YEAR(A239),MONTH(A239),1)),"mmmm yyyy"))</f>
      </c>
    </row>
    <row r="240" spans="1:8" x14ac:dyDescent="0.3">
      <c r="A240" s="48"/>
      <c r="B240" s="7"/>
      <c r="C240" s="6"/>
      <c r="D240" s="7"/>
      <c r="E240" s="7"/>
      <c r="F240" s="7"/>
      <c r="G240" s="7"/>
      <c r="H240" s="17">
        <f>IF(A240="","",TEXT(IF(DAY(A240)&gt;=Setup!$B$9,DATE(YEAR(A240),MONTH(A240)+1,1),DATE(YEAR(A240),MONTH(A240),1)),"mmmm yyyy"))</f>
      </c>
    </row>
    <row r="241" spans="1:8" x14ac:dyDescent="0.3">
      <c r="A241" s="48"/>
      <c r="B241" s="7"/>
      <c r="C241" s="6"/>
      <c r="D241" s="7"/>
      <c r="E241" s="7"/>
      <c r="F241" s="7"/>
      <c r="G241" s="7"/>
      <c r="H241" s="17">
        <f>IF(A241="","",TEXT(IF(DAY(A241)&gt;=Setup!$B$9,DATE(YEAR(A241),MONTH(A241)+1,1),DATE(YEAR(A241),MONTH(A241),1)),"mmmm yyyy"))</f>
      </c>
    </row>
    <row r="242" spans="1:8" x14ac:dyDescent="0.3">
      <c r="A242" s="48"/>
      <c r="B242" s="7"/>
      <c r="C242" s="6"/>
      <c r="D242" s="7"/>
      <c r="E242" s="7"/>
      <c r="F242" s="7"/>
      <c r="G242" s="7"/>
      <c r="H242" s="17">
        <f>IF(A242="","",TEXT(IF(DAY(A242)&gt;=Setup!$B$9,DATE(YEAR(A242),MONTH(A242)+1,1),DATE(YEAR(A242),MONTH(A242),1)),"mmmm yyyy"))</f>
      </c>
    </row>
    <row r="243" spans="1:8" x14ac:dyDescent="0.3">
      <c r="A243" s="48"/>
      <c r="B243" s="7"/>
      <c r="C243" s="6"/>
      <c r="D243" s="7"/>
      <c r="E243" s="7"/>
      <c r="F243" s="7"/>
      <c r="G243" s="7"/>
      <c r="H243" s="17">
        <f>IF(A243="","",TEXT(IF(DAY(A243)&gt;=Setup!$B$9,DATE(YEAR(A243),MONTH(A243)+1,1),DATE(YEAR(A243),MONTH(A243),1)),"mmmm yyyy"))</f>
      </c>
    </row>
    <row r="244" spans="1:8" x14ac:dyDescent="0.3">
      <c r="A244" s="48"/>
      <c r="B244" s="7"/>
      <c r="C244" s="6"/>
      <c r="D244" s="7"/>
      <c r="E244" s="7"/>
      <c r="F244" s="7"/>
      <c r="G244" s="7"/>
      <c r="H244" s="17">
        <f>IF(A244="","",TEXT(IF(DAY(A244)&gt;=Setup!$B$9,DATE(YEAR(A244),MONTH(A244)+1,1),DATE(YEAR(A244),MONTH(A244),1)),"mmmm yyyy"))</f>
      </c>
    </row>
    <row r="245" spans="1:8" x14ac:dyDescent="0.3">
      <c r="A245" s="48"/>
      <c r="B245" s="7"/>
      <c r="C245" s="6"/>
      <c r="D245" s="7"/>
      <c r="E245" s="7"/>
      <c r="F245" s="7"/>
      <c r="G245" s="7"/>
      <c r="H245" s="17">
        <f>IF(A245="","",TEXT(IF(DAY(A245)&gt;=Setup!$B$9,DATE(YEAR(A245),MONTH(A245)+1,1),DATE(YEAR(A245),MONTH(A245),1)),"mmmm yyyy"))</f>
      </c>
    </row>
    <row r="246" spans="1:8" x14ac:dyDescent="0.3">
      <c r="A246" s="48"/>
      <c r="B246" s="7"/>
      <c r="C246" s="6"/>
      <c r="D246" s="7"/>
      <c r="E246" s="7"/>
      <c r="F246" s="7"/>
      <c r="G246" s="7"/>
      <c r="H246" s="17">
        <f>IF(A246="","",TEXT(IF(DAY(A246)&gt;=Setup!$B$9,DATE(YEAR(A246),MONTH(A246)+1,1),DATE(YEAR(A246),MONTH(A246),1)),"mmmm yyyy"))</f>
      </c>
    </row>
    <row r="247" spans="1:8" x14ac:dyDescent="0.3">
      <c r="A247" s="48"/>
      <c r="B247" s="7"/>
      <c r="C247" s="6"/>
      <c r="D247" s="7"/>
      <c r="E247" s="7"/>
      <c r="F247" s="7"/>
      <c r="G247" s="7"/>
      <c r="H247" s="17">
        <f>IF(A247="","",TEXT(IF(DAY(A247)&gt;=Setup!$B$9,DATE(YEAR(A247),MONTH(A247)+1,1),DATE(YEAR(A247),MONTH(A247),1)),"mmmm yyyy"))</f>
      </c>
    </row>
    <row r="248" spans="1:8" x14ac:dyDescent="0.3">
      <c r="A248" s="48"/>
      <c r="B248" s="7"/>
      <c r="C248" s="6"/>
      <c r="D248" s="7"/>
      <c r="E248" s="7"/>
      <c r="F248" s="7"/>
      <c r="G248" s="7"/>
      <c r="H248" s="17">
        <f>IF(A248="","",TEXT(IF(DAY(A248)&gt;=Setup!$B$9,DATE(YEAR(A248),MONTH(A248)+1,1),DATE(YEAR(A248),MONTH(A248),1)),"mmmm yyyy"))</f>
      </c>
    </row>
    <row r="249" spans="1:8" x14ac:dyDescent="0.3">
      <c r="A249" s="48"/>
      <c r="B249" s="7"/>
      <c r="C249" s="6"/>
      <c r="D249" s="7"/>
      <c r="E249" s="7"/>
      <c r="F249" s="7"/>
      <c r="G249" s="7"/>
      <c r="H249" s="17">
        <f>IF(A249="","",TEXT(IF(DAY(A249)&gt;=Setup!$B$9,DATE(YEAR(A249),MONTH(A249)+1,1),DATE(YEAR(A249),MONTH(A249),1)),"mmmm yyyy"))</f>
      </c>
    </row>
    <row r="250" spans="1:8" x14ac:dyDescent="0.3">
      <c r="A250" s="48"/>
      <c r="B250" s="7"/>
      <c r="C250" s="6"/>
      <c r="D250" s="7"/>
      <c r="E250" s="7"/>
      <c r="F250" s="7"/>
      <c r="G250" s="7"/>
      <c r="H250" s="17">
        <f>IF(A250="","",TEXT(IF(DAY(A250)&gt;=Setup!$B$9,DATE(YEAR(A250),MONTH(A250)+1,1),DATE(YEAR(A250),MONTH(A250),1)),"mmmm yyyy"))</f>
      </c>
    </row>
    <row r="251" spans="1:8" x14ac:dyDescent="0.3">
      <c r="A251" s="48"/>
      <c r="B251" s="7"/>
      <c r="C251" s="6"/>
      <c r="D251" s="7"/>
      <c r="E251" s="7"/>
      <c r="F251" s="7"/>
      <c r="G251" s="7"/>
      <c r="H251" s="17">
        <f>IF(A251="","",TEXT(IF(DAY(A251)&gt;=Setup!$B$9,DATE(YEAR(A251),MONTH(A251)+1,1),DATE(YEAR(A251),MONTH(A251),1)),"mmmm yyyy"))</f>
      </c>
    </row>
    <row r="252" spans="1:8" x14ac:dyDescent="0.3">
      <c r="A252" s="48"/>
      <c r="B252" s="7"/>
      <c r="C252" s="6"/>
      <c r="D252" s="7"/>
      <c r="E252" s="7"/>
      <c r="F252" s="7"/>
      <c r="G252" s="7"/>
      <c r="H252" s="17">
        <f>IF(A252="","",TEXT(IF(DAY(A252)&gt;=Setup!$B$9,DATE(YEAR(A252),MONTH(A252)+1,1),DATE(YEAR(A252),MONTH(A252),1)),"mmmm yyyy"))</f>
      </c>
    </row>
    <row r="253" spans="1:8" x14ac:dyDescent="0.3">
      <c r="A253" s="48"/>
      <c r="B253" s="7"/>
      <c r="C253" s="6"/>
      <c r="D253" s="7"/>
      <c r="E253" s="7"/>
      <c r="F253" s="7"/>
      <c r="G253" s="7"/>
      <c r="H253" s="17">
        <f>IF(A253="","",TEXT(IF(DAY(A253)&gt;=Setup!$B$9,DATE(YEAR(A253),MONTH(A253)+1,1),DATE(YEAR(A253),MONTH(A253),1)),"mmmm yyyy"))</f>
      </c>
    </row>
    <row r="254" spans="1:8" x14ac:dyDescent="0.3">
      <c r="A254" s="48"/>
      <c r="B254" s="7"/>
      <c r="C254" s="6"/>
      <c r="D254" s="7"/>
      <c r="E254" s="7"/>
      <c r="F254" s="7"/>
      <c r="G254" s="7"/>
      <c r="H254" s="17">
        <f>IF(A254="","",TEXT(IF(DAY(A254)&gt;=Setup!$B$9,DATE(YEAR(A254),MONTH(A254)+1,1),DATE(YEAR(A254),MONTH(A254),1)),"mmmm yyyy"))</f>
      </c>
    </row>
    <row r="255" spans="1:8" x14ac:dyDescent="0.3">
      <c r="A255" s="48"/>
      <c r="B255" s="7"/>
      <c r="C255" s="6"/>
      <c r="D255" s="7"/>
      <c r="E255" s="7"/>
      <c r="F255" s="7"/>
      <c r="G255" s="7"/>
      <c r="H255" s="17">
        <f>IF(A255="","",TEXT(IF(DAY(A255)&gt;=Setup!$B$9,DATE(YEAR(A255),MONTH(A255)+1,1),DATE(YEAR(A255),MONTH(A255),1)),"mmmm yyyy"))</f>
      </c>
    </row>
    <row r="256" spans="1:8" x14ac:dyDescent="0.3">
      <c r="A256" s="48"/>
      <c r="B256" s="7"/>
      <c r="C256" s="6"/>
      <c r="D256" s="7"/>
      <c r="E256" s="7"/>
      <c r="F256" s="7"/>
      <c r="G256" s="7"/>
      <c r="H256" s="17">
        <f>IF(A256="","",TEXT(IF(DAY(A256)&gt;=Setup!$B$9,DATE(YEAR(A256),MONTH(A256)+1,1),DATE(YEAR(A256),MONTH(A256),1)),"mmmm yyyy"))</f>
      </c>
    </row>
    <row r="257" spans="1:8" x14ac:dyDescent="0.3">
      <c r="A257" s="48"/>
      <c r="B257" s="7"/>
      <c r="C257" s="6"/>
      <c r="D257" s="7"/>
      <c r="E257" s="7"/>
      <c r="F257" s="7"/>
      <c r="G257" s="7"/>
      <c r="H257" s="17">
        <f>IF(A257="","",TEXT(IF(DAY(A257)&gt;=Setup!$B$9,DATE(YEAR(A257),MONTH(A257)+1,1),DATE(YEAR(A257),MONTH(A257),1)),"mmmm yyyy"))</f>
      </c>
    </row>
    <row r="258" spans="1:8" x14ac:dyDescent="0.3">
      <c r="A258" s="48"/>
      <c r="B258" s="7"/>
      <c r="C258" s="6"/>
      <c r="D258" s="7"/>
      <c r="E258" s="7"/>
      <c r="F258" s="7"/>
      <c r="G258" s="7"/>
      <c r="H258" s="17">
        <f>IF(A258="","",TEXT(IF(DAY(A258)&gt;=Setup!$B$9,DATE(YEAR(A258),MONTH(A258)+1,1),DATE(YEAR(A258),MONTH(A258),1)),"mmmm yyyy"))</f>
      </c>
    </row>
    <row r="259" spans="1:8" x14ac:dyDescent="0.3">
      <c r="A259" s="48"/>
      <c r="B259" s="7"/>
      <c r="C259" s="6"/>
      <c r="D259" s="7"/>
      <c r="E259" s="7"/>
      <c r="F259" s="7"/>
      <c r="G259" s="7"/>
      <c r="H259" s="17">
        <f>IF(A259="","",TEXT(IF(DAY(A259)&gt;=Setup!$B$9,DATE(YEAR(A259),MONTH(A259)+1,1),DATE(YEAR(A259),MONTH(A259),1)),"mmmm yyyy"))</f>
      </c>
    </row>
    <row r="260" spans="1:8" x14ac:dyDescent="0.3">
      <c r="A260" s="48"/>
      <c r="B260" s="7"/>
      <c r="C260" s="6"/>
      <c r="D260" s="7"/>
      <c r="E260" s="7"/>
      <c r="F260" s="7"/>
      <c r="G260" s="7"/>
      <c r="H260" s="17">
        <f>IF(A260="","",TEXT(IF(DAY(A260)&gt;=Setup!$B$9,DATE(YEAR(A260),MONTH(A260)+1,1),DATE(YEAR(A260),MONTH(A260),1)),"mmmm yyyy"))</f>
      </c>
    </row>
    <row r="261" spans="1:8" x14ac:dyDescent="0.3">
      <c r="A261" s="48"/>
      <c r="B261" s="7"/>
      <c r="C261" s="6"/>
      <c r="D261" s="7"/>
      <c r="E261" s="7"/>
      <c r="F261" s="7"/>
      <c r="G261" s="7"/>
      <c r="H261" s="17">
        <f>IF(A261="","",TEXT(IF(DAY(A261)&gt;=Setup!$B$9,DATE(YEAR(A261),MONTH(A261)+1,1),DATE(YEAR(A261),MONTH(A261),1)),"mmmm yyyy"))</f>
      </c>
    </row>
    <row r="262" spans="1:8" x14ac:dyDescent="0.3">
      <c r="A262" s="48"/>
      <c r="B262" s="7"/>
      <c r="C262" s="6"/>
      <c r="D262" s="7"/>
      <c r="E262" s="7"/>
      <c r="F262" s="7"/>
      <c r="G262" s="7"/>
      <c r="H262" s="17">
        <f>IF(A262="","",TEXT(IF(DAY(A262)&gt;=Setup!$B$9,DATE(YEAR(A262),MONTH(A262)+1,1),DATE(YEAR(A262),MONTH(A262),1)),"mmmm yyyy"))</f>
      </c>
    </row>
    <row r="263" spans="1:8" x14ac:dyDescent="0.3">
      <c r="A263" s="48"/>
      <c r="B263" s="7"/>
      <c r="C263" s="6"/>
      <c r="D263" s="7"/>
      <c r="E263" s="7"/>
      <c r="F263" s="7"/>
      <c r="G263" s="7"/>
      <c r="H263" s="17">
        <f>IF(A263="","",TEXT(IF(DAY(A263)&gt;=Setup!$B$9,DATE(YEAR(A263),MONTH(A263)+1,1),DATE(YEAR(A263),MONTH(A263),1)),"mmmm yyyy"))</f>
      </c>
    </row>
    <row r="264" spans="1:8" x14ac:dyDescent="0.3">
      <c r="A264" s="48"/>
      <c r="B264" s="7"/>
      <c r="C264" s="6"/>
      <c r="D264" s="7"/>
      <c r="E264" s="7"/>
      <c r="F264" s="7"/>
      <c r="G264" s="7"/>
      <c r="H264" s="17">
        <f>IF(A264="","",TEXT(IF(DAY(A264)&gt;=Setup!$B$9,DATE(YEAR(A264),MONTH(A264)+1,1),DATE(YEAR(A264),MONTH(A264),1)),"mmmm yyyy"))</f>
      </c>
    </row>
    <row r="265" spans="1:8" x14ac:dyDescent="0.3">
      <c r="A265" s="48"/>
      <c r="B265" s="7"/>
      <c r="C265" s="6"/>
      <c r="D265" s="7"/>
      <c r="E265" s="7"/>
      <c r="F265" s="7"/>
      <c r="G265" s="7"/>
      <c r="H265" s="17">
        <f>IF(A265="","",TEXT(IF(DAY(A265)&gt;=Setup!$B$9,DATE(YEAR(A265),MONTH(A265)+1,1),DATE(YEAR(A265),MONTH(A265),1)),"mmmm yyyy"))</f>
      </c>
    </row>
    <row r="266" spans="1:8" x14ac:dyDescent="0.3">
      <c r="A266" s="48"/>
      <c r="B266" s="7"/>
      <c r="C266" s="6"/>
      <c r="D266" s="7"/>
      <c r="E266" s="7"/>
      <c r="F266" s="7"/>
      <c r="G266" s="7"/>
      <c r="H266" s="17">
        <f>IF(A266="","",TEXT(IF(DAY(A266)&gt;=Setup!$B$9,DATE(YEAR(A266),MONTH(A266)+1,1),DATE(YEAR(A266),MONTH(A266),1)),"mmmm yyyy"))</f>
      </c>
    </row>
    <row r="267" spans="1:8" x14ac:dyDescent="0.3">
      <c r="A267" s="48"/>
      <c r="B267" s="7"/>
      <c r="C267" s="6"/>
      <c r="D267" s="7"/>
      <c r="E267" s="7"/>
      <c r="F267" s="7"/>
      <c r="G267" s="7"/>
      <c r="H267" s="17">
        <f>IF(A267="","",TEXT(IF(DAY(A267)&gt;=Setup!$B$9,DATE(YEAR(A267),MONTH(A267)+1,1),DATE(YEAR(A267),MONTH(A267),1)),"mmmm yyyy"))</f>
      </c>
    </row>
    <row r="268" spans="1:8" x14ac:dyDescent="0.3">
      <c r="A268" s="48"/>
      <c r="B268" s="7"/>
      <c r="C268" s="6"/>
      <c r="D268" s="7"/>
      <c r="E268" s="7"/>
      <c r="F268" s="7"/>
      <c r="G268" s="7"/>
      <c r="H268" s="17">
        <f>IF(A268="","",TEXT(IF(DAY(A268)&gt;=Setup!$B$9,DATE(YEAR(A268),MONTH(A268)+1,1),DATE(YEAR(A268),MONTH(A268),1)),"mmmm yyyy"))</f>
      </c>
    </row>
    <row r="269" spans="1:8" x14ac:dyDescent="0.3">
      <c r="A269" s="48"/>
      <c r="B269" s="7"/>
      <c r="C269" s="6"/>
      <c r="D269" s="7"/>
      <c r="E269" s="7"/>
      <c r="F269" s="7"/>
      <c r="G269" s="7"/>
      <c r="H269" s="17">
        <f>IF(A269="","",TEXT(IF(DAY(A269)&gt;=Setup!$B$9,DATE(YEAR(A269),MONTH(A269)+1,1),DATE(YEAR(A269),MONTH(A269),1)),"mmmm yyyy"))</f>
      </c>
    </row>
    <row r="270" spans="1:8" x14ac:dyDescent="0.3">
      <c r="A270" s="48"/>
      <c r="B270" s="7"/>
      <c r="C270" s="6"/>
      <c r="D270" s="7"/>
      <c r="E270" s="7"/>
      <c r="F270" s="7"/>
      <c r="G270" s="7"/>
      <c r="H270" s="17">
        <f>IF(A270="","",TEXT(IF(DAY(A270)&gt;=Setup!$B$9,DATE(YEAR(A270),MONTH(A270)+1,1),DATE(YEAR(A270),MONTH(A270),1)),"mmmm yyyy"))</f>
      </c>
    </row>
    <row r="271" spans="1:8" x14ac:dyDescent="0.3">
      <c r="A271" s="48"/>
      <c r="B271" s="7"/>
      <c r="C271" s="6"/>
      <c r="D271" s="7"/>
      <c r="E271" s="7"/>
      <c r="F271" s="7"/>
      <c r="G271" s="7"/>
      <c r="H271" s="17">
        <f>IF(A271="","",TEXT(IF(DAY(A271)&gt;=Setup!$B$9,DATE(YEAR(A271),MONTH(A271)+1,1),DATE(YEAR(A271),MONTH(A271),1)),"mmmm yyyy"))</f>
      </c>
    </row>
    <row r="272" spans="1:8" x14ac:dyDescent="0.3">
      <c r="A272" s="48"/>
      <c r="B272" s="7"/>
      <c r="C272" s="6"/>
      <c r="D272" s="7"/>
      <c r="E272" s="7"/>
      <c r="F272" s="7"/>
      <c r="G272" s="7"/>
      <c r="H272" s="17">
        <f>IF(A272="","",TEXT(IF(DAY(A272)&gt;=Setup!$B$9,DATE(YEAR(A272),MONTH(A272)+1,1),DATE(YEAR(A272),MONTH(A272),1)),"mmmm yyyy"))</f>
      </c>
    </row>
    <row r="273" spans="1:8" x14ac:dyDescent="0.3">
      <c r="A273" s="48"/>
      <c r="B273" s="7"/>
      <c r="C273" s="6"/>
      <c r="D273" s="7"/>
      <c r="E273" s="7"/>
      <c r="F273" s="7"/>
      <c r="G273" s="7"/>
      <c r="H273" s="17">
        <f>IF(A273="","",TEXT(IF(DAY(A273)&gt;=Setup!$B$9,DATE(YEAR(A273),MONTH(A273)+1,1),DATE(YEAR(A273),MONTH(A273),1)),"mmmm yyyy"))</f>
      </c>
    </row>
    <row r="274" spans="1:8" x14ac:dyDescent="0.3">
      <c r="A274" s="48"/>
      <c r="B274" s="7"/>
      <c r="C274" s="6"/>
      <c r="D274" s="7"/>
      <c r="E274" s="7"/>
      <c r="F274" s="7"/>
      <c r="G274" s="7"/>
      <c r="H274" s="17">
        <f>IF(A274="","",TEXT(IF(DAY(A274)&gt;=Setup!$B$9,DATE(YEAR(A274),MONTH(A274)+1,1),DATE(YEAR(A274),MONTH(A274),1)),"mmmm yyyy"))</f>
      </c>
    </row>
    <row r="275" spans="1:8" x14ac:dyDescent="0.3">
      <c r="A275" s="48"/>
      <c r="B275" s="7"/>
      <c r="C275" s="6"/>
      <c r="D275" s="7"/>
      <c r="E275" s="7"/>
      <c r="F275" s="7"/>
      <c r="G275" s="7"/>
      <c r="H275" s="17">
        <f>IF(A275="","",TEXT(IF(DAY(A275)&gt;=Setup!$B$9,DATE(YEAR(A275),MONTH(A275)+1,1),DATE(YEAR(A275),MONTH(A275),1)),"mmmm yyyy"))</f>
      </c>
    </row>
    <row r="276" spans="1:8" x14ac:dyDescent="0.3">
      <c r="A276" s="48"/>
      <c r="B276" s="7"/>
      <c r="C276" s="6"/>
      <c r="D276" s="7"/>
      <c r="E276" s="7"/>
      <c r="F276" s="7"/>
      <c r="G276" s="7"/>
      <c r="H276" s="17">
        <f>IF(A276="","",TEXT(IF(DAY(A276)&gt;=Setup!$B$9,DATE(YEAR(A276),MONTH(A276)+1,1),DATE(YEAR(A276),MONTH(A276),1)),"mmmm yyyy"))</f>
      </c>
    </row>
    <row r="277" spans="1:8" x14ac:dyDescent="0.3">
      <c r="A277" s="48"/>
      <c r="B277" s="7"/>
      <c r="C277" s="6"/>
      <c r="D277" s="7"/>
      <c r="E277" s="7"/>
      <c r="F277" s="7"/>
      <c r="G277" s="7"/>
      <c r="H277" s="17">
        <f>IF(A277="","",TEXT(IF(DAY(A277)&gt;=Setup!$B$9,DATE(YEAR(A277),MONTH(A277)+1,1),DATE(YEAR(A277),MONTH(A277),1)),"mmmm yyyy"))</f>
      </c>
    </row>
    <row r="278" spans="1:8" x14ac:dyDescent="0.3">
      <c r="A278" s="48"/>
      <c r="B278" s="7"/>
      <c r="C278" s="6"/>
      <c r="D278" s="7"/>
      <c r="E278" s="7"/>
      <c r="F278" s="7"/>
      <c r="G278" s="7"/>
      <c r="H278" s="17">
        <f>IF(A278="","",TEXT(IF(DAY(A278)&gt;=Setup!$B$9,DATE(YEAR(A278),MONTH(A278)+1,1),DATE(YEAR(A278),MONTH(A278),1)),"mmmm yyyy"))</f>
      </c>
    </row>
    <row r="279" spans="1:8" x14ac:dyDescent="0.3">
      <c r="A279" s="48"/>
      <c r="B279" s="7"/>
      <c r="C279" s="6"/>
      <c r="D279" s="7"/>
      <c r="E279" s="7"/>
      <c r="F279" s="7"/>
      <c r="G279" s="7"/>
      <c r="H279" s="17">
        <f>IF(A279="","",TEXT(IF(DAY(A279)&gt;=Setup!$B$9,DATE(YEAR(A279),MONTH(A279)+1,1),DATE(YEAR(A279),MONTH(A279),1)),"mmmm yyyy"))</f>
      </c>
    </row>
    <row r="280" spans="1:8" x14ac:dyDescent="0.3">
      <c r="A280" s="48"/>
      <c r="B280" s="7"/>
      <c r="C280" s="6"/>
      <c r="D280" s="7"/>
      <c r="E280" s="7"/>
      <c r="F280" s="7"/>
      <c r="G280" s="7"/>
      <c r="H280" s="17">
        <f>IF(A280="","",TEXT(IF(DAY(A280)&gt;=Setup!$B$9,DATE(YEAR(A280),MONTH(A280)+1,1),DATE(YEAR(A280),MONTH(A280),1)),"mmmm yyyy"))</f>
      </c>
    </row>
    <row r="281" spans="1:8" x14ac:dyDescent="0.3">
      <c r="A281" s="48"/>
      <c r="B281" s="7"/>
      <c r="C281" s="6"/>
      <c r="D281" s="7"/>
      <c r="E281" s="7"/>
      <c r="F281" s="7"/>
      <c r="G281" s="7"/>
      <c r="H281" s="17">
        <f>IF(A281="","",TEXT(IF(DAY(A281)&gt;=Setup!$B$9,DATE(YEAR(A281),MONTH(A281)+1,1),DATE(YEAR(A281),MONTH(A281),1)),"mmmm yyyy"))</f>
      </c>
    </row>
    <row r="282" spans="1:8" x14ac:dyDescent="0.3">
      <c r="A282" s="48"/>
      <c r="B282" s="7"/>
      <c r="C282" s="6"/>
      <c r="D282" s="7"/>
      <c r="E282" s="7"/>
      <c r="F282" s="7"/>
      <c r="G282" s="7"/>
      <c r="H282" s="17">
        <f>IF(A282="","",TEXT(IF(DAY(A282)&gt;=Setup!$B$9,DATE(YEAR(A282),MONTH(A282)+1,1),DATE(YEAR(A282),MONTH(A282),1)),"mmmm yyyy"))</f>
      </c>
    </row>
    <row r="283" spans="1:8" x14ac:dyDescent="0.3">
      <c r="A283" s="48"/>
      <c r="B283" s="7"/>
      <c r="C283" s="6"/>
      <c r="D283" s="7"/>
      <c r="E283" s="7"/>
      <c r="F283" s="7"/>
      <c r="G283" s="7"/>
      <c r="H283" s="17">
        <f>IF(A283="","",TEXT(IF(DAY(A283)&gt;=Setup!$B$9,DATE(YEAR(A283),MONTH(A283)+1,1),DATE(YEAR(A283),MONTH(A283),1)),"mmmm yyyy"))</f>
      </c>
    </row>
    <row r="284" spans="1:8" x14ac:dyDescent="0.3">
      <c r="A284" s="48"/>
      <c r="B284" s="7"/>
      <c r="C284" s="6"/>
      <c r="D284" s="7"/>
      <c r="E284" s="7"/>
      <c r="F284" s="7"/>
      <c r="G284" s="7"/>
      <c r="H284" s="17">
        <f>IF(A284="","",TEXT(IF(DAY(A284)&gt;=Setup!$B$9,DATE(YEAR(A284),MONTH(A284)+1,1),DATE(YEAR(A284),MONTH(A284),1)),"mmmm yyyy"))</f>
      </c>
    </row>
    <row r="285" spans="1:8" x14ac:dyDescent="0.3">
      <c r="A285" s="48"/>
      <c r="B285" s="7"/>
      <c r="C285" s="6"/>
      <c r="D285" s="7"/>
      <c r="E285" s="7"/>
      <c r="F285" s="7"/>
      <c r="G285" s="7"/>
      <c r="H285" s="17">
        <f>IF(A285="","",TEXT(IF(DAY(A285)&gt;=Setup!$B$9,DATE(YEAR(A285),MONTH(A285)+1,1),DATE(YEAR(A285),MONTH(A285),1)),"mmmm yyyy"))</f>
      </c>
    </row>
    <row r="286" spans="1:8" x14ac:dyDescent="0.3">
      <c r="A286" s="48"/>
      <c r="B286" s="7"/>
      <c r="C286" s="6"/>
      <c r="D286" s="7"/>
      <c r="E286" s="7"/>
      <c r="F286" s="7"/>
      <c r="G286" s="7"/>
      <c r="H286" s="17">
        <f>IF(A286="","",TEXT(IF(DAY(A286)&gt;=Setup!$B$9,DATE(YEAR(A286),MONTH(A286)+1,1),DATE(YEAR(A286),MONTH(A286),1)),"mmmm yyyy"))</f>
      </c>
    </row>
    <row r="287" spans="1:8" x14ac:dyDescent="0.3">
      <c r="A287" s="48"/>
      <c r="B287" s="7"/>
      <c r="C287" s="6"/>
      <c r="D287" s="7"/>
      <c r="E287" s="7"/>
      <c r="F287" s="7"/>
      <c r="G287" s="7"/>
      <c r="H287" s="17">
        <f>IF(A287="","",TEXT(IF(DAY(A287)&gt;=Setup!$B$9,DATE(YEAR(A287),MONTH(A287)+1,1),DATE(YEAR(A287),MONTH(A287),1)),"mmmm yyyy"))</f>
      </c>
    </row>
    <row r="288" spans="1:8" x14ac:dyDescent="0.3">
      <c r="A288" s="48"/>
      <c r="B288" s="7"/>
      <c r="C288" s="6"/>
      <c r="D288" s="7"/>
      <c r="E288" s="7"/>
      <c r="F288" s="7"/>
      <c r="G288" s="7"/>
      <c r="H288" s="17">
        <f>IF(A288="","",TEXT(IF(DAY(A288)&gt;=Setup!$B$9,DATE(YEAR(A288),MONTH(A288)+1,1),DATE(YEAR(A288),MONTH(A288),1)),"mmmm yyyy"))</f>
      </c>
    </row>
    <row r="289" spans="1:8" x14ac:dyDescent="0.3">
      <c r="A289" s="48"/>
      <c r="B289" s="7"/>
      <c r="C289" s="6"/>
      <c r="D289" s="7"/>
      <c r="E289" s="7"/>
      <c r="F289" s="7"/>
      <c r="G289" s="7"/>
      <c r="H289" s="17">
        <f>IF(A289="","",TEXT(IF(DAY(A289)&gt;=Setup!$B$9,DATE(YEAR(A289),MONTH(A289)+1,1),DATE(YEAR(A289),MONTH(A289),1)),"mmmm yyyy"))</f>
      </c>
    </row>
    <row r="290" spans="1:8" x14ac:dyDescent="0.3">
      <c r="A290" s="48"/>
      <c r="B290" s="7"/>
      <c r="C290" s="6"/>
      <c r="D290" s="7"/>
      <c r="E290" s="7"/>
      <c r="F290" s="7"/>
      <c r="G290" s="7"/>
      <c r="H290" s="17">
        <f>IF(A290="","",TEXT(IF(DAY(A290)&gt;=Setup!$B$9,DATE(YEAR(A290),MONTH(A290)+1,1),DATE(YEAR(A290),MONTH(A290),1)),"mmmm yyyy"))</f>
      </c>
    </row>
    <row r="291" spans="1:8" x14ac:dyDescent="0.3">
      <c r="A291" s="48"/>
      <c r="B291" s="7"/>
      <c r="C291" s="6"/>
      <c r="D291" s="7"/>
      <c r="E291" s="7"/>
      <c r="F291" s="7"/>
      <c r="G291" s="7"/>
      <c r="H291" s="17">
        <f>IF(A291="","",TEXT(IF(DAY(A291)&gt;=Setup!$B$9,DATE(YEAR(A291),MONTH(A291)+1,1),DATE(YEAR(A291),MONTH(A291),1)),"mmmm yyyy"))</f>
      </c>
    </row>
    <row r="292" spans="1:8" x14ac:dyDescent="0.3">
      <c r="A292" s="48"/>
      <c r="B292" s="7"/>
      <c r="C292" s="6"/>
      <c r="D292" s="7"/>
      <c r="E292" s="7"/>
      <c r="F292" s="7"/>
      <c r="G292" s="7"/>
      <c r="H292" s="17">
        <f>IF(A292="","",TEXT(IF(DAY(A292)&gt;=Setup!$B$9,DATE(YEAR(A292),MONTH(A292)+1,1),DATE(YEAR(A292),MONTH(A292),1)),"mmmm yyyy"))</f>
      </c>
    </row>
    <row r="293" spans="1:8" x14ac:dyDescent="0.3">
      <c r="A293" s="48"/>
      <c r="B293" s="7"/>
      <c r="C293" s="6"/>
      <c r="D293" s="7"/>
      <c r="E293" s="7"/>
      <c r="F293" s="7"/>
      <c r="G293" s="7"/>
      <c r="H293" s="17">
        <f>IF(A293="","",TEXT(IF(DAY(A293)&gt;=Setup!$B$9,DATE(YEAR(A293),MONTH(A293)+1,1),DATE(YEAR(A293),MONTH(A293),1)),"mmmm yyyy"))</f>
      </c>
    </row>
    <row r="294" spans="1:8" x14ac:dyDescent="0.3">
      <c r="A294" s="48"/>
      <c r="B294" s="7"/>
      <c r="C294" s="6"/>
      <c r="D294" s="7"/>
      <c r="E294" s="7"/>
      <c r="F294" s="7"/>
      <c r="G294" s="7"/>
      <c r="H294" s="17">
        <f>IF(A294="","",TEXT(IF(DAY(A294)&gt;=Setup!$B$9,DATE(YEAR(A294),MONTH(A294)+1,1),DATE(YEAR(A294),MONTH(A294),1)),"mmmm yyyy"))</f>
      </c>
    </row>
    <row r="295" spans="1:8" x14ac:dyDescent="0.3">
      <c r="A295" s="48"/>
      <c r="B295" s="7"/>
      <c r="C295" s="6"/>
      <c r="D295" s="7"/>
      <c r="E295" s="7"/>
      <c r="F295" s="7"/>
      <c r="G295" s="7"/>
      <c r="H295" s="17">
        <f>IF(A295="","",TEXT(IF(DAY(A295)&gt;=Setup!$B$9,DATE(YEAR(A295),MONTH(A295)+1,1),DATE(YEAR(A295),MONTH(A295),1)),"mmmm yyyy"))</f>
      </c>
    </row>
    <row r="296" spans="1:8" x14ac:dyDescent="0.3">
      <c r="A296" s="48"/>
      <c r="B296" s="7"/>
      <c r="C296" s="6"/>
      <c r="D296" s="7"/>
      <c r="E296" s="7"/>
      <c r="F296" s="7"/>
      <c r="G296" s="7"/>
      <c r="H296" s="17">
        <f>IF(A296="","",TEXT(IF(DAY(A296)&gt;=Setup!$B$9,DATE(YEAR(A296),MONTH(A296)+1,1),DATE(YEAR(A296),MONTH(A296),1)),"mmmm yyyy"))</f>
      </c>
    </row>
    <row r="297" spans="1:8" x14ac:dyDescent="0.3">
      <c r="A297" s="48"/>
      <c r="B297" s="7"/>
      <c r="C297" s="6"/>
      <c r="D297" s="7"/>
      <c r="E297" s="7"/>
      <c r="F297" s="7"/>
      <c r="G297" s="7"/>
      <c r="H297" s="17">
        <f>IF(A297="","",TEXT(IF(DAY(A297)&gt;=Setup!$B$9,DATE(YEAR(A297),MONTH(A297)+1,1),DATE(YEAR(A297),MONTH(A297),1)),"mmmm yyyy"))</f>
      </c>
    </row>
    <row r="298" spans="1:8" x14ac:dyDescent="0.3">
      <c r="A298" s="48"/>
      <c r="B298" s="7"/>
      <c r="C298" s="6"/>
      <c r="D298" s="7"/>
      <c r="E298" s="7"/>
      <c r="F298" s="7"/>
      <c r="G298" s="7"/>
      <c r="H298" s="17">
        <f>IF(A298="","",TEXT(IF(DAY(A298)&gt;=Setup!$B$9,DATE(YEAR(A298),MONTH(A298)+1,1),DATE(YEAR(A298),MONTH(A298),1)),"mmmm yyyy"))</f>
      </c>
    </row>
    <row r="299" spans="1:8" x14ac:dyDescent="0.3">
      <c r="A299" s="48"/>
      <c r="B299" s="7"/>
      <c r="C299" s="6"/>
      <c r="D299" s="7"/>
      <c r="E299" s="7"/>
      <c r="F299" s="7"/>
      <c r="G299" s="7"/>
      <c r="H299" s="17">
        <f>IF(A299="","",TEXT(IF(DAY(A299)&gt;=Setup!$B$9,DATE(YEAR(A299),MONTH(A299)+1,1),DATE(YEAR(A299),MONTH(A299),1)),"mmmm yyyy"))</f>
      </c>
    </row>
    <row r="300" spans="1:8" x14ac:dyDescent="0.3">
      <c r="A300" s="48"/>
      <c r="B300" s="7"/>
      <c r="C300" s="6"/>
      <c r="D300" s="7"/>
      <c r="E300" s="7"/>
      <c r="F300" s="7"/>
      <c r="G300" s="7"/>
      <c r="H300" s="17">
        <f>IF(A300="","",TEXT(IF(DAY(A300)&gt;=Setup!$B$9,DATE(YEAR(A300),MONTH(A300)+1,1),DATE(YEAR(A300),MONTH(A300),1)),"mmmm yyyy"))</f>
      </c>
    </row>
    <row r="301" spans="1:8" x14ac:dyDescent="0.3">
      <c r="A301" s="48"/>
      <c r="B301" s="7"/>
      <c r="C301" s="6"/>
      <c r="D301" s="7"/>
      <c r="E301" s="7"/>
      <c r="F301" s="7"/>
      <c r="G301" s="7"/>
      <c r="H301" s="17">
        <f>IF(A301="","",TEXT(IF(DAY(A301)&gt;=Setup!$B$9,DATE(YEAR(A301),MONTH(A301)+1,1),DATE(YEAR(A301),MONTH(A301),1)),"mmmm yyyy"))</f>
      </c>
    </row>
    <row r="302" spans="1:8" x14ac:dyDescent="0.3">
      <c r="A302" s="48"/>
      <c r="B302" s="7"/>
      <c r="C302" s="6"/>
      <c r="D302" s="7"/>
      <c r="E302" s="7"/>
      <c r="F302" s="7"/>
      <c r="G302" s="7"/>
      <c r="H302" s="17">
        <f>IF(A302="","",TEXT(IF(DAY(A302)&gt;=Setup!$B$9,DATE(YEAR(A302),MONTH(A302)+1,1),DATE(YEAR(A302),MONTH(A302),1)),"mmmm yyyy"))</f>
      </c>
    </row>
    <row r="303" spans="1:8" x14ac:dyDescent="0.3">
      <c r="A303" s="48"/>
      <c r="B303" s="7"/>
      <c r="C303" s="6"/>
      <c r="D303" s="7"/>
      <c r="E303" s="7"/>
      <c r="F303" s="7"/>
      <c r="G303" s="7"/>
      <c r="H303" s="17">
        <f>IF(A303="","",TEXT(IF(DAY(A303)&gt;=Setup!$B$9,DATE(YEAR(A303),MONTH(A303)+1,1),DATE(YEAR(A303),MONTH(A303),1)),"mmmm yyyy"))</f>
      </c>
    </row>
    <row r="304" spans="1:8" x14ac:dyDescent="0.3">
      <c r="A304" s="48"/>
      <c r="B304" s="7"/>
      <c r="C304" s="6"/>
      <c r="D304" s="7"/>
      <c r="E304" s="7"/>
      <c r="F304" s="7"/>
      <c r="G304" s="7"/>
      <c r="H304" s="17">
        <f>IF(A304="","",TEXT(IF(DAY(A304)&gt;=Setup!$B$9,DATE(YEAR(A304),MONTH(A304)+1,1),DATE(YEAR(A304),MONTH(A304),1)),"mmmm yyyy"))</f>
      </c>
    </row>
    <row r="305" spans="1:8" x14ac:dyDescent="0.3">
      <c r="A305" s="48"/>
      <c r="B305" s="7"/>
      <c r="C305" s="6"/>
      <c r="D305" s="7"/>
      <c r="E305" s="7"/>
      <c r="F305" s="7"/>
      <c r="G305" s="7"/>
      <c r="H305" s="17">
        <f>IF(A305="","",TEXT(IF(DAY(A305)&gt;=Setup!$B$9,DATE(YEAR(A305),MONTH(A305)+1,1),DATE(YEAR(A305),MONTH(A305),1)),"mmmm yyyy"))</f>
      </c>
    </row>
    <row r="306" spans="1:8" x14ac:dyDescent="0.3">
      <c r="A306" s="48"/>
      <c r="B306" s="7"/>
      <c r="C306" s="6"/>
      <c r="D306" s="7"/>
      <c r="E306" s="7"/>
      <c r="F306" s="7"/>
      <c r="G306" s="7"/>
      <c r="H306" s="17">
        <f>IF(A306="","",TEXT(IF(DAY(A306)&gt;=Setup!$B$9,DATE(YEAR(A306),MONTH(A306)+1,1),DATE(YEAR(A306),MONTH(A306),1)),"mmmm yyyy"))</f>
      </c>
    </row>
    <row r="307" spans="1:8" x14ac:dyDescent="0.3">
      <c r="A307" s="48"/>
      <c r="B307" s="7"/>
      <c r="C307" s="6"/>
      <c r="D307" s="7"/>
      <c r="E307" s="7"/>
      <c r="F307" s="7"/>
      <c r="G307" s="7"/>
      <c r="H307" s="17">
        <f>IF(A307="","",TEXT(IF(DAY(A307)&gt;=Setup!$B$9,DATE(YEAR(A307),MONTH(A307)+1,1),DATE(YEAR(A307),MONTH(A307),1)),"mmmm yyyy"))</f>
      </c>
    </row>
    <row r="308" spans="1:8" x14ac:dyDescent="0.3">
      <c r="A308" s="48"/>
      <c r="B308" s="7"/>
      <c r="C308" s="6"/>
      <c r="D308" s="7"/>
      <c r="E308" s="7"/>
      <c r="F308" s="7"/>
      <c r="G308" s="7"/>
      <c r="H308" s="17">
        <f>IF(A308="","",TEXT(IF(DAY(A308)&gt;=Setup!$B$9,DATE(YEAR(A308),MONTH(A308)+1,1),DATE(YEAR(A308),MONTH(A308),1)),"mmmm yyyy"))</f>
      </c>
    </row>
    <row r="309" spans="1:8" x14ac:dyDescent="0.3">
      <c r="A309" s="48"/>
      <c r="B309" s="7"/>
      <c r="C309" s="6"/>
      <c r="D309" s="7"/>
      <c r="E309" s="7"/>
      <c r="F309" s="7"/>
      <c r="G309" s="7"/>
      <c r="H309" s="17">
        <f>IF(A309="","",TEXT(IF(DAY(A309)&gt;=Setup!$B$9,DATE(YEAR(A309),MONTH(A309)+1,1),DATE(YEAR(A309),MONTH(A309),1)),"mmmm yyyy"))</f>
      </c>
    </row>
    <row r="310" spans="1:8" x14ac:dyDescent="0.3">
      <c r="A310" s="48"/>
      <c r="B310" s="7"/>
      <c r="C310" s="6"/>
      <c r="D310" s="7"/>
      <c r="E310" s="7"/>
      <c r="F310" s="7"/>
      <c r="G310" s="7"/>
      <c r="H310" s="17">
        <f>IF(A310="","",TEXT(IF(DAY(A310)&gt;=Setup!$B$9,DATE(YEAR(A310),MONTH(A310)+1,1),DATE(YEAR(A310),MONTH(A310),1)),"mmmm yyyy"))</f>
      </c>
    </row>
    <row r="311" spans="1:8" x14ac:dyDescent="0.3">
      <c r="A311" s="48"/>
      <c r="B311" s="7"/>
      <c r="C311" s="6"/>
      <c r="D311" s="7"/>
      <c r="E311" s="7"/>
      <c r="F311" s="7"/>
      <c r="G311" s="7"/>
      <c r="H311" s="17">
        <f>IF(A311="","",TEXT(IF(DAY(A311)&gt;=Setup!$B$9,DATE(YEAR(A311),MONTH(A311)+1,1),DATE(YEAR(A311),MONTH(A311),1)),"mmmm yyyy"))</f>
      </c>
    </row>
    <row r="312" spans="1:8" x14ac:dyDescent="0.3">
      <c r="A312" s="48"/>
      <c r="B312" s="7"/>
      <c r="C312" s="6"/>
      <c r="D312" s="7"/>
      <c r="E312" s="7"/>
      <c r="F312" s="7"/>
      <c r="G312" s="7"/>
      <c r="H312" s="17">
        <f>IF(A312="","",TEXT(IF(DAY(A312)&gt;=Setup!$B$9,DATE(YEAR(A312),MONTH(A312)+1,1),DATE(YEAR(A312),MONTH(A312),1)),"mmmm yyyy"))</f>
      </c>
    </row>
    <row r="313" spans="1:8" x14ac:dyDescent="0.3">
      <c r="A313" s="48"/>
      <c r="B313" s="7"/>
      <c r="C313" s="6"/>
      <c r="D313" s="7"/>
      <c r="E313" s="7"/>
      <c r="F313" s="7"/>
      <c r="G313" s="7"/>
      <c r="H313" s="17">
        <f>IF(A313="","",TEXT(IF(DAY(A313)&gt;=Setup!$B$9,DATE(YEAR(A313),MONTH(A313)+1,1),DATE(YEAR(A313),MONTH(A313),1)),"mmmm yyyy"))</f>
      </c>
    </row>
    <row r="314" spans="1:8" x14ac:dyDescent="0.3">
      <c r="A314" s="48"/>
      <c r="B314" s="7"/>
      <c r="C314" s="6"/>
      <c r="D314" s="7"/>
      <c r="E314" s="7"/>
      <c r="F314" s="7"/>
      <c r="G314" s="7"/>
      <c r="H314" s="17">
        <f>IF(A314="","",TEXT(IF(DAY(A314)&gt;=Setup!$B$9,DATE(YEAR(A314),MONTH(A314)+1,1),DATE(YEAR(A314),MONTH(A314),1)),"mmmm yyyy"))</f>
      </c>
    </row>
    <row r="315" spans="1:8" x14ac:dyDescent="0.3">
      <c r="A315" s="48"/>
      <c r="B315" s="7"/>
      <c r="C315" s="6"/>
      <c r="D315" s="7"/>
      <c r="E315" s="7"/>
      <c r="F315" s="7"/>
      <c r="G315" s="7"/>
      <c r="H315" s="17">
        <f>IF(A315="","",TEXT(IF(DAY(A315)&gt;=Setup!$B$9,DATE(YEAR(A315),MONTH(A315)+1,1),DATE(YEAR(A315),MONTH(A315),1)),"mmmm yyyy"))</f>
      </c>
    </row>
    <row r="316" spans="1:8" x14ac:dyDescent="0.3">
      <c r="A316" s="48"/>
      <c r="B316" s="7"/>
      <c r="C316" s="6"/>
      <c r="D316" s="7"/>
      <c r="E316" s="7"/>
      <c r="F316" s="7"/>
      <c r="G316" s="7"/>
      <c r="H316" s="17">
        <f>IF(A316="","",TEXT(IF(DAY(A316)&gt;=Setup!$B$9,DATE(YEAR(A316),MONTH(A316)+1,1),DATE(YEAR(A316),MONTH(A316),1)),"mmmm yyyy"))</f>
      </c>
    </row>
    <row r="317" spans="1:8" x14ac:dyDescent="0.3">
      <c r="A317" s="48"/>
      <c r="B317" s="7"/>
      <c r="C317" s="6"/>
      <c r="D317" s="7"/>
      <c r="E317" s="7"/>
      <c r="F317" s="7"/>
      <c r="G317" s="7"/>
      <c r="H317" s="17">
        <f>IF(A317="","",TEXT(IF(DAY(A317)&gt;=Setup!$B$9,DATE(YEAR(A317),MONTH(A317)+1,1),DATE(YEAR(A317),MONTH(A317),1)),"mmmm yyyy"))</f>
      </c>
    </row>
    <row r="318" spans="1:8" x14ac:dyDescent="0.3">
      <c r="A318" s="48"/>
      <c r="B318" s="7"/>
      <c r="C318" s="6"/>
      <c r="D318" s="7"/>
      <c r="E318" s="7"/>
      <c r="F318" s="7"/>
      <c r="G318" s="7"/>
      <c r="H318" s="17">
        <f>IF(A318="","",TEXT(IF(DAY(A318)&gt;=Setup!$B$9,DATE(YEAR(A318),MONTH(A318)+1,1),DATE(YEAR(A318),MONTH(A318),1)),"mmmm yyyy"))</f>
      </c>
    </row>
    <row r="319" spans="1:8" x14ac:dyDescent="0.3">
      <c r="A319" s="48"/>
      <c r="B319" s="7"/>
      <c r="C319" s="6"/>
      <c r="D319" s="7"/>
      <c r="E319" s="7"/>
      <c r="F319" s="7"/>
      <c r="G319" s="7"/>
      <c r="H319" s="17">
        <f>IF(A319="","",TEXT(IF(DAY(A319)&gt;=Setup!$B$9,DATE(YEAR(A319),MONTH(A319)+1,1),DATE(YEAR(A319),MONTH(A319),1)),"mmmm yyyy"))</f>
      </c>
    </row>
    <row r="320" spans="1:8" x14ac:dyDescent="0.3">
      <c r="A320" s="48"/>
      <c r="B320" s="7"/>
      <c r="C320" s="6"/>
      <c r="D320" s="7"/>
      <c r="E320" s="7"/>
      <c r="F320" s="7"/>
      <c r="G320" s="7"/>
      <c r="H320" s="17">
        <f>IF(A320="","",TEXT(IF(DAY(A320)&gt;=Setup!$B$9,DATE(YEAR(A320),MONTH(A320)+1,1),DATE(YEAR(A320),MONTH(A320),1)),"mmmm yyyy"))</f>
      </c>
    </row>
    <row r="321" spans="1:8" x14ac:dyDescent="0.3">
      <c r="A321" s="48"/>
      <c r="B321" s="7"/>
      <c r="C321" s="6"/>
      <c r="D321" s="7"/>
      <c r="E321" s="7"/>
      <c r="F321" s="7"/>
      <c r="G321" s="7"/>
      <c r="H321" s="17">
        <f>IF(A321="","",TEXT(IF(DAY(A321)&gt;=Setup!$B$9,DATE(YEAR(A321),MONTH(A321)+1,1),DATE(YEAR(A321),MONTH(A321),1)),"mmmm yyyy"))</f>
      </c>
    </row>
    <row r="322" spans="1:8" x14ac:dyDescent="0.3">
      <c r="A322" s="48"/>
      <c r="B322" s="7"/>
      <c r="C322" s="6"/>
      <c r="D322" s="7"/>
      <c r="E322" s="7"/>
      <c r="F322" s="7"/>
      <c r="G322" s="7"/>
      <c r="H322" s="17">
        <f>IF(A322="","",TEXT(IF(DAY(A322)&gt;=Setup!$B$9,DATE(YEAR(A322),MONTH(A322)+1,1),DATE(YEAR(A322),MONTH(A322),1)),"mmmm yyyy"))</f>
      </c>
    </row>
    <row r="323" spans="1:8" x14ac:dyDescent="0.3">
      <c r="A323" s="48"/>
      <c r="B323" s="7"/>
      <c r="C323" s="6"/>
      <c r="D323" s="7"/>
      <c r="E323" s="7"/>
      <c r="F323" s="7"/>
      <c r="G323" s="7"/>
      <c r="H323" s="17">
        <f>IF(A323="","",TEXT(IF(DAY(A323)&gt;=Setup!$B$9,DATE(YEAR(A323),MONTH(A323)+1,1),DATE(YEAR(A323),MONTH(A323),1)),"mmmm yyyy"))</f>
      </c>
    </row>
    <row r="324" spans="1:8" x14ac:dyDescent="0.3">
      <c r="A324" s="48"/>
      <c r="B324" s="7"/>
      <c r="C324" s="6"/>
      <c r="D324" s="7"/>
      <c r="E324" s="7"/>
      <c r="F324" s="7"/>
      <c r="G324" s="7"/>
      <c r="H324" s="17">
        <f>IF(A324="","",TEXT(IF(DAY(A324)&gt;=Setup!$B$9,DATE(YEAR(A324),MONTH(A324)+1,1),DATE(YEAR(A324),MONTH(A324),1)),"mmmm yyyy"))</f>
      </c>
    </row>
    <row r="325" spans="1:8" x14ac:dyDescent="0.3">
      <c r="A325" s="48"/>
      <c r="B325" s="7"/>
      <c r="C325" s="6"/>
      <c r="D325" s="7"/>
      <c r="E325" s="7"/>
      <c r="F325" s="7"/>
      <c r="G325" s="7"/>
      <c r="H325" s="17">
        <f>IF(A325="","",TEXT(IF(DAY(A325)&gt;=Setup!$B$9,DATE(YEAR(A325),MONTH(A325)+1,1),DATE(YEAR(A325),MONTH(A325),1)),"mmmm yyyy"))</f>
      </c>
    </row>
    <row r="326" spans="1:8" x14ac:dyDescent="0.3">
      <c r="A326" s="48"/>
      <c r="B326" s="7"/>
      <c r="C326" s="6"/>
      <c r="D326" s="7"/>
      <c r="E326" s="7"/>
      <c r="F326" s="7"/>
      <c r="G326" s="7"/>
      <c r="H326" s="17">
        <f>IF(A326="","",TEXT(IF(DAY(A326)&gt;=Setup!$B$9,DATE(YEAR(A326),MONTH(A326)+1,1),DATE(YEAR(A326),MONTH(A326),1)),"mmmm yyyy"))</f>
      </c>
    </row>
    <row r="327" spans="1:8" x14ac:dyDescent="0.3">
      <c r="A327" s="48"/>
      <c r="B327" s="7"/>
      <c r="C327" s="6"/>
      <c r="D327" s="7"/>
      <c r="E327" s="7"/>
      <c r="F327" s="7"/>
      <c r="G327" s="7"/>
      <c r="H327" s="17">
        <f>IF(A327="","",TEXT(IF(DAY(A327)&gt;=Setup!$B$9,DATE(YEAR(A327),MONTH(A327)+1,1),DATE(YEAR(A327),MONTH(A327),1)),"mmmm yyyy"))</f>
      </c>
    </row>
    <row r="328" spans="1:8" x14ac:dyDescent="0.3">
      <c r="A328" s="48"/>
      <c r="B328" s="7"/>
      <c r="C328" s="6"/>
      <c r="D328" s="7"/>
      <c r="E328" s="7"/>
      <c r="F328" s="7"/>
      <c r="G328" s="7"/>
      <c r="H328" s="17">
        <f>IF(A328="","",TEXT(IF(DAY(A328)&gt;=Setup!$B$9,DATE(YEAR(A328),MONTH(A328)+1,1),DATE(YEAR(A328),MONTH(A328),1)),"mmmm yyyy"))</f>
      </c>
    </row>
    <row r="329" spans="1:8" x14ac:dyDescent="0.3">
      <c r="A329" s="48"/>
      <c r="B329" s="7"/>
      <c r="C329" s="6"/>
      <c r="D329" s="7"/>
      <c r="E329" s="7"/>
      <c r="F329" s="7"/>
      <c r="G329" s="7"/>
      <c r="H329" s="17">
        <f>IF(A329="","",TEXT(IF(DAY(A329)&gt;=Setup!$B$9,DATE(YEAR(A329),MONTH(A329)+1,1),DATE(YEAR(A329),MONTH(A329),1)),"mmmm yyyy"))</f>
      </c>
    </row>
    <row r="330" spans="1:8" x14ac:dyDescent="0.3">
      <c r="A330" s="48"/>
      <c r="B330" s="7"/>
      <c r="C330" s="6"/>
      <c r="D330" s="7"/>
      <c r="E330" s="7"/>
      <c r="F330" s="7"/>
      <c r="G330" s="7"/>
      <c r="H330" s="17">
        <f>IF(A330="","",TEXT(IF(DAY(A330)&gt;=Setup!$B$9,DATE(YEAR(A330),MONTH(A330)+1,1),DATE(YEAR(A330),MONTH(A330),1)),"mmmm yyyy"))</f>
      </c>
    </row>
    <row r="331" spans="1:8" x14ac:dyDescent="0.3">
      <c r="A331" s="48"/>
      <c r="B331" s="7"/>
      <c r="C331" s="6"/>
      <c r="D331" s="7"/>
      <c r="E331" s="7"/>
      <c r="F331" s="7"/>
      <c r="G331" s="7"/>
      <c r="H331" s="17">
        <f>IF(A331="","",TEXT(IF(DAY(A331)&gt;=Setup!$B$9,DATE(YEAR(A331),MONTH(A331)+1,1),DATE(YEAR(A331),MONTH(A331),1)),"mmmm yyyy"))</f>
      </c>
    </row>
    <row r="332" spans="1:8" x14ac:dyDescent="0.3">
      <c r="A332" s="48"/>
      <c r="B332" s="7"/>
      <c r="C332" s="6"/>
      <c r="D332" s="7"/>
      <c r="E332" s="7"/>
      <c r="F332" s="7"/>
      <c r="G332" s="7"/>
      <c r="H332" s="17">
        <f>IF(A332="","",TEXT(IF(DAY(A332)&gt;=Setup!$B$9,DATE(YEAR(A332),MONTH(A332)+1,1),DATE(YEAR(A332),MONTH(A332),1)),"mmmm yyyy"))</f>
      </c>
    </row>
    <row r="333" spans="1:8" x14ac:dyDescent="0.3">
      <c r="A333" s="48"/>
      <c r="B333" s="7"/>
      <c r="C333" s="6"/>
      <c r="D333" s="7"/>
      <c r="E333" s="7"/>
      <c r="F333" s="7"/>
      <c r="G333" s="7"/>
      <c r="H333" s="17">
        <f>IF(A333="","",TEXT(IF(DAY(A333)&gt;=Setup!$B$9,DATE(YEAR(A333),MONTH(A333)+1,1),DATE(YEAR(A333),MONTH(A333),1)),"mmmm yyyy"))</f>
      </c>
    </row>
    <row r="334" spans="1:8" x14ac:dyDescent="0.3">
      <c r="A334" s="48"/>
      <c r="B334" s="7"/>
      <c r="C334" s="6"/>
      <c r="D334" s="7"/>
      <c r="E334" s="7"/>
      <c r="F334" s="7"/>
      <c r="G334" s="7"/>
      <c r="H334" s="17">
        <f>IF(A334="","",TEXT(IF(DAY(A334)&gt;=Setup!$B$9,DATE(YEAR(A334),MONTH(A334)+1,1),DATE(YEAR(A334),MONTH(A334),1)),"mmmm yyyy"))</f>
      </c>
    </row>
    <row r="335" spans="1:8" x14ac:dyDescent="0.3">
      <c r="A335" s="48"/>
      <c r="B335" s="7"/>
      <c r="C335" s="6"/>
      <c r="D335" s="7"/>
      <c r="E335" s="7"/>
      <c r="F335" s="7"/>
      <c r="G335" s="7"/>
      <c r="H335" s="17">
        <f>IF(A335="","",TEXT(IF(DAY(A335)&gt;=Setup!$B$9,DATE(YEAR(A335),MONTH(A335)+1,1),DATE(YEAR(A335),MONTH(A335),1)),"mmmm yyyy"))</f>
      </c>
    </row>
    <row r="336" spans="1:8" x14ac:dyDescent="0.3">
      <c r="A336" s="48"/>
      <c r="B336" s="7"/>
      <c r="C336" s="6"/>
      <c r="D336" s="7"/>
      <c r="E336" s="7"/>
      <c r="F336" s="7"/>
      <c r="G336" s="7"/>
      <c r="H336" s="17">
        <f>IF(A336="","",TEXT(IF(DAY(A336)&gt;=Setup!$B$9,DATE(YEAR(A336),MONTH(A336)+1,1),DATE(YEAR(A336),MONTH(A336),1)),"mmmm yyyy"))</f>
      </c>
    </row>
    <row r="337" spans="1:8" x14ac:dyDescent="0.3">
      <c r="A337" s="48"/>
      <c r="B337" s="7"/>
      <c r="C337" s="6"/>
      <c r="D337" s="7"/>
      <c r="E337" s="7"/>
      <c r="F337" s="7"/>
      <c r="G337" s="7"/>
      <c r="H337" s="17">
        <f>IF(A337="","",TEXT(IF(DAY(A337)&gt;=Setup!$B$9,DATE(YEAR(A337),MONTH(A337)+1,1),DATE(YEAR(A337),MONTH(A337),1)),"mmmm yyyy"))</f>
      </c>
    </row>
    <row r="338" spans="1:8" x14ac:dyDescent="0.3">
      <c r="A338" s="48"/>
      <c r="B338" s="7"/>
      <c r="C338" s="6"/>
      <c r="D338" s="7"/>
      <c r="E338" s="7"/>
      <c r="F338" s="7"/>
      <c r="G338" s="7"/>
      <c r="H338" s="17">
        <f>IF(A338="","",TEXT(IF(DAY(A338)&gt;=Setup!$B$9,DATE(YEAR(A338),MONTH(A338)+1,1),DATE(YEAR(A338),MONTH(A338),1)),"mmmm yyyy"))</f>
      </c>
    </row>
    <row r="339" spans="1:8" x14ac:dyDescent="0.3">
      <c r="A339" s="48"/>
      <c r="B339" s="7"/>
      <c r="C339" s="6"/>
      <c r="D339" s="7"/>
      <c r="E339" s="7"/>
      <c r="F339" s="7"/>
      <c r="G339" s="7"/>
      <c r="H339" s="17">
        <f>IF(A339="","",TEXT(IF(DAY(A339)&gt;=Setup!$B$9,DATE(YEAR(A339),MONTH(A339)+1,1),DATE(YEAR(A339),MONTH(A339),1)),"mmmm yyyy"))</f>
      </c>
    </row>
    <row r="340" spans="1:8" x14ac:dyDescent="0.3">
      <c r="A340" s="48"/>
      <c r="B340" s="7"/>
      <c r="C340" s="6"/>
      <c r="D340" s="7"/>
      <c r="E340" s="7"/>
      <c r="F340" s="7"/>
      <c r="G340" s="7"/>
      <c r="H340" s="17">
        <f>IF(A340="","",TEXT(IF(DAY(A340)&gt;=Setup!$B$9,DATE(YEAR(A340),MONTH(A340)+1,1),DATE(YEAR(A340),MONTH(A340),1)),"mmmm yyyy"))</f>
      </c>
    </row>
    <row r="341" spans="1:8" x14ac:dyDescent="0.3">
      <c r="A341" s="48"/>
      <c r="B341" s="7"/>
      <c r="C341" s="6"/>
      <c r="D341" s="7"/>
      <c r="E341" s="7"/>
      <c r="F341" s="7"/>
      <c r="G341" s="7"/>
      <c r="H341" s="17">
        <f>IF(A341="","",TEXT(IF(DAY(A341)&gt;=Setup!$B$9,DATE(YEAR(A341),MONTH(A341)+1,1),DATE(YEAR(A341),MONTH(A341),1)),"mmmm yyyy"))</f>
      </c>
    </row>
    <row r="342" spans="1:8" x14ac:dyDescent="0.3">
      <c r="A342" s="48"/>
      <c r="B342" s="7"/>
      <c r="C342" s="6"/>
      <c r="D342" s="7"/>
      <c r="E342" s="7"/>
      <c r="F342" s="7"/>
      <c r="G342" s="7"/>
      <c r="H342" s="17">
        <f>IF(A342="","",TEXT(IF(DAY(A342)&gt;=Setup!$B$9,DATE(YEAR(A342),MONTH(A342)+1,1),DATE(YEAR(A342),MONTH(A342),1)),"mmmm yyyy"))</f>
      </c>
    </row>
    <row r="343" spans="1:8" x14ac:dyDescent="0.3">
      <c r="A343" s="48"/>
      <c r="B343" s="7"/>
      <c r="C343" s="6"/>
      <c r="D343" s="7"/>
      <c r="E343" s="7"/>
      <c r="F343" s="7"/>
      <c r="G343" s="7"/>
      <c r="H343" s="17">
        <f>IF(A343="","",TEXT(IF(DAY(A343)&gt;=Setup!$B$9,DATE(YEAR(A343),MONTH(A343)+1,1),DATE(YEAR(A343),MONTH(A343),1)),"mmmm yyyy"))</f>
      </c>
    </row>
    <row r="344" spans="1:8" x14ac:dyDescent="0.3">
      <c r="A344" s="48"/>
      <c r="B344" s="7"/>
      <c r="C344" s="6"/>
      <c r="D344" s="7"/>
      <c r="E344" s="7"/>
      <c r="F344" s="7"/>
      <c r="G344" s="7"/>
      <c r="H344" s="17">
        <f>IF(A344="","",TEXT(IF(DAY(A344)&gt;=Setup!$B$9,DATE(YEAR(A344),MONTH(A344)+1,1),DATE(YEAR(A344),MONTH(A344),1)),"mmmm yyyy"))</f>
      </c>
    </row>
    <row r="345" spans="1:8" x14ac:dyDescent="0.3">
      <c r="A345" s="48"/>
      <c r="B345" s="7"/>
      <c r="C345" s="6"/>
      <c r="D345" s="7"/>
      <c r="E345" s="7"/>
      <c r="F345" s="7"/>
      <c r="G345" s="7"/>
      <c r="H345" s="17">
        <f>IF(A345="","",TEXT(IF(DAY(A345)&gt;=Setup!$B$9,DATE(YEAR(A345),MONTH(A345)+1,1),DATE(YEAR(A345),MONTH(A345),1)),"mmmm yyyy"))</f>
      </c>
    </row>
    <row r="346" spans="1:8" x14ac:dyDescent="0.3">
      <c r="A346" s="48"/>
      <c r="B346" s="7"/>
      <c r="C346" s="6"/>
      <c r="D346" s="7"/>
      <c r="E346" s="7"/>
      <c r="F346" s="7"/>
      <c r="G346" s="7"/>
      <c r="H346" s="17">
        <f>IF(A346="","",TEXT(IF(DAY(A346)&gt;=Setup!$B$9,DATE(YEAR(A346),MONTH(A346)+1,1),DATE(YEAR(A346),MONTH(A346),1)),"mmmm yyyy"))</f>
      </c>
    </row>
    <row r="347" spans="1:8" x14ac:dyDescent="0.3">
      <c r="A347" s="48"/>
      <c r="B347" s="7"/>
      <c r="C347" s="6"/>
      <c r="D347" s="7"/>
      <c r="E347" s="7"/>
      <c r="F347" s="7"/>
      <c r="G347" s="7"/>
      <c r="H347" s="17">
        <f>IF(A347="","",TEXT(IF(DAY(A347)&gt;=Setup!$B$9,DATE(YEAR(A347),MONTH(A347)+1,1),DATE(YEAR(A347),MONTH(A347),1)),"mmmm yyyy"))</f>
      </c>
    </row>
    <row r="348" spans="1:8" x14ac:dyDescent="0.3">
      <c r="A348" s="48"/>
      <c r="B348" s="7"/>
      <c r="C348" s="6"/>
      <c r="D348" s="7"/>
      <c r="E348" s="7"/>
      <c r="F348" s="7"/>
      <c r="G348" s="7"/>
      <c r="H348" s="17">
        <f>IF(A348="","",TEXT(IF(DAY(A348)&gt;=Setup!$B$9,DATE(YEAR(A348),MONTH(A348)+1,1),DATE(YEAR(A348),MONTH(A348),1)),"mmmm yyyy"))</f>
      </c>
    </row>
    <row r="349" spans="1:8" x14ac:dyDescent="0.3">
      <c r="A349" s="48"/>
      <c r="B349" s="7"/>
      <c r="C349" s="6"/>
      <c r="D349" s="7"/>
      <c r="E349" s="7"/>
      <c r="F349" s="7"/>
      <c r="G349" s="7"/>
      <c r="H349" s="17">
        <f>IF(A349="","",TEXT(IF(DAY(A349)&gt;=Setup!$B$9,DATE(YEAR(A349),MONTH(A349)+1,1),DATE(YEAR(A349),MONTH(A349),1)),"mmmm yyyy"))</f>
      </c>
    </row>
    <row r="350" spans="1:8" x14ac:dyDescent="0.3">
      <c r="A350" s="48"/>
      <c r="B350" s="7"/>
      <c r="C350" s="6"/>
      <c r="D350" s="7"/>
      <c r="E350" s="7"/>
      <c r="F350" s="7"/>
      <c r="G350" s="7"/>
      <c r="H350" s="17">
        <f>IF(A350="","",TEXT(IF(DAY(A350)&gt;=Setup!$B$9,DATE(YEAR(A350),MONTH(A350)+1,1),DATE(YEAR(A350),MONTH(A350),1)),"mmmm yyyy"))</f>
      </c>
    </row>
    <row r="351" spans="1:8" x14ac:dyDescent="0.3">
      <c r="A351" s="48"/>
      <c r="B351" s="7"/>
      <c r="C351" s="6"/>
      <c r="D351" s="7"/>
      <c r="E351" s="7"/>
      <c r="F351" s="7"/>
      <c r="G351" s="7"/>
      <c r="H351" s="17">
        <f>IF(A351="","",TEXT(IF(DAY(A351)&gt;=Setup!$B$9,DATE(YEAR(A351),MONTH(A351)+1,1),DATE(YEAR(A351),MONTH(A351),1)),"mmmm yyyy"))</f>
      </c>
    </row>
    <row r="352" spans="1:8" x14ac:dyDescent="0.3">
      <c r="A352" s="48"/>
      <c r="B352" s="7"/>
      <c r="C352" s="6"/>
      <c r="D352" s="7"/>
      <c r="E352" s="7"/>
      <c r="F352" s="7"/>
      <c r="G352" s="7"/>
      <c r="H352" s="17">
        <f>IF(A352="","",TEXT(IF(DAY(A352)&gt;=Setup!$B$9,DATE(YEAR(A352),MONTH(A352)+1,1),DATE(YEAR(A352),MONTH(A352),1)),"mmmm yyyy"))</f>
      </c>
    </row>
    <row r="353" spans="1:8" x14ac:dyDescent="0.3">
      <c r="A353" s="48"/>
      <c r="B353" s="7"/>
      <c r="C353" s="6"/>
      <c r="D353" s="7"/>
      <c r="E353" s="7"/>
      <c r="F353" s="7"/>
      <c r="G353" s="7"/>
      <c r="H353" s="17">
        <f>IF(A353="","",TEXT(IF(DAY(A353)&gt;=Setup!$B$9,DATE(YEAR(A353),MONTH(A353)+1,1),DATE(YEAR(A353),MONTH(A353),1)),"mmmm yyyy"))</f>
      </c>
    </row>
    <row r="354" spans="1:8" x14ac:dyDescent="0.3">
      <c r="A354" s="48"/>
      <c r="B354" s="7"/>
      <c r="C354" s="6"/>
      <c r="D354" s="7"/>
      <c r="E354" s="7"/>
      <c r="F354" s="7"/>
      <c r="G354" s="7"/>
      <c r="H354" s="17">
        <f>IF(A354="","",TEXT(IF(DAY(A354)&gt;=Setup!$B$9,DATE(YEAR(A354),MONTH(A354)+1,1),DATE(YEAR(A354),MONTH(A354),1)),"mmmm yyyy"))</f>
      </c>
    </row>
    <row r="355" spans="1:8" x14ac:dyDescent="0.3">
      <c r="A355" s="48"/>
      <c r="B355" s="7"/>
      <c r="C355" s="6"/>
      <c r="D355" s="7"/>
      <c r="E355" s="7"/>
      <c r="F355" s="7"/>
      <c r="G355" s="7"/>
      <c r="H355" s="17">
        <f>IF(A355="","",TEXT(IF(DAY(A355)&gt;=Setup!$B$9,DATE(YEAR(A355),MONTH(A355)+1,1),DATE(YEAR(A355),MONTH(A355),1)),"mmmm yyyy"))</f>
      </c>
    </row>
    <row r="356" spans="1:8" x14ac:dyDescent="0.3">
      <c r="A356" s="48"/>
      <c r="B356" s="7"/>
      <c r="C356" s="6"/>
      <c r="D356" s="7"/>
      <c r="E356" s="7"/>
      <c r="F356" s="7"/>
      <c r="G356" s="7"/>
      <c r="H356" s="17">
        <f>IF(A356="","",TEXT(IF(DAY(A356)&gt;=Setup!$B$9,DATE(YEAR(A356),MONTH(A356)+1,1),DATE(YEAR(A356),MONTH(A356),1)),"mmmm yyyy"))</f>
      </c>
    </row>
    <row r="357" spans="1:8" x14ac:dyDescent="0.3">
      <c r="A357" s="48"/>
      <c r="B357" s="7"/>
      <c r="C357" s="6"/>
      <c r="D357" s="7"/>
      <c r="E357" s="7"/>
      <c r="F357" s="7"/>
      <c r="G357" s="7"/>
      <c r="H357" s="17">
        <f>IF(A357="","",TEXT(IF(DAY(A357)&gt;=Setup!$B$9,DATE(YEAR(A357),MONTH(A357)+1,1),DATE(YEAR(A357),MONTH(A357),1)),"mmmm yyyy"))</f>
      </c>
    </row>
    <row r="358" spans="1:8" x14ac:dyDescent="0.3">
      <c r="A358" s="48"/>
      <c r="B358" s="7"/>
      <c r="C358" s="6"/>
      <c r="D358" s="7"/>
      <c r="E358" s="7"/>
      <c r="F358" s="7"/>
      <c r="G358" s="7"/>
      <c r="H358" s="17">
        <f>IF(A358="","",TEXT(IF(DAY(A358)&gt;=Setup!$B$9,DATE(YEAR(A358),MONTH(A358)+1,1),DATE(YEAR(A358),MONTH(A358),1)),"mmmm yyyy"))</f>
      </c>
    </row>
    <row r="359" spans="1:8" x14ac:dyDescent="0.3">
      <c r="A359" s="48"/>
      <c r="B359" s="7"/>
      <c r="C359" s="6"/>
      <c r="D359" s="7"/>
      <c r="E359" s="7"/>
      <c r="F359" s="7"/>
      <c r="G359" s="7"/>
      <c r="H359" s="17">
        <f>IF(A359="","",TEXT(IF(DAY(A359)&gt;=Setup!$B$9,DATE(YEAR(A359),MONTH(A359)+1,1),DATE(YEAR(A359),MONTH(A359),1)),"mmmm yyyy"))</f>
      </c>
    </row>
    <row r="360" spans="1:8" x14ac:dyDescent="0.3">
      <c r="A360" s="48"/>
      <c r="B360" s="7"/>
      <c r="C360" s="6"/>
      <c r="D360" s="7"/>
      <c r="E360" s="7"/>
      <c r="F360" s="7"/>
      <c r="G360" s="7"/>
      <c r="H360" s="17">
        <f>IF(A360="","",TEXT(IF(DAY(A360)&gt;=Setup!$B$9,DATE(YEAR(A360),MONTH(A360)+1,1),DATE(YEAR(A360),MONTH(A360),1)),"mmmm yyyy"))</f>
      </c>
    </row>
    <row r="361" spans="1:8" x14ac:dyDescent="0.3">
      <c r="A361" s="48"/>
      <c r="B361" s="7"/>
      <c r="C361" s="6"/>
      <c r="D361" s="7"/>
      <c r="E361" s="7"/>
      <c r="F361" s="7"/>
      <c r="G361" s="7"/>
      <c r="H361" s="17">
        <f>IF(A361="","",TEXT(IF(DAY(A361)&gt;=Setup!$B$9,DATE(YEAR(A361),MONTH(A361)+1,1),DATE(YEAR(A361),MONTH(A361),1)),"mmmm yyyy"))</f>
      </c>
    </row>
    <row r="362" spans="1:8" x14ac:dyDescent="0.3">
      <c r="A362" s="48"/>
      <c r="B362" s="7"/>
      <c r="C362" s="6"/>
      <c r="D362" s="7"/>
      <c r="E362" s="7"/>
      <c r="F362" s="7"/>
      <c r="G362" s="7"/>
      <c r="H362" s="17">
        <f>IF(A362="","",TEXT(IF(DAY(A362)&gt;=Setup!$B$9,DATE(YEAR(A362),MONTH(A362)+1,1),DATE(YEAR(A362),MONTH(A362),1)),"mmmm yyyy"))</f>
      </c>
    </row>
    <row r="363" spans="1:8" x14ac:dyDescent="0.3">
      <c r="A363" s="48"/>
      <c r="B363" s="7"/>
      <c r="C363" s="6"/>
      <c r="D363" s="7"/>
      <c r="E363" s="7"/>
      <c r="F363" s="7"/>
      <c r="G363" s="7"/>
      <c r="H363" s="17">
        <f>IF(A363="","",TEXT(IF(DAY(A363)&gt;=Setup!$B$9,DATE(YEAR(A363),MONTH(A363)+1,1),DATE(YEAR(A363),MONTH(A363),1)),"mmmm yyyy"))</f>
      </c>
    </row>
    <row r="364" spans="1:8" x14ac:dyDescent="0.3">
      <c r="A364" s="48"/>
      <c r="B364" s="7"/>
      <c r="C364" s="6"/>
      <c r="D364" s="7"/>
      <c r="E364" s="7"/>
      <c r="F364" s="7"/>
      <c r="G364" s="7"/>
      <c r="H364" s="17">
        <f>IF(A364="","",TEXT(IF(DAY(A364)&gt;=Setup!$B$9,DATE(YEAR(A364),MONTH(A364)+1,1),DATE(YEAR(A364),MONTH(A364),1)),"mmmm yyyy"))</f>
      </c>
    </row>
    <row r="365" spans="1:8" x14ac:dyDescent="0.3">
      <c r="A365" s="48"/>
      <c r="B365" s="7"/>
      <c r="C365" s="6"/>
      <c r="D365" s="7"/>
      <c r="E365" s="7"/>
      <c r="F365" s="7"/>
      <c r="G365" s="7"/>
      <c r="H365" s="17">
        <f>IF(A365="","",TEXT(IF(DAY(A365)&gt;=Setup!$B$9,DATE(YEAR(A365),MONTH(A365)+1,1),DATE(YEAR(A365),MONTH(A365),1)),"mmmm yyyy"))</f>
      </c>
    </row>
    <row r="366" spans="1:8" x14ac:dyDescent="0.3">
      <c r="A366" s="48"/>
      <c r="B366" s="7"/>
      <c r="C366" s="6"/>
      <c r="D366" s="7"/>
      <c r="E366" s="7"/>
      <c r="F366" s="7"/>
      <c r="G366" s="7"/>
      <c r="H366" s="17">
        <f>IF(A366="","",TEXT(IF(DAY(A366)&gt;=Setup!$B$9,DATE(YEAR(A366),MONTH(A366)+1,1),DATE(YEAR(A366),MONTH(A366),1)),"mmmm yyyy"))</f>
      </c>
    </row>
    <row r="367" spans="1:8" x14ac:dyDescent="0.3">
      <c r="A367" s="48"/>
      <c r="B367" s="7"/>
      <c r="C367" s="6"/>
      <c r="D367" s="7"/>
      <c r="E367" s="7"/>
      <c r="F367" s="7"/>
      <c r="G367" s="7"/>
      <c r="H367" s="17">
        <f>IF(A367="","",TEXT(IF(DAY(A367)&gt;=Setup!$B$9,DATE(YEAR(A367),MONTH(A367)+1,1),DATE(YEAR(A367),MONTH(A367),1)),"mmmm yyyy"))</f>
      </c>
    </row>
    <row r="368" spans="1:8" x14ac:dyDescent="0.3">
      <c r="A368" s="48"/>
      <c r="B368" s="7"/>
      <c r="C368" s="6"/>
      <c r="D368" s="7"/>
      <c r="E368" s="7"/>
      <c r="F368" s="7"/>
      <c r="G368" s="7"/>
      <c r="H368" s="17">
        <f>IF(A368="","",TEXT(IF(DAY(A368)&gt;=Setup!$B$9,DATE(YEAR(A368),MONTH(A368)+1,1),DATE(YEAR(A368),MONTH(A368),1)),"mmmm yyyy"))</f>
      </c>
    </row>
    <row r="369" spans="1:8" x14ac:dyDescent="0.3">
      <c r="A369" s="48"/>
      <c r="B369" s="7"/>
      <c r="C369" s="6"/>
      <c r="D369" s="7"/>
      <c r="E369" s="7"/>
      <c r="F369" s="7"/>
      <c r="G369" s="7"/>
      <c r="H369" s="17">
        <f>IF(A369="","",TEXT(IF(DAY(A369)&gt;=Setup!$B$9,DATE(YEAR(A369),MONTH(A369)+1,1),DATE(YEAR(A369),MONTH(A369),1)),"mmmm yyyy"))</f>
      </c>
    </row>
    <row r="370" spans="1:8" x14ac:dyDescent="0.3">
      <c r="A370" s="48"/>
      <c r="B370" s="7"/>
      <c r="C370" s="6"/>
      <c r="D370" s="7"/>
      <c r="E370" s="7"/>
      <c r="F370" s="7"/>
      <c r="G370" s="7"/>
      <c r="H370" s="17">
        <f>IF(A370="","",TEXT(IF(DAY(A370)&gt;=Setup!$B$9,DATE(YEAR(A370),MONTH(A370)+1,1),DATE(YEAR(A370),MONTH(A370),1)),"mmmm yyyy"))</f>
      </c>
    </row>
    <row r="371" spans="1:8" x14ac:dyDescent="0.3">
      <c r="A371" s="48"/>
      <c r="B371" s="7"/>
      <c r="C371" s="6"/>
      <c r="D371" s="7"/>
      <c r="E371" s="7"/>
      <c r="F371" s="7"/>
      <c r="G371" s="7"/>
      <c r="H371" s="17">
        <f>IF(A371="","",TEXT(IF(DAY(A371)&gt;=Setup!$B$9,DATE(YEAR(A371),MONTH(A371)+1,1),DATE(YEAR(A371),MONTH(A371),1)),"mmmm yyyy"))</f>
      </c>
    </row>
    <row r="372" spans="1:8" x14ac:dyDescent="0.3">
      <c r="A372" s="48"/>
      <c r="B372" s="7"/>
      <c r="C372" s="6"/>
      <c r="D372" s="7"/>
      <c r="E372" s="7"/>
      <c r="F372" s="7"/>
      <c r="G372" s="7"/>
      <c r="H372" s="17">
        <f>IF(A372="","",TEXT(IF(DAY(A372)&gt;=Setup!$B$9,DATE(YEAR(A372),MONTH(A372)+1,1),DATE(YEAR(A372),MONTH(A372),1)),"mmmm yyyy"))</f>
      </c>
    </row>
    <row r="373" spans="1:8" x14ac:dyDescent="0.3">
      <c r="A373" s="48"/>
      <c r="B373" s="7"/>
      <c r="C373" s="6"/>
      <c r="D373" s="7"/>
      <c r="E373" s="7"/>
      <c r="F373" s="7"/>
      <c r="G373" s="7"/>
      <c r="H373" s="17">
        <f>IF(A373="","",TEXT(IF(DAY(A373)&gt;=Setup!$B$9,DATE(YEAR(A373),MONTH(A373)+1,1),DATE(YEAR(A373),MONTH(A373),1)),"mmmm yyyy"))</f>
      </c>
    </row>
    <row r="374" spans="1:8" x14ac:dyDescent="0.3">
      <c r="A374" s="48"/>
      <c r="B374" s="7"/>
      <c r="C374" s="6"/>
      <c r="D374" s="7"/>
      <c r="E374" s="7"/>
      <c r="F374" s="7"/>
      <c r="G374" s="7"/>
      <c r="H374" s="17">
        <f>IF(A374="","",TEXT(IF(DAY(A374)&gt;=Setup!$B$9,DATE(YEAR(A374),MONTH(A374)+1,1),DATE(YEAR(A374),MONTH(A374),1)),"mmmm yyyy"))</f>
      </c>
    </row>
    <row r="375" spans="1:8" x14ac:dyDescent="0.3">
      <c r="A375" s="48"/>
      <c r="B375" s="7"/>
      <c r="C375" s="6"/>
      <c r="D375" s="7"/>
      <c r="E375" s="7"/>
      <c r="F375" s="7"/>
      <c r="G375" s="7"/>
      <c r="H375" s="17">
        <f>IF(A375="","",TEXT(IF(DAY(A375)&gt;=Setup!$B$9,DATE(YEAR(A375),MONTH(A375)+1,1),DATE(YEAR(A375),MONTH(A375),1)),"mmmm yyyy"))</f>
      </c>
    </row>
    <row r="376" spans="1:8" x14ac:dyDescent="0.3">
      <c r="A376" s="48"/>
      <c r="B376" s="7"/>
      <c r="C376" s="6"/>
      <c r="D376" s="7"/>
      <c r="E376" s="7"/>
      <c r="F376" s="7"/>
      <c r="G376" s="7"/>
      <c r="H376" s="17">
        <f>IF(A376="","",TEXT(IF(DAY(A376)&gt;=Setup!$B$9,DATE(YEAR(A376),MONTH(A376)+1,1),DATE(YEAR(A376),MONTH(A376),1)),"mmmm yyyy"))</f>
      </c>
    </row>
    <row r="377" spans="1:8" x14ac:dyDescent="0.3">
      <c r="A377" s="48"/>
      <c r="B377" s="7"/>
      <c r="C377" s="6"/>
      <c r="D377" s="7"/>
      <c r="E377" s="7"/>
      <c r="F377" s="7"/>
      <c r="G377" s="7"/>
      <c r="H377" s="17">
        <f>IF(A377="","",TEXT(IF(DAY(A377)&gt;=Setup!$B$9,DATE(YEAR(A377),MONTH(A377)+1,1),DATE(YEAR(A377),MONTH(A377),1)),"mmmm yyyy"))</f>
      </c>
    </row>
    <row r="378" spans="1:8" x14ac:dyDescent="0.3">
      <c r="A378" s="48"/>
      <c r="B378" s="7"/>
      <c r="C378" s="6"/>
      <c r="D378" s="7"/>
      <c r="E378" s="7"/>
      <c r="F378" s="7"/>
      <c r="G378" s="7"/>
      <c r="H378" s="17">
        <f>IF(A378="","",TEXT(IF(DAY(A378)&gt;=Setup!$B$9,DATE(YEAR(A378),MONTH(A378)+1,1),DATE(YEAR(A378),MONTH(A378),1)),"mmmm yyyy"))</f>
      </c>
    </row>
    <row r="379" spans="1:8" x14ac:dyDescent="0.3">
      <c r="A379" s="48"/>
      <c r="B379" s="7"/>
      <c r="C379" s="6"/>
      <c r="D379" s="7"/>
      <c r="E379" s="7"/>
      <c r="F379" s="7"/>
      <c r="G379" s="7"/>
      <c r="H379" s="17">
        <f>IF(A379="","",TEXT(IF(DAY(A379)&gt;=Setup!$B$9,DATE(YEAR(A379),MONTH(A379)+1,1),DATE(YEAR(A379),MONTH(A379),1)),"mmmm yyyy"))</f>
      </c>
    </row>
    <row r="380" spans="1:8" x14ac:dyDescent="0.3">
      <c r="A380" s="48"/>
      <c r="B380" s="7"/>
      <c r="C380" s="6"/>
      <c r="D380" s="7"/>
      <c r="E380" s="7"/>
      <c r="F380" s="7"/>
      <c r="G380" s="7"/>
      <c r="H380" s="17">
        <f>IF(A380="","",TEXT(IF(DAY(A380)&gt;=Setup!$B$9,DATE(YEAR(A380),MONTH(A380)+1,1),DATE(YEAR(A380),MONTH(A380),1)),"mmmm yyyy"))</f>
      </c>
    </row>
    <row r="381" spans="1:8" x14ac:dyDescent="0.3">
      <c r="A381" s="48"/>
      <c r="B381" s="7"/>
      <c r="C381" s="6"/>
      <c r="D381" s="7"/>
      <c r="E381" s="7"/>
      <c r="F381" s="7"/>
      <c r="G381" s="7"/>
      <c r="H381" s="17">
        <f>IF(A381="","",TEXT(IF(DAY(A381)&gt;=Setup!$B$9,DATE(YEAR(A381),MONTH(A381)+1,1),DATE(YEAR(A381),MONTH(A381),1)),"mmmm yyyy"))</f>
      </c>
    </row>
    <row r="382" spans="1:8" x14ac:dyDescent="0.3">
      <c r="A382" s="48"/>
      <c r="B382" s="7"/>
      <c r="C382" s="6"/>
      <c r="D382" s="7"/>
      <c r="E382" s="7"/>
      <c r="F382" s="7"/>
      <c r="G382" s="7"/>
      <c r="H382" s="17">
        <f>IF(A382="","",TEXT(IF(DAY(A382)&gt;=Setup!$B$9,DATE(YEAR(A382),MONTH(A382)+1,1),DATE(YEAR(A382),MONTH(A382),1)),"mmmm yyyy"))</f>
      </c>
    </row>
    <row r="383" spans="1:8" x14ac:dyDescent="0.3">
      <c r="A383" s="48"/>
      <c r="B383" s="7"/>
      <c r="C383" s="6"/>
      <c r="D383" s="7"/>
      <c r="E383" s="7"/>
      <c r="F383" s="7"/>
      <c r="G383" s="7"/>
      <c r="H383" s="17">
        <f>IF(A383="","",TEXT(IF(DAY(A383)&gt;=Setup!$B$9,DATE(YEAR(A383),MONTH(A383)+1,1),DATE(YEAR(A383),MONTH(A383),1)),"mmmm yyyy"))</f>
      </c>
    </row>
    <row r="384" spans="1:8" x14ac:dyDescent="0.3">
      <c r="A384" s="48"/>
      <c r="B384" s="7"/>
      <c r="C384" s="6"/>
      <c r="D384" s="7"/>
      <c r="E384" s="7"/>
      <c r="F384" s="7"/>
      <c r="G384" s="7"/>
      <c r="H384" s="17">
        <f>IF(A384="","",TEXT(IF(DAY(A384)&gt;=Setup!$B$9,DATE(YEAR(A384),MONTH(A384)+1,1),DATE(YEAR(A384),MONTH(A384),1)),"mmmm yyyy"))</f>
      </c>
    </row>
    <row r="385" spans="1:8" x14ac:dyDescent="0.3">
      <c r="A385" s="48"/>
      <c r="B385" s="7"/>
      <c r="C385" s="6"/>
      <c r="D385" s="7"/>
      <c r="E385" s="7"/>
      <c r="F385" s="7"/>
      <c r="G385" s="7"/>
      <c r="H385" s="17">
        <f>IF(A385="","",TEXT(IF(DAY(A385)&gt;=Setup!$B$9,DATE(YEAR(A385),MONTH(A385)+1,1),DATE(YEAR(A385),MONTH(A385),1)),"mmmm yyyy"))</f>
      </c>
    </row>
    <row r="386" spans="1:8" x14ac:dyDescent="0.3">
      <c r="A386" s="48"/>
      <c r="B386" s="7"/>
      <c r="C386" s="6"/>
      <c r="D386" s="7"/>
      <c r="E386" s="7"/>
      <c r="F386" s="7"/>
      <c r="G386" s="7"/>
      <c r="H386" s="17">
        <f>IF(A386="","",TEXT(IF(DAY(A386)&gt;=Setup!$B$9,DATE(YEAR(A386),MONTH(A386)+1,1),DATE(YEAR(A386),MONTH(A386),1)),"mmmm yyyy"))</f>
      </c>
    </row>
    <row r="387" spans="1:8" x14ac:dyDescent="0.3">
      <c r="A387" s="48"/>
      <c r="B387" s="7"/>
      <c r="C387" s="6"/>
      <c r="D387" s="7"/>
      <c r="E387" s="7"/>
      <c r="F387" s="7"/>
      <c r="G387" s="7"/>
      <c r="H387" s="17">
        <f>IF(A387="","",TEXT(IF(DAY(A387)&gt;=Setup!$B$9,DATE(YEAR(A387),MONTH(A387)+1,1),DATE(YEAR(A387),MONTH(A387),1)),"mmmm yyyy"))</f>
      </c>
    </row>
    <row r="388" spans="1:8" x14ac:dyDescent="0.3">
      <c r="A388" s="48"/>
      <c r="B388" s="7"/>
      <c r="C388" s="6"/>
      <c r="D388" s="7"/>
      <c r="E388" s="7"/>
      <c r="F388" s="7"/>
      <c r="G388" s="7"/>
      <c r="H388" s="17">
        <f>IF(A388="","",TEXT(IF(DAY(A388)&gt;=Setup!$B$9,DATE(YEAR(A388),MONTH(A388)+1,1),DATE(YEAR(A388),MONTH(A388),1)),"mmmm yyyy"))</f>
      </c>
    </row>
    <row r="389" spans="1:8" x14ac:dyDescent="0.3">
      <c r="A389" s="48"/>
      <c r="B389" s="7"/>
      <c r="C389" s="6"/>
      <c r="D389" s="7"/>
      <c r="E389" s="7"/>
      <c r="F389" s="7"/>
      <c r="G389" s="7"/>
      <c r="H389" s="17">
        <f>IF(A389="","",TEXT(IF(DAY(A389)&gt;=Setup!$B$9,DATE(YEAR(A389),MONTH(A389)+1,1),DATE(YEAR(A389),MONTH(A389),1)),"mmmm yyyy"))</f>
      </c>
    </row>
    <row r="390" spans="1:8" x14ac:dyDescent="0.3">
      <c r="A390" s="48"/>
      <c r="B390" s="7"/>
      <c r="C390" s="6"/>
      <c r="D390" s="7"/>
      <c r="E390" s="7"/>
      <c r="F390" s="7"/>
      <c r="G390" s="7"/>
      <c r="H390" s="17">
        <f>IF(A390="","",TEXT(IF(DAY(A390)&gt;=Setup!$B$9,DATE(YEAR(A390),MONTH(A390)+1,1),DATE(YEAR(A390),MONTH(A390),1)),"mmmm yyyy"))</f>
      </c>
    </row>
    <row r="391" spans="1:8" x14ac:dyDescent="0.3">
      <c r="A391" s="48"/>
      <c r="B391" s="7"/>
      <c r="C391" s="6"/>
      <c r="D391" s="7"/>
      <c r="E391" s="7"/>
      <c r="F391" s="7"/>
      <c r="G391" s="7"/>
      <c r="H391" s="17">
        <f>IF(A391="","",TEXT(IF(DAY(A391)&gt;=Setup!$B$9,DATE(YEAR(A391),MONTH(A391)+1,1),DATE(YEAR(A391),MONTH(A391),1)),"mmmm yyyy"))</f>
      </c>
    </row>
    <row r="392" spans="1:8" x14ac:dyDescent="0.3">
      <c r="A392" s="48"/>
      <c r="B392" s="7"/>
      <c r="C392" s="6"/>
      <c r="D392" s="7"/>
      <c r="E392" s="7"/>
      <c r="F392" s="7"/>
      <c r="G392" s="7"/>
      <c r="H392" s="17">
        <f>IF(A392="","",TEXT(IF(DAY(A392)&gt;=Setup!$B$9,DATE(YEAR(A392),MONTH(A392)+1,1),DATE(YEAR(A392),MONTH(A392),1)),"mmmm yyyy"))</f>
      </c>
    </row>
    <row r="393" spans="1:8" x14ac:dyDescent="0.3">
      <c r="A393" s="48"/>
      <c r="B393" s="7"/>
      <c r="C393" s="6"/>
      <c r="D393" s="7"/>
      <c r="E393" s="7"/>
      <c r="F393" s="7"/>
      <c r="G393" s="7"/>
      <c r="H393" s="17">
        <f>IF(A393="","",TEXT(IF(DAY(A393)&gt;=Setup!$B$9,DATE(YEAR(A393),MONTH(A393)+1,1),DATE(YEAR(A393),MONTH(A393),1)),"mmmm yyyy"))</f>
      </c>
    </row>
    <row r="394" spans="1:8" x14ac:dyDescent="0.3">
      <c r="A394" s="48"/>
      <c r="B394" s="7"/>
      <c r="C394" s="6"/>
      <c r="D394" s="7"/>
      <c r="E394" s="7"/>
      <c r="F394" s="7"/>
      <c r="G394" s="7"/>
      <c r="H394" s="17">
        <f>IF(A394="","",TEXT(IF(DAY(A394)&gt;=Setup!$B$9,DATE(YEAR(A394),MONTH(A394)+1,1),DATE(YEAR(A394),MONTH(A394),1)),"mmmm yyyy"))</f>
      </c>
    </row>
    <row r="395" spans="1:8" x14ac:dyDescent="0.3">
      <c r="A395" s="48"/>
      <c r="B395" s="7"/>
      <c r="C395" s="6"/>
      <c r="D395" s="7"/>
      <c r="E395" s="7"/>
      <c r="F395" s="7"/>
      <c r="G395" s="7"/>
      <c r="H395" s="17">
        <f>IF(A395="","",TEXT(IF(DAY(A395)&gt;=Setup!$B$9,DATE(YEAR(A395),MONTH(A395)+1,1),DATE(YEAR(A395),MONTH(A395),1)),"mmmm yyyy"))</f>
      </c>
    </row>
    <row r="396" spans="1:8" x14ac:dyDescent="0.3">
      <c r="A396" s="48"/>
      <c r="B396" s="7"/>
      <c r="C396" s="6"/>
      <c r="D396" s="7"/>
      <c r="E396" s="7"/>
      <c r="F396" s="7"/>
      <c r="G396" s="7"/>
      <c r="H396" s="17">
        <f>IF(A396="","",TEXT(IF(DAY(A396)&gt;=Setup!$B$9,DATE(YEAR(A396),MONTH(A396)+1,1),DATE(YEAR(A396),MONTH(A396),1)),"mmmm yyyy"))</f>
      </c>
    </row>
    <row r="397" spans="1:8" x14ac:dyDescent="0.3">
      <c r="A397" s="48"/>
      <c r="B397" s="7"/>
      <c r="C397" s="6"/>
      <c r="D397" s="7"/>
      <c r="E397" s="7"/>
      <c r="F397" s="7"/>
      <c r="G397" s="7"/>
      <c r="H397" s="17">
        <f>IF(A397="","",TEXT(IF(DAY(A397)&gt;=Setup!$B$9,DATE(YEAR(A397),MONTH(A397)+1,1),DATE(YEAR(A397),MONTH(A397),1)),"mmmm yyyy"))</f>
      </c>
    </row>
    <row r="398" spans="1:8" x14ac:dyDescent="0.3">
      <c r="A398" s="48"/>
      <c r="B398" s="7"/>
      <c r="C398" s="6"/>
      <c r="D398" s="7"/>
      <c r="E398" s="7"/>
      <c r="F398" s="7"/>
      <c r="G398" s="7"/>
      <c r="H398" s="17">
        <f>IF(A398="","",TEXT(IF(DAY(A398)&gt;=Setup!$B$9,DATE(YEAR(A398),MONTH(A398)+1,1),DATE(YEAR(A398),MONTH(A398),1)),"mmmm yyyy"))</f>
      </c>
    </row>
    <row r="399" spans="1:8" x14ac:dyDescent="0.3">
      <c r="A399" s="48"/>
      <c r="B399" s="7"/>
      <c r="C399" s="6"/>
      <c r="D399" s="7"/>
      <c r="E399" s="7"/>
      <c r="F399" s="7"/>
      <c r="G399" s="7"/>
      <c r="H399" s="17">
        <f>IF(A399="","",TEXT(IF(DAY(A399)&gt;=Setup!$B$9,DATE(YEAR(A399),MONTH(A399)+1,1),DATE(YEAR(A399),MONTH(A399),1)),"mmmm yyyy"))</f>
      </c>
    </row>
    <row r="400" spans="1:8" x14ac:dyDescent="0.3">
      <c r="A400" s="48"/>
      <c r="B400" s="7"/>
      <c r="C400" s="6"/>
      <c r="D400" s="7"/>
      <c r="E400" s="7"/>
      <c r="F400" s="7"/>
      <c r="G400" s="7"/>
      <c r="H400" s="17">
        <f>IF(A400="","",TEXT(IF(DAY(A400)&gt;=Setup!$B$9,DATE(YEAR(A400),MONTH(A400)+1,1),DATE(YEAR(A400),MONTH(A400),1)),"mmmm yyyy"))</f>
      </c>
    </row>
    <row r="401" spans="1:8" x14ac:dyDescent="0.3">
      <c r="A401" s="48"/>
      <c r="B401" s="7"/>
      <c r="C401" s="6"/>
      <c r="D401" s="7"/>
      <c r="E401" s="7"/>
      <c r="F401" s="7"/>
      <c r="G401" s="7"/>
      <c r="H401" s="17">
        <f>IF(A401="","",TEXT(IF(DAY(A401)&gt;=Setup!$B$9,DATE(YEAR(A401),MONTH(A401)+1,1),DATE(YEAR(A401),MONTH(A401),1)),"mmmm yyyy"))</f>
      </c>
    </row>
    <row r="402" spans="1:8" x14ac:dyDescent="0.3">
      <c r="A402" s="48"/>
      <c r="B402" s="7"/>
      <c r="C402" s="6"/>
      <c r="D402" s="7"/>
      <c r="E402" s="7"/>
      <c r="F402" s="7"/>
      <c r="G402" s="7"/>
      <c r="H402" s="17">
        <f>IF(A402="","",TEXT(IF(DAY(A402)&gt;=Setup!$B$9,DATE(YEAR(A402),MONTH(A402)+1,1),DATE(YEAR(A402),MONTH(A402),1)),"mmmm yyyy"))</f>
      </c>
    </row>
    <row r="403" spans="1:8" x14ac:dyDescent="0.3">
      <c r="A403" s="48"/>
      <c r="B403" s="7"/>
      <c r="C403" s="6"/>
      <c r="D403" s="7"/>
      <c r="E403" s="7"/>
      <c r="F403" s="7"/>
      <c r="G403" s="7"/>
      <c r="H403" s="17">
        <f>IF(A403="","",TEXT(IF(DAY(A403)&gt;=Setup!$B$9,DATE(YEAR(A403),MONTH(A403)+1,1),DATE(YEAR(A403),MONTH(A403),1)),"mmmm yyyy"))</f>
      </c>
    </row>
    <row r="404" spans="1:8" x14ac:dyDescent="0.3">
      <c r="A404" s="48"/>
      <c r="B404" s="7"/>
      <c r="C404" s="6"/>
      <c r="D404" s="7"/>
      <c r="E404" s="7"/>
      <c r="F404" s="7"/>
      <c r="G404" s="7"/>
      <c r="H404" s="17">
        <f>IF(A404="","",TEXT(IF(DAY(A404)&gt;=Setup!$B$9,DATE(YEAR(A404),MONTH(A404)+1,1),DATE(YEAR(A404),MONTH(A404),1)),"mmmm yyyy"))</f>
      </c>
    </row>
    <row r="405" spans="1:8" x14ac:dyDescent="0.3">
      <c r="A405" s="48"/>
      <c r="B405" s="7"/>
      <c r="C405" s="6"/>
      <c r="D405" s="7"/>
      <c r="E405" s="7"/>
      <c r="F405" s="7"/>
      <c r="G405" s="7"/>
      <c r="H405" s="17">
        <f>IF(A405="","",TEXT(IF(DAY(A405)&gt;=Setup!$B$9,DATE(YEAR(A405),MONTH(A405)+1,1),DATE(YEAR(A405),MONTH(A405),1)),"mmmm yyyy"))</f>
      </c>
    </row>
    <row r="406" spans="1:8" x14ac:dyDescent="0.3">
      <c r="A406" s="48"/>
      <c r="B406" s="7"/>
      <c r="C406" s="6"/>
      <c r="D406" s="7"/>
      <c r="E406" s="7"/>
      <c r="F406" s="7"/>
      <c r="G406" s="7"/>
      <c r="H406" s="17">
        <f>IF(A406="","",TEXT(IF(DAY(A406)&gt;=Setup!$B$9,DATE(YEAR(A406),MONTH(A406)+1,1),DATE(YEAR(A406),MONTH(A406),1)),"mmmm yyyy"))</f>
      </c>
    </row>
    <row r="407" spans="1:8" x14ac:dyDescent="0.3">
      <c r="A407" s="48"/>
      <c r="B407" s="7"/>
      <c r="C407" s="6"/>
      <c r="D407" s="7"/>
      <c r="E407" s="7"/>
      <c r="F407" s="7"/>
      <c r="G407" s="7"/>
      <c r="H407" s="17">
        <f>IF(A407="","",TEXT(IF(DAY(A407)&gt;=Setup!$B$9,DATE(YEAR(A407),MONTH(A407)+1,1),DATE(YEAR(A407),MONTH(A407),1)),"mmmm yyyy"))</f>
      </c>
    </row>
    <row r="408" spans="1:8" x14ac:dyDescent="0.3">
      <c r="A408" s="48"/>
      <c r="B408" s="7"/>
      <c r="C408" s="6"/>
      <c r="D408" s="7"/>
      <c r="E408" s="7"/>
      <c r="F408" s="7"/>
      <c r="G408" s="7"/>
      <c r="H408" s="17">
        <f>IF(A408="","",TEXT(IF(DAY(A408)&gt;=Setup!$B$9,DATE(YEAR(A408),MONTH(A408)+1,1),DATE(YEAR(A408),MONTH(A408),1)),"mmmm yyyy"))</f>
      </c>
    </row>
    <row r="409" spans="1:8" x14ac:dyDescent="0.3">
      <c r="A409" s="48"/>
      <c r="B409" s="7"/>
      <c r="C409" s="6"/>
      <c r="D409" s="7"/>
      <c r="E409" s="7"/>
      <c r="F409" s="7"/>
      <c r="G409" s="7"/>
      <c r="H409" s="17">
        <f>IF(A409="","",TEXT(IF(DAY(A409)&gt;=Setup!$B$9,DATE(YEAR(A409),MONTH(A409)+1,1),DATE(YEAR(A409),MONTH(A409),1)),"mmmm yyyy"))</f>
      </c>
    </row>
    <row r="410" spans="1:8" x14ac:dyDescent="0.3">
      <c r="A410" s="48"/>
      <c r="B410" s="7"/>
      <c r="C410" s="6"/>
      <c r="D410" s="7"/>
      <c r="E410" s="7"/>
      <c r="F410" s="7"/>
      <c r="G410" s="7"/>
      <c r="H410" s="17">
        <f>IF(A410="","",TEXT(IF(DAY(A410)&gt;=Setup!$B$9,DATE(YEAR(A410),MONTH(A410)+1,1),DATE(YEAR(A410),MONTH(A410),1)),"mmmm yyyy"))</f>
      </c>
    </row>
    <row r="411" spans="1:8" x14ac:dyDescent="0.3">
      <c r="A411" s="48"/>
      <c r="B411" s="7"/>
      <c r="C411" s="6"/>
      <c r="D411" s="7"/>
      <c r="E411" s="7"/>
      <c r="F411" s="7"/>
      <c r="G411" s="7"/>
      <c r="H411" s="17">
        <f>IF(A411="","",TEXT(IF(DAY(A411)&gt;=Setup!$B$9,DATE(YEAR(A411),MONTH(A411)+1,1),DATE(YEAR(A411),MONTH(A411),1)),"mmmm yyyy"))</f>
      </c>
    </row>
    <row r="412" spans="1:8" x14ac:dyDescent="0.3">
      <c r="A412" s="48"/>
      <c r="B412" s="7"/>
      <c r="C412" s="6"/>
      <c r="D412" s="7"/>
      <c r="E412" s="7"/>
      <c r="F412" s="7"/>
      <c r="G412" s="7"/>
      <c r="H412" s="17">
        <f>IF(A412="","",TEXT(IF(DAY(A412)&gt;=Setup!$B$9,DATE(YEAR(A412),MONTH(A412)+1,1),DATE(YEAR(A412),MONTH(A412),1)),"mmmm yyyy"))</f>
      </c>
    </row>
    <row r="413" spans="1:8" x14ac:dyDescent="0.3">
      <c r="A413" s="48"/>
      <c r="B413" s="7"/>
      <c r="C413" s="6"/>
      <c r="D413" s="7"/>
      <c r="E413" s="7"/>
      <c r="F413" s="7"/>
      <c r="G413" s="7"/>
      <c r="H413" s="17">
        <f>IF(A413="","",TEXT(IF(DAY(A413)&gt;=Setup!$B$9,DATE(YEAR(A413),MONTH(A413)+1,1),DATE(YEAR(A413),MONTH(A413),1)),"mmmm yyyy"))</f>
      </c>
    </row>
    <row r="414" spans="1:8" x14ac:dyDescent="0.3">
      <c r="A414" s="48"/>
      <c r="B414" s="7"/>
      <c r="C414" s="6"/>
      <c r="D414" s="7"/>
      <c r="E414" s="7"/>
      <c r="F414" s="7"/>
      <c r="G414" s="7"/>
      <c r="H414" s="17">
        <f>IF(A414="","",TEXT(IF(DAY(A414)&gt;=Setup!$B$9,DATE(YEAR(A414),MONTH(A414)+1,1),DATE(YEAR(A414),MONTH(A414),1)),"mmmm yyyy"))</f>
      </c>
    </row>
    <row r="415" spans="1:8" x14ac:dyDescent="0.3">
      <c r="A415" s="48"/>
      <c r="B415" s="7"/>
      <c r="C415" s="6"/>
      <c r="D415" s="7"/>
      <c r="E415" s="7"/>
      <c r="F415" s="7"/>
      <c r="G415" s="7"/>
      <c r="H415" s="17">
        <f>IF(A415="","",TEXT(IF(DAY(A415)&gt;=Setup!$B$9,DATE(YEAR(A415),MONTH(A415)+1,1),DATE(YEAR(A415),MONTH(A415),1)),"mmmm yyyy"))</f>
      </c>
    </row>
    <row r="416" spans="1:8" x14ac:dyDescent="0.3">
      <c r="A416" s="48"/>
      <c r="B416" s="7"/>
      <c r="C416" s="6"/>
      <c r="D416" s="7"/>
      <c r="E416" s="7"/>
      <c r="F416" s="7"/>
      <c r="G416" s="7"/>
      <c r="H416" s="17">
        <f>IF(A416="","",TEXT(IF(DAY(A416)&gt;=Setup!$B$9,DATE(YEAR(A416),MONTH(A416)+1,1),DATE(YEAR(A416),MONTH(A416),1)),"mmmm yyyy"))</f>
      </c>
    </row>
    <row r="417" spans="1:8" x14ac:dyDescent="0.3">
      <c r="A417" s="48"/>
      <c r="B417" s="7"/>
      <c r="C417" s="6"/>
      <c r="D417" s="7"/>
      <c r="E417" s="7"/>
      <c r="F417" s="7"/>
      <c r="G417" s="7"/>
      <c r="H417" s="17">
        <f>IF(A417="","",TEXT(IF(DAY(A417)&gt;=Setup!$B$9,DATE(YEAR(A417),MONTH(A417)+1,1),DATE(YEAR(A417),MONTH(A417),1)),"mmmm yyyy"))</f>
      </c>
    </row>
    <row r="418" spans="1:8" x14ac:dyDescent="0.3">
      <c r="A418" s="48"/>
      <c r="B418" s="7"/>
      <c r="C418" s="6"/>
      <c r="D418" s="7"/>
      <c r="E418" s="7"/>
      <c r="F418" s="7"/>
      <c r="G418" s="7"/>
      <c r="H418" s="17">
        <f>IF(A418="","",TEXT(IF(DAY(A418)&gt;=Setup!$B$9,DATE(YEAR(A418),MONTH(A418)+1,1),DATE(YEAR(A418),MONTH(A418),1)),"mmmm yyyy"))</f>
      </c>
    </row>
    <row r="419" spans="1:8" x14ac:dyDescent="0.3">
      <c r="A419" s="48"/>
      <c r="B419" s="7"/>
      <c r="C419" s="6"/>
      <c r="D419" s="7"/>
      <c r="E419" s="7"/>
      <c r="F419" s="7"/>
      <c r="G419" s="7"/>
      <c r="H419" s="17">
        <f>IF(A419="","",TEXT(IF(DAY(A419)&gt;=Setup!$B$9,DATE(YEAR(A419),MONTH(A419)+1,1),DATE(YEAR(A419),MONTH(A419),1)),"mmmm yyyy"))</f>
      </c>
    </row>
    <row r="420" spans="1:8" x14ac:dyDescent="0.3">
      <c r="A420" s="48"/>
      <c r="B420" s="7"/>
      <c r="C420" s="6"/>
      <c r="D420" s="7"/>
      <c r="E420" s="7"/>
      <c r="F420" s="7"/>
      <c r="G420" s="7"/>
      <c r="H420" s="17">
        <f>IF(A420="","",TEXT(IF(DAY(A420)&gt;=Setup!$B$9,DATE(YEAR(A420),MONTH(A420)+1,1),DATE(YEAR(A420),MONTH(A420),1)),"mmmm yyyy"))</f>
      </c>
    </row>
    <row r="421" spans="1:8" x14ac:dyDescent="0.3">
      <c r="A421" s="48"/>
      <c r="B421" s="7"/>
      <c r="C421" s="6"/>
      <c r="D421" s="7"/>
      <c r="E421" s="7"/>
      <c r="F421" s="7"/>
      <c r="G421" s="7"/>
      <c r="H421" s="17">
        <f>IF(A421="","",TEXT(IF(DAY(A421)&gt;=Setup!$B$9,DATE(YEAR(A421),MONTH(A421)+1,1),DATE(YEAR(A421),MONTH(A421),1)),"mmmm yyyy"))</f>
      </c>
    </row>
    <row r="422" spans="1:8" x14ac:dyDescent="0.3">
      <c r="A422" s="48"/>
      <c r="B422" s="7"/>
      <c r="C422" s="6"/>
      <c r="D422" s="7"/>
      <c r="E422" s="7"/>
      <c r="F422" s="7"/>
      <c r="G422" s="7"/>
      <c r="H422" s="17">
        <f>IF(A422="","",TEXT(IF(DAY(A422)&gt;=Setup!$B$9,DATE(YEAR(A422),MONTH(A422)+1,1),DATE(YEAR(A422),MONTH(A422),1)),"mmmm yyyy"))</f>
      </c>
    </row>
    <row r="423" spans="1:8" x14ac:dyDescent="0.3">
      <c r="A423" s="48"/>
      <c r="B423" s="7"/>
      <c r="C423" s="6"/>
      <c r="D423" s="7"/>
      <c r="E423" s="7"/>
      <c r="F423" s="7"/>
      <c r="G423" s="7"/>
      <c r="H423" s="17">
        <f>IF(A423="","",TEXT(IF(DAY(A423)&gt;=Setup!$B$9,DATE(YEAR(A423),MONTH(A423)+1,1),DATE(YEAR(A423),MONTH(A423),1)),"mmmm yyyy"))</f>
      </c>
    </row>
    <row r="424" spans="1:8" x14ac:dyDescent="0.3">
      <c r="A424" s="48"/>
      <c r="B424" s="7"/>
      <c r="C424" s="6"/>
      <c r="D424" s="7"/>
      <c r="E424" s="7"/>
      <c r="F424" s="7"/>
      <c r="G424" s="7"/>
      <c r="H424" s="17">
        <f>IF(A424="","",TEXT(IF(DAY(A424)&gt;=Setup!$B$9,DATE(YEAR(A424),MONTH(A424)+1,1),DATE(YEAR(A424),MONTH(A424),1)),"mmmm yyyy"))</f>
      </c>
    </row>
    <row r="425" spans="1:8" x14ac:dyDescent="0.3">
      <c r="A425" s="48"/>
      <c r="B425" s="7"/>
      <c r="C425" s="6"/>
      <c r="D425" s="7"/>
      <c r="E425" s="7"/>
      <c r="F425" s="7"/>
      <c r="G425" s="7"/>
      <c r="H425" s="17">
        <f>IF(A425="","",TEXT(IF(DAY(A425)&gt;=Setup!$B$9,DATE(YEAR(A425),MONTH(A425)+1,1),DATE(YEAR(A425),MONTH(A425),1)),"mmmm yyyy"))</f>
      </c>
    </row>
    <row r="426" spans="1:8" x14ac:dyDescent="0.3">
      <c r="A426" s="48"/>
      <c r="B426" s="7"/>
      <c r="C426" s="6"/>
      <c r="D426" s="7"/>
      <c r="E426" s="7"/>
      <c r="F426" s="7"/>
      <c r="G426" s="7"/>
      <c r="H426" s="17">
        <f>IF(A426="","",TEXT(IF(DAY(A426)&gt;=Setup!$B$9,DATE(YEAR(A426),MONTH(A426)+1,1),DATE(YEAR(A426),MONTH(A426),1)),"mmmm yyyy"))</f>
      </c>
    </row>
    <row r="427" spans="1:8" x14ac:dyDescent="0.3">
      <c r="A427" s="48"/>
      <c r="B427" s="7"/>
      <c r="C427" s="6"/>
      <c r="D427" s="7"/>
      <c r="E427" s="7"/>
      <c r="F427" s="7"/>
      <c r="G427" s="7"/>
      <c r="H427" s="17">
        <f>IF(A427="","",TEXT(IF(DAY(A427)&gt;=Setup!$B$9,DATE(YEAR(A427),MONTH(A427)+1,1),DATE(YEAR(A427),MONTH(A427),1)),"mmmm yyyy"))</f>
      </c>
    </row>
    <row r="428" spans="1:8" x14ac:dyDescent="0.3">
      <c r="A428" s="48"/>
      <c r="B428" s="7"/>
      <c r="C428" s="6"/>
      <c r="D428" s="7"/>
      <c r="E428" s="7"/>
      <c r="F428" s="7"/>
      <c r="G428" s="7"/>
      <c r="H428" s="17">
        <f>IF(A428="","",TEXT(IF(DAY(A428)&gt;=Setup!$B$9,DATE(YEAR(A428),MONTH(A428)+1,1),DATE(YEAR(A428),MONTH(A428),1)),"mmmm yyyy"))</f>
      </c>
    </row>
    <row r="429" spans="1:8" x14ac:dyDescent="0.3">
      <c r="A429" s="48"/>
      <c r="B429" s="7"/>
      <c r="C429" s="6"/>
      <c r="D429" s="7"/>
      <c r="E429" s="7"/>
      <c r="F429" s="7"/>
      <c r="G429" s="7"/>
      <c r="H429" s="17">
        <f>IF(A429="","",TEXT(IF(DAY(A429)&gt;=Setup!$B$9,DATE(YEAR(A429),MONTH(A429)+1,1),DATE(YEAR(A429),MONTH(A429),1)),"mmmm yyyy"))</f>
      </c>
    </row>
    <row r="430" spans="1:8" x14ac:dyDescent="0.3">
      <c r="A430" s="48"/>
      <c r="B430" s="7"/>
      <c r="C430" s="6"/>
      <c r="D430" s="7"/>
      <c r="E430" s="7"/>
      <c r="F430" s="7"/>
      <c r="G430" s="7"/>
      <c r="H430" s="17">
        <f>IF(A430="","",TEXT(IF(DAY(A430)&gt;=Setup!$B$9,DATE(YEAR(A430),MONTH(A430)+1,1),DATE(YEAR(A430),MONTH(A430),1)),"mmmm yyyy"))</f>
      </c>
    </row>
    <row r="431" spans="1:8" x14ac:dyDescent="0.3">
      <c r="A431" s="48"/>
      <c r="B431" s="7"/>
      <c r="C431" s="6"/>
      <c r="D431" s="7"/>
      <c r="E431" s="7"/>
      <c r="F431" s="7"/>
      <c r="G431" s="7"/>
      <c r="H431" s="17">
        <f>IF(A431="","",TEXT(IF(DAY(A431)&gt;=Setup!$B$9,DATE(YEAR(A431),MONTH(A431)+1,1),DATE(YEAR(A431),MONTH(A431),1)),"mmmm yyyy"))</f>
      </c>
    </row>
    <row r="432" spans="1:8" x14ac:dyDescent="0.3">
      <c r="A432" s="48"/>
      <c r="B432" s="7"/>
      <c r="C432" s="6"/>
      <c r="D432" s="7"/>
      <c r="E432" s="7"/>
      <c r="F432" s="7"/>
      <c r="G432" s="7"/>
      <c r="H432" s="17">
        <f>IF(A432="","",TEXT(IF(DAY(A432)&gt;=Setup!$B$9,DATE(YEAR(A432),MONTH(A432)+1,1),DATE(YEAR(A432),MONTH(A432),1)),"mmmm yyyy"))</f>
      </c>
    </row>
    <row r="433" spans="1:8" x14ac:dyDescent="0.3">
      <c r="A433" s="48"/>
      <c r="B433" s="7"/>
      <c r="C433" s="6"/>
      <c r="D433" s="7"/>
      <c r="E433" s="7"/>
      <c r="F433" s="7"/>
      <c r="G433" s="7"/>
      <c r="H433" s="17">
        <f>IF(A433="","",TEXT(IF(DAY(A433)&gt;=Setup!$B$9,DATE(YEAR(A433),MONTH(A433)+1,1),DATE(YEAR(A433),MONTH(A433),1)),"mmmm yyyy"))</f>
      </c>
    </row>
    <row r="434" spans="1:8" x14ac:dyDescent="0.3">
      <c r="A434" s="48"/>
      <c r="B434" s="7"/>
      <c r="C434" s="6"/>
      <c r="D434" s="7"/>
      <c r="E434" s="7"/>
      <c r="F434" s="7"/>
      <c r="G434" s="7"/>
      <c r="H434" s="17">
        <f>IF(A434="","",TEXT(IF(DAY(A434)&gt;=Setup!$B$9,DATE(YEAR(A434),MONTH(A434)+1,1),DATE(YEAR(A434),MONTH(A434),1)),"mmmm yyyy"))</f>
      </c>
    </row>
    <row r="435" spans="1:8" x14ac:dyDescent="0.3">
      <c r="A435" s="48"/>
      <c r="B435" s="7"/>
      <c r="C435" s="6"/>
      <c r="D435" s="7"/>
      <c r="E435" s="7"/>
      <c r="F435" s="7"/>
      <c r="G435" s="7"/>
      <c r="H435" s="17">
        <f>IF(A435="","",TEXT(IF(DAY(A435)&gt;=Setup!$B$9,DATE(YEAR(A435),MONTH(A435)+1,1),DATE(YEAR(A435),MONTH(A435),1)),"mmmm yyyy"))</f>
      </c>
    </row>
    <row r="436" spans="1:8" x14ac:dyDescent="0.3">
      <c r="A436" s="48"/>
      <c r="B436" s="7"/>
      <c r="C436" s="6"/>
      <c r="D436" s="7"/>
      <c r="E436" s="7"/>
      <c r="F436" s="7"/>
      <c r="G436" s="7"/>
      <c r="H436" s="17">
        <f>IF(A436="","",TEXT(IF(DAY(A436)&gt;=Setup!$B$9,DATE(YEAR(A436),MONTH(A436)+1,1),DATE(YEAR(A436),MONTH(A436),1)),"mmmm yyyy"))</f>
      </c>
    </row>
    <row r="437" spans="1:8" x14ac:dyDescent="0.3">
      <c r="A437" s="48"/>
      <c r="B437" s="7"/>
      <c r="C437" s="6"/>
      <c r="D437" s="7"/>
      <c r="E437" s="7"/>
      <c r="F437" s="7"/>
      <c r="G437" s="7"/>
      <c r="H437" s="17">
        <f>IF(A437="","",TEXT(IF(DAY(A437)&gt;=Setup!$B$9,DATE(YEAR(A437),MONTH(A437)+1,1),DATE(YEAR(A437),MONTH(A437),1)),"mmmm yyyy"))</f>
      </c>
    </row>
    <row r="438" spans="1:8" x14ac:dyDescent="0.3">
      <c r="A438" s="48"/>
      <c r="B438" s="7"/>
      <c r="C438" s="6"/>
      <c r="D438" s="7"/>
      <c r="E438" s="7"/>
      <c r="F438" s="7"/>
      <c r="G438" s="7"/>
      <c r="H438" s="17">
        <f>IF(A438="","",TEXT(IF(DAY(A438)&gt;=Setup!$B$9,DATE(YEAR(A438),MONTH(A438)+1,1),DATE(YEAR(A438),MONTH(A438),1)),"mmmm yyyy"))</f>
      </c>
    </row>
    <row r="439" spans="1:8" x14ac:dyDescent="0.3">
      <c r="A439" s="48"/>
      <c r="B439" s="7"/>
      <c r="C439" s="6"/>
      <c r="D439" s="7"/>
      <c r="E439" s="7"/>
      <c r="F439" s="7"/>
      <c r="G439" s="7"/>
      <c r="H439" s="17">
        <f>IF(A439="","",TEXT(IF(DAY(A439)&gt;=Setup!$B$9,DATE(YEAR(A439),MONTH(A439)+1,1),DATE(YEAR(A439),MONTH(A439),1)),"mmmm yyyy"))</f>
      </c>
    </row>
    <row r="440" spans="1:8" x14ac:dyDescent="0.3">
      <c r="A440" s="48"/>
      <c r="B440" s="7"/>
      <c r="C440" s="6"/>
      <c r="D440" s="7"/>
      <c r="E440" s="7"/>
      <c r="F440" s="7"/>
      <c r="G440" s="7"/>
      <c r="H440" s="17">
        <f>IF(A440="","",TEXT(IF(DAY(A440)&gt;=Setup!$B$9,DATE(YEAR(A440),MONTH(A440)+1,1),DATE(YEAR(A440),MONTH(A440),1)),"mmmm yyyy"))</f>
      </c>
    </row>
    <row r="441" spans="1:8" x14ac:dyDescent="0.3">
      <c r="A441" s="48"/>
      <c r="B441" s="7"/>
      <c r="C441" s="6"/>
      <c r="D441" s="7"/>
      <c r="E441" s="7"/>
      <c r="F441" s="7"/>
      <c r="G441" s="7"/>
      <c r="H441" s="17">
        <f>IF(A441="","",TEXT(IF(DAY(A441)&gt;=Setup!$B$9,DATE(YEAR(A441),MONTH(A441)+1,1),DATE(YEAR(A441),MONTH(A441),1)),"mmmm yyyy"))</f>
      </c>
    </row>
    <row r="442" spans="1:8" x14ac:dyDescent="0.3">
      <c r="A442" s="48"/>
      <c r="B442" s="7"/>
      <c r="C442" s="6"/>
      <c r="D442" s="7"/>
      <c r="E442" s="7"/>
      <c r="F442" s="7"/>
      <c r="G442" s="7"/>
      <c r="H442" s="17">
        <f>IF(A442="","",TEXT(IF(DAY(A442)&gt;=Setup!$B$9,DATE(YEAR(A442),MONTH(A442)+1,1),DATE(YEAR(A442),MONTH(A442),1)),"mmmm yyyy"))</f>
      </c>
    </row>
    <row r="443" spans="1:8" x14ac:dyDescent="0.3">
      <c r="A443" s="48"/>
      <c r="B443" s="7"/>
      <c r="C443" s="6"/>
      <c r="D443" s="7"/>
      <c r="E443" s="7"/>
      <c r="F443" s="7"/>
      <c r="G443" s="7"/>
      <c r="H443" s="17">
        <f>IF(A443="","",TEXT(IF(DAY(A443)&gt;=Setup!$B$9,DATE(YEAR(A443),MONTH(A443)+1,1),DATE(YEAR(A443),MONTH(A443),1)),"mmmm yyyy"))</f>
      </c>
    </row>
    <row r="444" spans="1:8" x14ac:dyDescent="0.3">
      <c r="A444" s="48"/>
      <c r="B444" s="7"/>
      <c r="C444" s="6"/>
      <c r="D444" s="7"/>
      <c r="E444" s="7"/>
      <c r="F444" s="7"/>
      <c r="G444" s="7"/>
      <c r="H444" s="17">
        <f>IF(A444="","",TEXT(IF(DAY(A444)&gt;=Setup!$B$9,DATE(YEAR(A444),MONTH(A444)+1,1),DATE(YEAR(A444),MONTH(A444),1)),"mmmm yyyy"))</f>
      </c>
    </row>
    <row r="445" spans="1:8" x14ac:dyDescent="0.3">
      <c r="A445" s="48"/>
      <c r="B445" s="7"/>
      <c r="C445" s="6"/>
      <c r="D445" s="7"/>
      <c r="E445" s="7"/>
      <c r="F445" s="7"/>
      <c r="G445" s="7"/>
      <c r="H445" s="17">
        <f>IF(A445="","",TEXT(IF(DAY(A445)&gt;=Setup!$B$9,DATE(YEAR(A445),MONTH(A445)+1,1),DATE(YEAR(A445),MONTH(A445),1)),"mmmm yyyy"))</f>
      </c>
    </row>
    <row r="446" spans="1:8" x14ac:dyDescent="0.3">
      <c r="A446" s="48"/>
      <c r="B446" s="7"/>
      <c r="C446" s="6"/>
      <c r="D446" s="7"/>
      <c r="E446" s="7"/>
      <c r="F446" s="7"/>
      <c r="G446" s="7"/>
      <c r="H446" s="17">
        <f>IF(A446="","",TEXT(IF(DAY(A446)&gt;=Setup!$B$9,DATE(YEAR(A446),MONTH(A446)+1,1),DATE(YEAR(A446),MONTH(A446),1)),"mmmm yyyy"))</f>
      </c>
    </row>
    <row r="447" spans="1:8" x14ac:dyDescent="0.3">
      <c r="A447" s="48"/>
      <c r="B447" s="7"/>
      <c r="C447" s="6"/>
      <c r="D447" s="7"/>
      <c r="E447" s="7"/>
      <c r="F447" s="7"/>
      <c r="G447" s="7"/>
      <c r="H447" s="17">
        <f>IF(A447="","",TEXT(IF(DAY(A447)&gt;=Setup!$B$9,DATE(YEAR(A447),MONTH(A447)+1,1),DATE(YEAR(A447),MONTH(A447),1)),"mmmm yyyy"))</f>
      </c>
    </row>
    <row r="448" spans="1:8" x14ac:dyDescent="0.3">
      <c r="A448" s="48"/>
      <c r="B448" s="7"/>
      <c r="C448" s="6"/>
      <c r="D448" s="7"/>
      <c r="E448" s="7"/>
      <c r="F448" s="7"/>
      <c r="G448" s="7"/>
      <c r="H448" s="17">
        <f>IF(A448="","",TEXT(IF(DAY(A448)&gt;=Setup!$B$9,DATE(YEAR(A448),MONTH(A448)+1,1),DATE(YEAR(A448),MONTH(A448),1)),"mmmm yyyy"))</f>
      </c>
    </row>
    <row r="449" spans="1:8" x14ac:dyDescent="0.3">
      <c r="A449" s="48"/>
      <c r="B449" s="7"/>
      <c r="C449" s="6"/>
      <c r="D449" s="7"/>
      <c r="E449" s="7"/>
      <c r="F449" s="7"/>
      <c r="G449" s="7"/>
      <c r="H449" s="17">
        <f>IF(A449="","",TEXT(IF(DAY(A449)&gt;=Setup!$B$9,DATE(YEAR(A449),MONTH(A449)+1,1),DATE(YEAR(A449),MONTH(A449),1)),"mmmm yyyy"))</f>
      </c>
    </row>
    <row r="450" spans="1:8" x14ac:dyDescent="0.3">
      <c r="A450" s="48"/>
      <c r="B450" s="7"/>
      <c r="C450" s="6"/>
      <c r="D450" s="7"/>
      <c r="E450" s="7"/>
      <c r="F450" s="7"/>
      <c r="G450" s="7"/>
      <c r="H450" s="17">
        <f>IF(A450="","",TEXT(IF(DAY(A450)&gt;=Setup!$B$9,DATE(YEAR(A450),MONTH(A450)+1,1),DATE(YEAR(A450),MONTH(A450),1)),"mmmm yyyy"))</f>
      </c>
    </row>
    <row r="451" spans="1:8" x14ac:dyDescent="0.3">
      <c r="A451" s="48"/>
      <c r="B451" s="7"/>
      <c r="C451" s="6"/>
      <c r="D451" s="7"/>
      <c r="E451" s="7"/>
      <c r="F451" s="7"/>
      <c r="G451" s="7"/>
      <c r="H451" s="17">
        <f>IF(A451="","",TEXT(IF(DAY(A451)&gt;=Setup!$B$9,DATE(YEAR(A451),MONTH(A451)+1,1),DATE(YEAR(A451),MONTH(A451),1)),"mmmm yyyy"))</f>
      </c>
    </row>
    <row r="452" spans="1:8" x14ac:dyDescent="0.3">
      <c r="A452" s="48"/>
      <c r="B452" s="7"/>
      <c r="C452" s="6"/>
      <c r="D452" s="7"/>
      <c r="E452" s="7"/>
      <c r="F452" s="7"/>
      <c r="G452" s="7"/>
      <c r="H452" s="17">
        <f>IF(A452="","",TEXT(IF(DAY(A452)&gt;=Setup!$B$9,DATE(YEAR(A452),MONTH(A452)+1,1),DATE(YEAR(A452),MONTH(A452),1)),"mmmm yyyy"))</f>
      </c>
    </row>
    <row r="453" spans="1:8" x14ac:dyDescent="0.3">
      <c r="A453" s="48"/>
      <c r="B453" s="7"/>
      <c r="C453" s="6"/>
      <c r="D453" s="7"/>
      <c r="E453" s="7"/>
      <c r="F453" s="7"/>
      <c r="G453" s="7"/>
      <c r="H453" s="17">
        <f>IF(A453="","",TEXT(IF(DAY(A453)&gt;=Setup!$B$9,DATE(YEAR(A453),MONTH(A453)+1,1),DATE(YEAR(A453),MONTH(A453),1)),"mmmm yyyy"))</f>
      </c>
    </row>
    <row r="454" spans="1:8" x14ac:dyDescent="0.3">
      <c r="A454" s="48"/>
      <c r="B454" s="7"/>
      <c r="C454" s="6"/>
      <c r="D454" s="7"/>
      <c r="E454" s="7"/>
      <c r="F454" s="7"/>
      <c r="G454" s="7"/>
      <c r="H454" s="17">
        <f>IF(A454="","",TEXT(IF(DAY(A454)&gt;=Setup!$B$9,DATE(YEAR(A454),MONTH(A454)+1,1),DATE(YEAR(A454),MONTH(A454),1)),"mmmm yyyy"))</f>
      </c>
    </row>
    <row r="455" spans="1:8" x14ac:dyDescent="0.3">
      <c r="A455" s="48"/>
      <c r="B455" s="7"/>
      <c r="C455" s="6"/>
      <c r="D455" s="7"/>
      <c r="E455" s="7"/>
      <c r="F455" s="7"/>
      <c r="G455" s="7"/>
      <c r="H455" s="17">
        <f>IF(A455="","",TEXT(IF(DAY(A455)&gt;=Setup!$B$9,DATE(YEAR(A455),MONTH(A455)+1,1),DATE(YEAR(A455),MONTH(A455),1)),"mmmm yyyy"))</f>
      </c>
    </row>
    <row r="456" spans="1:8" x14ac:dyDescent="0.3">
      <c r="A456" s="48"/>
      <c r="B456" s="7"/>
      <c r="C456" s="6"/>
      <c r="D456" s="7"/>
      <c r="E456" s="7"/>
      <c r="F456" s="7"/>
      <c r="G456" s="7"/>
      <c r="H456" s="17">
        <f>IF(A456="","",TEXT(IF(DAY(A456)&gt;=Setup!$B$9,DATE(YEAR(A456),MONTH(A456)+1,1),DATE(YEAR(A456),MONTH(A456),1)),"mmmm yyyy"))</f>
      </c>
    </row>
    <row r="457" spans="1:8" x14ac:dyDescent="0.3">
      <c r="A457" s="48"/>
      <c r="B457" s="7"/>
      <c r="C457" s="6"/>
      <c r="D457" s="7"/>
      <c r="E457" s="7"/>
      <c r="F457" s="7"/>
      <c r="G457" s="7"/>
      <c r="H457" s="17">
        <f>IF(A457="","",TEXT(IF(DAY(A457)&gt;=Setup!$B$9,DATE(YEAR(A457),MONTH(A457)+1,1),DATE(YEAR(A457),MONTH(A457),1)),"mmmm yyyy"))</f>
      </c>
    </row>
    <row r="458" spans="1:8" x14ac:dyDescent="0.3">
      <c r="A458" s="48"/>
      <c r="B458" s="7"/>
      <c r="C458" s="6"/>
      <c r="D458" s="7"/>
      <c r="E458" s="7"/>
      <c r="F458" s="7"/>
      <c r="G458" s="7"/>
      <c r="H458" s="17">
        <f>IF(A458="","",TEXT(IF(DAY(A458)&gt;=Setup!$B$9,DATE(YEAR(A458),MONTH(A458)+1,1),DATE(YEAR(A458),MONTH(A458),1)),"mmmm yyyy"))</f>
      </c>
    </row>
    <row r="459" spans="1:8" x14ac:dyDescent="0.3">
      <c r="A459" s="48"/>
      <c r="B459" s="7"/>
      <c r="C459" s="6"/>
      <c r="D459" s="7"/>
      <c r="E459" s="7"/>
      <c r="F459" s="7"/>
      <c r="G459" s="7"/>
      <c r="H459" s="17">
        <f>IF(A459="","",TEXT(IF(DAY(A459)&gt;=Setup!$B$9,DATE(YEAR(A459),MONTH(A459)+1,1),DATE(YEAR(A459),MONTH(A459),1)),"mmmm yyyy"))</f>
      </c>
    </row>
    <row r="460" spans="1:8" x14ac:dyDescent="0.3">
      <c r="A460" s="48"/>
      <c r="B460" s="7"/>
      <c r="C460" s="6"/>
      <c r="D460" s="7"/>
      <c r="E460" s="7"/>
      <c r="F460" s="7"/>
      <c r="G460" s="7"/>
      <c r="H460" s="17">
        <f>IF(A460="","",TEXT(IF(DAY(A460)&gt;=Setup!$B$9,DATE(YEAR(A460),MONTH(A460)+1,1),DATE(YEAR(A460),MONTH(A460),1)),"mmmm yyyy"))</f>
      </c>
    </row>
    <row r="461" spans="1:8" x14ac:dyDescent="0.3">
      <c r="A461" s="48"/>
      <c r="B461" s="7"/>
      <c r="C461" s="6"/>
      <c r="D461" s="7"/>
      <c r="E461" s="7"/>
      <c r="F461" s="7"/>
      <c r="G461" s="7"/>
      <c r="H461" s="17">
        <f>IF(A461="","",TEXT(IF(DAY(A461)&gt;=Setup!$B$9,DATE(YEAR(A461),MONTH(A461)+1,1),DATE(YEAR(A461),MONTH(A461),1)),"mmmm yyyy"))</f>
      </c>
    </row>
    <row r="462" spans="1:8" x14ac:dyDescent="0.3">
      <c r="A462" s="48"/>
      <c r="B462" s="7"/>
      <c r="C462" s="6"/>
      <c r="D462" s="7"/>
      <c r="E462" s="7"/>
      <c r="F462" s="7"/>
      <c r="G462" s="7"/>
      <c r="H462" s="17">
        <f>IF(A462="","",TEXT(IF(DAY(A462)&gt;=Setup!$B$9,DATE(YEAR(A462),MONTH(A462)+1,1),DATE(YEAR(A462),MONTH(A462),1)),"mmmm yyyy"))</f>
      </c>
    </row>
    <row r="463" spans="1:8" x14ac:dyDescent="0.3">
      <c r="A463" s="48"/>
      <c r="B463" s="7"/>
      <c r="C463" s="6"/>
      <c r="D463" s="7"/>
      <c r="E463" s="7"/>
      <c r="F463" s="7"/>
      <c r="G463" s="7"/>
      <c r="H463" s="17">
        <f>IF(A463="","",TEXT(IF(DAY(A463)&gt;=Setup!$B$9,DATE(YEAR(A463),MONTH(A463)+1,1),DATE(YEAR(A463),MONTH(A463),1)),"mmmm yyyy"))</f>
      </c>
    </row>
    <row r="464" spans="1:8" x14ac:dyDescent="0.3">
      <c r="A464" s="48"/>
      <c r="B464" s="7"/>
      <c r="C464" s="6"/>
      <c r="D464" s="7"/>
      <c r="E464" s="7"/>
      <c r="F464" s="7"/>
      <c r="G464" s="7"/>
      <c r="H464" s="17">
        <f>IF(A464="","",TEXT(IF(DAY(A464)&gt;=Setup!$B$9,DATE(YEAR(A464),MONTH(A464)+1,1),DATE(YEAR(A464),MONTH(A464),1)),"mmmm yyyy"))</f>
      </c>
    </row>
    <row r="465" spans="1:8" x14ac:dyDescent="0.3">
      <c r="A465" s="48"/>
      <c r="B465" s="7"/>
      <c r="C465" s="6"/>
      <c r="D465" s="7"/>
      <c r="E465" s="7"/>
      <c r="F465" s="7"/>
      <c r="G465" s="7"/>
      <c r="H465" s="17">
        <f>IF(A465="","",TEXT(IF(DAY(A465)&gt;=Setup!$B$9,DATE(YEAR(A465),MONTH(A465)+1,1),DATE(YEAR(A465),MONTH(A465),1)),"mmmm yyyy"))</f>
      </c>
    </row>
    <row r="466" spans="1:8" x14ac:dyDescent="0.3">
      <c r="A466" s="48"/>
      <c r="B466" s="7"/>
      <c r="C466" s="6"/>
      <c r="D466" s="7"/>
      <c r="E466" s="7"/>
      <c r="F466" s="7"/>
      <c r="G466" s="7"/>
      <c r="H466" s="17">
        <f>IF(A466="","",TEXT(IF(DAY(A466)&gt;=Setup!$B$9,DATE(YEAR(A466),MONTH(A466)+1,1),DATE(YEAR(A466),MONTH(A466),1)),"mmmm yyyy"))</f>
      </c>
    </row>
    <row r="467" spans="1:8" x14ac:dyDescent="0.3">
      <c r="A467" s="48"/>
      <c r="B467" s="7"/>
      <c r="C467" s="6"/>
      <c r="D467" s="7"/>
      <c r="E467" s="7"/>
      <c r="F467" s="7"/>
      <c r="G467" s="7"/>
      <c r="H467" s="17">
        <f>IF(A467="","",TEXT(IF(DAY(A467)&gt;=Setup!$B$9,DATE(YEAR(A467),MONTH(A467)+1,1),DATE(YEAR(A467),MONTH(A467),1)),"mmmm yyyy"))</f>
      </c>
    </row>
    <row r="468" spans="1:8" x14ac:dyDescent="0.3">
      <c r="A468" s="48"/>
      <c r="B468" s="7"/>
      <c r="C468" s="6"/>
      <c r="D468" s="7"/>
      <c r="E468" s="7"/>
      <c r="F468" s="7"/>
      <c r="G468" s="7"/>
      <c r="H468" s="17">
        <f>IF(A468="","",TEXT(IF(DAY(A468)&gt;=Setup!$B$9,DATE(YEAR(A468),MONTH(A468)+1,1),DATE(YEAR(A468),MONTH(A468),1)),"mmmm yyyy"))</f>
      </c>
    </row>
    <row r="469" spans="1:8" x14ac:dyDescent="0.3">
      <c r="A469" s="48"/>
      <c r="B469" s="7"/>
      <c r="C469" s="6"/>
      <c r="D469" s="7"/>
      <c r="E469" s="7"/>
      <c r="F469" s="7"/>
      <c r="G469" s="7"/>
      <c r="H469" s="17">
        <f>IF(A469="","",TEXT(IF(DAY(A469)&gt;=Setup!$B$9,DATE(YEAR(A469),MONTH(A469)+1,1),DATE(YEAR(A469),MONTH(A469),1)),"mmmm yyyy"))</f>
      </c>
    </row>
    <row r="470" spans="1:8" x14ac:dyDescent="0.3">
      <c r="A470" s="48"/>
      <c r="B470" s="7"/>
      <c r="C470" s="6"/>
      <c r="D470" s="7"/>
      <c r="E470" s="7"/>
      <c r="F470" s="7"/>
      <c r="G470" s="7"/>
      <c r="H470" s="17">
        <f>IF(A470="","",TEXT(IF(DAY(A470)&gt;=Setup!$B$9,DATE(YEAR(A470),MONTH(A470)+1,1),DATE(YEAR(A470),MONTH(A470),1)),"mmmm yyyy"))</f>
      </c>
    </row>
    <row r="471" spans="1:8" x14ac:dyDescent="0.3">
      <c r="A471" s="48"/>
      <c r="B471" s="7"/>
      <c r="C471" s="6"/>
      <c r="D471" s="7"/>
      <c r="E471" s="7"/>
      <c r="F471" s="7"/>
      <c r="G471" s="7"/>
      <c r="H471" s="17">
        <f>IF(A471="","",TEXT(IF(DAY(A471)&gt;=Setup!$B$9,DATE(YEAR(A471),MONTH(A471)+1,1),DATE(YEAR(A471),MONTH(A471),1)),"mmmm yyyy"))</f>
      </c>
    </row>
    <row r="472" spans="1:8" x14ac:dyDescent="0.3">
      <c r="A472" s="48"/>
      <c r="B472" s="7"/>
      <c r="C472" s="6"/>
      <c r="D472" s="7"/>
      <c r="E472" s="7"/>
      <c r="F472" s="7"/>
      <c r="G472" s="7"/>
      <c r="H472" s="17">
        <f>IF(A472="","",TEXT(IF(DAY(A472)&gt;=Setup!$B$9,DATE(YEAR(A472),MONTH(A472)+1,1),DATE(YEAR(A472),MONTH(A472),1)),"mmmm yyyy"))</f>
      </c>
    </row>
    <row r="473" spans="1:8" x14ac:dyDescent="0.3">
      <c r="A473" s="48"/>
      <c r="B473" s="7"/>
      <c r="C473" s="6"/>
      <c r="D473" s="7"/>
      <c r="E473" s="7"/>
      <c r="F473" s="7"/>
      <c r="G473" s="7"/>
      <c r="H473" s="17">
        <f>IF(A473="","",TEXT(IF(DAY(A473)&gt;=Setup!$B$9,DATE(YEAR(A473),MONTH(A473)+1,1),DATE(YEAR(A473),MONTH(A473),1)),"mmmm yyyy"))</f>
      </c>
    </row>
    <row r="474" spans="1:8" x14ac:dyDescent="0.3">
      <c r="A474" s="48"/>
      <c r="B474" s="7"/>
      <c r="C474" s="6"/>
      <c r="D474" s="7"/>
      <c r="E474" s="7"/>
      <c r="F474" s="7"/>
      <c r="G474" s="7"/>
      <c r="H474" s="17">
        <f>IF(A474="","",TEXT(IF(DAY(A474)&gt;=Setup!$B$9,DATE(YEAR(A474),MONTH(A474)+1,1),DATE(YEAR(A474),MONTH(A474),1)),"mmmm yyyy"))</f>
      </c>
    </row>
    <row r="475" spans="1:8" x14ac:dyDescent="0.3">
      <c r="A475" s="48"/>
      <c r="B475" s="7"/>
      <c r="C475" s="6"/>
      <c r="D475" s="7"/>
      <c r="E475" s="7"/>
      <c r="F475" s="7"/>
      <c r="G475" s="7"/>
      <c r="H475" s="17">
        <f>IF(A475="","",TEXT(IF(DAY(A475)&gt;=Setup!$B$9,DATE(YEAR(A475),MONTH(A475)+1,1),DATE(YEAR(A475),MONTH(A475),1)),"mmmm yyyy"))</f>
      </c>
    </row>
    <row r="476" spans="1:8" x14ac:dyDescent="0.3">
      <c r="A476" s="48"/>
      <c r="B476" s="7"/>
      <c r="C476" s="6"/>
      <c r="D476" s="7"/>
      <c r="E476" s="7"/>
      <c r="F476" s="7"/>
      <c r="G476" s="7"/>
      <c r="H476" s="17">
        <f>IF(A476="","",TEXT(IF(DAY(A476)&gt;=Setup!$B$9,DATE(YEAR(A476),MONTH(A476)+1,1),DATE(YEAR(A476),MONTH(A476),1)),"mmmm yyyy"))</f>
      </c>
    </row>
    <row r="477" spans="1:8" x14ac:dyDescent="0.3">
      <c r="A477" s="48"/>
      <c r="B477" s="7"/>
      <c r="C477" s="6"/>
      <c r="D477" s="7"/>
      <c r="E477" s="7"/>
      <c r="F477" s="7"/>
      <c r="G477" s="7"/>
      <c r="H477" s="17">
        <f>IF(A477="","",TEXT(IF(DAY(A477)&gt;=Setup!$B$9,DATE(YEAR(A477),MONTH(A477)+1,1),DATE(YEAR(A477),MONTH(A477),1)),"mmmm yyyy"))</f>
      </c>
    </row>
    <row r="478" spans="1:8" x14ac:dyDescent="0.3">
      <c r="A478" s="48"/>
      <c r="B478" s="7"/>
      <c r="C478" s="6"/>
      <c r="D478" s="7"/>
      <c r="E478" s="7"/>
      <c r="F478" s="7"/>
      <c r="G478" s="7"/>
      <c r="H478" s="17">
        <f>IF(A478="","",TEXT(IF(DAY(A478)&gt;=Setup!$B$9,DATE(YEAR(A478),MONTH(A478)+1,1),DATE(YEAR(A478),MONTH(A478),1)),"mmmm yyyy"))</f>
      </c>
    </row>
    <row r="479" spans="1:8" x14ac:dyDescent="0.3">
      <c r="A479" s="48"/>
      <c r="B479" s="7"/>
      <c r="C479" s="6"/>
      <c r="D479" s="7"/>
      <c r="E479" s="7"/>
      <c r="F479" s="7"/>
      <c r="G479" s="7"/>
      <c r="H479" s="17">
        <f>IF(A479="","",TEXT(IF(DAY(A479)&gt;=Setup!$B$9,DATE(YEAR(A479),MONTH(A479)+1,1),DATE(YEAR(A479),MONTH(A479),1)),"mmmm yyyy"))</f>
      </c>
    </row>
    <row r="480" spans="1:8" x14ac:dyDescent="0.3">
      <c r="A480" s="48"/>
      <c r="B480" s="7"/>
      <c r="C480" s="6"/>
      <c r="D480" s="7"/>
      <c r="E480" s="7"/>
      <c r="F480" s="7"/>
      <c r="G480" s="7"/>
      <c r="H480" s="17">
        <f>IF(A480="","",TEXT(IF(DAY(A480)&gt;=Setup!$B$9,DATE(YEAR(A480),MONTH(A480)+1,1),DATE(YEAR(A480),MONTH(A480),1)),"mmmm yyyy"))</f>
      </c>
    </row>
    <row r="481" spans="1:8" x14ac:dyDescent="0.3">
      <c r="A481" s="48"/>
      <c r="B481" s="7"/>
      <c r="C481" s="6"/>
      <c r="D481" s="7"/>
      <c r="E481" s="7"/>
      <c r="F481" s="7"/>
      <c r="G481" s="7"/>
      <c r="H481" s="17">
        <f>IF(A481="","",TEXT(IF(DAY(A481)&gt;=Setup!$B$9,DATE(YEAR(A481),MONTH(A481)+1,1),DATE(YEAR(A481),MONTH(A481),1)),"mmmm yyyy"))</f>
      </c>
    </row>
    <row r="482" spans="1:8" x14ac:dyDescent="0.3">
      <c r="A482" s="48"/>
      <c r="B482" s="7"/>
      <c r="C482" s="6"/>
      <c r="D482" s="7"/>
      <c r="E482" s="7"/>
      <c r="F482" s="7"/>
      <c r="G482" s="7"/>
      <c r="H482" s="17">
        <f>IF(A482="","",TEXT(IF(DAY(A482)&gt;=Setup!$B$9,DATE(YEAR(A482),MONTH(A482)+1,1),DATE(YEAR(A482),MONTH(A482),1)),"mmmm yyyy"))</f>
      </c>
    </row>
    <row r="483" spans="1:8" x14ac:dyDescent="0.3">
      <c r="A483" s="48"/>
      <c r="B483" s="7"/>
      <c r="C483" s="6"/>
      <c r="D483" s="7"/>
      <c r="E483" s="7"/>
      <c r="F483" s="7"/>
      <c r="G483" s="7"/>
      <c r="H483" s="17">
        <f>IF(A483="","",TEXT(IF(DAY(A483)&gt;=Setup!$B$9,DATE(YEAR(A483),MONTH(A483)+1,1),DATE(YEAR(A483),MONTH(A483),1)),"mmmm yyyy"))</f>
      </c>
    </row>
    <row r="484" spans="1:8" x14ac:dyDescent="0.3">
      <c r="A484" s="48"/>
      <c r="B484" s="7"/>
      <c r="C484" s="6"/>
      <c r="D484" s="7"/>
      <c r="E484" s="7"/>
      <c r="F484" s="7"/>
      <c r="G484" s="7"/>
      <c r="H484" s="17">
        <f>IF(A484="","",TEXT(IF(DAY(A484)&gt;=Setup!$B$9,DATE(YEAR(A484),MONTH(A484)+1,1),DATE(YEAR(A484),MONTH(A484),1)),"mmmm yyyy"))</f>
      </c>
    </row>
    <row r="485" spans="1:8" x14ac:dyDescent="0.3">
      <c r="A485" s="48"/>
      <c r="B485" s="7"/>
      <c r="C485" s="6"/>
      <c r="D485" s="7"/>
      <c r="E485" s="7"/>
      <c r="F485" s="7"/>
      <c r="G485" s="7"/>
      <c r="H485" s="17">
        <f>IF(A485="","",TEXT(IF(DAY(A485)&gt;=Setup!$B$9,DATE(YEAR(A485),MONTH(A485)+1,1),DATE(YEAR(A485),MONTH(A485),1)),"mmmm yyyy"))</f>
      </c>
    </row>
    <row r="486" spans="1:8" x14ac:dyDescent="0.3">
      <c r="A486" s="48"/>
      <c r="B486" s="7"/>
      <c r="C486" s="6"/>
      <c r="D486" s="7"/>
      <c r="E486" s="7"/>
      <c r="F486" s="7"/>
      <c r="G486" s="7"/>
      <c r="H486" s="17">
        <f>IF(A486="","",TEXT(IF(DAY(A486)&gt;=Setup!$B$9,DATE(YEAR(A486),MONTH(A486)+1,1),DATE(YEAR(A486),MONTH(A486),1)),"mmmm yyyy"))</f>
      </c>
    </row>
    <row r="487" spans="1:8" x14ac:dyDescent="0.3">
      <c r="A487" s="48"/>
      <c r="B487" s="7"/>
      <c r="C487" s="6"/>
      <c r="D487" s="7"/>
      <c r="E487" s="7"/>
      <c r="F487" s="7"/>
      <c r="G487" s="7"/>
      <c r="H487" s="17">
        <f>IF(A487="","",TEXT(IF(DAY(A487)&gt;=Setup!$B$9,DATE(YEAR(A487),MONTH(A487)+1,1),DATE(YEAR(A487),MONTH(A487),1)),"mmmm yyyy"))</f>
      </c>
    </row>
    <row r="488" spans="1:8" x14ac:dyDescent="0.3">
      <c r="A488" s="48"/>
      <c r="B488" s="7"/>
      <c r="C488" s="6"/>
      <c r="D488" s="7"/>
      <c r="E488" s="7"/>
      <c r="F488" s="7"/>
      <c r="G488" s="7"/>
      <c r="H488" s="17">
        <f>IF(A488="","",TEXT(IF(DAY(A488)&gt;=Setup!$B$9,DATE(YEAR(A488),MONTH(A488)+1,1),DATE(YEAR(A488),MONTH(A488),1)),"mmmm yyyy"))</f>
      </c>
    </row>
    <row r="489" spans="1:8" x14ac:dyDescent="0.3">
      <c r="A489" s="48"/>
      <c r="B489" s="7"/>
      <c r="C489" s="6"/>
      <c r="D489" s="7"/>
      <c r="E489" s="7"/>
      <c r="F489" s="7"/>
      <c r="G489" s="7"/>
      <c r="H489" s="17">
        <f>IF(A489="","",TEXT(IF(DAY(A489)&gt;=Setup!$B$9,DATE(YEAR(A489),MONTH(A489)+1,1),DATE(YEAR(A489),MONTH(A489),1)),"mmmm yyyy"))</f>
      </c>
    </row>
    <row r="490" spans="1:8" x14ac:dyDescent="0.3">
      <c r="A490" s="48"/>
      <c r="B490" s="7"/>
      <c r="C490" s="6"/>
      <c r="D490" s="7"/>
      <c r="E490" s="7"/>
      <c r="F490" s="7"/>
      <c r="G490" s="7"/>
      <c r="H490" s="17">
        <f>IF(A490="","",TEXT(IF(DAY(A490)&gt;=Setup!$B$9,DATE(YEAR(A490),MONTH(A490)+1,1),DATE(YEAR(A490),MONTH(A490),1)),"mmmm yyyy"))</f>
      </c>
    </row>
    <row r="491" spans="1:8" x14ac:dyDescent="0.3">
      <c r="A491" s="48"/>
      <c r="B491" s="7"/>
      <c r="C491" s="6"/>
      <c r="D491" s="7"/>
      <c r="E491" s="7"/>
      <c r="F491" s="7"/>
      <c r="G491" s="7"/>
      <c r="H491" s="17">
        <f>IF(A491="","",TEXT(IF(DAY(A491)&gt;=Setup!$B$9,DATE(YEAR(A491),MONTH(A491)+1,1),DATE(YEAR(A491),MONTH(A491),1)),"mmmm yyyy"))</f>
      </c>
    </row>
    <row r="492" spans="1:8" x14ac:dyDescent="0.3">
      <c r="A492" s="48"/>
      <c r="B492" s="7"/>
      <c r="C492" s="6"/>
      <c r="D492" s="7"/>
      <c r="E492" s="7"/>
      <c r="F492" s="7"/>
      <c r="G492" s="7"/>
      <c r="H492" s="17">
        <f>IF(A492="","",TEXT(IF(DAY(A492)&gt;=Setup!$B$9,DATE(YEAR(A492),MONTH(A492)+1,1),DATE(YEAR(A492),MONTH(A492),1)),"mmmm yyyy"))</f>
      </c>
    </row>
    <row r="493" spans="1:8" x14ac:dyDescent="0.3">
      <c r="A493" s="48"/>
      <c r="B493" s="7"/>
      <c r="C493" s="6"/>
      <c r="D493" s="7"/>
      <c r="E493" s="7"/>
      <c r="F493" s="7"/>
      <c r="G493" s="7"/>
      <c r="H493" s="17">
        <f>IF(A493="","",TEXT(IF(DAY(A493)&gt;=Setup!$B$9,DATE(YEAR(A493),MONTH(A493)+1,1),DATE(YEAR(A493),MONTH(A493),1)),"mmmm yyyy"))</f>
      </c>
    </row>
    <row r="494" spans="1:8" x14ac:dyDescent="0.3">
      <c r="A494" s="48"/>
      <c r="B494" s="7"/>
      <c r="C494" s="6"/>
      <c r="D494" s="7"/>
      <c r="E494" s="7"/>
      <c r="F494" s="7"/>
      <c r="G494" s="7"/>
      <c r="H494" s="17">
        <f>IF(A494="","",TEXT(IF(DAY(A494)&gt;=Setup!$B$9,DATE(YEAR(A494),MONTH(A494)+1,1),DATE(YEAR(A494),MONTH(A494),1)),"mmmm yyyy"))</f>
      </c>
    </row>
    <row r="495" spans="1:8" x14ac:dyDescent="0.3">
      <c r="A495" s="48"/>
      <c r="B495" s="7"/>
      <c r="C495" s="6"/>
      <c r="D495" s="7"/>
      <c r="E495" s="7"/>
      <c r="F495" s="7"/>
      <c r="G495" s="7"/>
      <c r="H495" s="17">
        <f>IF(A495="","",TEXT(IF(DAY(A495)&gt;=Setup!$B$9,DATE(YEAR(A495),MONTH(A495)+1,1),DATE(YEAR(A495),MONTH(A495),1)),"mmmm yyyy"))</f>
      </c>
    </row>
    <row r="496" spans="1:8" x14ac:dyDescent="0.3">
      <c r="A496" s="48"/>
      <c r="B496" s="7"/>
      <c r="C496" s="6"/>
      <c r="D496" s="7"/>
      <c r="E496" s="7"/>
      <c r="F496" s="7"/>
      <c r="G496" s="7"/>
      <c r="H496" s="17">
        <f>IF(A496="","",TEXT(IF(DAY(A496)&gt;=Setup!$B$9,DATE(YEAR(A496),MONTH(A496)+1,1),DATE(YEAR(A496),MONTH(A496),1)),"mmmm yyyy"))</f>
      </c>
    </row>
    <row r="497" spans="1:8" x14ac:dyDescent="0.3">
      <c r="A497" s="48"/>
      <c r="B497" s="7"/>
      <c r="C497" s="6"/>
      <c r="D497" s="7"/>
      <c r="E497" s="7"/>
      <c r="F497" s="7"/>
      <c r="G497" s="7"/>
      <c r="H497" s="17">
        <f>IF(A497="","",TEXT(IF(DAY(A497)&gt;=Setup!$B$9,DATE(YEAR(A497),MONTH(A497)+1,1),DATE(YEAR(A497),MONTH(A497),1)),"mmmm yyyy"))</f>
      </c>
    </row>
    <row r="498" spans="1:8" x14ac:dyDescent="0.3">
      <c r="A498" s="48"/>
      <c r="B498" s="7"/>
      <c r="C498" s="6"/>
      <c r="D498" s="7"/>
      <c r="E498" s="7"/>
      <c r="F498" s="7"/>
      <c r="G498" s="7"/>
      <c r="H498" s="17">
        <f>IF(A498="","",TEXT(IF(DAY(A498)&gt;=Setup!$B$9,DATE(YEAR(A498),MONTH(A498)+1,1),DATE(YEAR(A498),MONTH(A498),1)),"mmmm yyyy"))</f>
      </c>
    </row>
    <row r="499" spans="1:8" x14ac:dyDescent="0.3">
      <c r="A499" s="48"/>
      <c r="B499" s="7"/>
      <c r="C499" s="6"/>
      <c r="D499" s="7"/>
      <c r="E499" s="7"/>
      <c r="F499" s="7"/>
      <c r="G499" s="7"/>
      <c r="H499" s="17">
        <f>IF(A499="","",TEXT(IF(DAY(A499)&gt;=Setup!$B$9,DATE(YEAR(A499),MONTH(A499)+1,1),DATE(YEAR(A499),MONTH(A499),1)),"mmmm yyyy"))</f>
      </c>
    </row>
    <row r="500" spans="1:8" x14ac:dyDescent="0.3">
      <c r="A500" s="48"/>
      <c r="B500" s="7"/>
      <c r="C500" s="6"/>
      <c r="D500" s="7"/>
      <c r="E500" s="7"/>
      <c r="F500" s="7"/>
      <c r="G500" s="7"/>
      <c r="H500" s="17">
        <f>IF(A500="","",TEXT(IF(DAY(A500)&gt;=Setup!$B$9,DATE(YEAR(A500),MONTH(A500)+1,1),DATE(YEAR(A500),MONTH(A500),1)),"mmmm yyyy"))</f>
      </c>
    </row>
    <row r="501" spans="1:8" x14ac:dyDescent="0.3">
      <c r="A501" s="48"/>
      <c r="B501" s="7"/>
      <c r="C501" s="6"/>
      <c r="D501" s="7"/>
      <c r="E501" s="7"/>
      <c r="F501" s="7"/>
      <c r="G501" s="7"/>
      <c r="H501" s="17">
        <f>IF(A501="","",TEXT(IF(DAY(A501)&gt;=Setup!$B$9,DATE(YEAR(A501),MONTH(A501)+1,1),DATE(YEAR(A501),MONTH(A501),1)),"mmmm yyyy"))</f>
      </c>
    </row>
    <row r="502" spans="1:8" x14ac:dyDescent="0.3">
      <c r="A502" s="48"/>
      <c r="B502" s="7"/>
      <c r="C502" s="6"/>
      <c r="D502" s="7"/>
      <c r="E502" s="7"/>
      <c r="F502" s="7"/>
      <c r="G502" s="7"/>
      <c r="H502" s="17">
        <f>IF(A502="","",TEXT(IF(DAY(A502)&gt;=Setup!$B$9,DATE(YEAR(A502),MONTH(A502)+1,1),DATE(YEAR(A502),MONTH(A502),1)),"mmmm yyyy"))</f>
      </c>
    </row>
    <row r="503" spans="1:8" x14ac:dyDescent="0.3">
      <c r="A503" s="48"/>
      <c r="B503" s="7"/>
      <c r="C503" s="6"/>
      <c r="D503" s="7"/>
      <c r="E503" s="7"/>
      <c r="F503" s="7"/>
      <c r="G503" s="7"/>
      <c r="H503" s="17">
        <f>IF(A503="","",TEXT(IF(DAY(A503)&gt;=Setup!$B$9,DATE(YEAR(A503),MONTH(A503)+1,1),DATE(YEAR(A503),MONTH(A503),1)),"mmmm yyyy"))</f>
      </c>
    </row>
    <row r="504" spans="1:8" x14ac:dyDescent="0.3">
      <c r="A504" s="48"/>
      <c r="B504" s="7"/>
      <c r="C504" s="6"/>
      <c r="D504" s="7"/>
      <c r="E504" s="7"/>
      <c r="F504" s="7"/>
      <c r="G504" s="7"/>
      <c r="H504" s="17">
        <f>IF(A504="","",TEXT(IF(DAY(A504)&gt;=Setup!$B$9,DATE(YEAR(A504),MONTH(A504)+1,1),DATE(YEAR(A504),MONTH(A504),1)),"mmmm yyyy"))</f>
      </c>
    </row>
    <row r="505" spans="1:8" x14ac:dyDescent="0.3">
      <c r="A505" s="48"/>
      <c r="B505" s="7"/>
      <c r="C505" s="6"/>
      <c r="D505" s="7"/>
      <c r="E505" s="7"/>
      <c r="F505" s="7"/>
      <c r="G505" s="7"/>
      <c r="H505" s="17">
        <f>IF(A505="","",TEXT(IF(DAY(A505)&gt;=Setup!$B$9,DATE(YEAR(A505),MONTH(A505)+1,1),DATE(YEAR(A505),MONTH(A505),1)),"mmmm yyyy"))</f>
      </c>
    </row>
    <row r="506" spans="1:8" x14ac:dyDescent="0.3">
      <c r="A506" s="48"/>
      <c r="B506" s="7"/>
      <c r="C506" s="6"/>
      <c r="D506" s="7"/>
      <c r="E506" s="7"/>
      <c r="F506" s="7"/>
      <c r="G506" s="7"/>
      <c r="H506" s="17">
        <f>IF(A506="","",TEXT(IF(DAY(A506)&gt;=Setup!$B$9,DATE(YEAR(A506),MONTH(A506)+1,1),DATE(YEAR(A506),MONTH(A506),1)),"mmmm yyyy"))</f>
      </c>
    </row>
    <row r="507" spans="1:8" x14ac:dyDescent="0.3">
      <c r="A507" s="48"/>
      <c r="B507" s="7"/>
      <c r="C507" s="6"/>
      <c r="D507" s="7"/>
      <c r="E507" s="7"/>
      <c r="F507" s="7"/>
      <c r="G507" s="7"/>
      <c r="H507" s="17">
        <f>IF(A507="","",TEXT(IF(DAY(A507)&gt;=Setup!$B$9,DATE(YEAR(A507),MONTH(A507)+1,1),DATE(YEAR(A507),MONTH(A507),1)),"mmmm yyyy"))</f>
      </c>
    </row>
    <row r="508" spans="1:8" x14ac:dyDescent="0.3">
      <c r="A508" s="48"/>
      <c r="B508" s="7"/>
      <c r="C508" s="6"/>
      <c r="D508" s="7"/>
      <c r="E508" s="7"/>
      <c r="F508" s="7"/>
      <c r="G508" s="7"/>
      <c r="H508" s="17">
        <f>IF(A508="","",TEXT(IF(DAY(A508)&gt;=Setup!$B$9,DATE(YEAR(A508),MONTH(A508)+1,1),DATE(YEAR(A508),MONTH(A508),1)),"mmmm yyyy"))</f>
      </c>
    </row>
    <row r="509" spans="1:8" x14ac:dyDescent="0.3">
      <c r="A509" s="48"/>
      <c r="B509" s="7"/>
      <c r="C509" s="6"/>
      <c r="D509" s="7"/>
      <c r="E509" s="7"/>
      <c r="F509" s="7"/>
      <c r="G509" s="7"/>
      <c r="H509" s="17">
        <f>IF(A509="","",TEXT(IF(DAY(A509)&gt;=Setup!$B$9,DATE(YEAR(A509),MONTH(A509)+1,1),DATE(YEAR(A509),MONTH(A509),1)),"mmmm yyyy"))</f>
      </c>
    </row>
    <row r="510" spans="1:8" x14ac:dyDescent="0.3">
      <c r="A510" s="48"/>
      <c r="B510" s="7"/>
      <c r="C510" s="6"/>
      <c r="D510" s="7"/>
      <c r="E510" s="7"/>
      <c r="F510" s="7"/>
      <c r="G510" s="7"/>
      <c r="H510" s="17">
        <f>IF(A510="","",TEXT(IF(DAY(A510)&gt;=Setup!$B$9,DATE(YEAR(A510),MONTH(A510)+1,1),DATE(YEAR(A510),MONTH(A510),1)),"mmmm yyyy"))</f>
      </c>
    </row>
    <row r="511" spans="1:8" x14ac:dyDescent="0.3">
      <c r="A511" s="48"/>
      <c r="B511" s="7"/>
      <c r="C511" s="6"/>
      <c r="D511" s="7"/>
      <c r="E511" s="7"/>
      <c r="F511" s="7"/>
      <c r="G511" s="7"/>
      <c r="H511" s="17">
        <f>IF(A511="","",TEXT(IF(DAY(A511)&gt;=Setup!$B$9,DATE(YEAR(A511),MONTH(A511)+1,1),DATE(YEAR(A511),MONTH(A511),1)),"mmmm yyyy"))</f>
      </c>
    </row>
    <row r="512" spans="1:8" x14ac:dyDescent="0.3">
      <c r="A512" s="48"/>
      <c r="B512" s="7"/>
      <c r="C512" s="6"/>
      <c r="D512" s="7"/>
      <c r="E512" s="7"/>
      <c r="F512" s="7"/>
      <c r="G512" s="7"/>
      <c r="H512" s="17">
        <f>IF(A512="","",TEXT(IF(DAY(A512)&gt;=Setup!$B$9,DATE(YEAR(A512),MONTH(A512)+1,1),DATE(YEAR(A512),MONTH(A512),1)),"mmmm yyyy"))</f>
      </c>
    </row>
    <row r="513" spans="1:8" x14ac:dyDescent="0.3">
      <c r="A513" s="48"/>
      <c r="B513" s="7"/>
      <c r="C513" s="6"/>
      <c r="D513" s="7"/>
      <c r="E513" s="7"/>
      <c r="F513" s="7"/>
      <c r="G513" s="7"/>
      <c r="H513" s="17">
        <f>IF(A513="","",TEXT(IF(DAY(A513)&gt;=Setup!$B$9,DATE(YEAR(A513),MONTH(A513)+1,1),DATE(YEAR(A513),MONTH(A513),1)),"mmmm yyyy"))</f>
      </c>
    </row>
    <row r="514" spans="1:8" x14ac:dyDescent="0.3">
      <c r="A514" s="48"/>
      <c r="B514" s="7"/>
      <c r="C514" s="6"/>
      <c r="D514" s="7"/>
      <c r="E514" s="7"/>
      <c r="F514" s="7"/>
      <c r="G514" s="7"/>
      <c r="H514" s="17">
        <f>IF(A514="","",TEXT(IF(DAY(A514)&gt;=Setup!$B$9,DATE(YEAR(A514),MONTH(A514)+1,1),DATE(YEAR(A514),MONTH(A514),1)),"mmmm yyyy"))</f>
      </c>
    </row>
    <row r="515" spans="1:8" x14ac:dyDescent="0.3">
      <c r="A515" s="48"/>
      <c r="B515" s="7"/>
      <c r="C515" s="6"/>
      <c r="D515" s="7"/>
      <c r="E515" s="7"/>
      <c r="F515" s="7"/>
      <c r="G515" s="7"/>
      <c r="H515" s="17">
        <f>IF(A515="","",TEXT(IF(DAY(A515)&gt;=Setup!$B$9,DATE(YEAR(A515),MONTH(A515)+1,1),DATE(YEAR(A515),MONTH(A515),1)),"mmmm yyyy"))</f>
      </c>
    </row>
    <row r="516" spans="1:8" x14ac:dyDescent="0.3">
      <c r="A516" s="48"/>
      <c r="B516" s="7"/>
      <c r="C516" s="6"/>
      <c r="D516" s="7"/>
      <c r="E516" s="7"/>
      <c r="F516" s="7"/>
      <c r="G516" s="7"/>
      <c r="H516" s="17">
        <f>IF(A516="","",TEXT(IF(DAY(A516)&gt;=Setup!$B$9,DATE(YEAR(A516),MONTH(A516)+1,1),DATE(YEAR(A516),MONTH(A516),1)),"mmmm yyyy"))</f>
      </c>
    </row>
    <row r="517" spans="1:8" x14ac:dyDescent="0.3">
      <c r="A517" s="48"/>
      <c r="B517" s="7"/>
      <c r="C517" s="6"/>
      <c r="D517" s="7"/>
      <c r="E517" s="7"/>
      <c r="F517" s="7"/>
      <c r="G517" s="7"/>
      <c r="H517" s="17">
        <f>IF(A517="","",TEXT(IF(DAY(A517)&gt;=Setup!$B$9,DATE(YEAR(A517),MONTH(A517)+1,1),DATE(YEAR(A517),MONTH(A517),1)),"mmmm yyyy"))</f>
      </c>
    </row>
    <row r="518" spans="1:8" x14ac:dyDescent="0.3">
      <c r="A518" s="48"/>
      <c r="B518" s="7"/>
      <c r="C518" s="6"/>
      <c r="D518" s="7"/>
      <c r="E518" s="7"/>
      <c r="F518" s="7"/>
      <c r="G518" s="7"/>
      <c r="H518" s="17">
        <f>IF(A518="","",TEXT(IF(DAY(A518)&gt;=Setup!$B$9,DATE(YEAR(A518),MONTH(A518)+1,1),DATE(YEAR(A518),MONTH(A518),1)),"mmmm yyyy"))</f>
      </c>
    </row>
    <row r="519" spans="1:8" x14ac:dyDescent="0.3">
      <c r="A519" s="48"/>
      <c r="B519" s="7"/>
      <c r="C519" s="6"/>
      <c r="D519" s="7"/>
      <c r="E519" s="7"/>
      <c r="F519" s="7"/>
      <c r="G519" s="7"/>
      <c r="H519" s="17">
        <f>IF(A519="","",TEXT(IF(DAY(A519)&gt;=Setup!$B$9,DATE(YEAR(A519),MONTH(A519)+1,1),DATE(YEAR(A519),MONTH(A519),1)),"mmmm yyyy"))</f>
      </c>
    </row>
    <row r="520" spans="1:8" x14ac:dyDescent="0.3">
      <c r="A520" s="48"/>
      <c r="B520" s="7"/>
      <c r="C520" s="6"/>
      <c r="D520" s="7"/>
      <c r="E520" s="7"/>
      <c r="F520" s="7"/>
      <c r="G520" s="7"/>
      <c r="H520" s="17">
        <f>IF(A520="","",TEXT(IF(DAY(A520)&gt;=Setup!$B$9,DATE(YEAR(A520),MONTH(A520)+1,1),DATE(YEAR(A520),MONTH(A520),1)),"mmmm yyyy"))</f>
      </c>
    </row>
    <row r="521" spans="1:8" x14ac:dyDescent="0.3">
      <c r="A521" s="48"/>
      <c r="B521" s="7"/>
      <c r="C521" s="6"/>
      <c r="D521" s="7"/>
      <c r="E521" s="7"/>
      <c r="F521" s="7"/>
      <c r="G521" s="7"/>
      <c r="H521" s="17">
        <f>IF(A521="","",TEXT(IF(DAY(A521)&gt;=Setup!$B$9,DATE(YEAR(A521),MONTH(A521)+1,1),DATE(YEAR(A521),MONTH(A521),1)),"mmmm yyyy"))</f>
      </c>
    </row>
    <row r="522" spans="1:8" x14ac:dyDescent="0.3">
      <c r="A522" s="48"/>
      <c r="B522" s="7"/>
      <c r="C522" s="6"/>
      <c r="D522" s="7"/>
      <c r="E522" s="7"/>
      <c r="F522" s="7"/>
      <c r="G522" s="7"/>
      <c r="H522" s="17">
        <f>IF(A522="","",TEXT(IF(DAY(A522)&gt;=Setup!$B$9,DATE(YEAR(A522),MONTH(A522)+1,1),DATE(YEAR(A522),MONTH(A522),1)),"mmmm yyyy"))</f>
      </c>
    </row>
    <row r="523" spans="1:8" x14ac:dyDescent="0.3">
      <c r="A523" s="48"/>
      <c r="B523" s="7"/>
      <c r="C523" s="6"/>
      <c r="D523" s="7"/>
      <c r="E523" s="7"/>
      <c r="F523" s="7"/>
      <c r="G523" s="7"/>
      <c r="H523" s="17">
        <f>IF(A523="","",TEXT(IF(DAY(A523)&gt;=Setup!$B$9,DATE(YEAR(A523),MONTH(A523)+1,1),DATE(YEAR(A523),MONTH(A523),1)),"mmmm yyyy"))</f>
      </c>
    </row>
    <row r="524" spans="1:8" x14ac:dyDescent="0.3">
      <c r="A524" s="48"/>
      <c r="B524" s="7"/>
      <c r="C524" s="6"/>
      <c r="D524" s="7"/>
      <c r="E524" s="7"/>
      <c r="F524" s="7"/>
      <c r="G524" s="7"/>
      <c r="H524" s="17">
        <f>IF(A524="","",TEXT(IF(DAY(A524)&gt;=Setup!$B$9,DATE(YEAR(A524),MONTH(A524)+1,1),DATE(YEAR(A524),MONTH(A524),1)),"mmmm yyyy"))</f>
      </c>
    </row>
    <row r="525" spans="1:8" x14ac:dyDescent="0.3">
      <c r="A525" s="48"/>
      <c r="B525" s="7"/>
      <c r="C525" s="6"/>
      <c r="D525" s="7"/>
      <c r="E525" s="7"/>
      <c r="F525" s="7"/>
      <c r="G525" s="7"/>
      <c r="H525" s="17">
        <f>IF(A525="","",TEXT(IF(DAY(A525)&gt;=Setup!$B$9,DATE(YEAR(A525),MONTH(A525)+1,1),DATE(YEAR(A525),MONTH(A525),1)),"mmmm yyyy"))</f>
      </c>
    </row>
    <row r="526" spans="1:8" x14ac:dyDescent="0.3">
      <c r="A526" s="48"/>
      <c r="B526" s="7"/>
      <c r="C526" s="6"/>
      <c r="D526" s="7"/>
      <c r="E526" s="7"/>
      <c r="F526" s="7"/>
      <c r="G526" s="7"/>
      <c r="H526" s="17">
        <f>IF(A526="","",TEXT(IF(DAY(A526)&gt;=Setup!$B$9,DATE(YEAR(A526),MONTH(A526)+1,1),DATE(YEAR(A526),MONTH(A526),1)),"mmmm yyyy"))</f>
      </c>
    </row>
    <row r="527" spans="1:8" x14ac:dyDescent="0.3">
      <c r="A527" s="48"/>
      <c r="B527" s="7"/>
      <c r="C527" s="6"/>
      <c r="D527" s="7"/>
      <c r="E527" s="7"/>
      <c r="F527" s="7"/>
      <c r="G527" s="7"/>
      <c r="H527" s="17">
        <f>IF(A527="","",TEXT(IF(DAY(A527)&gt;=Setup!$B$9,DATE(YEAR(A527),MONTH(A527)+1,1),DATE(YEAR(A527),MONTH(A527),1)),"mmmm yyyy"))</f>
      </c>
    </row>
    <row r="528" spans="1:8" x14ac:dyDescent="0.3">
      <c r="A528" s="48"/>
      <c r="B528" s="7"/>
      <c r="C528" s="6"/>
      <c r="D528" s="7"/>
      <c r="E528" s="7"/>
      <c r="F528" s="7"/>
      <c r="G528" s="7"/>
      <c r="H528" s="17">
        <f>IF(A528="","",TEXT(IF(DAY(A528)&gt;=Setup!$B$9,DATE(YEAR(A528),MONTH(A528)+1,1),DATE(YEAR(A528),MONTH(A528),1)),"mmmm yyyy"))</f>
      </c>
    </row>
    <row r="529" spans="1:8" x14ac:dyDescent="0.3">
      <c r="A529" s="48"/>
      <c r="B529" s="7"/>
      <c r="C529" s="6"/>
      <c r="D529" s="7"/>
      <c r="E529" s="7"/>
      <c r="F529" s="7"/>
      <c r="G529" s="7"/>
      <c r="H529" s="17">
        <f>IF(A529="","",TEXT(IF(DAY(A529)&gt;=Setup!$B$9,DATE(YEAR(A529),MONTH(A529)+1,1),DATE(YEAR(A529),MONTH(A529),1)),"mmmm yyyy"))</f>
      </c>
    </row>
    <row r="530" spans="1:8" x14ac:dyDescent="0.3">
      <c r="A530" s="48"/>
      <c r="B530" s="7"/>
      <c r="C530" s="6"/>
      <c r="D530" s="7"/>
      <c r="E530" s="7"/>
      <c r="F530" s="7"/>
      <c r="G530" s="7"/>
      <c r="H530" s="17">
        <f>IF(A530="","",TEXT(IF(DAY(A530)&gt;=Setup!$B$9,DATE(YEAR(A530),MONTH(A530)+1,1),DATE(YEAR(A530),MONTH(A530),1)),"mmmm yyyy"))</f>
      </c>
    </row>
    <row r="531" spans="1:8" x14ac:dyDescent="0.3">
      <c r="A531" s="48"/>
      <c r="B531" s="7"/>
      <c r="C531" s="6"/>
      <c r="D531" s="7"/>
      <c r="E531" s="7"/>
      <c r="F531" s="7"/>
      <c r="G531" s="7"/>
      <c r="H531" s="17">
        <f>IF(A531="","",TEXT(IF(DAY(A531)&gt;=Setup!$B$9,DATE(YEAR(A531),MONTH(A531)+1,1),DATE(YEAR(A531),MONTH(A531),1)),"mmmm yyyy"))</f>
      </c>
    </row>
    <row r="532" spans="1:8" x14ac:dyDescent="0.3">
      <c r="A532" s="48"/>
      <c r="B532" s="7"/>
      <c r="C532" s="6"/>
      <c r="D532" s="7"/>
      <c r="E532" s="7"/>
      <c r="F532" s="7"/>
      <c r="G532" s="7"/>
      <c r="H532" s="17">
        <f>IF(A532="","",TEXT(IF(DAY(A532)&gt;=Setup!$B$9,DATE(YEAR(A532),MONTH(A532)+1,1),DATE(YEAR(A532),MONTH(A532),1)),"mmmm yyyy"))</f>
      </c>
    </row>
    <row r="533" spans="1:8" x14ac:dyDescent="0.3">
      <c r="A533" s="48"/>
      <c r="B533" s="7"/>
      <c r="C533" s="6"/>
      <c r="D533" s="7"/>
      <c r="E533" s="7"/>
      <c r="F533" s="7"/>
      <c r="G533" s="7"/>
      <c r="H533" s="17">
        <f>IF(A533="","",TEXT(IF(DAY(A533)&gt;=Setup!$B$9,DATE(YEAR(A533),MONTH(A533)+1,1),DATE(YEAR(A533),MONTH(A533),1)),"mmmm yyyy"))</f>
      </c>
    </row>
    <row r="534" spans="1:8" x14ac:dyDescent="0.3">
      <c r="A534" s="48"/>
      <c r="B534" s="7"/>
      <c r="C534" s="6"/>
      <c r="D534" s="7"/>
      <c r="E534" s="7"/>
      <c r="F534" s="7"/>
      <c r="G534" s="7"/>
      <c r="H534" s="17">
        <f>IF(A534="","",TEXT(IF(DAY(A534)&gt;=Setup!$B$9,DATE(YEAR(A534),MONTH(A534)+1,1),DATE(YEAR(A534),MONTH(A534),1)),"mmmm yyyy"))</f>
      </c>
    </row>
    <row r="535" spans="1:8" x14ac:dyDescent="0.3">
      <c r="A535" s="48"/>
      <c r="B535" s="7"/>
      <c r="C535" s="6"/>
      <c r="D535" s="7"/>
      <c r="E535" s="7"/>
      <c r="F535" s="7"/>
      <c r="G535" s="7"/>
      <c r="H535" s="17">
        <f>IF(A535="","",TEXT(IF(DAY(A535)&gt;=Setup!$B$9,DATE(YEAR(A535),MONTH(A535)+1,1),DATE(YEAR(A535),MONTH(A535),1)),"mmmm yyyy"))</f>
      </c>
    </row>
    <row r="536" spans="1:8" x14ac:dyDescent="0.3">
      <c r="A536" s="48"/>
      <c r="B536" s="7"/>
      <c r="C536" s="6"/>
      <c r="D536" s="7"/>
      <c r="E536" s="7"/>
      <c r="F536" s="7"/>
      <c r="G536" s="7"/>
      <c r="H536" s="17">
        <f>IF(A536="","",TEXT(IF(DAY(A536)&gt;=Setup!$B$9,DATE(YEAR(A536),MONTH(A536)+1,1),DATE(YEAR(A536),MONTH(A536),1)),"mmmm yyyy"))</f>
      </c>
    </row>
    <row r="537" spans="1:8" x14ac:dyDescent="0.3">
      <c r="A537" s="48"/>
      <c r="B537" s="7"/>
      <c r="C537" s="6"/>
      <c r="D537" s="7"/>
      <c r="E537" s="7"/>
      <c r="F537" s="7"/>
      <c r="G537" s="7"/>
      <c r="H537" s="17">
        <f>IF(A537="","",TEXT(IF(DAY(A537)&gt;=Setup!$B$9,DATE(YEAR(A537),MONTH(A537)+1,1),DATE(YEAR(A537),MONTH(A537),1)),"mmmm yyyy"))</f>
      </c>
    </row>
    <row r="538" spans="1:8" x14ac:dyDescent="0.3">
      <c r="A538" s="48"/>
      <c r="B538" s="7"/>
      <c r="C538" s="6"/>
      <c r="D538" s="7"/>
      <c r="E538" s="7"/>
      <c r="F538" s="7"/>
      <c r="G538" s="7"/>
      <c r="H538" s="17">
        <f>IF(A538="","",TEXT(IF(DAY(A538)&gt;=Setup!$B$9,DATE(YEAR(A538),MONTH(A538)+1,1),DATE(YEAR(A538),MONTH(A538),1)),"mmmm yyyy"))</f>
      </c>
    </row>
    <row r="539" spans="1:8" x14ac:dyDescent="0.3">
      <c r="A539" s="48"/>
      <c r="B539" s="7"/>
      <c r="C539" s="6"/>
      <c r="D539" s="7"/>
      <c r="E539" s="7"/>
      <c r="F539" s="7"/>
      <c r="G539" s="7"/>
      <c r="H539" s="17">
        <f>IF(A539="","",TEXT(IF(DAY(A539)&gt;=Setup!$B$9,DATE(YEAR(A539),MONTH(A539)+1,1),DATE(YEAR(A539),MONTH(A539),1)),"mmmm yyyy"))</f>
      </c>
    </row>
    <row r="540" spans="1:8" x14ac:dyDescent="0.3">
      <c r="A540" s="48"/>
      <c r="B540" s="7"/>
      <c r="C540" s="6"/>
      <c r="D540" s="7"/>
      <c r="E540" s="7"/>
      <c r="F540" s="7"/>
      <c r="G540" s="7"/>
      <c r="H540" s="17">
        <f>IF(A540="","",TEXT(IF(DAY(A540)&gt;=Setup!$B$9,DATE(YEAR(A540),MONTH(A540)+1,1),DATE(YEAR(A540),MONTH(A540),1)),"mmmm yyyy"))</f>
      </c>
    </row>
    <row r="541" spans="1:8" x14ac:dyDescent="0.3">
      <c r="A541" s="48"/>
      <c r="B541" s="7"/>
      <c r="C541" s="6"/>
      <c r="D541" s="7"/>
      <c r="E541" s="7"/>
      <c r="F541" s="7"/>
      <c r="G541" s="7"/>
      <c r="H541" s="17">
        <f>IF(A541="","",TEXT(IF(DAY(A541)&gt;=Setup!$B$9,DATE(YEAR(A541),MONTH(A541)+1,1),DATE(YEAR(A541),MONTH(A541),1)),"mmmm yyyy"))</f>
      </c>
    </row>
    <row r="542" spans="1:8" x14ac:dyDescent="0.3">
      <c r="A542" s="48"/>
      <c r="B542" s="7"/>
      <c r="C542" s="6"/>
      <c r="D542" s="7"/>
      <c r="E542" s="7"/>
      <c r="F542" s="7"/>
      <c r="G542" s="7"/>
      <c r="H542" s="17">
        <f>IF(A542="","",TEXT(IF(DAY(A542)&gt;=Setup!$B$9,DATE(YEAR(A542),MONTH(A542)+1,1),DATE(YEAR(A542),MONTH(A542),1)),"mmmm yyyy"))</f>
      </c>
    </row>
    <row r="543" spans="1:8" x14ac:dyDescent="0.3">
      <c r="A543" s="48"/>
      <c r="B543" s="7"/>
      <c r="C543" s="6"/>
      <c r="D543" s="7"/>
      <c r="E543" s="7"/>
      <c r="F543" s="7"/>
      <c r="G543" s="7"/>
      <c r="H543" s="17">
        <f>IF(A543="","",TEXT(IF(DAY(A543)&gt;=Setup!$B$9,DATE(YEAR(A543),MONTH(A543)+1,1),DATE(YEAR(A543),MONTH(A543),1)),"mmmm yyyy"))</f>
      </c>
    </row>
    <row r="544" spans="1:8" x14ac:dyDescent="0.3">
      <c r="A544" s="48"/>
      <c r="B544" s="7"/>
      <c r="C544" s="6"/>
      <c r="D544" s="7"/>
      <c r="E544" s="7"/>
      <c r="F544" s="7"/>
      <c r="G544" s="7"/>
      <c r="H544" s="17">
        <f>IF(A544="","",TEXT(IF(DAY(A544)&gt;=Setup!$B$9,DATE(YEAR(A544),MONTH(A544)+1,1),DATE(YEAR(A544),MONTH(A544),1)),"mmmm yyyy"))</f>
      </c>
    </row>
    <row r="545" spans="1:8" x14ac:dyDescent="0.3">
      <c r="A545" s="48"/>
      <c r="B545" s="7"/>
      <c r="C545" s="6"/>
      <c r="D545" s="7"/>
      <c r="E545" s="7"/>
      <c r="F545" s="7"/>
      <c r="G545" s="7"/>
      <c r="H545" s="17">
        <f>IF(A545="","",TEXT(IF(DAY(A545)&gt;=Setup!$B$9,DATE(YEAR(A545),MONTH(A545)+1,1),DATE(YEAR(A545),MONTH(A545),1)),"mmmm yyyy"))</f>
      </c>
    </row>
    <row r="546" spans="1:8" x14ac:dyDescent="0.3">
      <c r="A546" s="48"/>
      <c r="B546" s="7"/>
      <c r="C546" s="6"/>
      <c r="D546" s="7"/>
      <c r="E546" s="7"/>
      <c r="F546" s="7"/>
      <c r="G546" s="7"/>
      <c r="H546" s="17">
        <f>IF(A546="","",TEXT(IF(DAY(A546)&gt;=Setup!$B$9,DATE(YEAR(A546),MONTH(A546)+1,1),DATE(YEAR(A546),MONTH(A546),1)),"mmmm yyyy"))</f>
      </c>
    </row>
    <row r="547" spans="1:8" x14ac:dyDescent="0.3">
      <c r="A547" s="48"/>
      <c r="B547" s="7"/>
      <c r="C547" s="6"/>
      <c r="D547" s="7"/>
      <c r="E547" s="7"/>
      <c r="F547" s="7"/>
      <c r="G547" s="7"/>
      <c r="H547" s="17">
        <f>IF(A547="","",TEXT(IF(DAY(A547)&gt;=Setup!$B$9,DATE(YEAR(A547),MONTH(A547)+1,1),DATE(YEAR(A547),MONTH(A547),1)),"mmmm yyyy"))</f>
      </c>
    </row>
    <row r="548" spans="1:8" x14ac:dyDescent="0.3">
      <c r="A548" s="48"/>
      <c r="B548" s="7"/>
      <c r="C548" s="6"/>
      <c r="D548" s="7"/>
      <c r="E548" s="7"/>
      <c r="F548" s="7"/>
      <c r="G548" s="7"/>
      <c r="H548" s="17">
        <f>IF(A548="","",TEXT(IF(DAY(A548)&gt;=Setup!$B$9,DATE(YEAR(A548),MONTH(A548)+1,1),DATE(YEAR(A548),MONTH(A548),1)),"mmmm yyyy"))</f>
      </c>
    </row>
    <row r="549" spans="1:8" x14ac:dyDescent="0.3">
      <c r="A549" s="48"/>
      <c r="B549" s="7"/>
      <c r="C549" s="6"/>
      <c r="D549" s="7"/>
      <c r="E549" s="7"/>
      <c r="F549" s="7"/>
      <c r="G549" s="7"/>
      <c r="H549" s="17">
        <f>IF(A549="","",TEXT(IF(DAY(A549)&gt;=Setup!$B$9,DATE(YEAR(A549),MONTH(A549)+1,1),DATE(YEAR(A549),MONTH(A549),1)),"mmmm yyyy"))</f>
      </c>
    </row>
    <row r="550" spans="1:8" x14ac:dyDescent="0.3">
      <c r="A550" s="48"/>
      <c r="B550" s="7"/>
      <c r="C550" s="6"/>
      <c r="D550" s="7"/>
      <c r="E550" s="7"/>
      <c r="F550" s="7"/>
      <c r="G550" s="7"/>
      <c r="H550" s="17">
        <f>IF(A550="","",TEXT(IF(DAY(A550)&gt;=Setup!$B$9,DATE(YEAR(A550),MONTH(A550)+1,1),DATE(YEAR(A550),MONTH(A550),1)),"mmmm yyyy"))</f>
      </c>
    </row>
    <row r="551" spans="1:8" x14ac:dyDescent="0.3">
      <c r="A551" s="48"/>
      <c r="B551" s="7"/>
      <c r="C551" s="6"/>
      <c r="D551" s="7"/>
      <c r="E551" s="7"/>
      <c r="F551" s="7"/>
      <c r="G551" s="7"/>
      <c r="H551" s="17">
        <f>IF(A551="","",TEXT(IF(DAY(A551)&gt;=Setup!$B$9,DATE(YEAR(A551),MONTH(A551)+1,1),DATE(YEAR(A551),MONTH(A551),1)),"mmmm yyyy"))</f>
      </c>
    </row>
    <row r="552" spans="1:8" x14ac:dyDescent="0.3">
      <c r="A552" s="48"/>
      <c r="B552" s="7"/>
      <c r="C552" s="6"/>
      <c r="D552" s="7"/>
      <c r="E552" s="7"/>
      <c r="F552" s="7"/>
      <c r="G552" s="7"/>
      <c r="H552" s="17">
        <f>IF(A552="","",TEXT(IF(DAY(A552)&gt;=Setup!$B$9,DATE(YEAR(A552),MONTH(A552)+1,1),DATE(YEAR(A552),MONTH(A552),1)),"mmmm yyyy"))</f>
      </c>
    </row>
    <row r="553" spans="1:8" x14ac:dyDescent="0.3">
      <c r="A553" s="48"/>
      <c r="B553" s="7"/>
      <c r="C553" s="6"/>
      <c r="D553" s="7"/>
      <c r="E553" s="7"/>
      <c r="F553" s="7"/>
      <c r="G553" s="7"/>
      <c r="H553" s="17">
        <f>IF(A553="","",TEXT(IF(DAY(A553)&gt;=Setup!$B$9,DATE(YEAR(A553),MONTH(A553)+1,1),DATE(YEAR(A553),MONTH(A553),1)),"mmmm yyyy"))</f>
      </c>
    </row>
    <row r="554" spans="1:8" x14ac:dyDescent="0.3">
      <c r="A554" s="48"/>
      <c r="B554" s="7"/>
      <c r="C554" s="6"/>
      <c r="D554" s="7"/>
      <c r="E554" s="7"/>
      <c r="F554" s="7"/>
      <c r="G554" s="7"/>
      <c r="H554" s="17">
        <f>IF(A554="","",TEXT(IF(DAY(A554)&gt;=Setup!$B$9,DATE(YEAR(A554),MONTH(A554)+1,1),DATE(YEAR(A554),MONTH(A554),1)),"mmmm yyyy"))</f>
      </c>
    </row>
    <row r="555" spans="1:8" x14ac:dyDescent="0.3">
      <c r="A555" s="48"/>
      <c r="B555" s="7"/>
      <c r="C555" s="6"/>
      <c r="D555" s="7"/>
      <c r="E555" s="7"/>
      <c r="F555" s="7"/>
      <c r="G555" s="7"/>
      <c r="H555" s="17">
        <f>IF(A555="","",TEXT(IF(DAY(A555)&gt;=Setup!$B$9,DATE(YEAR(A555),MONTH(A555)+1,1),DATE(YEAR(A555),MONTH(A555),1)),"mmmm yyyy"))</f>
      </c>
    </row>
    <row r="556" spans="1:8" x14ac:dyDescent="0.3">
      <c r="A556" s="48"/>
      <c r="B556" s="7"/>
      <c r="C556" s="6"/>
      <c r="D556" s="7"/>
      <c r="E556" s="7"/>
      <c r="F556" s="7"/>
      <c r="G556" s="7"/>
      <c r="H556" s="17">
        <f>IF(A556="","",TEXT(IF(DAY(A556)&gt;=Setup!$B$9,DATE(YEAR(A556),MONTH(A556)+1,1),DATE(YEAR(A556),MONTH(A556),1)),"mmmm yyyy"))</f>
      </c>
    </row>
    <row r="557" spans="1:8" x14ac:dyDescent="0.3">
      <c r="A557" s="48"/>
      <c r="B557" s="7"/>
      <c r="C557" s="6"/>
      <c r="D557" s="7"/>
      <c r="E557" s="7"/>
      <c r="F557" s="7"/>
      <c r="G557" s="7"/>
      <c r="H557" s="17">
        <f>IF(A557="","",TEXT(IF(DAY(A557)&gt;=Setup!$B$9,DATE(YEAR(A557),MONTH(A557)+1,1),DATE(YEAR(A557),MONTH(A557),1)),"mmmm yyyy"))</f>
      </c>
    </row>
    <row r="558" spans="1:8" x14ac:dyDescent="0.3">
      <c r="A558" s="48"/>
      <c r="B558" s="7"/>
      <c r="C558" s="6"/>
      <c r="D558" s="7"/>
      <c r="E558" s="7"/>
      <c r="F558" s="7"/>
      <c r="G558" s="7"/>
      <c r="H558" s="17">
        <f>IF(A558="","",TEXT(IF(DAY(A558)&gt;=Setup!$B$9,DATE(YEAR(A558),MONTH(A558)+1,1),DATE(YEAR(A558),MONTH(A558),1)),"mmmm yyyy"))</f>
      </c>
    </row>
    <row r="559" spans="1:8" x14ac:dyDescent="0.3">
      <c r="A559" s="48"/>
      <c r="B559" s="7"/>
      <c r="C559" s="6"/>
      <c r="D559" s="7"/>
      <c r="E559" s="7"/>
      <c r="F559" s="7"/>
      <c r="G559" s="7"/>
      <c r="H559" s="17">
        <f>IF(A559="","",TEXT(IF(DAY(A559)&gt;=Setup!$B$9,DATE(YEAR(A559),MONTH(A559)+1,1),DATE(YEAR(A559),MONTH(A559),1)),"mmmm yyyy"))</f>
      </c>
    </row>
    <row r="560" spans="1:8" x14ac:dyDescent="0.3">
      <c r="A560" s="48"/>
      <c r="B560" s="7"/>
      <c r="C560" s="6"/>
      <c r="D560" s="7"/>
      <c r="E560" s="7"/>
      <c r="F560" s="7"/>
      <c r="G560" s="7"/>
      <c r="H560" s="17">
        <f>IF(A560="","",TEXT(IF(DAY(A560)&gt;=Setup!$B$9,DATE(YEAR(A560),MONTH(A560)+1,1),DATE(YEAR(A560),MONTH(A560),1)),"mmmm yyyy"))</f>
      </c>
    </row>
    <row r="561" spans="1:8" x14ac:dyDescent="0.3">
      <c r="A561" s="48"/>
      <c r="B561" s="7"/>
      <c r="C561" s="6"/>
      <c r="D561" s="7"/>
      <c r="E561" s="7"/>
      <c r="F561" s="7"/>
      <c r="G561" s="7"/>
      <c r="H561" s="17">
        <f>IF(A561="","",TEXT(IF(DAY(A561)&gt;=Setup!$B$9,DATE(YEAR(A561),MONTH(A561)+1,1),DATE(YEAR(A561),MONTH(A561),1)),"mmmm yyyy"))</f>
      </c>
    </row>
    <row r="562" spans="1:8" x14ac:dyDescent="0.3">
      <c r="A562" s="48"/>
      <c r="B562" s="7"/>
      <c r="C562" s="6"/>
      <c r="D562" s="7"/>
      <c r="E562" s="7"/>
      <c r="F562" s="7"/>
      <c r="G562" s="7"/>
      <c r="H562" s="17">
        <f>IF(A562="","",TEXT(IF(DAY(A562)&gt;=Setup!$B$9,DATE(YEAR(A562),MONTH(A562)+1,1),DATE(YEAR(A562),MONTH(A562),1)),"mmmm yyyy"))</f>
      </c>
    </row>
    <row r="563" spans="1:8" x14ac:dyDescent="0.3">
      <c r="A563" s="48"/>
      <c r="B563" s="7"/>
      <c r="C563" s="6"/>
      <c r="D563" s="7"/>
      <c r="E563" s="7"/>
      <c r="F563" s="7"/>
      <c r="G563" s="7"/>
      <c r="H563" s="17">
        <f>IF(A563="","",TEXT(IF(DAY(A563)&gt;=Setup!$B$9,DATE(YEAR(A563),MONTH(A563)+1,1),DATE(YEAR(A563),MONTH(A563),1)),"mmmm yyyy"))</f>
      </c>
    </row>
    <row r="564" spans="1:8" x14ac:dyDescent="0.3">
      <c r="A564" s="48"/>
      <c r="B564" s="7"/>
      <c r="C564" s="6"/>
      <c r="D564" s="7"/>
      <c r="E564" s="7"/>
      <c r="F564" s="7"/>
      <c r="G564" s="7"/>
      <c r="H564" s="17">
        <f>IF(A564="","",TEXT(IF(DAY(A564)&gt;=Setup!$B$9,DATE(YEAR(A564),MONTH(A564)+1,1),DATE(YEAR(A564),MONTH(A564),1)),"mmmm yyyy"))</f>
      </c>
    </row>
    <row r="565" spans="1:8" x14ac:dyDescent="0.3">
      <c r="A565" s="48"/>
      <c r="B565" s="7"/>
      <c r="C565" s="6"/>
      <c r="D565" s="7"/>
      <c r="E565" s="7"/>
      <c r="F565" s="7"/>
      <c r="G565" s="7"/>
      <c r="H565" s="17">
        <f>IF(A565="","",TEXT(IF(DAY(A565)&gt;=Setup!$B$9,DATE(YEAR(A565),MONTH(A565)+1,1),DATE(YEAR(A565),MONTH(A565),1)),"mmmm yyyy"))</f>
      </c>
    </row>
    <row r="566" spans="1:8" x14ac:dyDescent="0.3">
      <c r="A566" s="48"/>
      <c r="B566" s="7"/>
      <c r="C566" s="6"/>
      <c r="D566" s="7"/>
      <c r="E566" s="7"/>
      <c r="F566" s="7"/>
      <c r="G566" s="7"/>
      <c r="H566" s="17">
        <f>IF(A566="","",TEXT(IF(DAY(A566)&gt;=Setup!$B$9,DATE(YEAR(A566),MONTH(A566)+1,1),DATE(YEAR(A566),MONTH(A566),1)),"mmmm yyyy"))</f>
      </c>
    </row>
    <row r="567" spans="1:8" x14ac:dyDescent="0.3">
      <c r="A567" s="48"/>
      <c r="B567" s="7"/>
      <c r="C567" s="6"/>
      <c r="D567" s="7"/>
      <c r="E567" s="7"/>
      <c r="F567" s="7"/>
      <c r="G567" s="7"/>
      <c r="H567" s="17">
        <f>IF(A567="","",TEXT(IF(DAY(A567)&gt;=Setup!$B$9,DATE(YEAR(A567),MONTH(A567)+1,1),DATE(YEAR(A567),MONTH(A567),1)),"mmmm yyyy"))</f>
      </c>
    </row>
    <row r="568" spans="1:8" x14ac:dyDescent="0.3">
      <c r="A568" s="48"/>
      <c r="B568" s="7"/>
      <c r="C568" s="6"/>
      <c r="D568" s="7"/>
      <c r="E568" s="7"/>
      <c r="F568" s="7"/>
      <c r="G568" s="7"/>
      <c r="H568" s="17">
        <f>IF(A568="","",TEXT(IF(DAY(A568)&gt;=Setup!$B$9,DATE(YEAR(A568),MONTH(A568)+1,1),DATE(YEAR(A568),MONTH(A568),1)),"mmmm yyyy"))</f>
      </c>
    </row>
    <row r="569" spans="1:8" x14ac:dyDescent="0.3">
      <c r="A569" s="48"/>
      <c r="B569" s="7"/>
      <c r="C569" s="6"/>
      <c r="D569" s="7"/>
      <c r="E569" s="7"/>
      <c r="F569" s="7"/>
      <c r="G569" s="7"/>
      <c r="H569" s="17">
        <f>IF(A569="","",TEXT(IF(DAY(A569)&gt;=Setup!$B$9,DATE(YEAR(A569),MONTH(A569)+1,1),DATE(YEAR(A569),MONTH(A569),1)),"mmmm yyyy"))</f>
      </c>
    </row>
    <row r="570" spans="1:8" x14ac:dyDescent="0.3">
      <c r="A570" s="48"/>
      <c r="B570" s="7"/>
      <c r="C570" s="6"/>
      <c r="D570" s="7"/>
      <c r="E570" s="7"/>
      <c r="F570" s="7"/>
      <c r="G570" s="7"/>
      <c r="H570" s="17">
        <f>IF(A570="","",TEXT(IF(DAY(A570)&gt;=Setup!$B$9,DATE(YEAR(A570),MONTH(A570)+1,1),DATE(YEAR(A570),MONTH(A570),1)),"mmmm yyyy"))</f>
      </c>
    </row>
    <row r="571" spans="1:8" x14ac:dyDescent="0.3">
      <c r="A571" s="48"/>
      <c r="B571" s="7"/>
      <c r="C571" s="6"/>
      <c r="D571" s="7"/>
      <c r="E571" s="7"/>
      <c r="F571" s="7"/>
      <c r="G571" s="7"/>
      <c r="H571" s="17">
        <f>IF(A571="","",TEXT(IF(DAY(A571)&gt;=Setup!$B$9,DATE(YEAR(A571),MONTH(A571)+1,1),DATE(YEAR(A571),MONTH(A571),1)),"mmmm yyyy"))</f>
      </c>
    </row>
    <row r="572" spans="1:8" x14ac:dyDescent="0.3">
      <c r="A572" s="48"/>
      <c r="B572" s="7"/>
      <c r="C572" s="6"/>
      <c r="D572" s="7"/>
      <c r="E572" s="7"/>
      <c r="F572" s="7"/>
      <c r="G572" s="7"/>
      <c r="H572" s="17">
        <f>IF(A572="","",TEXT(IF(DAY(A572)&gt;=Setup!$B$9,DATE(YEAR(A572),MONTH(A572)+1,1),DATE(YEAR(A572),MONTH(A572),1)),"mmmm yyyy"))</f>
      </c>
    </row>
    <row r="573" spans="1:8" x14ac:dyDescent="0.3">
      <c r="A573" s="48"/>
      <c r="B573" s="7"/>
      <c r="C573" s="6"/>
      <c r="D573" s="7"/>
      <c r="E573" s="7"/>
      <c r="F573" s="7"/>
      <c r="G573" s="7"/>
      <c r="H573" s="17">
        <f>IF(A573="","",TEXT(IF(DAY(A573)&gt;=Setup!$B$9,DATE(YEAR(A573),MONTH(A573)+1,1),DATE(YEAR(A573),MONTH(A573),1)),"mmmm yyyy"))</f>
      </c>
    </row>
    <row r="574" spans="1:8" x14ac:dyDescent="0.3">
      <c r="A574" s="48"/>
      <c r="B574" s="7"/>
      <c r="C574" s="6"/>
      <c r="D574" s="7"/>
      <c r="E574" s="7"/>
      <c r="F574" s="7"/>
      <c r="G574" s="7"/>
      <c r="H574" s="17">
        <f>IF(A574="","",TEXT(IF(DAY(A574)&gt;=Setup!$B$9,DATE(YEAR(A574),MONTH(A574)+1,1),DATE(YEAR(A574),MONTH(A574),1)),"mmmm yyyy"))</f>
      </c>
    </row>
    <row r="575" spans="1:8" x14ac:dyDescent="0.3">
      <c r="A575" s="48"/>
      <c r="B575" s="7"/>
      <c r="C575" s="6"/>
      <c r="D575" s="7"/>
      <c r="E575" s="7"/>
      <c r="F575" s="7"/>
      <c r="G575" s="7"/>
      <c r="H575" s="17">
        <f>IF(A575="","",TEXT(IF(DAY(A575)&gt;=Setup!$B$9,DATE(YEAR(A575),MONTH(A575)+1,1),DATE(YEAR(A575),MONTH(A575),1)),"mmmm yyyy"))</f>
      </c>
    </row>
    <row r="576" spans="1:8" x14ac:dyDescent="0.3">
      <c r="A576" s="48"/>
      <c r="B576" s="7"/>
      <c r="C576" s="6"/>
      <c r="D576" s="7"/>
      <c r="E576" s="7"/>
      <c r="F576" s="7"/>
      <c r="G576" s="7"/>
      <c r="H576" s="17">
        <f>IF(A576="","",TEXT(IF(DAY(A576)&gt;=Setup!$B$9,DATE(YEAR(A576),MONTH(A576)+1,1),DATE(YEAR(A576),MONTH(A576),1)),"mmmm yyyy"))</f>
      </c>
    </row>
    <row r="577" spans="1:8" x14ac:dyDescent="0.3">
      <c r="A577" s="48"/>
      <c r="B577" s="7"/>
      <c r="C577" s="6"/>
      <c r="D577" s="7"/>
      <c r="E577" s="7"/>
      <c r="F577" s="7"/>
      <c r="G577" s="7"/>
      <c r="H577" s="17">
        <f>IF(A577="","",TEXT(IF(DAY(A577)&gt;=Setup!$B$9,DATE(YEAR(A577),MONTH(A577)+1,1),DATE(YEAR(A577),MONTH(A577),1)),"mmmm yyyy"))</f>
      </c>
    </row>
    <row r="578" spans="1:8" x14ac:dyDescent="0.3">
      <c r="A578" s="48"/>
      <c r="B578" s="7"/>
      <c r="C578" s="6"/>
      <c r="D578" s="7"/>
      <c r="E578" s="7"/>
      <c r="F578" s="7"/>
      <c r="G578" s="7"/>
      <c r="H578" s="17">
        <f>IF(A578="","",TEXT(IF(DAY(A578)&gt;=Setup!$B$9,DATE(YEAR(A578),MONTH(A578)+1,1),DATE(YEAR(A578),MONTH(A578),1)),"mmmm yyyy"))</f>
      </c>
    </row>
    <row r="579" spans="1:8" x14ac:dyDescent="0.3">
      <c r="A579" s="48"/>
      <c r="B579" s="7"/>
      <c r="C579" s="6"/>
      <c r="D579" s="7"/>
      <c r="E579" s="7"/>
      <c r="F579" s="7"/>
      <c r="G579" s="7"/>
      <c r="H579" s="17">
        <f>IF(A579="","",TEXT(IF(DAY(A579)&gt;=Setup!$B$9,DATE(YEAR(A579),MONTH(A579)+1,1),DATE(YEAR(A579),MONTH(A579),1)),"mmmm yyyy"))</f>
      </c>
    </row>
    <row r="580" spans="1:8" x14ac:dyDescent="0.3">
      <c r="A580" s="48"/>
      <c r="B580" s="7"/>
      <c r="C580" s="6"/>
      <c r="D580" s="7"/>
      <c r="E580" s="7"/>
      <c r="F580" s="7"/>
      <c r="G580" s="7"/>
      <c r="H580" s="17">
        <f>IF(A580="","",TEXT(IF(DAY(A580)&gt;=Setup!$B$9,DATE(YEAR(A580),MONTH(A580)+1,1),DATE(YEAR(A580),MONTH(A580),1)),"mmmm yyyy"))</f>
      </c>
    </row>
    <row r="581" spans="1:8" x14ac:dyDescent="0.3">
      <c r="A581" s="48"/>
      <c r="B581" s="7"/>
      <c r="C581" s="6"/>
      <c r="D581" s="7"/>
      <c r="E581" s="7"/>
      <c r="F581" s="7"/>
      <c r="G581" s="7"/>
      <c r="H581" s="17">
        <f>IF(A581="","",TEXT(IF(DAY(A581)&gt;=Setup!$B$9,DATE(YEAR(A581),MONTH(A581)+1,1),DATE(YEAR(A581),MONTH(A581),1)),"mmmm yyyy"))</f>
      </c>
    </row>
    <row r="582" spans="1:8" x14ac:dyDescent="0.3">
      <c r="A582" s="48"/>
      <c r="B582" s="7"/>
      <c r="C582" s="6"/>
      <c r="D582" s="7"/>
      <c r="E582" s="7"/>
      <c r="F582" s="7"/>
      <c r="G582" s="7"/>
      <c r="H582" s="17">
        <f>IF(A582="","",TEXT(IF(DAY(A582)&gt;=Setup!$B$9,DATE(YEAR(A582),MONTH(A582)+1,1),DATE(YEAR(A582),MONTH(A582),1)),"mmmm yyyy"))</f>
      </c>
    </row>
    <row r="583" spans="1:8" x14ac:dyDescent="0.3">
      <c r="A583" s="48"/>
      <c r="B583" s="7"/>
      <c r="C583" s="6"/>
      <c r="D583" s="7"/>
      <c r="E583" s="7"/>
      <c r="F583" s="7"/>
      <c r="G583" s="7"/>
      <c r="H583" s="17">
        <f>IF(A583="","",TEXT(IF(DAY(A583)&gt;=Setup!$B$9,DATE(YEAR(A583),MONTH(A583)+1,1),DATE(YEAR(A583),MONTH(A583),1)),"mmmm yyyy"))</f>
      </c>
    </row>
    <row r="584" spans="1:8" x14ac:dyDescent="0.3">
      <c r="A584" s="48"/>
      <c r="B584" s="7"/>
      <c r="C584" s="6"/>
      <c r="D584" s="7"/>
      <c r="E584" s="7"/>
      <c r="F584" s="7"/>
      <c r="G584" s="7"/>
      <c r="H584" s="17">
        <f>IF(A584="","",TEXT(IF(DAY(A584)&gt;=Setup!$B$9,DATE(YEAR(A584),MONTH(A584)+1,1),DATE(YEAR(A584),MONTH(A584),1)),"mmmm yyyy"))</f>
      </c>
    </row>
    <row r="585" spans="1:8" x14ac:dyDescent="0.3">
      <c r="A585" s="48"/>
      <c r="B585" s="7"/>
      <c r="C585" s="6"/>
      <c r="D585" s="7"/>
      <c r="E585" s="7"/>
      <c r="F585" s="7"/>
      <c r="G585" s="7"/>
      <c r="H585" s="17">
        <f>IF(A585="","",TEXT(IF(DAY(A585)&gt;=Setup!$B$9,DATE(YEAR(A585),MONTH(A585)+1,1),DATE(YEAR(A585),MONTH(A585),1)),"mmmm yyyy"))</f>
      </c>
    </row>
    <row r="586" spans="1:8" x14ac:dyDescent="0.3">
      <c r="A586" s="48"/>
      <c r="B586" s="7"/>
      <c r="C586" s="6"/>
      <c r="D586" s="7"/>
      <c r="E586" s="7"/>
      <c r="F586" s="7"/>
      <c r="G586" s="7"/>
      <c r="H586" s="17">
        <f>IF(A586="","",TEXT(IF(DAY(A586)&gt;=Setup!$B$9,DATE(YEAR(A586),MONTH(A586)+1,1),DATE(YEAR(A586),MONTH(A586),1)),"mmmm yyyy"))</f>
      </c>
    </row>
    <row r="587" spans="1:8" x14ac:dyDescent="0.3">
      <c r="A587" s="48"/>
      <c r="B587" s="7"/>
      <c r="C587" s="6"/>
      <c r="D587" s="7"/>
      <c r="E587" s="7"/>
      <c r="F587" s="7"/>
      <c r="G587" s="7"/>
      <c r="H587" s="17">
        <f>IF(A587="","",TEXT(IF(DAY(A587)&gt;=Setup!$B$9,DATE(YEAR(A587),MONTH(A587)+1,1),DATE(YEAR(A587),MONTH(A587),1)),"mmmm yyyy"))</f>
      </c>
    </row>
    <row r="588" spans="1:8" x14ac:dyDescent="0.3">
      <c r="A588" s="48"/>
      <c r="B588" s="7"/>
      <c r="C588" s="6"/>
      <c r="D588" s="7"/>
      <c r="E588" s="7"/>
      <c r="F588" s="7"/>
      <c r="G588" s="7"/>
      <c r="H588" s="17">
        <f>IF(A588="","",TEXT(IF(DAY(A588)&gt;=Setup!$B$9,DATE(YEAR(A588),MONTH(A588)+1,1),DATE(YEAR(A588),MONTH(A588),1)),"mmmm yyyy"))</f>
      </c>
    </row>
    <row r="589" spans="1:8" x14ac:dyDescent="0.3">
      <c r="A589" s="48"/>
      <c r="B589" s="7"/>
      <c r="C589" s="6"/>
      <c r="D589" s="7"/>
      <c r="E589" s="7"/>
      <c r="F589" s="7"/>
      <c r="G589" s="7"/>
      <c r="H589" s="17">
        <f>IF(A589="","",TEXT(IF(DAY(A589)&gt;=Setup!$B$9,DATE(YEAR(A589),MONTH(A589)+1,1),DATE(YEAR(A589),MONTH(A589),1)),"mmmm yyyy"))</f>
      </c>
    </row>
    <row r="590" spans="1:8" x14ac:dyDescent="0.3">
      <c r="A590" s="48"/>
      <c r="B590" s="7"/>
      <c r="C590" s="6"/>
      <c r="D590" s="7"/>
      <c r="E590" s="7"/>
      <c r="F590" s="7"/>
      <c r="G590" s="7"/>
      <c r="H590" s="17">
        <f>IF(A590="","",TEXT(IF(DAY(A590)&gt;=Setup!$B$9,DATE(YEAR(A590),MONTH(A590)+1,1),DATE(YEAR(A590),MONTH(A590),1)),"mmmm yyyy"))</f>
      </c>
    </row>
    <row r="591" spans="1:8" x14ac:dyDescent="0.3">
      <c r="A591" s="48"/>
      <c r="B591" s="7"/>
      <c r="C591" s="6"/>
      <c r="D591" s="7"/>
      <c r="E591" s="7"/>
      <c r="F591" s="7"/>
      <c r="G591" s="7"/>
      <c r="H591" s="17">
        <f>IF(A591="","",TEXT(IF(DAY(A591)&gt;=Setup!$B$9,DATE(YEAR(A591),MONTH(A591)+1,1),DATE(YEAR(A591),MONTH(A591),1)),"mmmm yyyy"))</f>
      </c>
    </row>
    <row r="592" spans="1:8" x14ac:dyDescent="0.3">
      <c r="A592" s="48"/>
      <c r="B592" s="7"/>
      <c r="C592" s="6"/>
      <c r="D592" s="7"/>
      <c r="E592" s="7"/>
      <c r="F592" s="7"/>
      <c r="G592" s="7"/>
      <c r="H592" s="17">
        <f>IF(A592="","",TEXT(IF(DAY(A592)&gt;=Setup!$B$9,DATE(YEAR(A592),MONTH(A592)+1,1),DATE(YEAR(A592),MONTH(A592),1)),"mmmm yyyy"))</f>
      </c>
    </row>
    <row r="593" spans="1:8" x14ac:dyDescent="0.3">
      <c r="A593" s="48"/>
      <c r="B593" s="7"/>
      <c r="C593" s="6"/>
      <c r="D593" s="7"/>
      <c r="E593" s="7"/>
      <c r="F593" s="7"/>
      <c r="G593" s="7"/>
      <c r="H593" s="17">
        <f>IF(A593="","",TEXT(IF(DAY(A593)&gt;=Setup!$B$9,DATE(YEAR(A593),MONTH(A593)+1,1),DATE(YEAR(A593),MONTH(A593),1)),"mmmm yyyy"))</f>
      </c>
    </row>
    <row r="594" spans="1:8" x14ac:dyDescent="0.3">
      <c r="A594" s="48"/>
      <c r="B594" s="7"/>
      <c r="C594" s="6"/>
      <c r="D594" s="7"/>
      <c r="E594" s="7"/>
      <c r="F594" s="7"/>
      <c r="G594" s="7"/>
      <c r="H594" s="17">
        <f>IF(A594="","",TEXT(IF(DAY(A594)&gt;=Setup!$B$9,DATE(YEAR(A594),MONTH(A594)+1,1),DATE(YEAR(A594),MONTH(A594),1)),"mmmm yyyy"))</f>
      </c>
    </row>
    <row r="595" spans="1:8" x14ac:dyDescent="0.3">
      <c r="A595" s="48"/>
      <c r="B595" s="7"/>
      <c r="C595" s="6"/>
      <c r="D595" s="7"/>
      <c r="E595" s="7"/>
      <c r="F595" s="7"/>
      <c r="G595" s="7"/>
      <c r="H595" s="17">
        <f>IF(A595="","",TEXT(IF(DAY(A595)&gt;=Setup!$B$9,DATE(YEAR(A595),MONTH(A595)+1,1),DATE(YEAR(A595),MONTH(A595),1)),"mmmm yyyy"))</f>
      </c>
    </row>
    <row r="596" spans="1:8" x14ac:dyDescent="0.3">
      <c r="A596" s="48"/>
      <c r="B596" s="7"/>
      <c r="C596" s="6"/>
      <c r="D596" s="7"/>
      <c r="E596" s="7"/>
      <c r="F596" s="7"/>
      <c r="G596" s="7"/>
      <c r="H596" s="17">
        <f>IF(A596="","",TEXT(IF(DAY(A596)&gt;=Setup!$B$9,DATE(YEAR(A596),MONTH(A596)+1,1),DATE(YEAR(A596),MONTH(A596),1)),"mmmm yyyy"))</f>
      </c>
    </row>
    <row r="597" spans="1:8" x14ac:dyDescent="0.3">
      <c r="A597" s="48"/>
      <c r="B597" s="7"/>
      <c r="C597" s="6"/>
      <c r="D597" s="7"/>
      <c r="E597" s="7"/>
      <c r="F597" s="7"/>
      <c r="G597" s="7"/>
      <c r="H597" s="17">
        <f>IF(A597="","",TEXT(IF(DAY(A597)&gt;=Setup!$B$9,DATE(YEAR(A597),MONTH(A597)+1,1),DATE(YEAR(A597),MONTH(A597),1)),"mmmm yyyy"))</f>
      </c>
    </row>
    <row r="598" spans="1:8" x14ac:dyDescent="0.3">
      <c r="A598" s="48"/>
      <c r="B598" s="7"/>
      <c r="C598" s="6"/>
      <c r="D598" s="7"/>
      <c r="E598" s="7"/>
      <c r="F598" s="7"/>
      <c r="G598" s="7"/>
      <c r="H598" s="17">
        <f>IF(A598="","",TEXT(IF(DAY(A598)&gt;=Setup!$B$9,DATE(YEAR(A598),MONTH(A598)+1,1),DATE(YEAR(A598),MONTH(A598),1)),"mmmm yyyy"))</f>
      </c>
    </row>
    <row r="599" spans="1:8" x14ac:dyDescent="0.3">
      <c r="A599" s="48"/>
      <c r="B599" s="7"/>
      <c r="C599" s="6"/>
      <c r="D599" s="7"/>
      <c r="E599" s="7"/>
      <c r="F599" s="7"/>
      <c r="G599" s="7"/>
      <c r="H599" s="17">
        <f>IF(A599="","",TEXT(IF(DAY(A599)&gt;=Setup!$B$9,DATE(YEAR(A599),MONTH(A599)+1,1),DATE(YEAR(A599),MONTH(A599),1)),"mmmm yyyy"))</f>
      </c>
    </row>
    <row r="600" spans="1:8" x14ac:dyDescent="0.3">
      <c r="A600" s="48"/>
      <c r="B600" s="7"/>
      <c r="C600" s="6"/>
      <c r="D600" s="7"/>
      <c r="E600" s="7"/>
      <c r="F600" s="7"/>
      <c r="G600" s="7"/>
      <c r="H600" s="17">
        <f>IF(A600="","",TEXT(IF(DAY(A600)&gt;=Setup!$B$9,DATE(YEAR(A600),MONTH(A600)+1,1),DATE(YEAR(A600),MONTH(A600),1)),"mmmm yyyy"))</f>
      </c>
    </row>
    <row r="601" spans="1:8" x14ac:dyDescent="0.3">
      <c r="A601" s="48"/>
      <c r="B601" s="7"/>
      <c r="C601" s="6"/>
      <c r="D601" s="7"/>
      <c r="E601" s="7"/>
      <c r="F601" s="7"/>
      <c r="G601" s="7"/>
      <c r="H601" s="17">
        <f>IF(A601="","",TEXT(IF(DAY(A601)&gt;=Setup!$B$9,DATE(YEAR(A601),MONTH(A601)+1,1),DATE(YEAR(A601),MONTH(A601),1)),"mmmm yyyy"))</f>
      </c>
    </row>
    <row r="602" spans="1:8" x14ac:dyDescent="0.3">
      <c r="A602" s="48"/>
      <c r="B602" s="7"/>
      <c r="C602" s="6"/>
      <c r="D602" s="7"/>
      <c r="E602" s="7"/>
      <c r="F602" s="7"/>
      <c r="G602" s="7"/>
      <c r="H602" s="17">
        <f>IF(A602="","",TEXT(IF(DAY(A602)&gt;=Setup!$B$9,DATE(YEAR(A602),MONTH(A602)+1,1),DATE(YEAR(A602),MONTH(A602),1)),"mmmm yyyy"))</f>
      </c>
    </row>
    <row r="603" spans="1:8" x14ac:dyDescent="0.3">
      <c r="A603" s="48"/>
      <c r="B603" s="7"/>
      <c r="C603" s="6"/>
      <c r="D603" s="7"/>
      <c r="E603" s="7"/>
      <c r="F603" s="7"/>
      <c r="G603" s="7"/>
      <c r="H603" s="17">
        <f>IF(A603="","",TEXT(IF(DAY(A603)&gt;=Setup!$B$9,DATE(YEAR(A603),MONTH(A603)+1,1),DATE(YEAR(A603),MONTH(A603),1)),"mmmm yyyy"))</f>
      </c>
    </row>
    <row r="604" spans="1:8" x14ac:dyDescent="0.3">
      <c r="A604" s="48"/>
      <c r="B604" s="7"/>
      <c r="C604" s="6"/>
      <c r="D604" s="7"/>
      <c r="E604" s="7"/>
      <c r="F604" s="7"/>
      <c r="G604" s="7"/>
      <c r="H604" s="17">
        <f>IF(A604="","",TEXT(IF(DAY(A604)&gt;=Setup!$B$9,DATE(YEAR(A604),MONTH(A604)+1,1),DATE(YEAR(A604),MONTH(A604),1)),"mmmm yyyy"))</f>
      </c>
    </row>
    <row r="605" spans="1:8" x14ac:dyDescent="0.3">
      <c r="A605" s="48"/>
      <c r="B605" s="7"/>
      <c r="C605" s="6"/>
      <c r="D605" s="7"/>
      <c r="E605" s="7"/>
      <c r="F605" s="7"/>
      <c r="G605" s="7"/>
      <c r="H605" s="17">
        <f>IF(A605="","",TEXT(IF(DAY(A605)&gt;=Setup!$B$9,DATE(YEAR(A605),MONTH(A605)+1,1),DATE(YEAR(A605),MONTH(A605),1)),"mmmm yyyy"))</f>
      </c>
    </row>
    <row r="606" spans="1:8" x14ac:dyDescent="0.3">
      <c r="A606" s="48"/>
      <c r="B606" s="7"/>
      <c r="C606" s="6"/>
      <c r="D606" s="7"/>
      <c r="E606" s="7"/>
      <c r="F606" s="7"/>
      <c r="G606" s="7"/>
      <c r="H606" s="17">
        <f>IF(A606="","",TEXT(IF(DAY(A606)&gt;=Setup!$B$9,DATE(YEAR(A606),MONTH(A606)+1,1),DATE(YEAR(A606),MONTH(A606),1)),"mmmm yyyy"))</f>
      </c>
    </row>
    <row r="607" spans="1:8" x14ac:dyDescent="0.3">
      <c r="A607" s="48"/>
      <c r="B607" s="7"/>
      <c r="C607" s="6"/>
      <c r="D607" s="7"/>
      <c r="E607" s="7"/>
      <c r="F607" s="7"/>
      <c r="G607" s="7"/>
      <c r="H607" s="17">
        <f>IF(A607="","",TEXT(IF(DAY(A607)&gt;=Setup!$B$9,DATE(YEAR(A607),MONTH(A607)+1,1),DATE(YEAR(A607),MONTH(A607),1)),"mmmm yyyy"))</f>
      </c>
    </row>
    <row r="608" spans="1:8" x14ac:dyDescent="0.3">
      <c r="A608" s="48"/>
      <c r="B608" s="7"/>
      <c r="C608" s="6"/>
      <c r="D608" s="7"/>
      <c r="E608" s="7"/>
      <c r="F608" s="7"/>
      <c r="G608" s="7"/>
      <c r="H608" s="17">
        <f>IF(A608="","",TEXT(IF(DAY(A608)&gt;=Setup!$B$9,DATE(YEAR(A608),MONTH(A608)+1,1),DATE(YEAR(A608),MONTH(A608),1)),"mmmm yyyy"))</f>
      </c>
    </row>
    <row r="609" spans="1:8" x14ac:dyDescent="0.3">
      <c r="A609" s="48"/>
      <c r="B609" s="7"/>
      <c r="C609" s="6"/>
      <c r="D609" s="7"/>
      <c r="E609" s="7"/>
      <c r="F609" s="7"/>
      <c r="G609" s="7"/>
      <c r="H609" s="17">
        <f>IF(A609="","",TEXT(IF(DAY(A609)&gt;=Setup!$B$9,DATE(YEAR(A609),MONTH(A609)+1,1),DATE(YEAR(A609),MONTH(A609),1)),"mmmm yyyy"))</f>
      </c>
    </row>
    <row r="610" spans="1:8" x14ac:dyDescent="0.3">
      <c r="A610" s="48"/>
      <c r="B610" s="7"/>
      <c r="C610" s="6"/>
      <c r="D610" s="7"/>
      <c r="E610" s="7"/>
      <c r="F610" s="7"/>
      <c r="G610" s="7"/>
      <c r="H610" s="17">
        <f>IF(A610="","",TEXT(IF(DAY(A610)&gt;=Setup!$B$9,DATE(YEAR(A610),MONTH(A610)+1,1),DATE(YEAR(A610),MONTH(A610),1)),"mmmm yyyy"))</f>
      </c>
    </row>
    <row r="611" spans="1:8" x14ac:dyDescent="0.3">
      <c r="A611" s="48"/>
      <c r="B611" s="7"/>
      <c r="C611" s="6"/>
      <c r="D611" s="7"/>
      <c r="E611" s="7"/>
      <c r="F611" s="7"/>
      <c r="G611" s="7"/>
      <c r="H611" s="17">
        <f>IF(A611="","",TEXT(IF(DAY(A611)&gt;=Setup!$B$9,DATE(YEAR(A611),MONTH(A611)+1,1),DATE(YEAR(A611),MONTH(A611),1)),"mmmm yyyy"))</f>
      </c>
    </row>
    <row r="612" spans="1:8" x14ac:dyDescent="0.3">
      <c r="A612" s="48"/>
      <c r="B612" s="7"/>
      <c r="C612" s="6"/>
      <c r="D612" s="7"/>
      <c r="E612" s="7"/>
      <c r="F612" s="7"/>
      <c r="G612" s="7"/>
      <c r="H612" s="17">
        <f>IF(A612="","",TEXT(IF(DAY(A612)&gt;=Setup!$B$9,DATE(YEAR(A612),MONTH(A612)+1,1),DATE(YEAR(A612),MONTH(A612),1)),"mmmm yyyy"))</f>
      </c>
    </row>
    <row r="613" spans="1:8" x14ac:dyDescent="0.3">
      <c r="A613" s="48"/>
      <c r="B613" s="7"/>
      <c r="C613" s="6"/>
      <c r="D613" s="7"/>
      <c r="E613" s="7"/>
      <c r="F613" s="7"/>
      <c r="G613" s="7"/>
      <c r="H613" s="17">
        <f>IF(A613="","",TEXT(IF(DAY(A613)&gt;=Setup!$B$9,DATE(YEAR(A613),MONTH(A613)+1,1),DATE(YEAR(A613),MONTH(A613),1)),"mmmm yyyy"))</f>
      </c>
    </row>
    <row r="614" spans="1:8" x14ac:dyDescent="0.3">
      <c r="A614" s="48"/>
      <c r="B614" s="7"/>
      <c r="C614" s="6"/>
      <c r="D614" s="7"/>
      <c r="E614" s="7"/>
      <c r="F614" s="7"/>
      <c r="G614" s="7"/>
      <c r="H614" s="17">
        <f>IF(A614="","",TEXT(IF(DAY(A614)&gt;=Setup!$B$9,DATE(YEAR(A614),MONTH(A614)+1,1),DATE(YEAR(A614),MONTH(A614),1)),"mmmm yyyy"))</f>
      </c>
    </row>
    <row r="615" spans="1:8" x14ac:dyDescent="0.3">
      <c r="A615" s="48"/>
      <c r="B615" s="7"/>
      <c r="C615" s="6"/>
      <c r="D615" s="7"/>
      <c r="E615" s="7"/>
      <c r="F615" s="7"/>
      <c r="G615" s="7"/>
      <c r="H615" s="17">
        <f>IF(A615="","",TEXT(IF(DAY(A615)&gt;=Setup!$B$9,DATE(YEAR(A615),MONTH(A615)+1,1),DATE(YEAR(A615),MONTH(A615),1)),"mmmm yyyy"))</f>
      </c>
    </row>
    <row r="616" spans="1:8" x14ac:dyDescent="0.3">
      <c r="A616" s="48"/>
      <c r="B616" s="7"/>
      <c r="C616" s="6"/>
      <c r="D616" s="7"/>
      <c r="E616" s="7"/>
      <c r="F616" s="7"/>
      <c r="G616" s="7"/>
      <c r="H616" s="17">
        <f>IF(A616="","",TEXT(IF(DAY(A616)&gt;=Setup!$B$9,DATE(YEAR(A616),MONTH(A616)+1,1),DATE(YEAR(A616),MONTH(A616),1)),"mmmm yyyy"))</f>
      </c>
    </row>
    <row r="617" spans="1:8" x14ac:dyDescent="0.3">
      <c r="A617" s="48"/>
      <c r="B617" s="7"/>
      <c r="C617" s="6"/>
      <c r="D617" s="7"/>
      <c r="E617" s="7"/>
      <c r="F617" s="7"/>
      <c r="G617" s="7"/>
      <c r="H617" s="17">
        <f>IF(A617="","",TEXT(IF(DAY(A617)&gt;=Setup!$B$9,DATE(YEAR(A617),MONTH(A617)+1,1),DATE(YEAR(A617),MONTH(A617),1)),"mmmm yyyy"))</f>
      </c>
    </row>
    <row r="618" spans="1:8" x14ac:dyDescent="0.3">
      <c r="A618" s="48"/>
      <c r="B618" s="7"/>
      <c r="C618" s="6"/>
      <c r="D618" s="7"/>
      <c r="E618" s="7"/>
      <c r="F618" s="7"/>
      <c r="G618" s="7"/>
      <c r="H618" s="17">
        <f>IF(A618="","",TEXT(IF(DAY(A618)&gt;=Setup!$B$9,DATE(YEAR(A618),MONTH(A618)+1,1),DATE(YEAR(A618),MONTH(A618),1)),"mmmm yyyy"))</f>
      </c>
    </row>
    <row r="619" spans="1:8" x14ac:dyDescent="0.3">
      <c r="A619" s="48"/>
      <c r="B619" s="7"/>
      <c r="C619" s="6"/>
      <c r="D619" s="7"/>
      <c r="E619" s="7"/>
      <c r="F619" s="7"/>
      <c r="G619" s="7"/>
      <c r="H619" s="17">
        <f>IF(A619="","",TEXT(IF(DAY(A619)&gt;=Setup!$B$9,DATE(YEAR(A619),MONTH(A619)+1,1),DATE(YEAR(A619),MONTH(A619),1)),"mmmm yyyy"))</f>
      </c>
    </row>
    <row r="620" spans="1:8" x14ac:dyDescent="0.3">
      <c r="A620" s="48"/>
      <c r="B620" s="7"/>
      <c r="C620" s="6"/>
      <c r="D620" s="7"/>
      <c r="E620" s="7"/>
      <c r="F620" s="7"/>
      <c r="G620" s="7"/>
      <c r="H620" s="17">
        <f>IF(A620="","",TEXT(IF(DAY(A620)&gt;=Setup!$B$9,DATE(YEAR(A620),MONTH(A620)+1,1),DATE(YEAR(A620),MONTH(A620),1)),"mmmm yyyy"))</f>
      </c>
    </row>
    <row r="621" spans="1:8" x14ac:dyDescent="0.3">
      <c r="A621" s="48"/>
      <c r="B621" s="7"/>
      <c r="C621" s="6"/>
      <c r="D621" s="7"/>
      <c r="E621" s="7"/>
      <c r="F621" s="7"/>
      <c r="G621" s="7"/>
      <c r="H621" s="17">
        <f>IF(A621="","",TEXT(IF(DAY(A621)&gt;=Setup!$B$9,DATE(YEAR(A621),MONTH(A621)+1,1),DATE(YEAR(A621),MONTH(A621),1)),"mmmm yyyy"))</f>
      </c>
    </row>
    <row r="622" spans="1:8" x14ac:dyDescent="0.3">
      <c r="A622" s="48"/>
      <c r="B622" s="7"/>
      <c r="C622" s="6"/>
      <c r="D622" s="7"/>
      <c r="E622" s="7"/>
      <c r="F622" s="7"/>
      <c r="G622" s="7"/>
      <c r="H622" s="17">
        <f>IF(A622="","",TEXT(IF(DAY(A622)&gt;=Setup!$B$9,DATE(YEAR(A622),MONTH(A622)+1,1),DATE(YEAR(A622),MONTH(A622),1)),"mmmm yyyy"))</f>
      </c>
    </row>
    <row r="623" spans="1:8" x14ac:dyDescent="0.3">
      <c r="A623" s="48"/>
      <c r="B623" s="7"/>
      <c r="C623" s="6"/>
      <c r="D623" s="7"/>
      <c r="E623" s="7"/>
      <c r="F623" s="7"/>
      <c r="G623" s="7"/>
      <c r="H623" s="17">
        <f>IF(A623="","",TEXT(IF(DAY(A623)&gt;=Setup!$B$9,DATE(YEAR(A623),MONTH(A623)+1,1),DATE(YEAR(A623),MONTH(A623),1)),"mmmm yyyy"))</f>
      </c>
    </row>
    <row r="624" spans="1:8" x14ac:dyDescent="0.3">
      <c r="A624" s="48"/>
      <c r="B624" s="7"/>
      <c r="C624" s="6"/>
      <c r="D624" s="7"/>
      <c r="E624" s="7"/>
      <c r="F624" s="7"/>
      <c r="G624" s="7"/>
      <c r="H624" s="17">
        <f>IF(A624="","",TEXT(IF(DAY(A624)&gt;=Setup!$B$9,DATE(YEAR(A624),MONTH(A624)+1,1),DATE(YEAR(A624),MONTH(A624),1)),"mmmm yyyy"))</f>
      </c>
    </row>
    <row r="625" spans="1:8" x14ac:dyDescent="0.3">
      <c r="A625" s="48"/>
      <c r="B625" s="7"/>
      <c r="C625" s="6"/>
      <c r="D625" s="7"/>
      <c r="E625" s="7"/>
      <c r="F625" s="7"/>
      <c r="G625" s="7"/>
      <c r="H625" s="17">
        <f>IF(A625="","",TEXT(IF(DAY(A625)&gt;=Setup!$B$9,DATE(YEAR(A625),MONTH(A625)+1,1),DATE(YEAR(A625),MONTH(A625),1)),"mmmm yyyy"))</f>
      </c>
    </row>
    <row r="626" spans="1:8" x14ac:dyDescent="0.3">
      <c r="A626" s="48"/>
      <c r="B626" s="7"/>
      <c r="C626" s="6"/>
      <c r="D626" s="7"/>
      <c r="E626" s="7"/>
      <c r="F626" s="7"/>
      <c r="G626" s="7"/>
      <c r="H626" s="17">
        <f>IF(A626="","",TEXT(IF(DAY(A626)&gt;=Setup!$B$9,DATE(YEAR(A626),MONTH(A626)+1,1),DATE(YEAR(A626),MONTH(A626),1)),"mmmm yyyy"))</f>
      </c>
    </row>
    <row r="627" spans="1:8" x14ac:dyDescent="0.3">
      <c r="A627" s="48"/>
      <c r="B627" s="7"/>
      <c r="C627" s="6"/>
      <c r="D627" s="7"/>
      <c r="E627" s="7"/>
      <c r="F627" s="7"/>
      <c r="G627" s="7"/>
      <c r="H627" s="17">
        <f>IF(A627="","",TEXT(IF(DAY(A627)&gt;=Setup!$B$9,DATE(YEAR(A627),MONTH(A627)+1,1),DATE(YEAR(A627),MONTH(A627),1)),"mmmm yyyy"))</f>
      </c>
    </row>
    <row r="628" spans="1:8" x14ac:dyDescent="0.3">
      <c r="A628" s="48"/>
      <c r="B628" s="7"/>
      <c r="C628" s="6"/>
      <c r="D628" s="7"/>
      <c r="E628" s="7"/>
      <c r="F628" s="7"/>
      <c r="G628" s="7"/>
      <c r="H628" s="17">
        <f>IF(A628="","",TEXT(IF(DAY(A628)&gt;=Setup!$B$9,DATE(YEAR(A628),MONTH(A628)+1,1),DATE(YEAR(A628),MONTH(A628),1)),"mmmm yyyy"))</f>
      </c>
    </row>
    <row r="629" spans="1:8" x14ac:dyDescent="0.3">
      <c r="A629" s="48"/>
      <c r="B629" s="7"/>
      <c r="C629" s="6"/>
      <c r="D629" s="7"/>
      <c r="E629" s="7"/>
      <c r="F629" s="7"/>
      <c r="G629" s="7"/>
      <c r="H629" s="17">
        <f>IF(A629="","",TEXT(IF(DAY(A629)&gt;=Setup!$B$9,DATE(YEAR(A629),MONTH(A629)+1,1),DATE(YEAR(A629),MONTH(A629),1)),"mmmm yyyy"))</f>
      </c>
    </row>
    <row r="630" spans="1:8" x14ac:dyDescent="0.3">
      <c r="A630" s="48"/>
      <c r="B630" s="7"/>
      <c r="C630" s="6"/>
      <c r="D630" s="7"/>
      <c r="E630" s="7"/>
      <c r="F630" s="7"/>
      <c r="G630" s="7"/>
      <c r="H630" s="17">
        <f>IF(A630="","",TEXT(IF(DAY(A630)&gt;=Setup!$B$9,DATE(YEAR(A630),MONTH(A630)+1,1),DATE(YEAR(A630),MONTH(A630),1)),"mmmm yyyy"))</f>
      </c>
    </row>
    <row r="631" spans="1:8" x14ac:dyDescent="0.3">
      <c r="A631" s="48"/>
      <c r="B631" s="7"/>
      <c r="C631" s="6"/>
      <c r="D631" s="7"/>
      <c r="E631" s="7"/>
      <c r="F631" s="7"/>
      <c r="G631" s="7"/>
      <c r="H631" s="17">
        <f>IF(A631="","",TEXT(IF(DAY(A631)&gt;=Setup!$B$9,DATE(YEAR(A631),MONTH(A631)+1,1),DATE(YEAR(A631),MONTH(A631),1)),"mmmm yyyy"))</f>
      </c>
    </row>
    <row r="632" spans="1:8" x14ac:dyDescent="0.3">
      <c r="A632" s="48"/>
      <c r="B632" s="7"/>
      <c r="C632" s="6"/>
      <c r="D632" s="7"/>
      <c r="E632" s="7"/>
      <c r="F632" s="7"/>
      <c r="G632" s="7"/>
      <c r="H632" s="17">
        <f>IF(A632="","",TEXT(IF(DAY(A632)&gt;=Setup!$B$9,DATE(YEAR(A632),MONTH(A632)+1,1),DATE(YEAR(A632),MONTH(A632),1)),"mmmm yyyy"))</f>
      </c>
    </row>
    <row r="633" spans="1:8" x14ac:dyDescent="0.3">
      <c r="A633" s="48"/>
      <c r="B633" s="7"/>
      <c r="C633" s="6"/>
      <c r="D633" s="7"/>
      <c r="E633" s="7"/>
      <c r="F633" s="7"/>
      <c r="G633" s="7"/>
      <c r="H633" s="17">
        <f>IF(A633="","",TEXT(IF(DAY(A633)&gt;=Setup!$B$9,DATE(YEAR(A633),MONTH(A633)+1,1),DATE(YEAR(A633),MONTH(A633),1)),"mmmm yyyy"))</f>
      </c>
    </row>
    <row r="634" spans="1:8" x14ac:dyDescent="0.3">
      <c r="A634" s="48"/>
      <c r="B634" s="7"/>
      <c r="C634" s="6"/>
      <c r="D634" s="7"/>
      <c r="E634" s="7"/>
      <c r="F634" s="7"/>
      <c r="G634" s="7"/>
      <c r="H634" s="17">
        <f>IF(A634="","",TEXT(IF(DAY(A634)&gt;=Setup!$B$9,DATE(YEAR(A634),MONTH(A634)+1,1),DATE(YEAR(A634),MONTH(A634),1)),"mmmm yyyy"))</f>
      </c>
    </row>
    <row r="635" spans="1:8" x14ac:dyDescent="0.3">
      <c r="A635" s="48"/>
      <c r="B635" s="7"/>
      <c r="C635" s="6"/>
      <c r="D635" s="7"/>
      <c r="E635" s="7"/>
      <c r="F635" s="7"/>
      <c r="G635" s="7"/>
      <c r="H635" s="17">
        <f>IF(A635="","",TEXT(IF(DAY(A635)&gt;=Setup!$B$9,DATE(YEAR(A635),MONTH(A635)+1,1),DATE(YEAR(A635),MONTH(A635),1)),"mmmm yyyy"))</f>
      </c>
    </row>
    <row r="636" spans="1:8" x14ac:dyDescent="0.3">
      <c r="A636" s="48"/>
      <c r="B636" s="7"/>
      <c r="C636" s="6"/>
      <c r="D636" s="7"/>
      <c r="E636" s="7"/>
      <c r="F636" s="7"/>
      <c r="G636" s="7"/>
      <c r="H636" s="17">
        <f>IF(A636="","",TEXT(IF(DAY(A636)&gt;=Setup!$B$9,DATE(YEAR(A636),MONTH(A636)+1,1),DATE(YEAR(A636),MONTH(A636),1)),"mmmm yyyy"))</f>
      </c>
    </row>
    <row r="637" spans="1:8" x14ac:dyDescent="0.3">
      <c r="A637" s="48"/>
      <c r="B637" s="7"/>
      <c r="C637" s="6"/>
      <c r="D637" s="7"/>
      <c r="E637" s="7"/>
      <c r="F637" s="7"/>
      <c r="G637" s="7"/>
      <c r="H637" s="17">
        <f>IF(A637="","",TEXT(IF(DAY(A637)&gt;=Setup!$B$9,DATE(YEAR(A637),MONTH(A637)+1,1),DATE(YEAR(A637),MONTH(A637),1)),"mmmm yyyy"))</f>
      </c>
    </row>
    <row r="638" spans="1:8" x14ac:dyDescent="0.3">
      <c r="A638" s="48"/>
      <c r="B638" s="7"/>
      <c r="C638" s="6"/>
      <c r="D638" s="7"/>
      <c r="E638" s="7"/>
      <c r="F638" s="7"/>
      <c r="G638" s="7"/>
      <c r="H638" s="17">
        <f>IF(A638="","",TEXT(IF(DAY(A638)&gt;=Setup!$B$9,DATE(YEAR(A638),MONTH(A638)+1,1),DATE(YEAR(A638),MONTH(A638),1)),"mmmm yyyy"))</f>
      </c>
    </row>
    <row r="639" spans="1:8" x14ac:dyDescent="0.3">
      <c r="A639" s="48"/>
      <c r="B639" s="7"/>
      <c r="C639" s="6"/>
      <c r="D639" s="7"/>
      <c r="E639" s="7"/>
      <c r="F639" s="7"/>
      <c r="G639" s="7"/>
      <c r="H639" s="17">
        <f>IF(A639="","",TEXT(IF(DAY(A639)&gt;=Setup!$B$9,DATE(YEAR(A639),MONTH(A639)+1,1),DATE(YEAR(A639),MONTH(A639),1)),"mmmm yyyy"))</f>
      </c>
    </row>
    <row r="640" spans="1:8" x14ac:dyDescent="0.3">
      <c r="A640" s="48"/>
      <c r="B640" s="7"/>
      <c r="C640" s="6"/>
      <c r="D640" s="7"/>
      <c r="E640" s="7"/>
      <c r="F640" s="7"/>
      <c r="G640" s="7"/>
      <c r="H640" s="17">
        <f>IF(A640="","",TEXT(IF(DAY(A640)&gt;=Setup!$B$9,DATE(YEAR(A640),MONTH(A640)+1,1),DATE(YEAR(A640),MONTH(A640),1)),"mmmm yyyy"))</f>
      </c>
    </row>
    <row r="641" spans="1:8" x14ac:dyDescent="0.3">
      <c r="A641" s="48"/>
      <c r="B641" s="7"/>
      <c r="C641" s="6"/>
      <c r="D641" s="7"/>
      <c r="E641" s="7"/>
      <c r="F641" s="7"/>
      <c r="G641" s="7"/>
      <c r="H641" s="17">
        <f>IF(A641="","",TEXT(IF(DAY(A641)&gt;=Setup!$B$9,DATE(YEAR(A641),MONTH(A641)+1,1),DATE(YEAR(A641),MONTH(A641),1)),"mmmm yyyy"))</f>
      </c>
    </row>
    <row r="642" spans="1:8" x14ac:dyDescent="0.3">
      <c r="A642" s="48"/>
      <c r="B642" s="7"/>
      <c r="C642" s="6"/>
      <c r="D642" s="7"/>
      <c r="E642" s="7"/>
      <c r="F642" s="7"/>
      <c r="G642" s="7"/>
      <c r="H642" s="17">
        <f>IF(A642="","",TEXT(IF(DAY(A642)&gt;=Setup!$B$9,DATE(YEAR(A642),MONTH(A642)+1,1),DATE(YEAR(A642),MONTH(A642),1)),"mmmm yyyy"))</f>
      </c>
    </row>
    <row r="643" spans="1:8" x14ac:dyDescent="0.3">
      <c r="A643" s="48"/>
      <c r="B643" s="7"/>
      <c r="C643" s="6"/>
      <c r="D643" s="7"/>
      <c r="E643" s="7"/>
      <c r="F643" s="7"/>
      <c r="G643" s="7"/>
      <c r="H643" s="17">
        <f>IF(A643="","",TEXT(IF(DAY(A643)&gt;=Setup!$B$9,DATE(YEAR(A643),MONTH(A643)+1,1),DATE(YEAR(A643),MONTH(A643),1)),"mmmm yyyy"))</f>
      </c>
    </row>
    <row r="644" spans="1:8" x14ac:dyDescent="0.3">
      <c r="A644" s="48"/>
      <c r="B644" s="7"/>
      <c r="C644" s="6"/>
      <c r="D644" s="7"/>
      <c r="E644" s="7"/>
      <c r="F644" s="7"/>
      <c r="G644" s="7"/>
      <c r="H644" s="17">
        <f>IF(A644="","",TEXT(IF(DAY(A644)&gt;=Setup!$B$9,DATE(YEAR(A644),MONTH(A644)+1,1),DATE(YEAR(A644),MONTH(A644),1)),"mmmm yyyy"))</f>
      </c>
    </row>
    <row r="645" spans="1:8" x14ac:dyDescent="0.3">
      <c r="A645" s="48"/>
      <c r="B645" s="7"/>
      <c r="C645" s="6"/>
      <c r="D645" s="7"/>
      <c r="E645" s="7"/>
      <c r="F645" s="7"/>
      <c r="G645" s="7"/>
      <c r="H645" s="17">
        <f>IF(A645="","",TEXT(IF(DAY(A645)&gt;=Setup!$B$9,DATE(YEAR(A645),MONTH(A645)+1,1),DATE(YEAR(A645),MONTH(A645),1)),"mmmm yyyy"))</f>
      </c>
    </row>
    <row r="646" spans="1:8" x14ac:dyDescent="0.3">
      <c r="A646" s="48"/>
      <c r="B646" s="7"/>
      <c r="C646" s="6"/>
      <c r="D646" s="7"/>
      <c r="E646" s="7"/>
      <c r="F646" s="7"/>
      <c r="G646" s="7"/>
      <c r="H646" s="17">
        <f>IF(A646="","",TEXT(IF(DAY(A646)&gt;=Setup!$B$9,DATE(YEAR(A646),MONTH(A646)+1,1),DATE(YEAR(A646),MONTH(A646),1)),"mmmm yyyy"))</f>
      </c>
    </row>
    <row r="647" spans="1:8" x14ac:dyDescent="0.3">
      <c r="A647" s="48"/>
      <c r="B647" s="7"/>
      <c r="C647" s="6"/>
      <c r="D647" s="7"/>
      <c r="E647" s="7"/>
      <c r="F647" s="7"/>
      <c r="G647" s="7"/>
      <c r="H647" s="17">
        <f>IF(A647="","",TEXT(IF(DAY(A647)&gt;=Setup!$B$9,DATE(YEAR(A647),MONTH(A647)+1,1),DATE(YEAR(A647),MONTH(A647),1)),"mmmm yyyy"))</f>
      </c>
    </row>
    <row r="648" spans="1:8" x14ac:dyDescent="0.3">
      <c r="A648" s="48"/>
      <c r="B648" s="7"/>
      <c r="C648" s="6"/>
      <c r="D648" s="7"/>
      <c r="E648" s="7"/>
      <c r="F648" s="7"/>
      <c r="G648" s="7"/>
      <c r="H648" s="17">
        <f>IF(A648="","",TEXT(IF(DAY(A648)&gt;=Setup!$B$9,DATE(YEAR(A648),MONTH(A648)+1,1),DATE(YEAR(A648),MONTH(A648),1)),"mmmm yyyy"))</f>
      </c>
    </row>
    <row r="649" spans="1:8" x14ac:dyDescent="0.3">
      <c r="A649" s="48"/>
      <c r="B649" s="7"/>
      <c r="C649" s="6"/>
      <c r="D649" s="7"/>
      <c r="E649" s="7"/>
      <c r="F649" s="7"/>
      <c r="G649" s="7"/>
      <c r="H649" s="17">
        <f>IF(A649="","",TEXT(IF(DAY(A649)&gt;=Setup!$B$9,DATE(YEAR(A649),MONTH(A649)+1,1),DATE(YEAR(A649),MONTH(A649),1)),"mmmm yyyy"))</f>
      </c>
    </row>
    <row r="650" spans="1:8" x14ac:dyDescent="0.3">
      <c r="A650" s="48"/>
      <c r="B650" s="7"/>
      <c r="C650" s="6"/>
      <c r="D650" s="7"/>
      <c r="E650" s="7"/>
      <c r="F650" s="7"/>
      <c r="G650" s="7"/>
      <c r="H650" s="17">
        <f>IF(A650="","",TEXT(IF(DAY(A650)&gt;=Setup!$B$9,DATE(YEAR(A650),MONTH(A650)+1,1),DATE(YEAR(A650),MONTH(A650),1)),"mmmm yyyy"))</f>
      </c>
    </row>
    <row r="651" spans="1:8" x14ac:dyDescent="0.3">
      <c r="A651" s="48"/>
      <c r="B651" s="7"/>
      <c r="C651" s="6"/>
      <c r="D651" s="7"/>
      <c r="E651" s="7"/>
      <c r="F651" s="7"/>
      <c r="G651" s="7"/>
      <c r="H651" s="17">
        <f>IF(A651="","",TEXT(IF(DAY(A651)&gt;=Setup!$B$9,DATE(YEAR(A651),MONTH(A651)+1,1),DATE(YEAR(A651),MONTH(A651),1)),"mmmm yyyy"))</f>
      </c>
    </row>
    <row r="652" spans="1:8" x14ac:dyDescent="0.3">
      <c r="A652" s="48"/>
      <c r="B652" s="7"/>
      <c r="C652" s="6"/>
      <c r="D652" s="7"/>
      <c r="E652" s="7"/>
      <c r="F652" s="7"/>
      <c r="G652" s="7"/>
      <c r="H652" s="17">
        <f>IF(A652="","",TEXT(IF(DAY(A652)&gt;=Setup!$B$9,DATE(YEAR(A652),MONTH(A652)+1,1),DATE(YEAR(A652),MONTH(A652),1)),"mmmm yyyy"))</f>
      </c>
    </row>
    <row r="653" spans="1:8" x14ac:dyDescent="0.3">
      <c r="A653" s="48"/>
      <c r="B653" s="7"/>
      <c r="C653" s="6"/>
      <c r="D653" s="7"/>
      <c r="E653" s="7"/>
      <c r="F653" s="7"/>
      <c r="G653" s="7"/>
      <c r="H653" s="17">
        <f>IF(A653="","",TEXT(IF(DAY(A653)&gt;=Setup!$B$9,DATE(YEAR(A653),MONTH(A653)+1,1),DATE(YEAR(A653),MONTH(A653),1)),"mmmm yyyy"))</f>
      </c>
    </row>
    <row r="654" spans="1:8" x14ac:dyDescent="0.3">
      <c r="A654" s="48"/>
      <c r="B654" s="7"/>
      <c r="C654" s="6"/>
      <c r="D654" s="7"/>
      <c r="E654" s="7"/>
      <c r="F654" s="7"/>
      <c r="G654" s="7"/>
      <c r="H654" s="17">
        <f>IF(A654="","",TEXT(IF(DAY(A654)&gt;=Setup!$B$9,DATE(YEAR(A654),MONTH(A654)+1,1),DATE(YEAR(A654),MONTH(A654),1)),"mmmm yyyy"))</f>
      </c>
    </row>
    <row r="655" spans="1:8" x14ac:dyDescent="0.3">
      <c r="A655" s="48"/>
      <c r="B655" s="7"/>
      <c r="C655" s="6"/>
      <c r="D655" s="7"/>
      <c r="E655" s="7"/>
      <c r="F655" s="7"/>
      <c r="G655" s="7"/>
      <c r="H655" s="17">
        <f>IF(A655="","",TEXT(IF(DAY(A655)&gt;=Setup!$B$9,DATE(YEAR(A655),MONTH(A655)+1,1),DATE(YEAR(A655),MONTH(A655),1)),"mmmm yyyy"))</f>
      </c>
    </row>
    <row r="656" spans="1:8" x14ac:dyDescent="0.3">
      <c r="A656" s="48"/>
      <c r="B656" s="7"/>
      <c r="C656" s="6"/>
      <c r="D656" s="7"/>
      <c r="E656" s="7"/>
      <c r="F656" s="7"/>
      <c r="G656" s="7"/>
      <c r="H656" s="17">
        <f>IF(A656="","",TEXT(IF(DAY(A656)&gt;=Setup!$B$9,DATE(YEAR(A656),MONTH(A656)+1,1),DATE(YEAR(A656),MONTH(A656),1)),"mmmm yyyy"))</f>
      </c>
    </row>
    <row r="657" spans="1:8" x14ac:dyDescent="0.3">
      <c r="A657" s="48"/>
      <c r="B657" s="7"/>
      <c r="C657" s="6"/>
      <c r="D657" s="7"/>
      <c r="E657" s="7"/>
      <c r="F657" s="7"/>
      <c r="G657" s="7"/>
      <c r="H657" s="17">
        <f>IF(A657="","",TEXT(IF(DAY(A657)&gt;=Setup!$B$9,DATE(YEAR(A657),MONTH(A657)+1,1),DATE(YEAR(A657),MONTH(A657),1)),"mmmm yyyy"))</f>
      </c>
    </row>
    <row r="658" spans="1:8" x14ac:dyDescent="0.3">
      <c r="A658" s="48"/>
      <c r="B658" s="7"/>
      <c r="C658" s="6"/>
      <c r="D658" s="7"/>
      <c r="E658" s="7"/>
      <c r="F658" s="7"/>
      <c r="G658" s="7"/>
      <c r="H658" s="17">
        <f>IF(A658="","",TEXT(IF(DAY(A658)&gt;=Setup!$B$9,DATE(YEAR(A658),MONTH(A658)+1,1),DATE(YEAR(A658),MONTH(A658),1)),"mmmm yyyy"))</f>
      </c>
    </row>
    <row r="659" spans="1:8" x14ac:dyDescent="0.3">
      <c r="A659" s="48"/>
      <c r="B659" s="7"/>
      <c r="C659" s="6"/>
      <c r="D659" s="7"/>
      <c r="E659" s="7"/>
      <c r="F659" s="7"/>
      <c r="G659" s="7"/>
      <c r="H659" s="17">
        <f>IF(A659="","",TEXT(IF(DAY(A659)&gt;=Setup!$B$9,DATE(YEAR(A659),MONTH(A659)+1,1),DATE(YEAR(A659),MONTH(A659),1)),"mmmm yyyy"))</f>
      </c>
    </row>
    <row r="660" spans="1:8" x14ac:dyDescent="0.3">
      <c r="A660" s="48"/>
      <c r="B660" s="7"/>
      <c r="C660" s="6"/>
      <c r="D660" s="7"/>
      <c r="E660" s="7"/>
      <c r="F660" s="7"/>
      <c r="G660" s="7"/>
      <c r="H660" s="17">
        <f>IF(A660="","",TEXT(IF(DAY(A660)&gt;=Setup!$B$9,DATE(YEAR(A660),MONTH(A660)+1,1),DATE(YEAR(A660),MONTH(A660),1)),"mmmm yyyy"))</f>
      </c>
    </row>
    <row r="661" spans="1:8" x14ac:dyDescent="0.3">
      <c r="A661" s="48"/>
      <c r="B661" s="7"/>
      <c r="C661" s="6"/>
      <c r="D661" s="7"/>
      <c r="E661" s="7"/>
      <c r="F661" s="7"/>
      <c r="G661" s="7"/>
      <c r="H661" s="17">
        <f>IF(A661="","",TEXT(IF(DAY(A661)&gt;=Setup!$B$9,DATE(YEAR(A661),MONTH(A661)+1,1),DATE(YEAR(A661),MONTH(A661),1)),"mmmm yyyy"))</f>
      </c>
    </row>
    <row r="662" spans="1:8" x14ac:dyDescent="0.3">
      <c r="A662" s="48"/>
      <c r="B662" s="7"/>
      <c r="C662" s="6"/>
      <c r="D662" s="7"/>
      <c r="E662" s="7"/>
      <c r="F662" s="7"/>
      <c r="G662" s="7"/>
      <c r="H662" s="17">
        <f>IF(A662="","",TEXT(IF(DAY(A662)&gt;=Setup!$B$9,DATE(YEAR(A662),MONTH(A662)+1,1),DATE(YEAR(A662),MONTH(A662),1)),"mmmm yyyy"))</f>
      </c>
    </row>
    <row r="663" spans="1:8" x14ac:dyDescent="0.3">
      <c r="A663" s="48"/>
      <c r="B663" s="7"/>
      <c r="C663" s="6"/>
      <c r="D663" s="7"/>
      <c r="E663" s="7"/>
      <c r="F663" s="7"/>
      <c r="G663" s="7"/>
      <c r="H663" s="17">
        <f>IF(A663="","",TEXT(IF(DAY(A663)&gt;=Setup!$B$9,DATE(YEAR(A663),MONTH(A663)+1,1),DATE(YEAR(A663),MONTH(A663),1)),"mmmm yyyy"))</f>
      </c>
    </row>
    <row r="664" spans="1:8" x14ac:dyDescent="0.3">
      <c r="A664" s="48"/>
      <c r="B664" s="7"/>
      <c r="C664" s="6"/>
      <c r="D664" s="7"/>
      <c r="E664" s="7"/>
      <c r="F664" s="7"/>
      <c r="G664" s="7"/>
      <c r="H664" s="17">
        <f>IF(A664="","",TEXT(IF(DAY(A664)&gt;=Setup!$B$9,DATE(YEAR(A664),MONTH(A664)+1,1),DATE(YEAR(A664),MONTH(A664),1)),"mmmm yyyy"))</f>
      </c>
    </row>
    <row r="665" spans="1:8" x14ac:dyDescent="0.3">
      <c r="A665" s="48"/>
      <c r="B665" s="7"/>
      <c r="C665" s="6"/>
      <c r="D665" s="7"/>
      <c r="E665" s="7"/>
      <c r="F665" s="7"/>
      <c r="G665" s="7"/>
      <c r="H665" s="17">
        <f>IF(A665="","",TEXT(IF(DAY(A665)&gt;=Setup!$B$9,DATE(YEAR(A665),MONTH(A665)+1,1),DATE(YEAR(A665),MONTH(A665),1)),"mmmm yyyy"))</f>
      </c>
    </row>
    <row r="666" spans="1:8" x14ac:dyDescent="0.3">
      <c r="A666" s="48"/>
      <c r="B666" s="7"/>
      <c r="C666" s="6"/>
      <c r="D666" s="7"/>
      <c r="E666" s="7"/>
      <c r="F666" s="7"/>
      <c r="G666" s="7"/>
      <c r="H666" s="17">
        <f>IF(A666="","",TEXT(IF(DAY(A666)&gt;=Setup!$B$9,DATE(YEAR(A666),MONTH(A666)+1,1),DATE(YEAR(A666),MONTH(A666),1)),"mmmm yyyy"))</f>
      </c>
    </row>
    <row r="667" spans="1:8" x14ac:dyDescent="0.3">
      <c r="A667" s="48"/>
      <c r="B667" s="7"/>
      <c r="C667" s="6"/>
      <c r="D667" s="7"/>
      <c r="E667" s="7"/>
      <c r="F667" s="7"/>
      <c r="G667" s="7"/>
      <c r="H667" s="17">
        <f>IF(A667="","",TEXT(IF(DAY(A667)&gt;=Setup!$B$9,DATE(YEAR(A667),MONTH(A667)+1,1),DATE(YEAR(A667),MONTH(A667),1)),"mmmm yyyy"))</f>
      </c>
    </row>
    <row r="668" spans="1:8" x14ac:dyDescent="0.3">
      <c r="A668" s="48"/>
      <c r="B668" s="7"/>
      <c r="C668" s="6"/>
      <c r="D668" s="7"/>
      <c r="E668" s="7"/>
      <c r="F668" s="7"/>
      <c r="G668" s="7"/>
      <c r="H668" s="17">
        <f>IF(A668="","",TEXT(IF(DAY(A668)&gt;=Setup!$B$9,DATE(YEAR(A668),MONTH(A668)+1,1),DATE(YEAR(A668),MONTH(A668),1)),"mmmm yyyy"))</f>
      </c>
    </row>
    <row r="669" spans="1:8" x14ac:dyDescent="0.3">
      <c r="A669" s="48"/>
      <c r="B669" s="7"/>
      <c r="C669" s="6"/>
      <c r="D669" s="7"/>
      <c r="E669" s="7"/>
      <c r="F669" s="7"/>
      <c r="G669" s="7"/>
      <c r="H669" s="17">
        <f>IF(A669="","",TEXT(IF(DAY(A669)&gt;=Setup!$B$9,DATE(YEAR(A669),MONTH(A669)+1,1),DATE(YEAR(A669),MONTH(A669),1)),"mmmm yyyy"))</f>
      </c>
    </row>
    <row r="670" spans="1:8" x14ac:dyDescent="0.3">
      <c r="A670" s="48"/>
      <c r="B670" s="7"/>
      <c r="C670" s="6"/>
      <c r="D670" s="7"/>
      <c r="E670" s="7"/>
      <c r="F670" s="7"/>
      <c r="G670" s="7"/>
      <c r="H670" s="17">
        <f>IF(A670="","",TEXT(IF(DAY(A670)&gt;=Setup!$B$9,DATE(YEAR(A670),MONTH(A670)+1,1),DATE(YEAR(A670),MONTH(A670),1)),"mmmm yyyy"))</f>
      </c>
    </row>
    <row r="671" spans="1:8" x14ac:dyDescent="0.3">
      <c r="A671" s="48"/>
      <c r="B671" s="7"/>
      <c r="C671" s="6"/>
      <c r="D671" s="7"/>
      <c r="E671" s="7"/>
      <c r="F671" s="7"/>
      <c r="G671" s="7"/>
      <c r="H671" s="17">
        <f>IF(A671="","",TEXT(IF(DAY(A671)&gt;=Setup!$B$9,DATE(YEAR(A671),MONTH(A671)+1,1),DATE(YEAR(A671),MONTH(A671),1)),"mmmm yyyy"))</f>
      </c>
    </row>
    <row r="672" spans="1:8" x14ac:dyDescent="0.3">
      <c r="A672" s="48"/>
      <c r="B672" s="7"/>
      <c r="C672" s="6"/>
      <c r="D672" s="7"/>
      <c r="E672" s="7"/>
      <c r="F672" s="7"/>
      <c r="G672" s="7"/>
      <c r="H672" s="17">
        <f>IF(A672="","",TEXT(IF(DAY(A672)&gt;=Setup!$B$9,DATE(YEAR(A672),MONTH(A672)+1,1),DATE(YEAR(A672),MONTH(A672),1)),"mmmm yyyy"))</f>
      </c>
    </row>
    <row r="673" spans="1:8" x14ac:dyDescent="0.3">
      <c r="A673" s="48"/>
      <c r="B673" s="7"/>
      <c r="C673" s="6"/>
      <c r="D673" s="7"/>
      <c r="E673" s="7"/>
      <c r="F673" s="7"/>
      <c r="G673" s="7"/>
      <c r="H673" s="17">
        <f>IF(A673="","",TEXT(IF(DAY(A673)&gt;=Setup!$B$9,DATE(YEAR(A673),MONTH(A673)+1,1),DATE(YEAR(A673),MONTH(A673),1)),"mmmm yyyy"))</f>
      </c>
    </row>
    <row r="674" spans="1:8" x14ac:dyDescent="0.3">
      <c r="A674" s="48"/>
      <c r="B674" s="7"/>
      <c r="C674" s="6"/>
      <c r="D674" s="7"/>
      <c r="E674" s="7"/>
      <c r="F674" s="7"/>
      <c r="G674" s="7"/>
      <c r="H674" s="17">
        <f>IF(A674="","",TEXT(IF(DAY(A674)&gt;=Setup!$B$9,DATE(YEAR(A674),MONTH(A674)+1,1),DATE(YEAR(A674),MONTH(A674),1)),"mmmm yyyy"))</f>
      </c>
    </row>
    <row r="675" spans="1:8" x14ac:dyDescent="0.3">
      <c r="A675" s="48"/>
      <c r="B675" s="7"/>
      <c r="C675" s="6"/>
      <c r="D675" s="7"/>
      <c r="E675" s="7"/>
      <c r="F675" s="7"/>
      <c r="G675" s="7"/>
      <c r="H675" s="17">
        <f>IF(A675="","",TEXT(IF(DAY(A675)&gt;=Setup!$B$9,DATE(YEAR(A675),MONTH(A675)+1,1),DATE(YEAR(A675),MONTH(A675),1)),"mmmm yyyy"))</f>
      </c>
    </row>
    <row r="676" spans="1:8" x14ac:dyDescent="0.3">
      <c r="A676" s="48"/>
      <c r="B676" s="7"/>
      <c r="C676" s="6"/>
      <c r="D676" s="7"/>
      <c r="E676" s="7"/>
      <c r="F676" s="7"/>
      <c r="G676" s="7"/>
      <c r="H676" s="17">
        <f>IF(A676="","",TEXT(IF(DAY(A676)&gt;=Setup!$B$9,DATE(YEAR(A676),MONTH(A676)+1,1),DATE(YEAR(A676),MONTH(A676),1)),"mmmm yyyy"))</f>
      </c>
    </row>
    <row r="677" spans="1:8" x14ac:dyDescent="0.3">
      <c r="A677" s="48"/>
      <c r="B677" s="7"/>
      <c r="C677" s="6"/>
      <c r="D677" s="7"/>
      <c r="E677" s="7"/>
      <c r="F677" s="7"/>
      <c r="G677" s="7"/>
      <c r="H677" s="17">
        <f>IF(A677="","",TEXT(IF(DAY(A677)&gt;=Setup!$B$9,DATE(YEAR(A677),MONTH(A677)+1,1),DATE(YEAR(A677),MONTH(A677),1)),"mmmm yyyy"))</f>
      </c>
    </row>
    <row r="678" spans="1:8" x14ac:dyDescent="0.3">
      <c r="A678" s="48"/>
      <c r="B678" s="7"/>
      <c r="C678" s="6"/>
      <c r="D678" s="7"/>
      <c r="E678" s="7"/>
      <c r="F678" s="7"/>
      <c r="G678" s="7"/>
      <c r="H678" s="17">
        <f>IF(A678="","",TEXT(IF(DAY(A678)&gt;=Setup!$B$9,DATE(YEAR(A678),MONTH(A678)+1,1),DATE(YEAR(A678),MONTH(A678),1)),"mmmm yyyy"))</f>
      </c>
    </row>
    <row r="679" spans="1:8" x14ac:dyDescent="0.3">
      <c r="A679" s="48"/>
      <c r="B679" s="7"/>
      <c r="C679" s="6"/>
      <c r="D679" s="7"/>
      <c r="E679" s="7"/>
      <c r="F679" s="7"/>
      <c r="G679" s="7"/>
      <c r="H679" s="17">
        <f>IF(A679="","",TEXT(IF(DAY(A679)&gt;=Setup!$B$9,DATE(YEAR(A679),MONTH(A679)+1,1),DATE(YEAR(A679),MONTH(A679),1)),"mmmm yyyy"))</f>
      </c>
    </row>
    <row r="680" spans="1:8" x14ac:dyDescent="0.3">
      <c r="A680" s="48"/>
      <c r="B680" s="7"/>
      <c r="C680" s="6"/>
      <c r="D680" s="7"/>
      <c r="E680" s="7"/>
      <c r="F680" s="7"/>
      <c r="G680" s="7"/>
      <c r="H680" s="17">
        <f>IF(A680="","",TEXT(IF(DAY(A680)&gt;=Setup!$B$9,DATE(YEAR(A680),MONTH(A680)+1,1),DATE(YEAR(A680),MONTH(A680),1)),"mmmm yyyy"))</f>
      </c>
    </row>
    <row r="681" spans="1:8" x14ac:dyDescent="0.3">
      <c r="A681" s="48"/>
      <c r="B681" s="7"/>
      <c r="C681" s="6"/>
      <c r="D681" s="7"/>
      <c r="E681" s="7"/>
      <c r="F681" s="7"/>
      <c r="G681" s="7"/>
      <c r="H681" s="17">
        <f>IF(A681="","",TEXT(IF(DAY(A681)&gt;=Setup!$B$9,DATE(YEAR(A681),MONTH(A681)+1,1),DATE(YEAR(A681),MONTH(A681),1)),"mmmm yyyy"))</f>
      </c>
    </row>
    <row r="682" spans="1:8" x14ac:dyDescent="0.3">
      <c r="A682" s="48"/>
      <c r="B682" s="7"/>
      <c r="C682" s="6"/>
      <c r="D682" s="7"/>
      <c r="E682" s="7"/>
      <c r="F682" s="7"/>
      <c r="G682" s="7"/>
      <c r="H682" s="17">
        <f>IF(A682="","",TEXT(IF(DAY(A682)&gt;=Setup!$B$9,DATE(YEAR(A682),MONTH(A682)+1,1),DATE(YEAR(A682),MONTH(A682),1)),"mmmm yyyy"))</f>
      </c>
    </row>
    <row r="683" spans="1:8" x14ac:dyDescent="0.3">
      <c r="A683" s="48"/>
      <c r="B683" s="7"/>
      <c r="C683" s="6"/>
      <c r="D683" s="7"/>
      <c r="E683" s="7"/>
      <c r="F683" s="7"/>
      <c r="G683" s="7"/>
      <c r="H683" s="17">
        <f>IF(A683="","",TEXT(IF(DAY(A683)&gt;=Setup!$B$9,DATE(YEAR(A683),MONTH(A683)+1,1),DATE(YEAR(A683),MONTH(A683),1)),"mmmm yyyy"))</f>
      </c>
    </row>
    <row r="684" spans="1:8" x14ac:dyDescent="0.3">
      <c r="A684" s="48"/>
      <c r="B684" s="7"/>
      <c r="C684" s="6"/>
      <c r="D684" s="7"/>
      <c r="E684" s="7"/>
      <c r="F684" s="7"/>
      <c r="G684" s="7"/>
      <c r="H684" s="17">
        <f>IF(A684="","",TEXT(IF(DAY(A684)&gt;=Setup!$B$9,DATE(YEAR(A684),MONTH(A684)+1,1),DATE(YEAR(A684),MONTH(A684),1)),"mmmm yyyy"))</f>
      </c>
    </row>
    <row r="685" spans="1:8" x14ac:dyDescent="0.3">
      <c r="A685" s="48"/>
      <c r="B685" s="7"/>
      <c r="C685" s="6"/>
      <c r="D685" s="7"/>
      <c r="E685" s="7"/>
      <c r="F685" s="7"/>
      <c r="G685" s="7"/>
      <c r="H685" s="17">
        <f>IF(A685="","",TEXT(IF(DAY(A685)&gt;=Setup!$B$9,DATE(YEAR(A685),MONTH(A685)+1,1),DATE(YEAR(A685),MONTH(A685),1)),"mmmm yyyy"))</f>
      </c>
    </row>
    <row r="686" spans="1:8" x14ac:dyDescent="0.3">
      <c r="A686" s="48"/>
      <c r="B686" s="7"/>
      <c r="C686" s="6"/>
      <c r="D686" s="7"/>
      <c r="E686" s="7"/>
      <c r="F686" s="7"/>
      <c r="G686" s="7"/>
      <c r="H686" s="17">
        <f>IF(A686="","",TEXT(IF(DAY(A686)&gt;=Setup!$B$9,DATE(YEAR(A686),MONTH(A686)+1,1),DATE(YEAR(A686),MONTH(A686),1)),"mmmm yyyy"))</f>
      </c>
    </row>
    <row r="687" spans="1:8" x14ac:dyDescent="0.3">
      <c r="A687" s="48"/>
      <c r="B687" s="7"/>
      <c r="C687" s="6"/>
      <c r="D687" s="7"/>
      <c r="E687" s="7"/>
      <c r="F687" s="7"/>
      <c r="G687" s="7"/>
      <c r="H687" s="17">
        <f>IF(A687="","",TEXT(IF(DAY(A687)&gt;=Setup!$B$9,DATE(YEAR(A687),MONTH(A687)+1,1),DATE(YEAR(A687),MONTH(A687),1)),"mmmm yyyy"))</f>
      </c>
    </row>
    <row r="688" spans="1:8" x14ac:dyDescent="0.3">
      <c r="A688" s="48"/>
      <c r="B688" s="7"/>
      <c r="C688" s="6"/>
      <c r="D688" s="7"/>
      <c r="E688" s="7"/>
      <c r="F688" s="7"/>
      <c r="G688" s="7"/>
      <c r="H688" s="17">
        <f>IF(A688="","",TEXT(IF(DAY(A688)&gt;=Setup!$B$9,DATE(YEAR(A688),MONTH(A688)+1,1),DATE(YEAR(A688),MONTH(A688),1)),"mmmm yyyy"))</f>
      </c>
    </row>
    <row r="689" spans="1:8" x14ac:dyDescent="0.3">
      <c r="A689" s="48"/>
      <c r="B689" s="7"/>
      <c r="C689" s="6"/>
      <c r="D689" s="7"/>
      <c r="E689" s="7"/>
      <c r="F689" s="7"/>
      <c r="G689" s="7"/>
      <c r="H689" s="17">
        <f>IF(A689="","",TEXT(IF(DAY(A689)&gt;=Setup!$B$9,DATE(YEAR(A689),MONTH(A689)+1,1),DATE(YEAR(A689),MONTH(A689),1)),"mmmm yyyy"))</f>
      </c>
    </row>
    <row r="690" spans="1:8" x14ac:dyDescent="0.3">
      <c r="A690" s="48"/>
      <c r="B690" s="7"/>
      <c r="C690" s="6"/>
      <c r="D690" s="7"/>
      <c r="E690" s="7"/>
      <c r="F690" s="7"/>
      <c r="G690" s="7"/>
      <c r="H690" s="17">
        <f>IF(A690="","",TEXT(IF(DAY(A690)&gt;=Setup!$B$9,DATE(YEAR(A690),MONTH(A690)+1,1),DATE(YEAR(A690),MONTH(A690),1)),"mmmm yyyy"))</f>
      </c>
    </row>
    <row r="691" spans="1:8" x14ac:dyDescent="0.3">
      <c r="A691" s="48"/>
      <c r="B691" s="7"/>
      <c r="C691" s="6"/>
      <c r="D691" s="7"/>
      <c r="E691" s="7"/>
      <c r="F691" s="7"/>
      <c r="G691" s="7"/>
      <c r="H691" s="17">
        <f>IF(A691="","",TEXT(IF(DAY(A691)&gt;=Setup!$B$9,DATE(YEAR(A691),MONTH(A691)+1,1),DATE(YEAR(A691),MONTH(A691),1)),"mmmm yyyy"))</f>
      </c>
    </row>
    <row r="692" spans="1:8" x14ac:dyDescent="0.3">
      <c r="A692" s="48"/>
      <c r="B692" s="7"/>
      <c r="C692" s="6"/>
      <c r="D692" s="7"/>
      <c r="E692" s="7"/>
      <c r="F692" s="7"/>
      <c r="G692" s="7"/>
      <c r="H692" s="17">
        <f>IF(A692="","",TEXT(IF(DAY(A692)&gt;=Setup!$B$9,DATE(YEAR(A692),MONTH(A692)+1,1),DATE(YEAR(A692),MONTH(A692),1)),"mmmm yyyy"))</f>
      </c>
    </row>
    <row r="693" spans="1:8" x14ac:dyDescent="0.3">
      <c r="A693" s="48"/>
      <c r="B693" s="7"/>
      <c r="C693" s="6"/>
      <c r="D693" s="7"/>
      <c r="E693" s="7"/>
      <c r="F693" s="7"/>
      <c r="G693" s="7"/>
      <c r="H693" s="17">
        <f>IF(A693="","",TEXT(IF(DAY(A693)&gt;=Setup!$B$9,DATE(YEAR(A693),MONTH(A693)+1,1),DATE(YEAR(A693),MONTH(A693),1)),"mmmm yyyy"))</f>
      </c>
    </row>
    <row r="694" spans="1:8" x14ac:dyDescent="0.3">
      <c r="A694" s="48"/>
      <c r="B694" s="7"/>
      <c r="C694" s="6"/>
      <c r="D694" s="7"/>
      <c r="E694" s="7"/>
      <c r="F694" s="7"/>
      <c r="G694" s="7"/>
      <c r="H694" s="17">
        <f>IF(A694="","",TEXT(IF(DAY(A694)&gt;=Setup!$B$9,DATE(YEAR(A694),MONTH(A694)+1,1),DATE(YEAR(A694),MONTH(A694),1)),"mmmm yyyy"))</f>
      </c>
    </row>
    <row r="695" spans="1:8" x14ac:dyDescent="0.3">
      <c r="A695" s="48"/>
      <c r="B695" s="7"/>
      <c r="C695" s="6"/>
      <c r="D695" s="7"/>
      <c r="E695" s="7"/>
      <c r="F695" s="7"/>
      <c r="G695" s="7"/>
      <c r="H695" s="17">
        <f>IF(A695="","",TEXT(IF(DAY(A695)&gt;=Setup!$B$9,DATE(YEAR(A695),MONTH(A695)+1,1),DATE(YEAR(A695),MONTH(A695),1)),"mmmm yyyy"))</f>
      </c>
    </row>
    <row r="696" spans="1:8" x14ac:dyDescent="0.3">
      <c r="A696" s="48"/>
      <c r="B696" s="7"/>
      <c r="C696" s="6"/>
      <c r="D696" s="7"/>
      <c r="E696" s="7"/>
      <c r="F696" s="7"/>
      <c r="G696" s="7"/>
      <c r="H696" s="17">
        <f>IF(A696="","",TEXT(IF(DAY(A696)&gt;=Setup!$B$9,DATE(YEAR(A696),MONTH(A696)+1,1),DATE(YEAR(A696),MONTH(A696),1)),"mmmm yyyy"))</f>
      </c>
    </row>
    <row r="697" spans="1:8" x14ac:dyDescent="0.3">
      <c r="A697" s="48"/>
      <c r="B697" s="7"/>
      <c r="C697" s="6"/>
      <c r="D697" s="7"/>
      <c r="E697" s="7"/>
      <c r="F697" s="7"/>
      <c r="G697" s="7"/>
      <c r="H697" s="17">
        <f>IF(A697="","",TEXT(IF(DAY(A697)&gt;=Setup!$B$9,DATE(YEAR(A697),MONTH(A697)+1,1),DATE(YEAR(A697),MONTH(A697),1)),"mmmm yyyy"))</f>
      </c>
    </row>
    <row r="698" spans="1:8" x14ac:dyDescent="0.3">
      <c r="A698" s="48"/>
      <c r="B698" s="7"/>
      <c r="C698" s="6"/>
      <c r="D698" s="7"/>
      <c r="E698" s="7"/>
      <c r="F698" s="7"/>
      <c r="G698" s="7"/>
      <c r="H698" s="17">
        <f>IF(A698="","",TEXT(IF(DAY(A698)&gt;=Setup!$B$9,DATE(YEAR(A698),MONTH(A698)+1,1),DATE(YEAR(A698),MONTH(A698),1)),"mmmm yyyy"))</f>
      </c>
    </row>
    <row r="699" spans="1:8" x14ac:dyDescent="0.3">
      <c r="A699" s="48"/>
      <c r="B699" s="7"/>
      <c r="C699" s="6"/>
      <c r="D699" s="7"/>
      <c r="E699" s="7"/>
      <c r="F699" s="7"/>
      <c r="G699" s="7"/>
      <c r="H699" s="17">
        <f>IF(A699="","",TEXT(IF(DAY(A699)&gt;=Setup!$B$9,DATE(YEAR(A699),MONTH(A699)+1,1),DATE(YEAR(A699),MONTH(A699),1)),"mmmm yyyy"))</f>
      </c>
    </row>
    <row r="700" spans="1:8" x14ac:dyDescent="0.3">
      <c r="A700" s="48"/>
      <c r="B700" s="7"/>
      <c r="C700" s="6"/>
      <c r="D700" s="7"/>
      <c r="E700" s="7"/>
      <c r="F700" s="7"/>
      <c r="G700" s="7"/>
      <c r="H700" s="17">
        <f>IF(A700="","",TEXT(IF(DAY(A700)&gt;=Setup!$B$9,DATE(YEAR(A700),MONTH(A700)+1,1),DATE(YEAR(A700),MONTH(A700),1)),"mmmm yyyy"))</f>
      </c>
    </row>
    <row r="701" spans="1:8" x14ac:dyDescent="0.3">
      <c r="A701" s="48"/>
      <c r="B701" s="7"/>
      <c r="C701" s="6"/>
      <c r="D701" s="7"/>
      <c r="E701" s="7"/>
      <c r="F701" s="7"/>
      <c r="G701" s="7"/>
      <c r="H701" s="17">
        <f>IF(A701="","",TEXT(IF(DAY(A701)&gt;=Setup!$B$9,DATE(YEAR(A701),MONTH(A701)+1,1),DATE(YEAR(A701),MONTH(A701),1)),"mmmm yyyy"))</f>
      </c>
    </row>
    <row r="702" spans="1:8" x14ac:dyDescent="0.3">
      <c r="A702" s="48"/>
      <c r="B702" s="7"/>
      <c r="C702" s="6"/>
      <c r="D702" s="7"/>
      <c r="E702" s="7"/>
      <c r="F702" s="7"/>
      <c r="G702" s="7"/>
      <c r="H702" s="17">
        <f>IF(A702="","",TEXT(IF(DAY(A702)&gt;=Setup!$B$9,DATE(YEAR(A702),MONTH(A702)+1,1),DATE(YEAR(A702),MONTH(A702),1)),"mmmm yyyy"))</f>
      </c>
    </row>
    <row r="703" spans="1:8" x14ac:dyDescent="0.3">
      <c r="A703" s="48"/>
      <c r="B703" s="7"/>
      <c r="C703" s="6"/>
      <c r="D703" s="7"/>
      <c r="E703" s="7"/>
      <c r="F703" s="7"/>
      <c r="G703" s="7"/>
      <c r="H703" s="17">
        <f>IF(A703="","",TEXT(IF(DAY(A703)&gt;=Setup!$B$9,DATE(YEAR(A703),MONTH(A703)+1,1),DATE(YEAR(A703),MONTH(A703),1)),"mmmm yyyy"))</f>
      </c>
    </row>
    <row r="704" spans="1:8" x14ac:dyDescent="0.3">
      <c r="A704" s="48"/>
      <c r="B704" s="7"/>
      <c r="C704" s="6"/>
      <c r="D704" s="7"/>
      <c r="E704" s="7"/>
      <c r="F704" s="7"/>
      <c r="G704" s="7"/>
      <c r="H704" s="17">
        <f>IF(A704="","",TEXT(IF(DAY(A704)&gt;=Setup!$B$9,DATE(YEAR(A704),MONTH(A704)+1,1),DATE(YEAR(A704),MONTH(A704),1)),"mmmm yyyy"))</f>
      </c>
    </row>
    <row r="705" spans="1:8" x14ac:dyDescent="0.3">
      <c r="A705" s="48"/>
      <c r="B705" s="7"/>
      <c r="C705" s="6"/>
      <c r="D705" s="7"/>
      <c r="E705" s="7"/>
      <c r="F705" s="7"/>
      <c r="G705" s="7"/>
      <c r="H705" s="17">
        <f>IF(A705="","",TEXT(IF(DAY(A705)&gt;=Setup!$B$9,DATE(YEAR(A705),MONTH(A705)+1,1),DATE(YEAR(A705),MONTH(A705),1)),"mmmm yyyy"))</f>
      </c>
    </row>
    <row r="706" spans="1:8" x14ac:dyDescent="0.3">
      <c r="A706" s="48"/>
      <c r="B706" s="7"/>
      <c r="C706" s="6"/>
      <c r="D706" s="7"/>
      <c r="E706" s="7"/>
      <c r="F706" s="7"/>
      <c r="G706" s="7"/>
      <c r="H706" s="17">
        <f>IF(A706="","",TEXT(IF(DAY(A706)&gt;=Setup!$B$9,DATE(YEAR(A706),MONTH(A706)+1,1),DATE(YEAR(A706),MONTH(A706),1)),"mmmm yyyy"))</f>
      </c>
    </row>
    <row r="707" spans="1:8" x14ac:dyDescent="0.3">
      <c r="A707" s="48"/>
      <c r="B707" s="7"/>
      <c r="C707" s="6"/>
      <c r="D707" s="7"/>
      <c r="E707" s="7"/>
      <c r="F707" s="7"/>
      <c r="G707" s="7"/>
      <c r="H707" s="17">
        <f>IF(A707="","",TEXT(IF(DAY(A707)&gt;=Setup!$B$9,DATE(YEAR(A707),MONTH(A707)+1,1),DATE(YEAR(A707),MONTH(A707),1)),"mmmm yyyy"))</f>
      </c>
    </row>
    <row r="708" spans="1:8" x14ac:dyDescent="0.3">
      <c r="A708" s="48"/>
      <c r="B708" s="7"/>
      <c r="C708" s="6"/>
      <c r="D708" s="7"/>
      <c r="E708" s="7"/>
      <c r="F708" s="7"/>
      <c r="G708" s="7"/>
      <c r="H708" s="17">
        <f>IF(A708="","",TEXT(IF(DAY(A708)&gt;=Setup!$B$9,DATE(YEAR(A708),MONTH(A708)+1,1),DATE(YEAR(A708),MONTH(A708),1)),"mmmm yyyy"))</f>
      </c>
    </row>
    <row r="709" spans="1:8" x14ac:dyDescent="0.3">
      <c r="A709" s="48"/>
      <c r="B709" s="7"/>
      <c r="C709" s="6"/>
      <c r="D709" s="7"/>
      <c r="E709" s="7"/>
      <c r="F709" s="7"/>
      <c r="G709" s="7"/>
      <c r="H709" s="17">
        <f>IF(A709="","",TEXT(IF(DAY(A709)&gt;=Setup!$B$9,DATE(YEAR(A709),MONTH(A709)+1,1),DATE(YEAR(A709),MONTH(A709),1)),"mmmm yyyy"))</f>
      </c>
    </row>
    <row r="710" spans="1:8" x14ac:dyDescent="0.3">
      <c r="A710" s="48"/>
      <c r="B710" s="7"/>
      <c r="C710" s="6"/>
      <c r="D710" s="7"/>
      <c r="E710" s="7"/>
      <c r="F710" s="7"/>
      <c r="G710" s="7"/>
      <c r="H710" s="17">
        <f>IF(A710="","",TEXT(IF(DAY(A710)&gt;=Setup!$B$9,DATE(YEAR(A710),MONTH(A710)+1,1),DATE(YEAR(A710),MONTH(A710),1)),"mmmm yyyy"))</f>
      </c>
    </row>
    <row r="711" spans="1:8" x14ac:dyDescent="0.3">
      <c r="A711" s="48"/>
      <c r="B711" s="7"/>
      <c r="C711" s="6"/>
      <c r="D711" s="7"/>
      <c r="E711" s="7"/>
      <c r="F711" s="7"/>
      <c r="G711" s="7"/>
      <c r="H711" s="17">
        <f>IF(A711="","",TEXT(IF(DAY(A711)&gt;=Setup!$B$9,DATE(YEAR(A711),MONTH(A711)+1,1),DATE(YEAR(A711),MONTH(A711),1)),"mmmm yyyy"))</f>
      </c>
    </row>
    <row r="712" spans="1:8" x14ac:dyDescent="0.3">
      <c r="A712" s="48"/>
      <c r="B712" s="7"/>
      <c r="C712" s="6"/>
      <c r="D712" s="7"/>
      <c r="E712" s="7"/>
      <c r="F712" s="7"/>
      <c r="G712" s="7"/>
      <c r="H712" s="17">
        <f>IF(A712="","",TEXT(IF(DAY(A712)&gt;=Setup!$B$9,DATE(YEAR(A712),MONTH(A712)+1,1),DATE(YEAR(A712),MONTH(A712),1)),"mmmm yyyy"))</f>
      </c>
    </row>
    <row r="713" spans="1:8" x14ac:dyDescent="0.3">
      <c r="A713" s="48"/>
      <c r="B713" s="7"/>
      <c r="C713" s="6"/>
      <c r="D713" s="7"/>
      <c r="E713" s="7"/>
      <c r="F713" s="7"/>
      <c r="G713" s="7"/>
      <c r="H713" s="17">
        <f>IF(A713="","",TEXT(IF(DAY(A713)&gt;=Setup!$B$9,DATE(YEAR(A713),MONTH(A713)+1,1),DATE(YEAR(A713),MONTH(A713),1)),"mmmm yyyy"))</f>
      </c>
    </row>
    <row r="714" spans="1:8" x14ac:dyDescent="0.3">
      <c r="A714" s="48"/>
      <c r="B714" s="7"/>
      <c r="C714" s="6"/>
      <c r="D714" s="7"/>
      <c r="E714" s="7"/>
      <c r="F714" s="7"/>
      <c r="G714" s="7"/>
      <c r="H714" s="17">
        <f>IF(A714="","",TEXT(IF(DAY(A714)&gt;=Setup!$B$9,DATE(YEAR(A714),MONTH(A714)+1,1),DATE(YEAR(A714),MONTH(A714),1)),"mmmm yyyy"))</f>
      </c>
    </row>
    <row r="715" spans="1:8" x14ac:dyDescent="0.3">
      <c r="A715" s="48"/>
      <c r="B715" s="7"/>
      <c r="C715" s="6"/>
      <c r="D715" s="7"/>
      <c r="E715" s="7"/>
      <c r="F715" s="7"/>
      <c r="G715" s="7"/>
      <c r="H715" s="17">
        <f>IF(A715="","",TEXT(IF(DAY(A715)&gt;=Setup!$B$9,DATE(YEAR(A715),MONTH(A715)+1,1),DATE(YEAR(A715),MONTH(A715),1)),"mmmm yyyy"))</f>
      </c>
    </row>
    <row r="716" spans="1:8" x14ac:dyDescent="0.3">
      <c r="A716" s="48"/>
      <c r="B716" s="7"/>
      <c r="C716" s="6"/>
      <c r="D716" s="7"/>
      <c r="E716" s="7"/>
      <c r="F716" s="7"/>
      <c r="G716" s="7"/>
      <c r="H716" s="17">
        <f>IF(A716="","",TEXT(IF(DAY(A716)&gt;=Setup!$B$9,DATE(YEAR(A716),MONTH(A716)+1,1),DATE(YEAR(A716),MONTH(A716),1)),"mmmm yyyy"))</f>
      </c>
    </row>
    <row r="717" spans="1:8" x14ac:dyDescent="0.3">
      <c r="A717" s="48"/>
      <c r="B717" s="7"/>
      <c r="C717" s="6"/>
      <c r="D717" s="7"/>
      <c r="E717" s="7"/>
      <c r="F717" s="7"/>
      <c r="G717" s="7"/>
      <c r="H717" s="17">
        <f>IF(A717="","",TEXT(IF(DAY(A717)&gt;=Setup!$B$9,DATE(YEAR(A717),MONTH(A717)+1,1),DATE(YEAR(A717),MONTH(A717),1)),"mmmm yyyy"))</f>
      </c>
    </row>
    <row r="718" spans="1:8" x14ac:dyDescent="0.3">
      <c r="A718" s="48"/>
      <c r="B718" s="7"/>
      <c r="C718" s="6"/>
      <c r="D718" s="7"/>
      <c r="E718" s="7"/>
      <c r="F718" s="7"/>
      <c r="G718" s="7"/>
      <c r="H718" s="17">
        <f>IF(A718="","",TEXT(IF(DAY(A718)&gt;=Setup!$B$9,DATE(YEAR(A718),MONTH(A718)+1,1),DATE(YEAR(A718),MONTH(A718),1)),"mmmm yyyy"))</f>
      </c>
    </row>
    <row r="719" spans="1:8" x14ac:dyDescent="0.3">
      <c r="A719" s="48"/>
      <c r="B719" s="7"/>
      <c r="C719" s="6"/>
      <c r="D719" s="7"/>
      <c r="E719" s="7"/>
      <c r="F719" s="7"/>
      <c r="G719" s="7"/>
      <c r="H719" s="17">
        <f>IF(A719="","",TEXT(IF(DAY(A719)&gt;=Setup!$B$9,DATE(YEAR(A719),MONTH(A719)+1,1),DATE(YEAR(A719),MONTH(A719),1)),"mmmm yyyy"))</f>
      </c>
    </row>
    <row r="720" spans="1:8" x14ac:dyDescent="0.3">
      <c r="A720" s="48"/>
      <c r="B720" s="7"/>
      <c r="C720" s="6"/>
      <c r="D720" s="7"/>
      <c r="E720" s="7"/>
      <c r="F720" s="7"/>
      <c r="G720" s="7"/>
      <c r="H720" s="17">
        <f>IF(A720="","",TEXT(IF(DAY(A720)&gt;=Setup!$B$9,DATE(YEAR(A720),MONTH(A720)+1,1),DATE(YEAR(A720),MONTH(A720),1)),"mmmm yyyy"))</f>
      </c>
    </row>
    <row r="721" spans="1:8" x14ac:dyDescent="0.3">
      <c r="A721" s="48"/>
      <c r="B721" s="7"/>
      <c r="C721" s="6"/>
      <c r="D721" s="7"/>
      <c r="E721" s="7"/>
      <c r="F721" s="7"/>
      <c r="G721" s="7"/>
      <c r="H721" s="17">
        <f>IF(A721="","",TEXT(IF(DAY(A721)&gt;=Setup!$B$9,DATE(YEAR(A721),MONTH(A721)+1,1),DATE(YEAR(A721),MONTH(A721),1)),"mmmm yyyy"))</f>
      </c>
    </row>
    <row r="722" spans="1:8" x14ac:dyDescent="0.3">
      <c r="A722" s="48"/>
      <c r="B722" s="7"/>
      <c r="C722" s="6"/>
      <c r="D722" s="7"/>
      <c r="E722" s="7"/>
      <c r="F722" s="7"/>
      <c r="G722" s="7"/>
      <c r="H722" s="17">
        <f>IF(A722="","",TEXT(IF(DAY(A722)&gt;=Setup!$B$9,DATE(YEAR(A722),MONTH(A722)+1,1),DATE(YEAR(A722),MONTH(A722),1)),"mmmm yyyy"))</f>
      </c>
    </row>
    <row r="723" spans="1:8" x14ac:dyDescent="0.3">
      <c r="A723" s="48"/>
      <c r="B723" s="7"/>
      <c r="C723" s="6"/>
      <c r="D723" s="7"/>
      <c r="E723" s="7"/>
      <c r="F723" s="7"/>
      <c r="G723" s="7"/>
      <c r="H723" s="17">
        <f>IF(A723="","",TEXT(IF(DAY(A723)&gt;=Setup!$B$9,DATE(YEAR(A723),MONTH(A723)+1,1),DATE(YEAR(A723),MONTH(A723),1)),"mmmm yyyy"))</f>
      </c>
    </row>
    <row r="724" spans="1:8" x14ac:dyDescent="0.3">
      <c r="A724" s="48"/>
      <c r="B724" s="7"/>
      <c r="C724" s="6"/>
      <c r="D724" s="7"/>
      <c r="E724" s="7"/>
      <c r="F724" s="7"/>
      <c r="G724" s="7"/>
      <c r="H724" s="17">
        <f>IF(A724="","",TEXT(IF(DAY(A724)&gt;=Setup!$B$9,DATE(YEAR(A724),MONTH(A724)+1,1),DATE(YEAR(A724),MONTH(A724),1)),"mmmm yyyy"))</f>
      </c>
    </row>
    <row r="725" spans="1:8" x14ac:dyDescent="0.3">
      <c r="A725" s="48"/>
      <c r="B725" s="7"/>
      <c r="C725" s="6"/>
      <c r="D725" s="7"/>
      <c r="E725" s="7"/>
      <c r="F725" s="7"/>
      <c r="G725" s="7"/>
      <c r="H725" s="17">
        <f>IF(A725="","",TEXT(IF(DAY(A725)&gt;=Setup!$B$9,DATE(YEAR(A725),MONTH(A725)+1,1),DATE(YEAR(A725),MONTH(A725),1)),"mmmm yyyy"))</f>
      </c>
    </row>
    <row r="726" spans="1:8" x14ac:dyDescent="0.3">
      <c r="A726" s="48"/>
      <c r="B726" s="7"/>
      <c r="C726" s="6"/>
      <c r="D726" s="7"/>
      <c r="E726" s="7"/>
      <c r="F726" s="7"/>
      <c r="G726" s="7"/>
      <c r="H726" s="17">
        <f>IF(A726="","",TEXT(IF(DAY(A726)&gt;=Setup!$B$9,DATE(YEAR(A726),MONTH(A726)+1,1),DATE(YEAR(A726),MONTH(A726),1)),"mmmm yyyy"))</f>
      </c>
    </row>
    <row r="727" spans="1:8" x14ac:dyDescent="0.3">
      <c r="A727" s="48"/>
      <c r="B727" s="7"/>
      <c r="C727" s="6"/>
      <c r="D727" s="7"/>
      <c r="E727" s="7"/>
      <c r="F727" s="7"/>
      <c r="G727" s="7"/>
      <c r="H727" s="17">
        <f>IF(A727="","",TEXT(IF(DAY(A727)&gt;=Setup!$B$9,DATE(YEAR(A727),MONTH(A727)+1,1),DATE(YEAR(A727),MONTH(A727),1)),"mmmm yyyy"))</f>
      </c>
    </row>
    <row r="728" spans="1:8" x14ac:dyDescent="0.3">
      <c r="A728" s="48"/>
      <c r="B728" s="7"/>
      <c r="C728" s="6"/>
      <c r="D728" s="7"/>
      <c r="E728" s="7"/>
      <c r="F728" s="7"/>
      <c r="G728" s="7"/>
      <c r="H728" s="17">
        <f>IF(A728="","",TEXT(IF(DAY(A728)&gt;=Setup!$B$9,DATE(YEAR(A728),MONTH(A728)+1,1),DATE(YEAR(A728),MONTH(A728),1)),"mmmm yyyy"))</f>
      </c>
    </row>
    <row r="729" spans="1:8" x14ac:dyDescent="0.3">
      <c r="A729" s="48"/>
      <c r="B729" s="7"/>
      <c r="C729" s="6"/>
      <c r="D729" s="7"/>
      <c r="E729" s="7"/>
      <c r="F729" s="7"/>
      <c r="G729" s="7"/>
      <c r="H729" s="17">
        <f>IF(A729="","",TEXT(IF(DAY(A729)&gt;=Setup!$B$9,DATE(YEAR(A729),MONTH(A729)+1,1),DATE(YEAR(A729),MONTH(A729),1)),"mmmm yyyy"))</f>
      </c>
    </row>
    <row r="730" spans="1:8" x14ac:dyDescent="0.3">
      <c r="A730" s="48"/>
      <c r="B730" s="7"/>
      <c r="C730" s="6"/>
      <c r="D730" s="7"/>
      <c r="E730" s="7"/>
      <c r="F730" s="7"/>
      <c r="G730" s="7"/>
      <c r="H730" s="17">
        <f>IF(A730="","",TEXT(IF(DAY(A730)&gt;=Setup!$B$9,DATE(YEAR(A730),MONTH(A730)+1,1),DATE(YEAR(A730),MONTH(A730),1)),"mmmm yyyy"))</f>
      </c>
    </row>
    <row r="731" spans="1:8" x14ac:dyDescent="0.3">
      <c r="A731" s="48"/>
      <c r="B731" s="7"/>
      <c r="C731" s="6"/>
      <c r="D731" s="7"/>
      <c r="E731" s="7"/>
      <c r="F731" s="7"/>
      <c r="G731" s="7"/>
      <c r="H731" s="17">
        <f>IF(A731="","",TEXT(IF(DAY(A731)&gt;=Setup!$B$9,DATE(YEAR(A731),MONTH(A731)+1,1),DATE(YEAR(A731),MONTH(A731),1)),"mmmm yyyy"))</f>
      </c>
    </row>
    <row r="732" spans="1:8" x14ac:dyDescent="0.3">
      <c r="A732" s="48"/>
      <c r="B732" s="7"/>
      <c r="C732" s="6"/>
      <c r="D732" s="7"/>
      <c r="E732" s="7"/>
      <c r="F732" s="7"/>
      <c r="G732" s="7"/>
      <c r="H732" s="17">
        <f>IF(A732="","",TEXT(IF(DAY(A732)&gt;=Setup!$B$9,DATE(YEAR(A732),MONTH(A732)+1,1),DATE(YEAR(A732),MONTH(A732),1)),"mmmm yyyy"))</f>
      </c>
    </row>
    <row r="733" spans="1:8" x14ac:dyDescent="0.3">
      <c r="A733" s="48"/>
      <c r="B733" s="7"/>
      <c r="C733" s="6"/>
      <c r="D733" s="7"/>
      <c r="E733" s="7"/>
      <c r="F733" s="7"/>
      <c r="G733" s="7"/>
      <c r="H733" s="17">
        <f>IF(A733="","",TEXT(IF(DAY(A733)&gt;=Setup!$B$9,DATE(YEAR(A733),MONTH(A733)+1,1),DATE(YEAR(A733),MONTH(A733),1)),"mmmm yyyy"))</f>
      </c>
    </row>
    <row r="734" spans="1:8" x14ac:dyDescent="0.3">
      <c r="A734" s="48"/>
      <c r="B734" s="7"/>
      <c r="C734" s="6"/>
      <c r="D734" s="7"/>
      <c r="E734" s="7"/>
      <c r="F734" s="7"/>
      <c r="G734" s="7"/>
      <c r="H734" s="17">
        <f>IF(A734="","",TEXT(IF(DAY(A734)&gt;=Setup!$B$9,DATE(YEAR(A734),MONTH(A734)+1,1),DATE(YEAR(A734),MONTH(A734),1)),"mmmm yyyy"))</f>
      </c>
    </row>
    <row r="735" spans="1:8" x14ac:dyDescent="0.3">
      <c r="A735" s="48"/>
      <c r="B735" s="7"/>
      <c r="C735" s="6"/>
      <c r="D735" s="7"/>
      <c r="E735" s="7"/>
      <c r="F735" s="7"/>
      <c r="G735" s="7"/>
      <c r="H735" s="17">
        <f>IF(A735="","",TEXT(IF(DAY(A735)&gt;=Setup!$B$9,DATE(YEAR(A735),MONTH(A735)+1,1),DATE(YEAR(A735),MONTH(A735),1)),"mmmm yyyy"))</f>
      </c>
    </row>
    <row r="736" spans="1:8" x14ac:dyDescent="0.3">
      <c r="A736" s="48"/>
      <c r="B736" s="7"/>
      <c r="C736" s="6"/>
      <c r="D736" s="7"/>
      <c r="E736" s="7"/>
      <c r="F736" s="7"/>
      <c r="G736" s="7"/>
      <c r="H736" s="17">
        <f>IF(A736="","",TEXT(IF(DAY(A736)&gt;=Setup!$B$9,DATE(YEAR(A736),MONTH(A736)+1,1),DATE(YEAR(A736),MONTH(A736),1)),"mmmm yyyy"))</f>
      </c>
    </row>
    <row r="737" spans="1:8" x14ac:dyDescent="0.3">
      <c r="A737" s="48"/>
      <c r="B737" s="7"/>
      <c r="C737" s="6"/>
      <c r="D737" s="7"/>
      <c r="E737" s="7"/>
      <c r="F737" s="7"/>
      <c r="G737" s="7"/>
      <c r="H737" s="17">
        <f>IF(A737="","",TEXT(IF(DAY(A737)&gt;=Setup!$B$9,DATE(YEAR(A737),MONTH(A737)+1,1),DATE(YEAR(A737),MONTH(A737),1)),"mmmm yyyy"))</f>
      </c>
    </row>
    <row r="738" spans="1:8" x14ac:dyDescent="0.3">
      <c r="A738" s="48"/>
      <c r="B738" s="7"/>
      <c r="C738" s="6"/>
      <c r="D738" s="7"/>
      <c r="E738" s="7"/>
      <c r="F738" s="7"/>
      <c r="G738" s="7"/>
      <c r="H738" s="17">
        <f>IF(A738="","",TEXT(IF(DAY(A738)&gt;=Setup!$B$9,DATE(YEAR(A738),MONTH(A738)+1,1),DATE(YEAR(A738),MONTH(A738),1)),"mmmm yyyy"))</f>
      </c>
    </row>
    <row r="739" spans="1:8" x14ac:dyDescent="0.3">
      <c r="A739" s="48"/>
      <c r="B739" s="7"/>
      <c r="C739" s="6"/>
      <c r="D739" s="7"/>
      <c r="E739" s="7"/>
      <c r="F739" s="7"/>
      <c r="G739" s="7"/>
      <c r="H739" s="17">
        <f>IF(A739="","",TEXT(IF(DAY(A739)&gt;=Setup!$B$9,DATE(YEAR(A739),MONTH(A739)+1,1),DATE(YEAR(A739),MONTH(A739),1)),"mmmm yyyy"))</f>
      </c>
    </row>
    <row r="740" spans="1:8" x14ac:dyDescent="0.3">
      <c r="A740" s="48"/>
      <c r="B740" s="7"/>
      <c r="C740" s="6"/>
      <c r="D740" s="7"/>
      <c r="E740" s="7"/>
      <c r="F740" s="7"/>
      <c r="G740" s="7"/>
      <c r="H740" s="17">
        <f>IF(A740="","",TEXT(IF(DAY(A740)&gt;=Setup!$B$9,DATE(YEAR(A740),MONTH(A740)+1,1),DATE(YEAR(A740),MONTH(A740),1)),"mmmm yyyy"))</f>
      </c>
    </row>
    <row r="741" spans="1:8" x14ac:dyDescent="0.3">
      <c r="A741" s="48"/>
      <c r="B741" s="7"/>
      <c r="C741" s="6"/>
      <c r="D741" s="7"/>
      <c r="E741" s="7"/>
      <c r="F741" s="7"/>
      <c r="G741" s="7"/>
      <c r="H741" s="17">
        <f>IF(A741="","",TEXT(IF(DAY(A741)&gt;=Setup!$B$9,DATE(YEAR(A741),MONTH(A741)+1,1),DATE(YEAR(A741),MONTH(A741),1)),"mmmm yyyy"))</f>
      </c>
    </row>
    <row r="742" spans="1:8" x14ac:dyDescent="0.3">
      <c r="A742" s="48"/>
      <c r="B742" s="7"/>
      <c r="C742" s="6"/>
      <c r="D742" s="7"/>
      <c r="E742" s="7"/>
      <c r="F742" s="7"/>
      <c r="G742" s="7"/>
      <c r="H742" s="17">
        <f>IF(A742="","",TEXT(IF(DAY(A742)&gt;=Setup!$B$9,DATE(YEAR(A742),MONTH(A742)+1,1),DATE(YEAR(A742),MONTH(A742),1)),"mmmm yyyy"))</f>
      </c>
    </row>
    <row r="743" spans="1:8" x14ac:dyDescent="0.3">
      <c r="A743" s="48"/>
      <c r="B743" s="7"/>
      <c r="C743" s="6"/>
      <c r="D743" s="7"/>
      <c r="E743" s="7"/>
      <c r="F743" s="7"/>
      <c r="G743" s="7"/>
      <c r="H743" s="17">
        <f>IF(A743="","",TEXT(IF(DAY(A743)&gt;=Setup!$B$9,DATE(YEAR(A743),MONTH(A743)+1,1),DATE(YEAR(A743),MONTH(A743),1)),"mmmm yyyy"))</f>
      </c>
    </row>
    <row r="744" spans="1:8" x14ac:dyDescent="0.3">
      <c r="A744" s="48"/>
      <c r="B744" s="7"/>
      <c r="C744" s="6"/>
      <c r="D744" s="7"/>
      <c r="E744" s="7"/>
      <c r="F744" s="7"/>
      <c r="G744" s="7"/>
      <c r="H744" s="17">
        <f>IF(A744="","",TEXT(IF(DAY(A744)&gt;=Setup!$B$9,DATE(YEAR(A744),MONTH(A744)+1,1),DATE(YEAR(A744),MONTH(A744),1)),"mmmm yyyy"))</f>
      </c>
    </row>
    <row r="745" spans="1:8" x14ac:dyDescent="0.3">
      <c r="A745" s="48"/>
      <c r="B745" s="7"/>
      <c r="C745" s="6"/>
      <c r="D745" s="7"/>
      <c r="E745" s="7"/>
      <c r="F745" s="7"/>
      <c r="G745" s="7"/>
      <c r="H745" s="17">
        <f>IF(A745="","",TEXT(IF(DAY(A745)&gt;=Setup!$B$9,DATE(YEAR(A745),MONTH(A745)+1,1),DATE(YEAR(A745),MONTH(A745),1)),"mmmm yyyy"))</f>
      </c>
    </row>
    <row r="746" spans="1:8" x14ac:dyDescent="0.3">
      <c r="A746" s="48"/>
      <c r="B746" s="7"/>
      <c r="C746" s="6"/>
      <c r="D746" s="7"/>
      <c r="E746" s="7"/>
      <c r="F746" s="7"/>
      <c r="G746" s="7"/>
      <c r="H746" s="17">
        <f>IF(A746="","",TEXT(IF(DAY(A746)&gt;=Setup!$B$9,DATE(YEAR(A746),MONTH(A746)+1,1),DATE(YEAR(A746),MONTH(A746),1)),"mmmm yyyy"))</f>
      </c>
    </row>
    <row r="747" spans="1:8" x14ac:dyDescent="0.3">
      <c r="A747" s="48"/>
      <c r="B747" s="7"/>
      <c r="C747" s="6"/>
      <c r="D747" s="7"/>
      <c r="E747" s="7"/>
      <c r="F747" s="7"/>
      <c r="G747" s="7"/>
      <c r="H747" s="17">
        <f>IF(A747="","",TEXT(IF(DAY(A747)&gt;=Setup!$B$9,DATE(YEAR(A747),MONTH(A747)+1,1),DATE(YEAR(A747),MONTH(A747),1)),"mmmm yyyy"))</f>
      </c>
    </row>
    <row r="748" spans="1:8" x14ac:dyDescent="0.3">
      <c r="A748" s="48"/>
      <c r="B748" s="7"/>
      <c r="C748" s="6"/>
      <c r="D748" s="7"/>
      <c r="E748" s="7"/>
      <c r="F748" s="7"/>
      <c r="G748" s="7"/>
      <c r="H748" s="17">
        <f>IF(A748="","",TEXT(IF(DAY(A748)&gt;=Setup!$B$9,DATE(YEAR(A748),MONTH(A748)+1,1),DATE(YEAR(A748),MONTH(A748),1)),"mmmm yyyy"))</f>
      </c>
    </row>
    <row r="749" spans="1:8" x14ac:dyDescent="0.3">
      <c r="A749" s="48"/>
      <c r="B749" s="7"/>
      <c r="C749" s="6"/>
      <c r="D749" s="7"/>
      <c r="E749" s="7"/>
      <c r="F749" s="7"/>
      <c r="G749" s="7"/>
      <c r="H749" s="17">
        <f>IF(A749="","",TEXT(IF(DAY(A749)&gt;=Setup!$B$9,DATE(YEAR(A749),MONTH(A749)+1,1),DATE(YEAR(A749),MONTH(A749),1)),"mmmm yyyy"))</f>
      </c>
    </row>
    <row r="750" spans="1:8" x14ac:dyDescent="0.3">
      <c r="A750" s="48"/>
      <c r="B750" s="7"/>
      <c r="C750" s="6"/>
      <c r="D750" s="7"/>
      <c r="E750" s="7"/>
      <c r="F750" s="7"/>
      <c r="G750" s="7"/>
      <c r="H750" s="17">
        <f>IF(A750="","",TEXT(IF(DAY(A750)&gt;=Setup!$B$9,DATE(YEAR(A750),MONTH(A750)+1,1),DATE(YEAR(A750),MONTH(A750),1)),"mmmm yyyy"))</f>
      </c>
    </row>
    <row r="751" spans="1:8" x14ac:dyDescent="0.3">
      <c r="A751" s="48"/>
      <c r="B751" s="7"/>
      <c r="C751" s="6"/>
      <c r="D751" s="7"/>
      <c r="E751" s="7"/>
      <c r="F751" s="7"/>
      <c r="G751" s="7"/>
      <c r="H751" s="17">
        <f>IF(A751="","",TEXT(IF(DAY(A751)&gt;=Setup!$B$9,DATE(YEAR(A751),MONTH(A751)+1,1),DATE(YEAR(A751),MONTH(A751),1)),"mmmm yyyy"))</f>
      </c>
    </row>
    <row r="752" spans="1:8" x14ac:dyDescent="0.3">
      <c r="A752" s="48"/>
      <c r="B752" s="7"/>
      <c r="C752" s="6"/>
      <c r="D752" s="7"/>
      <c r="E752" s="7"/>
      <c r="F752" s="7"/>
      <c r="G752" s="7"/>
      <c r="H752" s="17">
        <f>IF(A752="","",TEXT(IF(DAY(A752)&gt;=Setup!$B$9,DATE(YEAR(A752),MONTH(A752)+1,1),DATE(YEAR(A752),MONTH(A752),1)),"mmmm yyyy"))</f>
      </c>
    </row>
    <row r="753" spans="1:8" x14ac:dyDescent="0.3">
      <c r="A753" s="48"/>
      <c r="B753" s="7"/>
      <c r="C753" s="6"/>
      <c r="D753" s="7"/>
      <c r="E753" s="7"/>
      <c r="F753" s="7"/>
      <c r="G753" s="7"/>
      <c r="H753" s="17">
        <f>IF(A753="","",TEXT(IF(DAY(A753)&gt;=Setup!$B$9,DATE(YEAR(A753),MONTH(A753)+1,1),DATE(YEAR(A753),MONTH(A753),1)),"mmmm yyyy"))</f>
      </c>
    </row>
    <row r="754" spans="1:8" x14ac:dyDescent="0.3">
      <c r="A754" s="48"/>
      <c r="B754" s="7"/>
      <c r="C754" s="6"/>
      <c r="D754" s="7"/>
      <c r="E754" s="7"/>
      <c r="F754" s="7"/>
      <c r="G754" s="7"/>
      <c r="H754" s="17">
        <f>IF(A754="","",TEXT(IF(DAY(A754)&gt;=Setup!$B$9,DATE(YEAR(A754),MONTH(A754)+1,1),DATE(YEAR(A754),MONTH(A754),1)),"mmmm yyyy"))</f>
      </c>
    </row>
    <row r="755" spans="1:8" x14ac:dyDescent="0.3">
      <c r="A755" s="48"/>
      <c r="B755" s="7"/>
      <c r="C755" s="6"/>
      <c r="D755" s="7"/>
      <c r="E755" s="7"/>
      <c r="F755" s="7"/>
      <c r="G755" s="7"/>
      <c r="H755" s="17">
        <f>IF(A755="","",TEXT(IF(DAY(A755)&gt;=Setup!$B$9,DATE(YEAR(A755),MONTH(A755)+1,1),DATE(YEAR(A755),MONTH(A755),1)),"mmmm yyyy"))</f>
      </c>
    </row>
    <row r="756" spans="1:8" x14ac:dyDescent="0.3">
      <c r="A756" s="48"/>
      <c r="B756" s="7"/>
      <c r="C756" s="6"/>
      <c r="D756" s="7"/>
      <c r="E756" s="7"/>
      <c r="F756" s="7"/>
      <c r="G756" s="7"/>
      <c r="H756" s="17">
        <f>IF(A756="","",TEXT(IF(DAY(A756)&gt;=Setup!$B$9,DATE(YEAR(A756),MONTH(A756)+1,1),DATE(YEAR(A756),MONTH(A756),1)),"mmmm yyyy"))</f>
      </c>
    </row>
    <row r="757" spans="1:8" x14ac:dyDescent="0.3">
      <c r="A757" s="48"/>
      <c r="B757" s="7"/>
      <c r="C757" s="6"/>
      <c r="D757" s="7"/>
      <c r="E757" s="7"/>
      <c r="F757" s="7"/>
      <c r="G757" s="7"/>
      <c r="H757" s="17">
        <f>IF(A757="","",TEXT(IF(DAY(A757)&gt;=Setup!$B$9,DATE(YEAR(A757),MONTH(A757)+1,1),DATE(YEAR(A757),MONTH(A757),1)),"mmmm yyyy"))</f>
      </c>
    </row>
    <row r="758" spans="1:8" x14ac:dyDescent="0.3">
      <c r="A758" s="48"/>
      <c r="B758" s="7"/>
      <c r="C758" s="6"/>
      <c r="D758" s="7"/>
      <c r="E758" s="7"/>
      <c r="F758" s="7"/>
      <c r="G758" s="7"/>
      <c r="H758" s="17">
        <f>IF(A758="","",TEXT(IF(DAY(A758)&gt;=Setup!$B$9,DATE(YEAR(A758),MONTH(A758)+1,1),DATE(YEAR(A758),MONTH(A758),1)),"mmmm yyyy"))</f>
      </c>
    </row>
    <row r="759" spans="1:8" x14ac:dyDescent="0.3">
      <c r="A759" s="48"/>
      <c r="B759" s="7"/>
      <c r="C759" s="6"/>
      <c r="D759" s="7"/>
      <c r="E759" s="7"/>
      <c r="F759" s="7"/>
      <c r="G759" s="7"/>
      <c r="H759" s="17">
        <f>IF(A759="","",TEXT(IF(DAY(A759)&gt;=Setup!$B$9,DATE(YEAR(A759),MONTH(A759)+1,1),DATE(YEAR(A759),MONTH(A759),1)),"mmmm yyyy"))</f>
      </c>
    </row>
    <row r="760" spans="1:8" x14ac:dyDescent="0.3">
      <c r="A760" s="48"/>
      <c r="B760" s="7"/>
      <c r="C760" s="6"/>
      <c r="D760" s="7"/>
      <c r="E760" s="7"/>
      <c r="F760" s="7"/>
      <c r="G760" s="7"/>
      <c r="H760" s="17">
        <f>IF(A760="","",TEXT(IF(DAY(A760)&gt;=Setup!$B$9,DATE(YEAR(A760),MONTH(A760)+1,1),DATE(YEAR(A760),MONTH(A760),1)),"mmmm yyyy"))</f>
      </c>
    </row>
    <row r="761" spans="1:8" x14ac:dyDescent="0.3">
      <c r="A761" s="48"/>
      <c r="B761" s="7"/>
      <c r="C761" s="6"/>
      <c r="D761" s="7"/>
      <c r="E761" s="7"/>
      <c r="F761" s="7"/>
      <c r="G761" s="7"/>
      <c r="H761" s="17">
        <f>IF(A761="","",TEXT(IF(DAY(A761)&gt;=Setup!$B$9,DATE(YEAR(A761),MONTH(A761)+1,1),DATE(YEAR(A761),MONTH(A761),1)),"mmmm yyyy"))</f>
      </c>
    </row>
    <row r="762" spans="1:8" x14ac:dyDescent="0.3">
      <c r="A762" s="48"/>
      <c r="B762" s="7"/>
      <c r="C762" s="6"/>
      <c r="D762" s="7"/>
      <c r="E762" s="7"/>
      <c r="F762" s="7"/>
      <c r="G762" s="7"/>
      <c r="H762" s="17">
        <f>IF(A762="","",TEXT(IF(DAY(A762)&gt;=Setup!$B$9,DATE(YEAR(A762),MONTH(A762)+1,1),DATE(YEAR(A762),MONTH(A762),1)),"mmmm yyyy"))</f>
      </c>
    </row>
    <row r="763" spans="1:8" x14ac:dyDescent="0.3">
      <c r="A763" s="48"/>
      <c r="B763" s="7"/>
      <c r="C763" s="6"/>
      <c r="D763" s="7"/>
      <c r="E763" s="7"/>
      <c r="F763" s="7"/>
      <c r="G763" s="7"/>
      <c r="H763" s="17">
        <f>IF(A763="","",TEXT(IF(DAY(A763)&gt;=Setup!$B$9,DATE(YEAR(A763),MONTH(A763)+1,1),DATE(YEAR(A763),MONTH(A763),1)),"mmmm yyyy"))</f>
      </c>
    </row>
    <row r="764" spans="1:8" x14ac:dyDescent="0.3">
      <c r="A764" s="48"/>
      <c r="B764" s="7"/>
      <c r="C764" s="6"/>
      <c r="D764" s="7"/>
      <c r="E764" s="7"/>
      <c r="F764" s="7"/>
      <c r="G764" s="7"/>
      <c r="H764" s="17">
        <f>IF(A764="","",TEXT(IF(DAY(A764)&gt;=Setup!$B$9,DATE(YEAR(A764),MONTH(A764)+1,1),DATE(YEAR(A764),MONTH(A764),1)),"mmmm yyyy"))</f>
      </c>
    </row>
    <row r="765" spans="1:8" x14ac:dyDescent="0.3">
      <c r="A765" s="48"/>
      <c r="B765" s="7"/>
      <c r="C765" s="6"/>
      <c r="D765" s="7"/>
      <c r="E765" s="7"/>
      <c r="F765" s="7"/>
      <c r="G765" s="7"/>
      <c r="H765" s="17">
        <f>IF(A765="","",TEXT(IF(DAY(A765)&gt;=Setup!$B$9,DATE(YEAR(A765),MONTH(A765)+1,1),DATE(YEAR(A765),MONTH(A765),1)),"mmmm yyyy"))</f>
      </c>
    </row>
    <row r="766" spans="1:8" x14ac:dyDescent="0.3">
      <c r="A766" s="48"/>
      <c r="B766" s="7"/>
      <c r="C766" s="6"/>
      <c r="D766" s="7"/>
      <c r="E766" s="7"/>
      <c r="F766" s="7"/>
      <c r="G766" s="7"/>
      <c r="H766" s="17">
        <f>IF(A766="","",TEXT(IF(DAY(A766)&gt;=Setup!$B$9,DATE(YEAR(A766),MONTH(A766)+1,1),DATE(YEAR(A766),MONTH(A766),1)),"mmmm yyyy"))</f>
      </c>
    </row>
    <row r="767" spans="1:8" x14ac:dyDescent="0.3">
      <c r="A767" s="48"/>
      <c r="B767" s="7"/>
      <c r="C767" s="6"/>
      <c r="D767" s="7"/>
      <c r="E767" s="7"/>
      <c r="F767" s="7"/>
      <c r="G767" s="7"/>
      <c r="H767" s="17">
        <f>IF(A767="","",TEXT(IF(DAY(A767)&gt;=Setup!$B$9,DATE(YEAR(A767),MONTH(A767)+1,1),DATE(YEAR(A767),MONTH(A767),1)),"mmmm yyyy"))</f>
      </c>
    </row>
    <row r="768" spans="1:8" x14ac:dyDescent="0.3">
      <c r="A768" s="48"/>
      <c r="B768" s="7"/>
      <c r="C768" s="6"/>
      <c r="D768" s="7"/>
      <c r="E768" s="7"/>
      <c r="F768" s="7"/>
      <c r="G768" s="7"/>
      <c r="H768" s="17">
        <f>IF(A768="","",TEXT(IF(DAY(A768)&gt;=Setup!$B$9,DATE(YEAR(A768),MONTH(A768)+1,1),DATE(YEAR(A768),MONTH(A768),1)),"mmmm yyyy"))</f>
      </c>
    </row>
    <row r="769" spans="1:8" x14ac:dyDescent="0.3">
      <c r="A769" s="48"/>
      <c r="B769" s="7"/>
      <c r="C769" s="6"/>
      <c r="D769" s="7"/>
      <c r="E769" s="7"/>
      <c r="F769" s="7"/>
      <c r="G769" s="7"/>
      <c r="H769" s="17">
        <f>IF(A769="","",TEXT(IF(DAY(A769)&gt;=Setup!$B$9,DATE(YEAR(A769),MONTH(A769)+1,1),DATE(YEAR(A769),MONTH(A769),1)),"mmmm yyyy"))</f>
      </c>
    </row>
    <row r="770" spans="1:8" x14ac:dyDescent="0.3">
      <c r="A770" s="48"/>
      <c r="B770" s="7"/>
      <c r="C770" s="6"/>
      <c r="D770" s="7"/>
      <c r="E770" s="7"/>
      <c r="F770" s="7"/>
      <c r="G770" s="7"/>
      <c r="H770" s="17">
        <f>IF(A770="","",TEXT(IF(DAY(A770)&gt;=Setup!$B$9,DATE(YEAR(A770),MONTH(A770)+1,1),DATE(YEAR(A770),MONTH(A770),1)),"mmmm yyyy"))</f>
      </c>
    </row>
    <row r="771" spans="1:8" x14ac:dyDescent="0.3">
      <c r="A771" s="48"/>
      <c r="B771" s="7"/>
      <c r="C771" s="6"/>
      <c r="D771" s="7"/>
      <c r="E771" s="7"/>
      <c r="F771" s="7"/>
      <c r="G771" s="7"/>
      <c r="H771" s="17">
        <f>IF(A771="","",TEXT(IF(DAY(A771)&gt;=Setup!$B$9,DATE(YEAR(A771),MONTH(A771)+1,1),DATE(YEAR(A771),MONTH(A771),1)),"mmmm yyyy"))</f>
      </c>
    </row>
    <row r="772" spans="1:8" x14ac:dyDescent="0.3">
      <c r="A772" s="48"/>
      <c r="B772" s="7"/>
      <c r="C772" s="6"/>
      <c r="D772" s="7"/>
      <c r="E772" s="7"/>
      <c r="F772" s="7"/>
      <c r="G772" s="7"/>
      <c r="H772" s="17">
        <f>IF(A772="","",TEXT(IF(DAY(A772)&gt;=Setup!$B$9,DATE(YEAR(A772),MONTH(A772)+1,1),DATE(YEAR(A772),MONTH(A772),1)),"mmmm yyyy"))</f>
      </c>
    </row>
    <row r="773" spans="1:8" x14ac:dyDescent="0.3">
      <c r="A773" s="48"/>
      <c r="B773" s="7"/>
      <c r="C773" s="6"/>
      <c r="D773" s="7"/>
      <c r="E773" s="7"/>
      <c r="F773" s="7"/>
      <c r="G773" s="7"/>
      <c r="H773" s="17">
        <f>IF(A773="","",TEXT(IF(DAY(A773)&gt;=Setup!$B$9,DATE(YEAR(A773),MONTH(A773)+1,1),DATE(YEAR(A773),MONTH(A773),1)),"mmmm yyyy"))</f>
      </c>
    </row>
    <row r="774" spans="1:8" x14ac:dyDescent="0.3">
      <c r="A774" s="48"/>
      <c r="B774" s="7"/>
      <c r="C774" s="6"/>
      <c r="D774" s="7"/>
      <c r="E774" s="7"/>
      <c r="F774" s="7"/>
      <c r="G774" s="7"/>
      <c r="H774" s="17">
        <f>IF(A774="","",TEXT(IF(DAY(A774)&gt;=Setup!$B$9,DATE(YEAR(A774),MONTH(A774)+1,1),DATE(YEAR(A774),MONTH(A774),1)),"mmmm yyyy"))</f>
      </c>
    </row>
    <row r="775" spans="1:8" x14ac:dyDescent="0.3">
      <c r="A775" s="48"/>
      <c r="B775" s="7"/>
      <c r="C775" s="6"/>
      <c r="D775" s="7"/>
      <c r="E775" s="7"/>
      <c r="F775" s="7"/>
      <c r="G775" s="7"/>
      <c r="H775" s="17">
        <f>IF(A775="","",TEXT(IF(DAY(A775)&gt;=Setup!$B$9,DATE(YEAR(A775),MONTH(A775)+1,1),DATE(YEAR(A775),MONTH(A775),1)),"mmmm yyyy"))</f>
      </c>
    </row>
    <row r="776" spans="1:8" x14ac:dyDescent="0.3">
      <c r="A776" s="48"/>
      <c r="B776" s="7"/>
      <c r="C776" s="6"/>
      <c r="D776" s="7"/>
      <c r="E776" s="7"/>
      <c r="F776" s="7"/>
      <c r="G776" s="7"/>
      <c r="H776" s="17">
        <f>IF(A776="","",TEXT(IF(DAY(A776)&gt;=Setup!$B$9,DATE(YEAR(A776),MONTH(A776)+1,1),DATE(YEAR(A776),MONTH(A776),1)),"mmmm yyyy"))</f>
      </c>
    </row>
    <row r="777" spans="1:8" x14ac:dyDescent="0.3">
      <c r="A777" s="48"/>
      <c r="B777" s="7"/>
      <c r="C777" s="6"/>
      <c r="D777" s="7"/>
      <c r="E777" s="7"/>
      <c r="F777" s="7"/>
      <c r="G777" s="7"/>
      <c r="H777" s="17">
        <f>IF(A777="","",TEXT(IF(DAY(A777)&gt;=Setup!$B$9,DATE(YEAR(A777),MONTH(A777)+1,1),DATE(YEAR(A777),MONTH(A777),1)),"mmmm yyyy"))</f>
      </c>
    </row>
    <row r="778" spans="1:8" x14ac:dyDescent="0.3">
      <c r="A778" s="48"/>
      <c r="B778" s="7"/>
      <c r="C778" s="6"/>
      <c r="D778" s="7"/>
      <c r="E778" s="7"/>
      <c r="F778" s="7"/>
      <c r="G778" s="7"/>
      <c r="H778" s="17">
        <f>IF(A778="","",TEXT(IF(DAY(A778)&gt;=Setup!$B$9,DATE(YEAR(A778),MONTH(A778)+1,1),DATE(YEAR(A778),MONTH(A778),1)),"mmmm yyyy"))</f>
      </c>
    </row>
    <row r="779" spans="1:8" x14ac:dyDescent="0.3">
      <c r="A779" s="48"/>
      <c r="B779" s="7"/>
      <c r="C779" s="6"/>
      <c r="D779" s="7"/>
      <c r="E779" s="7"/>
      <c r="F779" s="7"/>
      <c r="G779" s="7"/>
      <c r="H779" s="17">
        <f>IF(A779="","",TEXT(IF(DAY(A779)&gt;=Setup!$B$9,DATE(YEAR(A779),MONTH(A779)+1,1),DATE(YEAR(A779),MONTH(A779),1)),"mmmm yyyy"))</f>
      </c>
    </row>
    <row r="780" spans="1:8" x14ac:dyDescent="0.3">
      <c r="A780" s="48"/>
      <c r="B780" s="7"/>
      <c r="C780" s="6"/>
      <c r="D780" s="7"/>
      <c r="E780" s="7"/>
      <c r="F780" s="7"/>
      <c r="G780" s="7"/>
      <c r="H780" s="17">
        <f>IF(A780="","",TEXT(IF(DAY(A780)&gt;=Setup!$B$9,DATE(YEAR(A780),MONTH(A780)+1,1),DATE(YEAR(A780),MONTH(A780),1)),"mmmm yyyy"))</f>
      </c>
    </row>
    <row r="781" spans="1:8" x14ac:dyDescent="0.3">
      <c r="A781" s="48"/>
      <c r="B781" s="7"/>
      <c r="C781" s="6"/>
      <c r="D781" s="7"/>
      <c r="E781" s="7"/>
      <c r="F781" s="7"/>
      <c r="G781" s="7"/>
      <c r="H781" s="17">
        <f>IF(A781="","",TEXT(IF(DAY(A781)&gt;=Setup!$B$9,DATE(YEAR(A781),MONTH(A781)+1,1),DATE(YEAR(A781),MONTH(A781),1)),"mmmm yyyy"))</f>
      </c>
    </row>
    <row r="782" spans="1:8" x14ac:dyDescent="0.3">
      <c r="A782" s="48"/>
      <c r="B782" s="7"/>
      <c r="C782" s="6"/>
      <c r="D782" s="7"/>
      <c r="E782" s="7"/>
      <c r="F782" s="7"/>
      <c r="G782" s="7"/>
      <c r="H782" s="17">
        <f>IF(A782="","",TEXT(IF(DAY(A782)&gt;=Setup!$B$9,DATE(YEAR(A782),MONTH(A782)+1,1),DATE(YEAR(A782),MONTH(A782),1)),"mmmm yyyy"))</f>
      </c>
    </row>
    <row r="783" spans="1:8" x14ac:dyDescent="0.3">
      <c r="A783" s="48"/>
      <c r="B783" s="7"/>
      <c r="C783" s="6"/>
      <c r="D783" s="7"/>
      <c r="E783" s="7"/>
      <c r="F783" s="7"/>
      <c r="G783" s="7"/>
      <c r="H783" s="17">
        <f>IF(A783="","",TEXT(IF(DAY(A783)&gt;=Setup!$B$9,DATE(YEAR(A783),MONTH(A783)+1,1),DATE(YEAR(A783),MONTH(A783),1)),"mmmm yyyy"))</f>
      </c>
    </row>
    <row r="784" spans="1:8" x14ac:dyDescent="0.3">
      <c r="A784" s="48"/>
      <c r="B784" s="7"/>
      <c r="C784" s="6"/>
      <c r="D784" s="7"/>
      <c r="E784" s="7"/>
      <c r="F784" s="7"/>
      <c r="G784" s="7"/>
      <c r="H784" s="17">
        <f>IF(A784="","",TEXT(IF(DAY(A784)&gt;=Setup!$B$9,DATE(YEAR(A784),MONTH(A784)+1,1),DATE(YEAR(A784),MONTH(A784),1)),"mmmm yyyy"))</f>
      </c>
    </row>
    <row r="785" spans="1:8" x14ac:dyDescent="0.3">
      <c r="A785" s="48"/>
      <c r="B785" s="7"/>
      <c r="C785" s="6"/>
      <c r="D785" s="7"/>
      <c r="E785" s="7"/>
      <c r="F785" s="7"/>
      <c r="G785" s="7"/>
      <c r="H785" s="17">
        <f>IF(A785="","",TEXT(IF(DAY(A785)&gt;=Setup!$B$9,DATE(YEAR(A785),MONTH(A785)+1,1),DATE(YEAR(A785),MONTH(A785),1)),"mmmm yyyy"))</f>
      </c>
    </row>
    <row r="786" spans="1:8" x14ac:dyDescent="0.3">
      <c r="A786" s="48"/>
      <c r="B786" s="7"/>
      <c r="C786" s="6"/>
      <c r="D786" s="7"/>
      <c r="E786" s="7"/>
      <c r="F786" s="7"/>
      <c r="G786" s="7"/>
      <c r="H786" s="17">
        <f>IF(A786="","",TEXT(IF(DAY(A786)&gt;=Setup!$B$9,DATE(YEAR(A786),MONTH(A786)+1,1),DATE(YEAR(A786),MONTH(A786),1)),"mmmm yyyy"))</f>
      </c>
    </row>
    <row r="787" spans="1:8" x14ac:dyDescent="0.3">
      <c r="A787" s="48"/>
      <c r="B787" s="7"/>
      <c r="C787" s="6"/>
      <c r="D787" s="7"/>
      <c r="E787" s="7"/>
      <c r="F787" s="7"/>
      <c r="G787" s="7"/>
      <c r="H787" s="17">
        <f>IF(A787="","",TEXT(IF(DAY(A787)&gt;=Setup!$B$9,DATE(YEAR(A787),MONTH(A787)+1,1),DATE(YEAR(A787),MONTH(A787),1)),"mmmm yyyy"))</f>
      </c>
    </row>
    <row r="788" spans="1:8" x14ac:dyDescent="0.3">
      <c r="A788" s="48"/>
      <c r="B788" s="7"/>
      <c r="C788" s="6"/>
      <c r="D788" s="7"/>
      <c r="E788" s="7"/>
      <c r="F788" s="7"/>
      <c r="G788" s="7"/>
      <c r="H788" s="17">
        <f>IF(A788="","",TEXT(IF(DAY(A788)&gt;=Setup!$B$9,DATE(YEAR(A788),MONTH(A788)+1,1),DATE(YEAR(A788),MONTH(A788),1)),"mmmm yyyy"))</f>
      </c>
    </row>
    <row r="789" spans="1:8" x14ac:dyDescent="0.3">
      <c r="A789" s="48"/>
      <c r="B789" s="7"/>
      <c r="C789" s="6"/>
      <c r="D789" s="7"/>
      <c r="E789" s="7"/>
      <c r="F789" s="7"/>
      <c r="G789" s="7"/>
      <c r="H789" s="17">
        <f>IF(A789="","",TEXT(IF(DAY(A789)&gt;=Setup!$B$9,DATE(YEAR(A789),MONTH(A789)+1,1),DATE(YEAR(A789),MONTH(A789),1)),"mmmm yyyy"))</f>
      </c>
    </row>
    <row r="790" spans="1:8" x14ac:dyDescent="0.3">
      <c r="A790" s="48"/>
      <c r="B790" s="7"/>
      <c r="C790" s="6"/>
      <c r="D790" s="7"/>
      <c r="E790" s="7"/>
      <c r="F790" s="7"/>
      <c r="G790" s="7"/>
      <c r="H790" s="17">
        <f>IF(A790="","",TEXT(IF(DAY(A790)&gt;=Setup!$B$9,DATE(YEAR(A790),MONTH(A790)+1,1),DATE(YEAR(A790),MONTH(A790),1)),"mmmm yyyy"))</f>
      </c>
    </row>
    <row r="791" spans="1:8" x14ac:dyDescent="0.3">
      <c r="A791" s="48"/>
      <c r="B791" s="7"/>
      <c r="C791" s="6"/>
      <c r="D791" s="7"/>
      <c r="E791" s="7"/>
      <c r="F791" s="7"/>
      <c r="G791" s="7"/>
      <c r="H791" s="17">
        <f>IF(A791="","",TEXT(IF(DAY(A791)&gt;=Setup!$B$9,DATE(YEAR(A791),MONTH(A791)+1,1),DATE(YEAR(A791),MONTH(A791),1)),"mmmm yyyy"))</f>
      </c>
    </row>
    <row r="792" spans="1:8" x14ac:dyDescent="0.3">
      <c r="A792" s="48"/>
      <c r="B792" s="7"/>
      <c r="C792" s="6"/>
      <c r="D792" s="7"/>
      <c r="E792" s="7"/>
      <c r="F792" s="7"/>
      <c r="G792" s="7"/>
      <c r="H792" s="17">
        <f>IF(A792="","",TEXT(IF(DAY(A792)&gt;=Setup!$B$9,DATE(YEAR(A792),MONTH(A792)+1,1),DATE(YEAR(A792),MONTH(A792),1)),"mmmm yyyy"))</f>
      </c>
    </row>
    <row r="793" spans="1:8" x14ac:dyDescent="0.3">
      <c r="A793" s="48"/>
      <c r="B793" s="7"/>
      <c r="C793" s="6"/>
      <c r="D793" s="7"/>
      <c r="E793" s="7"/>
      <c r="F793" s="7"/>
      <c r="G793" s="7"/>
      <c r="H793" s="17">
        <f>IF(A793="","",TEXT(IF(DAY(A793)&gt;=Setup!$B$9,DATE(YEAR(A793),MONTH(A793)+1,1),DATE(YEAR(A793),MONTH(A793),1)),"mmmm yyyy"))</f>
      </c>
    </row>
    <row r="794" spans="1:8" x14ac:dyDescent="0.3">
      <c r="A794" s="48"/>
      <c r="B794" s="7"/>
      <c r="C794" s="6"/>
      <c r="D794" s="7"/>
      <c r="E794" s="7"/>
      <c r="F794" s="7"/>
      <c r="G794" s="7"/>
      <c r="H794" s="17">
        <f>IF(A794="","",TEXT(IF(DAY(A794)&gt;=Setup!$B$9,DATE(YEAR(A794),MONTH(A794)+1,1),DATE(YEAR(A794),MONTH(A794),1)),"mmmm yyyy"))</f>
      </c>
    </row>
    <row r="795" spans="1:8" x14ac:dyDescent="0.3">
      <c r="A795" s="48"/>
      <c r="B795" s="7"/>
      <c r="C795" s="6"/>
      <c r="D795" s="7"/>
      <c r="E795" s="7"/>
      <c r="F795" s="7"/>
      <c r="G795" s="7"/>
      <c r="H795" s="17">
        <f>IF(A795="","",TEXT(IF(DAY(A795)&gt;=Setup!$B$9,DATE(YEAR(A795),MONTH(A795)+1,1),DATE(YEAR(A795),MONTH(A795),1)),"mmmm yyyy"))</f>
      </c>
    </row>
    <row r="796" spans="1:8" x14ac:dyDescent="0.3">
      <c r="A796" s="48"/>
      <c r="B796" s="7"/>
      <c r="C796" s="6"/>
      <c r="D796" s="7"/>
      <c r="E796" s="7"/>
      <c r="F796" s="7"/>
      <c r="G796" s="7"/>
      <c r="H796" s="17">
        <f>IF(A796="","",TEXT(IF(DAY(A796)&gt;=Setup!$B$9,DATE(YEAR(A796),MONTH(A796)+1,1),DATE(YEAR(A796),MONTH(A796),1)),"mmmm yyyy"))</f>
      </c>
    </row>
    <row r="797" spans="1:8" x14ac:dyDescent="0.3">
      <c r="A797" s="48"/>
      <c r="B797" s="7"/>
      <c r="C797" s="6"/>
      <c r="D797" s="7"/>
      <c r="E797" s="7"/>
      <c r="F797" s="7"/>
      <c r="G797" s="7"/>
      <c r="H797" s="17">
        <f>IF(A797="","",TEXT(IF(DAY(A797)&gt;=Setup!$B$9,DATE(YEAR(A797),MONTH(A797)+1,1),DATE(YEAR(A797),MONTH(A797),1)),"mmmm yyyy"))</f>
      </c>
    </row>
    <row r="798" spans="1:8" x14ac:dyDescent="0.3">
      <c r="A798" s="48"/>
      <c r="B798" s="7"/>
      <c r="C798" s="6"/>
      <c r="D798" s="7"/>
      <c r="E798" s="7"/>
      <c r="F798" s="7"/>
      <c r="G798" s="7"/>
      <c r="H798" s="17">
        <f>IF(A798="","",TEXT(IF(DAY(A798)&gt;=Setup!$B$9,DATE(YEAR(A798),MONTH(A798)+1,1),DATE(YEAR(A798),MONTH(A798),1)),"mmmm yyyy"))</f>
      </c>
    </row>
    <row r="799" spans="1:8" x14ac:dyDescent="0.3">
      <c r="A799" s="48"/>
      <c r="B799" s="7"/>
      <c r="C799" s="6"/>
      <c r="D799" s="7"/>
      <c r="E799" s="7"/>
      <c r="F799" s="7"/>
      <c r="G799" s="7"/>
      <c r="H799" s="17">
        <f>IF(A799="","",TEXT(IF(DAY(A799)&gt;=Setup!$B$9,DATE(YEAR(A799),MONTH(A799)+1,1),DATE(YEAR(A799),MONTH(A799),1)),"mmmm yyyy"))</f>
      </c>
    </row>
    <row r="800" spans="1:8" x14ac:dyDescent="0.3">
      <c r="A800" s="48"/>
      <c r="B800" s="7"/>
      <c r="C800" s="6"/>
      <c r="D800" s="7"/>
      <c r="E800" s="7"/>
      <c r="F800" s="7"/>
      <c r="G800" s="7"/>
      <c r="H800" s="17">
        <f>IF(A800="","",TEXT(IF(DAY(A800)&gt;=Setup!$B$9,DATE(YEAR(A800),MONTH(A800)+1,1),DATE(YEAR(A800),MONTH(A800),1)),"mmmm yyyy"))</f>
      </c>
    </row>
    <row r="801" spans="1:8" x14ac:dyDescent="0.3">
      <c r="A801" s="48"/>
      <c r="B801" s="7"/>
      <c r="C801" s="6"/>
      <c r="D801" s="7"/>
      <c r="E801" s="7"/>
      <c r="F801" s="7"/>
      <c r="G801" s="7"/>
      <c r="H801" s="17">
        <f>IF(A801="","",TEXT(IF(DAY(A801)&gt;=Setup!$B$9,DATE(YEAR(A801),MONTH(A801)+1,1),DATE(YEAR(A801),MONTH(A801),1)),"mmmm yyyy"))</f>
      </c>
    </row>
    <row r="802" spans="1:8" x14ac:dyDescent="0.3">
      <c r="A802" s="48"/>
      <c r="B802" s="7"/>
      <c r="C802" s="6"/>
      <c r="D802" s="7"/>
      <c r="E802" s="7"/>
      <c r="F802" s="7"/>
      <c r="G802" s="7"/>
      <c r="H802" s="17">
        <f>IF(A802="","",TEXT(IF(DAY(A802)&gt;=Setup!$B$9,DATE(YEAR(A802),MONTH(A802)+1,1),DATE(YEAR(A802),MONTH(A802),1)),"mmmm yyyy"))</f>
      </c>
    </row>
    <row r="803" spans="1:8" x14ac:dyDescent="0.3">
      <c r="A803" s="48"/>
      <c r="B803" s="7"/>
      <c r="C803" s="6"/>
      <c r="D803" s="7"/>
      <c r="E803" s="7"/>
      <c r="F803" s="7"/>
      <c r="G803" s="7"/>
      <c r="H803" s="17">
        <f>IF(A803="","",TEXT(IF(DAY(A803)&gt;=Setup!$B$9,DATE(YEAR(A803),MONTH(A803)+1,1),DATE(YEAR(A803),MONTH(A803),1)),"mmmm yyyy"))</f>
      </c>
    </row>
    <row r="804" spans="1:8" x14ac:dyDescent="0.3">
      <c r="A804" s="48"/>
      <c r="B804" s="7"/>
      <c r="C804" s="6"/>
      <c r="D804" s="7"/>
      <c r="E804" s="7"/>
      <c r="F804" s="7"/>
      <c r="G804" s="7"/>
      <c r="H804" s="17">
        <f>IF(A804="","",TEXT(IF(DAY(A804)&gt;=Setup!$B$9,DATE(YEAR(A804),MONTH(A804)+1,1),DATE(YEAR(A804),MONTH(A804),1)),"mmmm yyyy"))</f>
      </c>
    </row>
    <row r="805" spans="1:8" x14ac:dyDescent="0.3">
      <c r="A805" s="48"/>
      <c r="B805" s="7"/>
      <c r="C805" s="6"/>
      <c r="D805" s="7"/>
      <c r="E805" s="7"/>
      <c r="F805" s="7"/>
      <c r="G805" s="7"/>
      <c r="H805" s="17">
        <f>IF(A805="","",TEXT(IF(DAY(A805)&gt;=Setup!$B$9,DATE(YEAR(A805),MONTH(A805)+1,1),DATE(YEAR(A805),MONTH(A805),1)),"mmmm yyyy"))</f>
      </c>
    </row>
    <row r="806" spans="1:8" x14ac:dyDescent="0.3">
      <c r="A806" s="48"/>
      <c r="B806" s="7"/>
      <c r="C806" s="6"/>
      <c r="D806" s="7"/>
      <c r="E806" s="7"/>
      <c r="F806" s="7"/>
      <c r="G806" s="7"/>
      <c r="H806" s="17">
        <f>IF(A806="","",TEXT(IF(DAY(A806)&gt;=Setup!$B$9,DATE(YEAR(A806),MONTH(A806)+1,1),DATE(YEAR(A806),MONTH(A806),1)),"mmmm yyyy"))</f>
      </c>
    </row>
    <row r="807" spans="1:8" x14ac:dyDescent="0.3">
      <c r="A807" s="48"/>
      <c r="B807" s="7"/>
      <c r="C807" s="6"/>
      <c r="D807" s="7"/>
      <c r="E807" s="7"/>
      <c r="F807" s="7"/>
      <c r="G807" s="7"/>
      <c r="H807" s="17">
        <f>IF(A807="","",TEXT(IF(DAY(A807)&gt;=Setup!$B$9,DATE(YEAR(A807),MONTH(A807)+1,1),DATE(YEAR(A807),MONTH(A807),1)),"mmmm yyyy"))</f>
      </c>
    </row>
    <row r="808" spans="1:8" x14ac:dyDescent="0.3">
      <c r="A808" s="48"/>
      <c r="B808" s="7"/>
      <c r="C808" s="6"/>
      <c r="D808" s="7"/>
      <c r="E808" s="7"/>
      <c r="F808" s="7"/>
      <c r="G808" s="7"/>
      <c r="H808" s="17">
        <f>IF(A808="","",TEXT(IF(DAY(A808)&gt;=Setup!$B$9,DATE(YEAR(A808),MONTH(A808)+1,1),DATE(YEAR(A808),MONTH(A808),1)),"mmmm yyyy"))</f>
      </c>
    </row>
    <row r="809" spans="1:8" x14ac:dyDescent="0.3">
      <c r="A809" s="48"/>
      <c r="B809" s="7"/>
      <c r="C809" s="6"/>
      <c r="D809" s="7"/>
      <c r="E809" s="7"/>
      <c r="F809" s="7"/>
      <c r="G809" s="7"/>
      <c r="H809" s="17">
        <f>IF(A809="","",TEXT(IF(DAY(A809)&gt;=Setup!$B$9,DATE(YEAR(A809),MONTH(A809)+1,1),DATE(YEAR(A809),MONTH(A809),1)),"mmmm yyyy"))</f>
      </c>
    </row>
    <row r="810" spans="1:8" x14ac:dyDescent="0.3">
      <c r="A810" s="48"/>
      <c r="B810" s="7"/>
      <c r="C810" s="6"/>
      <c r="D810" s="7"/>
      <c r="E810" s="7"/>
      <c r="F810" s="7"/>
      <c r="G810" s="7"/>
      <c r="H810" s="17">
        <f>IF(A810="","",TEXT(IF(DAY(A810)&gt;=Setup!$B$9,DATE(YEAR(A810),MONTH(A810)+1,1),DATE(YEAR(A810),MONTH(A810),1)),"mmmm yyyy"))</f>
      </c>
    </row>
    <row r="811" spans="1:8" x14ac:dyDescent="0.3">
      <c r="A811" s="48"/>
      <c r="B811" s="7"/>
      <c r="C811" s="6"/>
      <c r="D811" s="7"/>
      <c r="E811" s="7"/>
      <c r="F811" s="7"/>
      <c r="G811" s="7"/>
      <c r="H811" s="17">
        <f>IF(A811="","",TEXT(IF(DAY(A811)&gt;=Setup!$B$9,DATE(YEAR(A811),MONTH(A811)+1,1),DATE(YEAR(A811),MONTH(A811),1)),"mmmm yyyy"))</f>
      </c>
    </row>
    <row r="812" spans="1:8" x14ac:dyDescent="0.3">
      <c r="A812" s="48"/>
      <c r="B812" s="7"/>
      <c r="C812" s="6"/>
      <c r="D812" s="7"/>
      <c r="E812" s="7"/>
      <c r="F812" s="7"/>
      <c r="G812" s="7"/>
      <c r="H812" s="17">
        <f>IF(A812="","",TEXT(IF(DAY(A812)&gt;=Setup!$B$9,DATE(YEAR(A812),MONTH(A812)+1,1),DATE(YEAR(A812),MONTH(A812),1)),"mmmm yyyy"))</f>
      </c>
    </row>
    <row r="813" spans="1:8" x14ac:dyDescent="0.3">
      <c r="A813" s="48"/>
      <c r="B813" s="7"/>
      <c r="C813" s="6"/>
      <c r="D813" s="7"/>
      <c r="E813" s="7"/>
      <c r="F813" s="7"/>
      <c r="G813" s="7"/>
      <c r="H813" s="17">
        <f>IF(A813="","",TEXT(IF(DAY(A813)&gt;=Setup!$B$9,DATE(YEAR(A813),MONTH(A813)+1,1),DATE(YEAR(A813),MONTH(A813),1)),"mmmm yyyy"))</f>
      </c>
    </row>
    <row r="814" spans="1:8" x14ac:dyDescent="0.3">
      <c r="A814" s="48"/>
      <c r="B814" s="7"/>
      <c r="C814" s="6"/>
      <c r="D814" s="7"/>
      <c r="E814" s="7"/>
      <c r="F814" s="7"/>
      <c r="G814" s="7"/>
      <c r="H814" s="17">
        <f>IF(A814="","",TEXT(IF(DAY(A814)&gt;=Setup!$B$9,DATE(YEAR(A814),MONTH(A814)+1,1),DATE(YEAR(A814),MONTH(A814),1)),"mmmm yyyy"))</f>
      </c>
    </row>
    <row r="815" spans="1:8" x14ac:dyDescent="0.3">
      <c r="A815" s="48"/>
      <c r="B815" s="7"/>
      <c r="C815" s="6"/>
      <c r="D815" s="7"/>
      <c r="E815" s="7"/>
      <c r="F815" s="7"/>
      <c r="G815" s="7"/>
      <c r="H815" s="17">
        <f>IF(A815="","",TEXT(IF(DAY(A815)&gt;=Setup!$B$9,DATE(YEAR(A815),MONTH(A815)+1,1),DATE(YEAR(A815),MONTH(A815),1)),"mmmm yyyy"))</f>
      </c>
    </row>
    <row r="816" spans="1:8" x14ac:dyDescent="0.3">
      <c r="A816" s="48"/>
      <c r="B816" s="7"/>
      <c r="C816" s="6"/>
      <c r="D816" s="7"/>
      <c r="E816" s="7"/>
      <c r="F816" s="7"/>
      <c r="G816" s="7"/>
      <c r="H816" s="17">
        <f>IF(A816="","",TEXT(IF(DAY(A816)&gt;=Setup!$B$9,DATE(YEAR(A816),MONTH(A816)+1,1),DATE(YEAR(A816),MONTH(A816),1)),"mmmm yyyy"))</f>
      </c>
    </row>
    <row r="817" spans="1:8" x14ac:dyDescent="0.3">
      <c r="A817" s="48"/>
      <c r="B817" s="7"/>
      <c r="C817" s="6"/>
      <c r="D817" s="7"/>
      <c r="E817" s="7"/>
      <c r="F817" s="7"/>
      <c r="G817" s="7"/>
      <c r="H817" s="17">
        <f>IF(A817="","",TEXT(IF(DAY(A817)&gt;=Setup!$B$9,DATE(YEAR(A817),MONTH(A817)+1,1),DATE(YEAR(A817),MONTH(A817),1)),"mmmm yyyy"))</f>
      </c>
    </row>
    <row r="818" spans="1:8" x14ac:dyDescent="0.3">
      <c r="A818" s="48"/>
      <c r="B818" s="7"/>
      <c r="C818" s="6"/>
      <c r="D818" s="7"/>
      <c r="E818" s="7"/>
      <c r="F818" s="7"/>
      <c r="G818" s="7"/>
      <c r="H818" s="17">
        <f>IF(A818="","",TEXT(IF(DAY(A818)&gt;=Setup!$B$9,DATE(YEAR(A818),MONTH(A818)+1,1),DATE(YEAR(A818),MONTH(A818),1)),"mmmm yyyy"))</f>
      </c>
    </row>
    <row r="819" spans="1:8" x14ac:dyDescent="0.3">
      <c r="A819" s="48"/>
      <c r="B819" s="7"/>
      <c r="C819" s="6"/>
      <c r="D819" s="7"/>
      <c r="E819" s="7"/>
      <c r="F819" s="7"/>
      <c r="G819" s="7"/>
      <c r="H819" s="17">
        <f>IF(A819="","",TEXT(IF(DAY(A819)&gt;=Setup!$B$9,DATE(YEAR(A819),MONTH(A819)+1,1),DATE(YEAR(A819),MONTH(A819),1)),"mmmm yyyy"))</f>
      </c>
    </row>
    <row r="820" spans="1:8" x14ac:dyDescent="0.3">
      <c r="A820" s="48"/>
      <c r="B820" s="7"/>
      <c r="C820" s="6"/>
      <c r="D820" s="7"/>
      <c r="E820" s="7"/>
      <c r="F820" s="7"/>
      <c r="G820" s="7"/>
      <c r="H820" s="17">
        <f>IF(A820="","",TEXT(IF(DAY(A820)&gt;=Setup!$B$9,DATE(YEAR(A820),MONTH(A820)+1,1),DATE(YEAR(A820),MONTH(A820),1)),"mmmm yyyy"))</f>
      </c>
    </row>
    <row r="821" spans="1:8" x14ac:dyDescent="0.3">
      <c r="A821" s="48"/>
      <c r="B821" s="7"/>
      <c r="C821" s="6"/>
      <c r="D821" s="7"/>
      <c r="E821" s="7"/>
      <c r="F821" s="7"/>
      <c r="G821" s="7"/>
      <c r="H821" s="17">
        <f>IF(A821="","",TEXT(IF(DAY(A821)&gt;=Setup!$B$9,DATE(YEAR(A821),MONTH(A821)+1,1),DATE(YEAR(A821),MONTH(A821),1)),"mmmm yyyy"))</f>
      </c>
    </row>
    <row r="822" spans="1:8" x14ac:dyDescent="0.3">
      <c r="A822" s="48"/>
      <c r="B822" s="7"/>
      <c r="C822" s="6"/>
      <c r="D822" s="7"/>
      <c r="E822" s="7"/>
      <c r="F822" s="7"/>
      <c r="G822" s="7"/>
      <c r="H822" s="17">
        <f>IF(A822="","",TEXT(IF(DAY(A822)&gt;=Setup!$B$9,DATE(YEAR(A822),MONTH(A822)+1,1),DATE(YEAR(A822),MONTH(A822),1)),"mmmm yyyy"))</f>
      </c>
    </row>
    <row r="823" spans="1:8" x14ac:dyDescent="0.3">
      <c r="A823" s="48"/>
      <c r="B823" s="7"/>
      <c r="C823" s="6"/>
      <c r="D823" s="7"/>
      <c r="E823" s="7"/>
      <c r="F823" s="7"/>
      <c r="G823" s="7"/>
      <c r="H823" s="17">
        <f>IF(A823="","",TEXT(IF(DAY(A823)&gt;=Setup!$B$9,DATE(YEAR(A823),MONTH(A823)+1,1),DATE(YEAR(A823),MONTH(A823),1)),"mmmm yyyy"))</f>
      </c>
    </row>
    <row r="824" spans="1:8" x14ac:dyDescent="0.3">
      <c r="A824" s="48"/>
      <c r="B824" s="7"/>
      <c r="C824" s="6"/>
      <c r="D824" s="7"/>
      <c r="E824" s="7"/>
      <c r="F824" s="7"/>
      <c r="G824" s="7"/>
      <c r="H824" s="17">
        <f>IF(A824="","",TEXT(IF(DAY(A824)&gt;=Setup!$B$9,DATE(YEAR(A824),MONTH(A824)+1,1),DATE(YEAR(A824),MONTH(A824),1)),"mmmm yyyy"))</f>
      </c>
    </row>
    <row r="825" spans="1:8" x14ac:dyDescent="0.3">
      <c r="A825" s="48"/>
      <c r="B825" s="7"/>
      <c r="C825" s="6"/>
      <c r="D825" s="7"/>
      <c r="E825" s="7"/>
      <c r="F825" s="7"/>
      <c r="G825" s="7"/>
      <c r="H825" s="17">
        <f>IF(A825="","",TEXT(IF(DAY(A825)&gt;=Setup!$B$9,DATE(YEAR(A825),MONTH(A825)+1,1),DATE(YEAR(A825),MONTH(A825),1)),"mmmm yyyy"))</f>
      </c>
    </row>
    <row r="826" spans="1:8" x14ac:dyDescent="0.3">
      <c r="A826" s="48"/>
      <c r="B826" s="7"/>
      <c r="C826" s="6"/>
      <c r="D826" s="7"/>
      <c r="E826" s="7"/>
      <c r="F826" s="7"/>
      <c r="G826" s="7"/>
      <c r="H826" s="17">
        <f>IF(A826="","",TEXT(IF(DAY(A826)&gt;=Setup!$B$9,DATE(YEAR(A826),MONTH(A826)+1,1),DATE(YEAR(A826),MONTH(A826),1)),"mmmm yyyy"))</f>
      </c>
    </row>
    <row r="827" spans="1:8" x14ac:dyDescent="0.3">
      <c r="A827" s="48"/>
      <c r="B827" s="7"/>
      <c r="C827" s="6"/>
      <c r="D827" s="7"/>
      <c r="E827" s="7"/>
      <c r="F827" s="7"/>
      <c r="G827" s="7"/>
      <c r="H827" s="17">
        <f>IF(A827="","",TEXT(IF(DAY(A827)&gt;=Setup!$B$9,DATE(YEAR(A827),MONTH(A827)+1,1),DATE(YEAR(A827),MONTH(A827),1)),"mmmm yyyy"))</f>
      </c>
    </row>
    <row r="828" spans="1:8" x14ac:dyDescent="0.3">
      <c r="A828" s="48"/>
      <c r="B828" s="7"/>
      <c r="C828" s="6"/>
      <c r="D828" s="7"/>
      <c r="E828" s="7"/>
      <c r="F828" s="7"/>
      <c r="G828" s="7"/>
      <c r="H828" s="17">
        <f>IF(A828="","",TEXT(IF(DAY(A828)&gt;=Setup!$B$9,DATE(YEAR(A828),MONTH(A828)+1,1),DATE(YEAR(A828),MONTH(A828),1)),"mmmm yyyy"))</f>
      </c>
    </row>
    <row r="829" spans="1:8" x14ac:dyDescent="0.3">
      <c r="A829" s="48"/>
      <c r="B829" s="7"/>
      <c r="C829" s="6"/>
      <c r="D829" s="7"/>
      <c r="E829" s="7"/>
      <c r="F829" s="7"/>
      <c r="G829" s="7"/>
      <c r="H829" s="17">
        <f>IF(A829="","",TEXT(IF(DAY(A829)&gt;=Setup!$B$9,DATE(YEAR(A829),MONTH(A829)+1,1),DATE(YEAR(A829),MONTH(A829),1)),"mmmm yyyy"))</f>
      </c>
    </row>
    <row r="830" spans="1:8" x14ac:dyDescent="0.3">
      <c r="A830" s="48"/>
      <c r="B830" s="7"/>
      <c r="C830" s="6"/>
      <c r="D830" s="7"/>
      <c r="E830" s="7"/>
      <c r="F830" s="7"/>
      <c r="G830" s="7"/>
      <c r="H830" s="17">
        <f>IF(A830="","",TEXT(IF(DAY(A830)&gt;=Setup!$B$9,DATE(YEAR(A830),MONTH(A830)+1,1),DATE(YEAR(A830),MONTH(A830),1)),"mmmm yyyy"))</f>
      </c>
    </row>
    <row r="831" spans="1:8" x14ac:dyDescent="0.3">
      <c r="A831" s="48"/>
      <c r="B831" s="7"/>
      <c r="C831" s="6"/>
      <c r="D831" s="7"/>
      <c r="E831" s="7"/>
      <c r="F831" s="7"/>
      <c r="G831" s="7"/>
      <c r="H831" s="17">
        <f>IF(A831="","",TEXT(IF(DAY(A831)&gt;=Setup!$B$9,DATE(YEAR(A831),MONTH(A831)+1,1),DATE(YEAR(A831),MONTH(A831),1)),"mmmm yyyy"))</f>
      </c>
    </row>
    <row r="832" spans="1:8" x14ac:dyDescent="0.3">
      <c r="A832" s="48"/>
      <c r="B832" s="7"/>
      <c r="C832" s="6"/>
      <c r="D832" s="7"/>
      <c r="E832" s="7"/>
      <c r="F832" s="7"/>
      <c r="G832" s="7"/>
      <c r="H832" s="17">
        <f>IF(A832="","",TEXT(IF(DAY(A832)&gt;=Setup!$B$9,DATE(YEAR(A832),MONTH(A832)+1,1),DATE(YEAR(A832),MONTH(A832),1)),"mmmm yyyy"))</f>
      </c>
    </row>
    <row r="833" spans="1:8" x14ac:dyDescent="0.3">
      <c r="A833" s="48"/>
      <c r="B833" s="7"/>
      <c r="C833" s="6"/>
      <c r="D833" s="7"/>
      <c r="E833" s="7"/>
      <c r="F833" s="7"/>
      <c r="G833" s="7"/>
      <c r="H833" s="17">
        <f>IF(A833="","",TEXT(IF(DAY(A833)&gt;=Setup!$B$9,DATE(YEAR(A833),MONTH(A833)+1,1),DATE(YEAR(A833),MONTH(A833),1)),"mmmm yyyy"))</f>
      </c>
    </row>
    <row r="834" spans="1:8" x14ac:dyDescent="0.3">
      <c r="A834" s="48"/>
      <c r="B834" s="7"/>
      <c r="C834" s="6"/>
      <c r="D834" s="7"/>
      <c r="E834" s="7"/>
      <c r="F834" s="7"/>
      <c r="G834" s="7"/>
      <c r="H834" s="17">
        <f>IF(A834="","",TEXT(IF(DAY(A834)&gt;=Setup!$B$9,DATE(YEAR(A834),MONTH(A834)+1,1),DATE(YEAR(A834),MONTH(A834),1)),"mmmm yyyy"))</f>
      </c>
    </row>
    <row r="835" spans="1:8" x14ac:dyDescent="0.3">
      <c r="A835" s="48"/>
      <c r="B835" s="7"/>
      <c r="C835" s="6"/>
      <c r="D835" s="7"/>
      <c r="E835" s="7"/>
      <c r="F835" s="7"/>
      <c r="G835" s="7"/>
      <c r="H835" s="17">
        <f>IF(A835="","",TEXT(IF(DAY(A835)&gt;=Setup!$B$9,DATE(YEAR(A835),MONTH(A835)+1,1),DATE(YEAR(A835),MONTH(A835),1)),"mmmm yyyy"))</f>
      </c>
    </row>
    <row r="836" spans="1:8" x14ac:dyDescent="0.3">
      <c r="A836" s="48"/>
      <c r="B836" s="7"/>
      <c r="C836" s="6"/>
      <c r="D836" s="7"/>
      <c r="E836" s="7"/>
      <c r="F836" s="7"/>
      <c r="G836" s="7"/>
      <c r="H836" s="17">
        <f>IF(A836="","",TEXT(IF(DAY(A836)&gt;=Setup!$B$9,DATE(YEAR(A836),MONTH(A836)+1,1),DATE(YEAR(A836),MONTH(A836),1)),"mmmm yyyy"))</f>
      </c>
    </row>
    <row r="837" spans="1:8" x14ac:dyDescent="0.3">
      <c r="A837" s="48"/>
      <c r="B837" s="7"/>
      <c r="C837" s="6"/>
      <c r="D837" s="7"/>
      <c r="E837" s="7"/>
      <c r="F837" s="7"/>
      <c r="G837" s="7"/>
      <c r="H837" s="17">
        <f>IF(A837="","",TEXT(IF(DAY(A837)&gt;=Setup!$B$9,DATE(YEAR(A837),MONTH(A837)+1,1),DATE(YEAR(A837),MONTH(A837),1)),"mmmm yyyy"))</f>
      </c>
    </row>
    <row r="838" spans="1:8" x14ac:dyDescent="0.3">
      <c r="A838" s="48"/>
      <c r="B838" s="7"/>
      <c r="C838" s="6"/>
      <c r="D838" s="7"/>
      <c r="E838" s="7"/>
      <c r="F838" s="7"/>
      <c r="G838" s="7"/>
      <c r="H838" s="17">
        <f>IF(A838="","",TEXT(IF(DAY(A838)&gt;=Setup!$B$9,DATE(YEAR(A838),MONTH(A838)+1,1),DATE(YEAR(A838),MONTH(A838),1)),"mmmm yyyy"))</f>
      </c>
    </row>
    <row r="839" spans="1:8" x14ac:dyDescent="0.3">
      <c r="A839" s="48"/>
      <c r="B839" s="7"/>
      <c r="C839" s="6"/>
      <c r="D839" s="7"/>
      <c r="E839" s="7"/>
      <c r="F839" s="7"/>
      <c r="G839" s="7"/>
      <c r="H839" s="17">
        <f>IF(A839="","",TEXT(IF(DAY(A839)&gt;=Setup!$B$9,DATE(YEAR(A839),MONTH(A839)+1,1),DATE(YEAR(A839),MONTH(A839),1)),"mmmm yyyy"))</f>
      </c>
    </row>
    <row r="840" spans="1:8" x14ac:dyDescent="0.3">
      <c r="A840" s="48"/>
      <c r="B840" s="7"/>
      <c r="C840" s="6"/>
      <c r="D840" s="7"/>
      <c r="E840" s="7"/>
      <c r="F840" s="7"/>
      <c r="G840" s="7"/>
      <c r="H840" s="17">
        <f>IF(A840="","",TEXT(IF(DAY(A840)&gt;=Setup!$B$9,DATE(YEAR(A840),MONTH(A840)+1,1),DATE(YEAR(A840),MONTH(A840),1)),"mmmm yyyy"))</f>
      </c>
    </row>
    <row r="841" spans="1:8" x14ac:dyDescent="0.3">
      <c r="A841" s="48"/>
      <c r="B841" s="7"/>
      <c r="C841" s="6"/>
      <c r="D841" s="7"/>
      <c r="E841" s="7"/>
      <c r="F841" s="7"/>
      <c r="G841" s="7"/>
      <c r="H841" s="17">
        <f>IF(A841="","",TEXT(IF(DAY(A841)&gt;=Setup!$B$9,DATE(YEAR(A841),MONTH(A841)+1,1),DATE(YEAR(A841),MONTH(A841),1)),"mmmm yyyy"))</f>
      </c>
    </row>
    <row r="842" spans="1:8" x14ac:dyDescent="0.3">
      <c r="A842" s="48"/>
      <c r="B842" s="7"/>
      <c r="C842" s="6"/>
      <c r="D842" s="7"/>
      <c r="E842" s="7"/>
      <c r="F842" s="7"/>
      <c r="G842" s="7"/>
      <c r="H842" s="17">
        <f>IF(A842="","",TEXT(IF(DAY(A842)&gt;=Setup!$B$9,DATE(YEAR(A842),MONTH(A842)+1,1),DATE(YEAR(A842),MONTH(A842),1)),"mmmm yyyy"))</f>
      </c>
    </row>
    <row r="843" spans="1:8" x14ac:dyDescent="0.3">
      <c r="A843" s="48"/>
      <c r="B843" s="7"/>
      <c r="C843" s="6"/>
      <c r="D843" s="7"/>
      <c r="E843" s="7"/>
      <c r="F843" s="7"/>
      <c r="G843" s="7"/>
      <c r="H843" s="17">
        <f>IF(A843="","",TEXT(IF(DAY(A843)&gt;=Setup!$B$9,DATE(YEAR(A843),MONTH(A843)+1,1),DATE(YEAR(A843),MONTH(A843),1)),"mmmm yyyy"))</f>
      </c>
    </row>
    <row r="844" spans="1:8" x14ac:dyDescent="0.3">
      <c r="A844" s="48"/>
      <c r="B844" s="7"/>
      <c r="C844" s="6"/>
      <c r="D844" s="7"/>
      <c r="E844" s="7"/>
      <c r="F844" s="7"/>
      <c r="G844" s="7"/>
      <c r="H844" s="17">
        <f>IF(A844="","",TEXT(IF(DAY(A844)&gt;=Setup!$B$9,DATE(YEAR(A844),MONTH(A844)+1,1),DATE(YEAR(A844),MONTH(A844),1)),"mmmm yyyy"))</f>
      </c>
    </row>
    <row r="845" spans="1:8" x14ac:dyDescent="0.3">
      <c r="A845" s="48"/>
      <c r="B845" s="7"/>
      <c r="C845" s="6"/>
      <c r="D845" s="7"/>
      <c r="E845" s="7"/>
      <c r="F845" s="7"/>
      <c r="G845" s="7"/>
      <c r="H845" s="17">
        <f>IF(A845="","",TEXT(IF(DAY(A845)&gt;=Setup!$B$9,DATE(YEAR(A845),MONTH(A845)+1,1),DATE(YEAR(A845),MONTH(A845),1)),"mmmm yyyy"))</f>
      </c>
    </row>
    <row r="846" spans="1:8" x14ac:dyDescent="0.3">
      <c r="A846" s="48"/>
      <c r="B846" s="7"/>
      <c r="C846" s="6"/>
      <c r="D846" s="7"/>
      <c r="E846" s="7"/>
      <c r="F846" s="7"/>
      <c r="G846" s="7"/>
      <c r="H846" s="17">
        <f>IF(A846="","",TEXT(IF(DAY(A846)&gt;=Setup!$B$9,DATE(YEAR(A846),MONTH(A846)+1,1),DATE(YEAR(A846),MONTH(A846),1)),"mmmm yyyy"))</f>
      </c>
    </row>
    <row r="847" spans="1:8" x14ac:dyDescent="0.3">
      <c r="A847" s="48"/>
      <c r="B847" s="7"/>
      <c r="C847" s="6"/>
      <c r="D847" s="7"/>
      <c r="E847" s="7"/>
      <c r="F847" s="7"/>
      <c r="G847" s="7"/>
      <c r="H847" s="17">
        <f>IF(A847="","",TEXT(IF(DAY(A847)&gt;=Setup!$B$9,DATE(YEAR(A847),MONTH(A847)+1,1),DATE(YEAR(A847),MONTH(A847),1)),"mmmm yyyy"))</f>
      </c>
    </row>
    <row r="848" spans="1:8" x14ac:dyDescent="0.3">
      <c r="A848" s="48"/>
      <c r="B848" s="7"/>
      <c r="C848" s="6"/>
      <c r="D848" s="7"/>
      <c r="E848" s="7"/>
      <c r="F848" s="7"/>
      <c r="G848" s="7"/>
      <c r="H848" s="17">
        <f>IF(A848="","",TEXT(IF(DAY(A848)&gt;=Setup!$B$9,DATE(YEAR(A848),MONTH(A848)+1,1),DATE(YEAR(A848),MONTH(A848),1)),"mmmm yyyy"))</f>
      </c>
    </row>
    <row r="849" spans="1:8" x14ac:dyDescent="0.3">
      <c r="A849" s="48"/>
      <c r="B849" s="7"/>
      <c r="C849" s="6"/>
      <c r="D849" s="7"/>
      <c r="E849" s="7"/>
      <c r="F849" s="7"/>
      <c r="G849" s="7"/>
      <c r="H849" s="17">
        <f>IF(A849="","",TEXT(IF(DAY(A849)&gt;=Setup!$B$9,DATE(YEAR(A849),MONTH(A849)+1,1),DATE(YEAR(A849),MONTH(A849),1)),"mmmm yyyy"))</f>
      </c>
    </row>
    <row r="850" spans="1:8" x14ac:dyDescent="0.3">
      <c r="A850" s="48"/>
      <c r="B850" s="7"/>
      <c r="C850" s="6"/>
      <c r="D850" s="7"/>
      <c r="E850" s="7"/>
      <c r="F850" s="7"/>
      <c r="G850" s="7"/>
      <c r="H850" s="17">
        <f>IF(A850="","",TEXT(IF(DAY(A850)&gt;=Setup!$B$9,DATE(YEAR(A850),MONTH(A850)+1,1),DATE(YEAR(A850),MONTH(A850),1)),"mmmm yyyy"))</f>
      </c>
    </row>
    <row r="851" spans="1:8" x14ac:dyDescent="0.3">
      <c r="A851" s="48"/>
      <c r="B851" s="7"/>
      <c r="C851" s="6"/>
      <c r="D851" s="7"/>
      <c r="E851" s="7"/>
      <c r="F851" s="7"/>
      <c r="G851" s="7"/>
      <c r="H851" s="17">
        <f>IF(A851="","",TEXT(IF(DAY(A851)&gt;=Setup!$B$9,DATE(YEAR(A851),MONTH(A851)+1,1),DATE(YEAR(A851),MONTH(A851),1)),"mmmm yyyy"))</f>
      </c>
    </row>
    <row r="852" spans="1:8" x14ac:dyDescent="0.3">
      <c r="A852" s="48"/>
      <c r="B852" s="7"/>
      <c r="C852" s="6"/>
      <c r="D852" s="7"/>
      <c r="E852" s="7"/>
      <c r="F852" s="7"/>
      <c r="G852" s="7"/>
      <c r="H852" s="17">
        <f>IF(A852="","",TEXT(IF(DAY(A852)&gt;=Setup!$B$9,DATE(YEAR(A852),MONTH(A852)+1,1),DATE(YEAR(A852),MONTH(A852),1)),"mmmm yyyy"))</f>
      </c>
    </row>
    <row r="853" spans="1:8" x14ac:dyDescent="0.3">
      <c r="A853" s="48"/>
      <c r="B853" s="7"/>
      <c r="C853" s="6"/>
      <c r="D853" s="7"/>
      <c r="E853" s="7"/>
      <c r="F853" s="7"/>
      <c r="G853" s="7"/>
      <c r="H853" s="17">
        <f>IF(A853="","",TEXT(IF(DAY(A853)&gt;=Setup!$B$9,DATE(YEAR(A853),MONTH(A853)+1,1),DATE(YEAR(A853),MONTH(A853),1)),"mmmm yyyy"))</f>
      </c>
    </row>
    <row r="854" spans="1:8" x14ac:dyDescent="0.3">
      <c r="A854" s="48"/>
      <c r="B854" s="7"/>
      <c r="C854" s="6"/>
      <c r="D854" s="7"/>
      <c r="E854" s="7"/>
      <c r="F854" s="7"/>
      <c r="G854" s="7"/>
      <c r="H854" s="17">
        <f>IF(A854="","",TEXT(IF(DAY(A854)&gt;=Setup!$B$9,DATE(YEAR(A854),MONTH(A854)+1,1),DATE(YEAR(A854),MONTH(A854),1)),"mmmm yyyy"))</f>
      </c>
    </row>
    <row r="855" spans="1:8" x14ac:dyDescent="0.3">
      <c r="A855" s="48"/>
      <c r="B855" s="7"/>
      <c r="C855" s="6"/>
      <c r="D855" s="7"/>
      <c r="E855" s="7"/>
      <c r="F855" s="7"/>
      <c r="G855" s="7"/>
      <c r="H855" s="17">
        <f>IF(A855="","",TEXT(IF(DAY(A855)&gt;=Setup!$B$9,DATE(YEAR(A855),MONTH(A855)+1,1),DATE(YEAR(A855),MONTH(A855),1)),"mmmm yyyy"))</f>
      </c>
    </row>
    <row r="856" spans="1:8" x14ac:dyDescent="0.3">
      <c r="A856" s="48"/>
      <c r="B856" s="7"/>
      <c r="C856" s="6"/>
      <c r="D856" s="7"/>
      <c r="E856" s="7"/>
      <c r="F856" s="7"/>
      <c r="G856" s="7"/>
      <c r="H856" s="17">
        <f>IF(A856="","",TEXT(IF(DAY(A856)&gt;=Setup!$B$9,DATE(YEAR(A856),MONTH(A856)+1,1),DATE(YEAR(A856),MONTH(A856),1)),"mmmm yyyy"))</f>
      </c>
    </row>
    <row r="857" spans="1:8" x14ac:dyDescent="0.3">
      <c r="A857" s="48"/>
      <c r="B857" s="7"/>
      <c r="C857" s="6"/>
      <c r="D857" s="7"/>
      <c r="E857" s="7"/>
      <c r="F857" s="7"/>
      <c r="G857" s="7"/>
      <c r="H857" s="17">
        <f>IF(A857="","",TEXT(IF(DAY(A857)&gt;=Setup!$B$9,DATE(YEAR(A857),MONTH(A857)+1,1),DATE(YEAR(A857),MONTH(A857),1)),"mmmm yyyy"))</f>
      </c>
    </row>
    <row r="858" spans="1:8" x14ac:dyDescent="0.3">
      <c r="A858" s="48"/>
      <c r="B858" s="7"/>
      <c r="C858" s="6"/>
      <c r="D858" s="7"/>
      <c r="E858" s="7"/>
      <c r="F858" s="7"/>
      <c r="G858" s="7"/>
      <c r="H858" s="17">
        <f>IF(A858="","",TEXT(IF(DAY(A858)&gt;=Setup!$B$9,DATE(YEAR(A858),MONTH(A858)+1,1),DATE(YEAR(A858),MONTH(A858),1)),"mmmm yyyy"))</f>
      </c>
    </row>
    <row r="859" spans="1:8" x14ac:dyDescent="0.3">
      <c r="A859" s="48"/>
      <c r="B859" s="7"/>
      <c r="C859" s="6"/>
      <c r="D859" s="7"/>
      <c r="E859" s="7"/>
      <c r="F859" s="7"/>
      <c r="G859" s="7"/>
      <c r="H859" s="17">
        <f>IF(A859="","",TEXT(IF(DAY(A859)&gt;=Setup!$B$9,DATE(YEAR(A859),MONTH(A859)+1,1),DATE(YEAR(A859),MONTH(A859),1)),"mmmm yyyy"))</f>
      </c>
    </row>
    <row r="860" spans="1:8" x14ac:dyDescent="0.3">
      <c r="A860" s="48"/>
      <c r="B860" s="7"/>
      <c r="C860" s="6"/>
      <c r="D860" s="7"/>
      <c r="E860" s="7"/>
      <c r="F860" s="7"/>
      <c r="G860" s="7"/>
      <c r="H860" s="17">
        <f>IF(A860="","",TEXT(IF(DAY(A860)&gt;=Setup!$B$9,DATE(YEAR(A860),MONTH(A860)+1,1),DATE(YEAR(A860),MONTH(A860),1)),"mmmm yyyy"))</f>
      </c>
    </row>
    <row r="861" spans="1:8" x14ac:dyDescent="0.3">
      <c r="A861" s="48"/>
      <c r="B861" s="7"/>
      <c r="C861" s="6"/>
      <c r="D861" s="7"/>
      <c r="E861" s="7"/>
      <c r="F861" s="7"/>
      <c r="G861" s="7"/>
      <c r="H861" s="17">
        <f>IF(A861="","",TEXT(IF(DAY(A861)&gt;=Setup!$B$9,DATE(YEAR(A861),MONTH(A861)+1,1),DATE(YEAR(A861),MONTH(A861),1)),"mmmm yyyy"))</f>
      </c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  <row r="1001">
      <c r="A1001" s="50"/>
    </row>
    <row r="1002">
      <c r="A1002" s="50"/>
    </row>
    <row r="1003">
      <c r="A1003" s="50"/>
    </row>
    <row r="1004">
      <c r="A1004" s="50"/>
    </row>
    <row r="1005">
      <c r="A1005" s="50"/>
    </row>
    <row r="1006">
      <c r="A1006" s="50"/>
    </row>
    <row r="1007">
      <c r="A1007" s="50"/>
    </row>
    <row r="1008">
      <c r="A1008" s="50"/>
    </row>
    <row r="1009">
      <c r="A1009" s="50"/>
    </row>
    <row r="1010">
      <c r="A1010" s="50"/>
    </row>
    <row r="1011">
      <c r="A1011" s="50"/>
    </row>
    <row r="1012">
      <c r="A1012" s="50"/>
    </row>
    <row r="1013">
      <c r="A1013" s="50"/>
    </row>
    <row r="1014">
      <c r="A1014" s="50"/>
    </row>
    <row r="1015">
      <c r="A1015" s="50"/>
    </row>
    <row r="1016">
      <c r="A1016" s="50"/>
    </row>
    <row r="1017">
      <c r="A1017" s="50"/>
    </row>
    <row r="1018">
      <c r="A1018" s="50"/>
    </row>
    <row r="1019">
      <c r="A1019" s="50"/>
    </row>
    <row r="1020">
      <c r="A1020" s="50"/>
    </row>
    <row r="1021">
      <c r="A1021" s="50"/>
    </row>
    <row r="1022">
      <c r="A1022" s="50"/>
    </row>
    <row r="1023">
      <c r="A1023" s="50"/>
    </row>
    <row r="1024">
      <c r="A1024" s="50"/>
    </row>
    <row r="1025">
      <c r="A1025" s="50"/>
    </row>
    <row r="1026">
      <c r="A1026" s="50"/>
    </row>
    <row r="1027">
      <c r="A1027" s="50"/>
    </row>
    <row r="1028">
      <c r="A1028" s="50"/>
    </row>
    <row r="1029">
      <c r="A1029" s="50"/>
    </row>
    <row r="1030">
      <c r="A1030" s="50"/>
    </row>
    <row r="1031">
      <c r="A1031" s="50"/>
    </row>
    <row r="1032">
      <c r="A1032" s="50"/>
    </row>
    <row r="1033">
      <c r="A1033" s="50"/>
    </row>
    <row r="1034">
      <c r="A1034" s="50"/>
    </row>
    <row r="1035">
      <c r="A1035" s="50"/>
    </row>
    <row r="1036">
      <c r="A1036" s="50"/>
    </row>
    <row r="1037">
      <c r="A1037" s="50"/>
    </row>
    <row r="1038">
      <c r="A1038" s="50"/>
    </row>
    <row r="1039">
      <c r="A1039" s="50"/>
    </row>
    <row r="1040">
      <c r="A1040" s="50"/>
    </row>
    <row r="1041">
      <c r="A1041" s="50"/>
    </row>
    <row r="1042">
      <c r="A1042" s="50"/>
    </row>
    <row r="1043">
      <c r="A1043" s="50"/>
    </row>
    <row r="1044">
      <c r="A1044" s="50"/>
    </row>
    <row r="1045">
      <c r="A1045" s="50"/>
    </row>
    <row r="1046">
      <c r="A1046" s="50"/>
    </row>
    <row r="1047">
      <c r="A1047" s="50"/>
    </row>
    <row r="1048">
      <c r="A1048" s="50"/>
    </row>
    <row r="1049">
      <c r="A1049" s="50"/>
    </row>
    <row r="1050">
      <c r="A1050" s="50"/>
    </row>
    <row r="1051">
      <c r="A1051" s="50"/>
    </row>
    <row r="1052">
      <c r="A1052" s="50"/>
    </row>
    <row r="1053">
      <c r="A1053" s="50"/>
    </row>
    <row r="1054">
      <c r="A1054" s="50"/>
    </row>
    <row r="1055">
      <c r="A1055" s="50"/>
    </row>
    <row r="1056">
      <c r="A1056" s="50"/>
    </row>
    <row r="1057">
      <c r="A1057" s="50"/>
    </row>
    <row r="1058">
      <c r="A1058" s="50"/>
    </row>
    <row r="1059">
      <c r="A1059" s="50"/>
    </row>
    <row r="1060">
      <c r="A1060" s="50"/>
    </row>
    <row r="1061">
      <c r="A1061" s="50"/>
    </row>
    <row r="1062">
      <c r="A1062" s="50"/>
    </row>
    <row r="1063">
      <c r="A1063" s="50"/>
    </row>
    <row r="1064">
      <c r="A1064" s="50"/>
    </row>
    <row r="1065">
      <c r="A1065" s="50"/>
    </row>
    <row r="1066">
      <c r="A1066" s="50"/>
    </row>
    <row r="1067">
      <c r="A1067" s="50"/>
    </row>
    <row r="1068">
      <c r="A1068" s="50"/>
    </row>
    <row r="1069">
      <c r="A1069" s="50"/>
    </row>
    <row r="1070">
      <c r="A1070" s="50"/>
    </row>
    <row r="1071">
      <c r="A1071" s="50"/>
    </row>
    <row r="1072">
      <c r="A1072" s="50"/>
    </row>
    <row r="1073">
      <c r="A1073" s="50"/>
    </row>
    <row r="1074">
      <c r="A1074" s="50"/>
    </row>
    <row r="1075">
      <c r="A1075" s="50"/>
    </row>
    <row r="1076">
      <c r="A1076" s="50"/>
    </row>
    <row r="1077">
      <c r="A1077" s="50"/>
    </row>
    <row r="1078">
      <c r="A1078" s="50"/>
    </row>
    <row r="1079">
      <c r="A1079" s="50"/>
    </row>
    <row r="1080">
      <c r="A1080" s="50"/>
    </row>
    <row r="1081">
      <c r="A1081" s="50"/>
    </row>
    <row r="1082">
      <c r="A1082" s="50"/>
    </row>
    <row r="1083">
      <c r="A1083" s="50"/>
    </row>
    <row r="1084">
      <c r="A1084" s="50"/>
    </row>
    <row r="1085">
      <c r="A1085" s="50"/>
    </row>
    <row r="1086">
      <c r="A1086" s="50"/>
    </row>
    <row r="1087">
      <c r="A1087" s="50"/>
    </row>
    <row r="1088">
      <c r="A1088" s="50"/>
    </row>
    <row r="1089">
      <c r="A1089" s="50"/>
    </row>
    <row r="1090">
      <c r="A1090" s="50"/>
    </row>
    <row r="1091">
      <c r="A1091" s="50"/>
    </row>
    <row r="1092">
      <c r="A1092" s="50"/>
    </row>
    <row r="1093">
      <c r="A1093" s="50"/>
    </row>
    <row r="1094">
      <c r="A1094" s="50"/>
    </row>
    <row r="1095">
      <c r="A1095" s="50"/>
    </row>
    <row r="1096">
      <c r="A1096" s="50"/>
    </row>
    <row r="1097">
      <c r="A1097" s="50"/>
    </row>
    <row r="1098">
      <c r="A1098" s="50"/>
    </row>
    <row r="1099">
      <c r="A1099" s="50"/>
    </row>
    <row r="1100">
      <c r="A1100" s="50"/>
    </row>
    <row r="1101">
      <c r="A1101" s="50"/>
    </row>
    <row r="1102">
      <c r="A1102" s="50"/>
    </row>
    <row r="1103">
      <c r="A1103" s="50"/>
    </row>
    <row r="1104">
      <c r="A1104" s="50"/>
    </row>
    <row r="1105">
      <c r="A1105" s="50"/>
    </row>
    <row r="1106">
      <c r="A1106" s="50"/>
    </row>
    <row r="1107">
      <c r="A1107" s="50"/>
    </row>
    <row r="1108">
      <c r="A1108" s="50"/>
    </row>
    <row r="1109">
      <c r="A1109" s="50"/>
    </row>
    <row r="1110">
      <c r="A1110" s="50"/>
    </row>
    <row r="1111">
      <c r="A1111" s="50"/>
    </row>
    <row r="1112">
      <c r="A1112" s="50"/>
    </row>
    <row r="1113">
      <c r="A1113" s="50"/>
    </row>
    <row r="1114">
      <c r="A1114" s="50"/>
    </row>
    <row r="1115">
      <c r="A1115" s="50"/>
    </row>
    <row r="1116">
      <c r="A1116" s="50"/>
    </row>
    <row r="1117">
      <c r="A1117" s="50"/>
    </row>
    <row r="1118">
      <c r="A1118" s="50"/>
    </row>
    <row r="1119">
      <c r="A1119" s="50"/>
    </row>
    <row r="1120">
      <c r="A1120" s="50"/>
    </row>
    <row r="1121">
      <c r="A1121" s="50"/>
    </row>
    <row r="1122">
      <c r="A1122" s="50"/>
    </row>
    <row r="1123">
      <c r="A1123" s="50"/>
    </row>
    <row r="1124">
      <c r="A1124" s="50"/>
    </row>
    <row r="1125">
      <c r="A1125" s="50"/>
    </row>
    <row r="1126">
      <c r="A1126" s="50"/>
    </row>
    <row r="1127">
      <c r="A1127" s="50"/>
    </row>
    <row r="1128">
      <c r="A1128" s="50"/>
    </row>
    <row r="1129">
      <c r="A1129" s="50"/>
    </row>
    <row r="1130">
      <c r="A1130" s="50"/>
    </row>
    <row r="1131">
      <c r="A1131" s="50"/>
    </row>
    <row r="1132">
      <c r="A1132" s="50"/>
    </row>
    <row r="1133">
      <c r="A1133" s="50"/>
    </row>
    <row r="1134">
      <c r="A1134" s="50"/>
    </row>
    <row r="1135">
      <c r="A1135" s="50"/>
    </row>
    <row r="1136">
      <c r="A1136" s="50"/>
    </row>
    <row r="1137">
      <c r="A1137" s="50"/>
    </row>
    <row r="1138">
      <c r="A1138" s="50"/>
    </row>
    <row r="1139">
      <c r="A1139" s="50"/>
    </row>
    <row r="1140">
      <c r="A1140" s="50"/>
    </row>
    <row r="1141">
      <c r="A1141" s="50"/>
    </row>
    <row r="1142">
      <c r="A1142" s="50"/>
    </row>
    <row r="1143">
      <c r="A1143" s="50"/>
    </row>
    <row r="1144">
      <c r="A1144" s="50"/>
    </row>
    <row r="1145">
      <c r="A1145" s="50"/>
    </row>
    <row r="1146">
      <c r="A1146" s="50"/>
    </row>
    <row r="1147">
      <c r="A1147" s="50"/>
    </row>
    <row r="1148">
      <c r="A1148" s="50"/>
    </row>
    <row r="1149">
      <c r="A1149" s="50"/>
    </row>
    <row r="1150">
      <c r="A1150" s="50"/>
    </row>
    <row r="1151">
      <c r="A1151" s="50"/>
    </row>
    <row r="1152">
      <c r="A1152" s="50"/>
    </row>
    <row r="1153">
      <c r="A1153" s="50"/>
    </row>
    <row r="1154">
      <c r="A1154" s="50"/>
    </row>
    <row r="1155">
      <c r="A1155" s="50"/>
    </row>
    <row r="1156">
      <c r="A1156" s="50"/>
    </row>
    <row r="1157">
      <c r="A1157" s="50"/>
    </row>
    <row r="1158">
      <c r="A1158" s="50"/>
    </row>
    <row r="1159">
      <c r="A1159" s="50"/>
    </row>
    <row r="1160">
      <c r="A1160" s="50"/>
    </row>
    <row r="1161">
      <c r="A1161" s="50"/>
    </row>
    <row r="1162">
      <c r="A1162" s="50"/>
    </row>
    <row r="1163">
      <c r="A1163" s="50"/>
    </row>
    <row r="1164">
      <c r="A1164" s="50"/>
    </row>
    <row r="1165">
      <c r="A1165" s="50"/>
    </row>
    <row r="1166">
      <c r="A1166" s="50"/>
    </row>
    <row r="1167">
      <c r="A1167" s="50"/>
    </row>
    <row r="1168">
      <c r="A1168" s="50"/>
    </row>
    <row r="1169">
      <c r="A1169" s="50"/>
    </row>
    <row r="1170">
      <c r="A1170" s="50"/>
    </row>
    <row r="1171">
      <c r="A1171" s="50"/>
    </row>
    <row r="1172">
      <c r="A1172" s="50"/>
    </row>
    <row r="1173">
      <c r="A1173" s="50"/>
    </row>
    <row r="1174">
      <c r="A1174" s="50"/>
    </row>
    <row r="1175">
      <c r="A1175" s="50"/>
    </row>
    <row r="1176">
      <c r="A1176" s="50"/>
    </row>
    <row r="1177">
      <c r="A1177" s="50"/>
    </row>
    <row r="1178">
      <c r="A1178" s="50"/>
    </row>
    <row r="1179">
      <c r="A1179" s="50"/>
    </row>
    <row r="1180">
      <c r="A1180" s="50"/>
    </row>
    <row r="1181">
      <c r="A1181" s="50"/>
    </row>
    <row r="1182">
      <c r="A1182" s="50"/>
    </row>
    <row r="1183">
      <c r="A1183" s="50"/>
    </row>
    <row r="1184">
      <c r="A1184" s="50"/>
    </row>
    <row r="1185">
      <c r="A1185" s="50"/>
    </row>
    <row r="1186">
      <c r="A1186" s="50"/>
    </row>
    <row r="1187">
      <c r="A1187" s="50"/>
    </row>
    <row r="1188">
      <c r="A1188" s="50"/>
    </row>
    <row r="1189">
      <c r="A1189" s="50"/>
    </row>
    <row r="1190">
      <c r="A1190" s="50"/>
    </row>
    <row r="1191">
      <c r="A1191" s="50"/>
    </row>
    <row r="1192">
      <c r="A1192" s="50"/>
    </row>
    <row r="1193">
      <c r="A1193" s="50"/>
    </row>
    <row r="1194">
      <c r="A1194" s="50"/>
    </row>
    <row r="1195">
      <c r="A1195" s="50"/>
    </row>
    <row r="1196">
      <c r="A1196" s="50"/>
    </row>
    <row r="1197">
      <c r="A1197" s="50"/>
    </row>
    <row r="1198">
      <c r="A1198" s="50"/>
    </row>
    <row r="1199">
      <c r="A1199" s="50"/>
    </row>
    <row r="1200">
      <c r="A1200" s="50"/>
    </row>
    <row r="1201">
      <c r="A1201" s="50"/>
    </row>
    <row r="1202">
      <c r="A1202" s="50"/>
    </row>
    <row r="1203">
      <c r="A1203" s="50"/>
    </row>
    <row r="1204">
      <c r="A1204" s="50"/>
    </row>
    <row r="1205">
      <c r="A1205" s="50"/>
    </row>
    <row r="1206">
      <c r="A1206" s="50"/>
    </row>
    <row r="1207">
      <c r="A1207" s="50"/>
    </row>
    <row r="1208">
      <c r="A1208" s="50"/>
    </row>
    <row r="1209">
      <c r="A1209" s="50"/>
    </row>
    <row r="1210">
      <c r="A1210" s="50"/>
    </row>
    <row r="1211">
      <c r="A1211" s="50"/>
    </row>
    <row r="1212">
      <c r="A1212" s="50"/>
    </row>
    <row r="1213">
      <c r="A1213" s="50"/>
    </row>
    <row r="1214">
      <c r="A1214" s="50"/>
    </row>
    <row r="1215">
      <c r="A1215" s="50"/>
    </row>
    <row r="1216">
      <c r="A1216" s="50"/>
    </row>
    <row r="1217">
      <c r="A1217" s="50"/>
    </row>
    <row r="1218">
      <c r="A1218" s="50"/>
    </row>
    <row r="1219">
      <c r="A1219" s="50"/>
    </row>
    <row r="1220">
      <c r="A1220" s="50"/>
    </row>
    <row r="1221">
      <c r="A1221" s="50"/>
    </row>
    <row r="1222">
      <c r="A1222" s="50"/>
    </row>
    <row r="1223">
      <c r="A1223" s="50"/>
    </row>
    <row r="1224">
      <c r="A1224" s="50"/>
    </row>
    <row r="1225">
      <c r="A1225" s="50"/>
    </row>
    <row r="1226">
      <c r="A1226" s="50"/>
    </row>
    <row r="1227">
      <c r="A1227" s="50"/>
    </row>
    <row r="1228">
      <c r="A1228" s="50"/>
    </row>
    <row r="1229">
      <c r="A1229" s="50"/>
    </row>
    <row r="1230">
      <c r="A1230" s="50"/>
    </row>
    <row r="1231">
      <c r="A1231" s="50"/>
    </row>
    <row r="1232">
      <c r="A1232" s="50"/>
    </row>
    <row r="1233">
      <c r="A1233" s="50"/>
    </row>
    <row r="1234">
      <c r="A1234" s="50"/>
    </row>
    <row r="1235">
      <c r="A1235" s="50"/>
    </row>
    <row r="1236">
      <c r="A1236" s="50"/>
    </row>
    <row r="1237">
      <c r="A1237" s="50"/>
    </row>
    <row r="1238">
      <c r="A1238" s="50"/>
    </row>
    <row r="1239">
      <c r="A1239" s="50"/>
    </row>
    <row r="1240">
      <c r="A1240" s="50"/>
    </row>
    <row r="1241">
      <c r="A1241" s="50"/>
    </row>
    <row r="1242">
      <c r="A1242" s="50"/>
    </row>
    <row r="1243">
      <c r="A1243" s="50"/>
    </row>
    <row r="1244">
      <c r="A1244" s="50"/>
    </row>
    <row r="1245">
      <c r="A1245" s="50"/>
    </row>
    <row r="1246">
      <c r="A1246" s="50"/>
    </row>
    <row r="1247">
      <c r="A1247" s="50"/>
    </row>
    <row r="1248">
      <c r="A1248" s="50"/>
    </row>
    <row r="1249">
      <c r="A1249" s="50"/>
    </row>
    <row r="1250">
      <c r="A1250" s="50"/>
    </row>
    <row r="1251">
      <c r="A1251" s="50"/>
    </row>
    <row r="1252">
      <c r="A1252" s="50"/>
    </row>
    <row r="1253">
      <c r="A1253" s="50"/>
    </row>
    <row r="1254">
      <c r="A1254" s="50"/>
    </row>
    <row r="1255">
      <c r="A1255" s="50"/>
    </row>
    <row r="1256">
      <c r="A1256" s="50"/>
    </row>
    <row r="1257">
      <c r="A1257" s="50"/>
    </row>
    <row r="1258">
      <c r="A1258" s="50"/>
    </row>
    <row r="1259">
      <c r="A1259" s="50"/>
    </row>
    <row r="1260">
      <c r="A1260" s="50"/>
    </row>
    <row r="1261">
      <c r="A1261" s="50"/>
    </row>
    <row r="1262">
      <c r="A1262" s="50"/>
    </row>
    <row r="1263">
      <c r="A1263" s="50"/>
    </row>
    <row r="1264">
      <c r="A1264" s="50"/>
    </row>
    <row r="1265">
      <c r="A1265" s="50"/>
    </row>
    <row r="1266">
      <c r="A1266" s="50"/>
    </row>
    <row r="1267">
      <c r="A1267" s="50"/>
    </row>
    <row r="1268">
      <c r="A1268" s="50"/>
    </row>
    <row r="1269">
      <c r="A1269" s="50"/>
    </row>
    <row r="1270">
      <c r="A1270" s="50"/>
    </row>
    <row r="1271">
      <c r="A1271" s="50"/>
    </row>
    <row r="1272">
      <c r="A1272" s="50"/>
    </row>
    <row r="1273">
      <c r="A1273" s="50"/>
    </row>
    <row r="1274">
      <c r="A1274" s="50"/>
    </row>
    <row r="1275">
      <c r="A1275" s="50"/>
    </row>
    <row r="1276">
      <c r="A1276" s="50"/>
    </row>
    <row r="1277">
      <c r="A1277" s="50"/>
    </row>
    <row r="1278">
      <c r="A1278" s="50"/>
    </row>
    <row r="1279">
      <c r="A1279" s="50"/>
    </row>
    <row r="1280">
      <c r="A1280" s="50"/>
    </row>
    <row r="1281">
      <c r="A1281" s="50"/>
    </row>
    <row r="1282">
      <c r="A1282" s="50"/>
    </row>
    <row r="1283">
      <c r="A1283" s="50"/>
    </row>
    <row r="1284">
      <c r="A1284" s="50"/>
    </row>
    <row r="1285">
      <c r="A1285" s="50"/>
    </row>
    <row r="1286">
      <c r="A1286" s="50"/>
    </row>
    <row r="1287">
      <c r="A1287" s="50"/>
    </row>
    <row r="1288">
      <c r="A1288" s="50"/>
    </row>
    <row r="1289">
      <c r="A1289" s="50"/>
    </row>
    <row r="1290">
      <c r="A1290" s="50"/>
    </row>
    <row r="1291">
      <c r="A1291" s="50"/>
    </row>
    <row r="1292">
      <c r="A1292" s="50"/>
    </row>
    <row r="1293">
      <c r="A1293" s="50"/>
    </row>
    <row r="1294">
      <c r="A1294" s="50"/>
    </row>
    <row r="1295">
      <c r="A1295" s="50"/>
    </row>
    <row r="1296">
      <c r="A1296" s="50"/>
    </row>
    <row r="1297">
      <c r="A1297" s="50"/>
    </row>
    <row r="1298">
      <c r="A1298" s="50"/>
    </row>
    <row r="1299">
      <c r="A1299" s="50"/>
    </row>
    <row r="1300">
      <c r="A1300" s="50"/>
    </row>
    <row r="1301">
      <c r="A1301" s="50"/>
    </row>
    <row r="1302">
      <c r="A1302" s="50"/>
    </row>
    <row r="1303">
      <c r="A1303" s="50"/>
    </row>
    <row r="1304">
      <c r="A1304" s="50"/>
    </row>
    <row r="1305">
      <c r="A1305" s="50"/>
    </row>
    <row r="1306">
      <c r="A1306" s="50"/>
    </row>
    <row r="1307">
      <c r="A1307" s="50"/>
    </row>
    <row r="1308">
      <c r="A1308" s="50"/>
    </row>
    <row r="1309">
      <c r="A1309" s="50"/>
    </row>
    <row r="1310">
      <c r="A1310" s="50"/>
    </row>
    <row r="1311">
      <c r="A1311" s="50"/>
    </row>
    <row r="1312">
      <c r="A1312" s="50"/>
    </row>
    <row r="1313">
      <c r="A1313" s="50"/>
    </row>
    <row r="1314">
      <c r="A1314" s="50"/>
    </row>
    <row r="1315">
      <c r="A1315" s="50"/>
    </row>
    <row r="1316">
      <c r="A1316" s="50"/>
    </row>
    <row r="1317">
      <c r="A1317" s="50"/>
    </row>
    <row r="1318">
      <c r="A1318" s="50"/>
    </row>
    <row r="1319">
      <c r="A1319" s="50"/>
    </row>
    <row r="1320">
      <c r="A1320" s="50"/>
    </row>
    <row r="1321">
      <c r="A1321" s="50"/>
    </row>
    <row r="1322">
      <c r="A1322" s="50"/>
    </row>
    <row r="1323">
      <c r="A1323" s="50"/>
    </row>
    <row r="1324">
      <c r="A1324" s="50"/>
    </row>
    <row r="1325">
      <c r="A1325" s="50"/>
    </row>
    <row r="1326">
      <c r="A1326" s="50"/>
    </row>
    <row r="1327">
      <c r="A1327" s="50"/>
    </row>
    <row r="1328">
      <c r="A1328" s="50"/>
    </row>
    <row r="1329">
      <c r="A1329" s="50"/>
    </row>
    <row r="1330">
      <c r="A1330" s="50"/>
    </row>
    <row r="1331">
      <c r="A1331" s="50"/>
    </row>
    <row r="1332">
      <c r="A1332" s="50"/>
    </row>
    <row r="1333">
      <c r="A1333" s="50"/>
    </row>
    <row r="1334">
      <c r="A1334" s="50"/>
    </row>
    <row r="1335">
      <c r="A1335" s="50"/>
    </row>
    <row r="1336">
      <c r="A1336" s="50"/>
    </row>
    <row r="1337">
      <c r="A1337" s="50"/>
    </row>
    <row r="1338">
      <c r="A1338" s="50"/>
    </row>
    <row r="1339">
      <c r="A1339" s="50"/>
    </row>
    <row r="1340">
      <c r="A1340" s="50"/>
    </row>
    <row r="1341">
      <c r="A1341" s="50"/>
    </row>
    <row r="1342">
      <c r="A1342" s="50"/>
    </row>
    <row r="1343">
      <c r="A1343" s="50"/>
    </row>
    <row r="1344">
      <c r="A1344" s="50"/>
    </row>
    <row r="1345">
      <c r="A1345" s="50"/>
    </row>
    <row r="1346">
      <c r="A1346" s="50"/>
    </row>
    <row r="1347">
      <c r="A1347" s="50"/>
    </row>
    <row r="1348">
      <c r="A1348" s="50"/>
    </row>
    <row r="1349">
      <c r="A1349" s="50"/>
    </row>
    <row r="1350">
      <c r="A1350" s="50"/>
    </row>
    <row r="1351">
      <c r="A1351" s="50"/>
    </row>
    <row r="1352">
      <c r="A1352" s="50"/>
    </row>
    <row r="1353">
      <c r="A1353" s="50"/>
    </row>
    <row r="1354">
      <c r="A1354" s="50"/>
    </row>
    <row r="1355">
      <c r="A1355" s="50"/>
    </row>
    <row r="1356">
      <c r="A1356" s="50"/>
    </row>
    <row r="1357">
      <c r="A1357" s="50"/>
    </row>
    <row r="1358">
      <c r="A1358" s="50"/>
    </row>
    <row r="1359">
      <c r="A1359" s="50"/>
    </row>
    <row r="1360">
      <c r="A1360" s="50"/>
    </row>
    <row r="1361">
      <c r="A1361" s="50"/>
    </row>
    <row r="1362">
      <c r="A1362" s="50"/>
    </row>
    <row r="1363">
      <c r="A1363" s="50"/>
    </row>
    <row r="1364">
      <c r="A1364" s="50"/>
    </row>
    <row r="1365">
      <c r="A1365" s="50"/>
    </row>
    <row r="1366">
      <c r="A1366" s="50"/>
    </row>
    <row r="1367">
      <c r="A1367" s="50"/>
    </row>
    <row r="1368">
      <c r="A1368" s="50"/>
    </row>
    <row r="1369">
      <c r="A1369" s="50"/>
    </row>
    <row r="1370">
      <c r="A1370" s="50"/>
    </row>
    <row r="1371">
      <c r="A1371" s="50"/>
    </row>
    <row r="1372">
      <c r="A1372" s="50"/>
    </row>
    <row r="1373">
      <c r="A1373" s="50"/>
    </row>
    <row r="1374">
      <c r="A1374" s="50"/>
    </row>
    <row r="1375">
      <c r="A1375" s="50"/>
    </row>
    <row r="1376">
      <c r="A1376" s="50"/>
    </row>
    <row r="1377">
      <c r="A1377" s="50"/>
    </row>
    <row r="1378">
      <c r="A1378" s="50"/>
    </row>
    <row r="1379">
      <c r="A1379" s="50"/>
    </row>
    <row r="1380">
      <c r="A1380" s="50"/>
    </row>
    <row r="1381">
      <c r="A1381" s="50"/>
    </row>
    <row r="1382">
      <c r="A1382" s="50"/>
    </row>
    <row r="1383">
      <c r="A1383" s="50"/>
    </row>
    <row r="1384">
      <c r="A1384" s="50"/>
    </row>
    <row r="1385">
      <c r="A1385" s="50"/>
    </row>
    <row r="1386">
      <c r="A1386" s="50"/>
    </row>
    <row r="1387">
      <c r="A1387" s="50"/>
    </row>
    <row r="1388">
      <c r="A1388" s="50"/>
    </row>
    <row r="1389">
      <c r="A1389" s="50"/>
    </row>
    <row r="1390">
      <c r="A1390" s="50"/>
    </row>
    <row r="1391">
      <c r="A1391" s="50"/>
    </row>
    <row r="1392">
      <c r="A1392" s="50"/>
    </row>
    <row r="1393">
      <c r="A1393" s="50"/>
    </row>
    <row r="1394">
      <c r="A1394" s="50"/>
    </row>
    <row r="1395">
      <c r="A1395" s="50"/>
    </row>
    <row r="1396">
      <c r="A1396" s="50"/>
    </row>
    <row r="1397">
      <c r="A1397" s="50"/>
    </row>
    <row r="1398">
      <c r="A1398" s="50"/>
    </row>
    <row r="1399">
      <c r="A1399" s="50"/>
    </row>
    <row r="1400">
      <c r="A1400" s="50"/>
    </row>
    <row r="1401">
      <c r="A1401" s="50"/>
    </row>
    <row r="1402">
      <c r="A1402" s="50"/>
    </row>
    <row r="1403">
      <c r="A1403" s="50"/>
    </row>
    <row r="1404">
      <c r="A1404" s="50"/>
    </row>
    <row r="1405">
      <c r="A1405" s="50"/>
    </row>
    <row r="1406">
      <c r="A1406" s="50"/>
    </row>
    <row r="1407">
      <c r="A1407" s="50"/>
    </row>
    <row r="1408">
      <c r="A1408" s="50"/>
    </row>
    <row r="1409">
      <c r="A1409" s="50"/>
    </row>
    <row r="1410">
      <c r="A1410" s="50"/>
    </row>
    <row r="1411">
      <c r="A1411" s="50"/>
    </row>
    <row r="1412">
      <c r="A1412" s="50"/>
    </row>
    <row r="1413">
      <c r="A1413" s="50"/>
    </row>
    <row r="1414">
      <c r="A1414" s="50"/>
    </row>
    <row r="1415">
      <c r="A1415" s="50"/>
    </row>
    <row r="1416">
      <c r="A1416" s="50"/>
    </row>
    <row r="1417">
      <c r="A1417" s="50"/>
    </row>
    <row r="1418">
      <c r="A1418" s="50"/>
    </row>
    <row r="1419">
      <c r="A1419" s="50"/>
    </row>
    <row r="1420">
      <c r="A1420" s="50"/>
    </row>
    <row r="1421">
      <c r="A1421" s="50"/>
    </row>
    <row r="1422">
      <c r="A1422" s="50"/>
    </row>
    <row r="1423">
      <c r="A1423" s="50"/>
    </row>
    <row r="1424">
      <c r="A1424" s="50"/>
    </row>
    <row r="1425">
      <c r="A1425" s="50"/>
    </row>
    <row r="1426">
      <c r="A1426" s="50"/>
    </row>
    <row r="1427">
      <c r="A1427" s="50"/>
    </row>
    <row r="1428">
      <c r="A1428" s="50"/>
    </row>
    <row r="1429">
      <c r="A1429" s="50"/>
    </row>
    <row r="1430">
      <c r="A1430" s="50"/>
    </row>
    <row r="1431">
      <c r="A1431" s="50"/>
    </row>
    <row r="1432">
      <c r="A1432" s="50"/>
    </row>
    <row r="1433">
      <c r="A1433" s="50"/>
    </row>
    <row r="1434">
      <c r="A1434" s="50"/>
    </row>
    <row r="1435">
      <c r="A1435" s="50"/>
    </row>
    <row r="1436">
      <c r="A1436" s="50"/>
    </row>
    <row r="1437">
      <c r="A1437" s="50"/>
    </row>
    <row r="1438">
      <c r="A1438" s="50"/>
    </row>
    <row r="1439">
      <c r="A1439" s="50"/>
    </row>
    <row r="1440">
      <c r="A1440" s="50"/>
    </row>
    <row r="1441">
      <c r="A1441" s="50"/>
    </row>
    <row r="1442">
      <c r="A1442" s="50"/>
    </row>
    <row r="1443">
      <c r="A1443" s="50"/>
    </row>
    <row r="1444">
      <c r="A1444" s="50"/>
    </row>
    <row r="1445">
      <c r="A1445" s="50"/>
    </row>
    <row r="1446">
      <c r="A1446" s="50"/>
    </row>
    <row r="1447">
      <c r="A1447" s="50"/>
    </row>
    <row r="1448">
      <c r="A1448" s="50"/>
    </row>
    <row r="1449">
      <c r="A1449" s="50"/>
    </row>
    <row r="1450">
      <c r="A1450" s="50"/>
    </row>
    <row r="1451">
      <c r="A1451" s="50"/>
    </row>
    <row r="1452">
      <c r="A1452" s="50"/>
    </row>
    <row r="1453">
      <c r="A1453" s="50"/>
    </row>
    <row r="1454">
      <c r="A1454" s="50"/>
    </row>
    <row r="1455">
      <c r="A1455" s="50"/>
    </row>
    <row r="1456">
      <c r="A1456" s="50"/>
    </row>
    <row r="1457">
      <c r="A1457" s="50"/>
    </row>
    <row r="1458">
      <c r="A1458" s="50"/>
    </row>
    <row r="1459">
      <c r="A1459" s="50"/>
    </row>
    <row r="1460">
      <c r="A1460" s="50"/>
    </row>
    <row r="1461">
      <c r="A1461" s="50"/>
    </row>
    <row r="1462">
      <c r="A1462" s="50"/>
    </row>
    <row r="1463">
      <c r="A1463" s="50"/>
    </row>
    <row r="1464">
      <c r="A1464" s="50"/>
    </row>
    <row r="1465">
      <c r="A1465" s="50"/>
    </row>
    <row r="1466">
      <c r="A1466" s="50"/>
    </row>
    <row r="1467">
      <c r="A1467" s="50"/>
    </row>
    <row r="1468">
      <c r="A1468" s="50"/>
    </row>
    <row r="1469">
      <c r="A1469" s="50"/>
    </row>
    <row r="1470">
      <c r="A1470" s="50"/>
    </row>
    <row r="1471">
      <c r="A1471" s="50"/>
    </row>
    <row r="1472">
      <c r="A1472" s="50"/>
    </row>
    <row r="1473">
      <c r="A1473" s="50"/>
    </row>
    <row r="1474">
      <c r="A1474" s="50"/>
    </row>
    <row r="1475">
      <c r="A1475" s="50"/>
    </row>
    <row r="1476">
      <c r="A1476" s="50"/>
    </row>
    <row r="1477">
      <c r="A1477" s="50"/>
    </row>
    <row r="1478">
      <c r="A1478" s="50"/>
    </row>
    <row r="1479">
      <c r="A1479" s="50"/>
    </row>
    <row r="1480">
      <c r="A1480" s="50"/>
    </row>
    <row r="1481">
      <c r="A1481" s="50"/>
    </row>
    <row r="1482">
      <c r="A1482" s="50"/>
    </row>
    <row r="1483">
      <c r="A1483" s="50"/>
    </row>
    <row r="1484">
      <c r="A1484" s="50"/>
    </row>
    <row r="1485">
      <c r="A1485" s="50"/>
    </row>
    <row r="1486">
      <c r="A1486" s="50"/>
    </row>
    <row r="1487">
      <c r="A1487" s="50"/>
    </row>
    <row r="1488">
      <c r="A1488" s="50"/>
    </row>
    <row r="1489">
      <c r="A1489" s="50"/>
    </row>
    <row r="1490">
      <c r="A1490" s="50"/>
    </row>
    <row r="1491">
      <c r="A1491" s="50"/>
    </row>
    <row r="1492">
      <c r="A1492" s="50"/>
    </row>
    <row r="1493">
      <c r="A1493" s="50"/>
    </row>
    <row r="1494">
      <c r="A1494" s="50"/>
    </row>
    <row r="1495">
      <c r="A1495" s="50"/>
    </row>
    <row r="1496">
      <c r="A1496" s="50"/>
    </row>
    <row r="1497">
      <c r="A1497" s="50"/>
    </row>
    <row r="1498">
      <c r="A1498" s="50"/>
    </row>
    <row r="1499">
      <c r="A1499" s="50"/>
    </row>
    <row r="1500">
      <c r="A1500" s="50"/>
    </row>
    <row r="1501">
      <c r="A1501" s="50"/>
    </row>
    <row r="1502">
      <c r="A1502" s="50"/>
    </row>
    <row r="1503">
      <c r="A1503" s="50"/>
    </row>
    <row r="1504">
      <c r="A1504" s="50"/>
    </row>
    <row r="1505">
      <c r="A1505" s="50"/>
    </row>
    <row r="1506">
      <c r="A1506" s="50"/>
    </row>
    <row r="1507">
      <c r="A1507" s="50"/>
    </row>
    <row r="1508">
      <c r="A1508" s="50"/>
    </row>
    <row r="1509">
      <c r="A1509" s="50"/>
    </row>
    <row r="1510">
      <c r="A1510" s="50"/>
    </row>
    <row r="1511">
      <c r="A1511" s="50"/>
    </row>
    <row r="1512">
      <c r="A1512" s="50"/>
    </row>
    <row r="1513">
      <c r="A1513" s="50"/>
    </row>
    <row r="1514">
      <c r="A1514" s="50"/>
    </row>
    <row r="1515">
      <c r="A1515" s="50"/>
    </row>
    <row r="1516">
      <c r="A1516" s="50"/>
    </row>
    <row r="1517">
      <c r="A1517" s="50"/>
    </row>
    <row r="1518">
      <c r="A1518" s="50"/>
    </row>
    <row r="1519">
      <c r="A1519" s="50"/>
    </row>
    <row r="1520">
      <c r="A1520" s="50"/>
    </row>
    <row r="1521">
      <c r="A1521" s="50"/>
    </row>
    <row r="1522">
      <c r="A1522" s="50"/>
    </row>
    <row r="1523">
      <c r="A1523" s="50"/>
    </row>
    <row r="1524">
      <c r="A1524" s="50"/>
    </row>
    <row r="1525">
      <c r="A1525" s="50"/>
    </row>
    <row r="1526">
      <c r="A1526" s="50"/>
    </row>
    <row r="1527">
      <c r="A1527" s="50"/>
    </row>
    <row r="1528">
      <c r="A1528" s="50"/>
    </row>
    <row r="1529">
      <c r="A1529" s="50"/>
    </row>
    <row r="1530">
      <c r="A1530" s="50"/>
    </row>
    <row r="1531">
      <c r="A1531" s="50"/>
    </row>
    <row r="1532">
      <c r="A1532" s="50"/>
    </row>
    <row r="1533">
      <c r="A1533" s="50"/>
    </row>
    <row r="1534">
      <c r="A1534" s="50"/>
    </row>
    <row r="1535">
      <c r="A1535" s="50"/>
    </row>
    <row r="1536">
      <c r="A1536" s="50"/>
    </row>
    <row r="1537">
      <c r="A1537" s="50"/>
    </row>
    <row r="1538">
      <c r="A1538" s="50"/>
    </row>
    <row r="1539">
      <c r="A1539" s="50"/>
    </row>
    <row r="1540">
      <c r="A1540" s="50"/>
    </row>
    <row r="1541">
      <c r="A1541" s="50"/>
    </row>
    <row r="1542">
      <c r="A1542" s="50"/>
    </row>
    <row r="1543">
      <c r="A1543" s="50"/>
    </row>
    <row r="1544">
      <c r="A1544" s="50"/>
    </row>
    <row r="1545">
      <c r="A1545" s="50"/>
    </row>
    <row r="1546">
      <c r="A1546" s="50"/>
    </row>
    <row r="1547">
      <c r="A1547" s="50"/>
    </row>
    <row r="1548">
      <c r="A1548" s="50"/>
    </row>
    <row r="1549">
      <c r="A1549" s="50"/>
    </row>
    <row r="1550">
      <c r="A1550" s="50"/>
    </row>
    <row r="1551">
      <c r="A1551" s="50"/>
    </row>
    <row r="1552">
      <c r="A1552" s="50"/>
    </row>
    <row r="1553">
      <c r="A1553" s="50"/>
    </row>
    <row r="1554">
      <c r="A1554" s="50"/>
    </row>
    <row r="1555">
      <c r="A1555" s="50"/>
    </row>
    <row r="1556">
      <c r="A1556" s="50"/>
    </row>
    <row r="1557">
      <c r="A1557" s="50"/>
    </row>
    <row r="1558">
      <c r="A1558" s="50"/>
    </row>
    <row r="1559">
      <c r="A1559" s="50"/>
    </row>
    <row r="1560">
      <c r="A1560" s="50"/>
    </row>
    <row r="1561">
      <c r="A1561" s="50"/>
    </row>
    <row r="1562">
      <c r="A1562" s="50"/>
    </row>
    <row r="1563">
      <c r="A1563" s="50"/>
    </row>
    <row r="1564">
      <c r="A1564" s="50"/>
    </row>
    <row r="1565">
      <c r="A1565" s="50"/>
    </row>
    <row r="1566">
      <c r="A1566" s="50"/>
    </row>
    <row r="1567">
      <c r="A1567" s="50"/>
    </row>
    <row r="1568">
      <c r="A1568" s="50"/>
    </row>
    <row r="1569">
      <c r="A1569" s="50"/>
    </row>
    <row r="1570">
      <c r="A1570" s="50"/>
    </row>
    <row r="1571">
      <c r="A1571" s="50"/>
    </row>
    <row r="1572">
      <c r="A1572" s="50"/>
    </row>
    <row r="1573">
      <c r="A1573" s="50"/>
    </row>
    <row r="1574">
      <c r="A1574" s="50"/>
    </row>
    <row r="1575">
      <c r="A1575" s="50"/>
    </row>
    <row r="1576">
      <c r="A1576" s="50"/>
    </row>
    <row r="1577">
      <c r="A1577" s="50"/>
    </row>
    <row r="1578">
      <c r="A1578" s="50"/>
    </row>
    <row r="1579">
      <c r="A1579" s="50"/>
    </row>
    <row r="1580">
      <c r="A1580" s="50"/>
    </row>
    <row r="1581">
      <c r="A1581" s="50"/>
    </row>
    <row r="1582">
      <c r="A1582" s="50"/>
    </row>
    <row r="1583">
      <c r="A1583" s="50"/>
    </row>
    <row r="1584">
      <c r="A1584" s="50"/>
    </row>
    <row r="1585">
      <c r="A1585" s="50"/>
    </row>
    <row r="1586">
      <c r="A1586" s="50"/>
    </row>
    <row r="1587">
      <c r="A1587" s="50"/>
    </row>
    <row r="1588">
      <c r="A1588" s="50"/>
    </row>
    <row r="1589">
      <c r="A1589" s="50"/>
    </row>
    <row r="1590">
      <c r="A1590" s="50"/>
    </row>
    <row r="1591">
      <c r="A1591" s="50"/>
    </row>
    <row r="1592">
      <c r="A1592" s="50"/>
    </row>
    <row r="1593">
      <c r="A1593" s="50"/>
    </row>
    <row r="1594">
      <c r="A1594" s="50"/>
    </row>
    <row r="1595">
      <c r="A1595" s="50"/>
    </row>
    <row r="1596">
      <c r="A1596" s="50"/>
    </row>
    <row r="1597">
      <c r="A1597" s="50"/>
    </row>
    <row r="1598">
      <c r="A1598" s="50"/>
    </row>
    <row r="1599">
      <c r="A1599" s="50"/>
    </row>
    <row r="1600">
      <c r="A1600" s="50"/>
    </row>
    <row r="1601">
      <c r="A1601" s="50"/>
    </row>
    <row r="1602">
      <c r="A1602" s="50"/>
    </row>
    <row r="1603">
      <c r="A1603" s="50"/>
    </row>
    <row r="1604">
      <c r="A1604" s="50"/>
    </row>
    <row r="1605">
      <c r="A1605" s="50"/>
    </row>
    <row r="1606">
      <c r="A1606" s="50"/>
    </row>
    <row r="1607">
      <c r="A1607" s="50"/>
    </row>
    <row r="1608">
      <c r="A1608" s="50"/>
    </row>
    <row r="1609">
      <c r="A1609" s="50"/>
    </row>
    <row r="1610">
      <c r="A1610" s="50"/>
    </row>
    <row r="1611">
      <c r="A1611" s="50"/>
    </row>
    <row r="1612">
      <c r="A1612" s="50"/>
    </row>
    <row r="1613">
      <c r="A1613" s="50"/>
    </row>
    <row r="1614">
      <c r="A1614" s="50"/>
    </row>
    <row r="1615">
      <c r="A1615" s="50"/>
    </row>
    <row r="1616">
      <c r="A1616" s="50"/>
    </row>
    <row r="1617">
      <c r="A1617" s="50"/>
    </row>
    <row r="1618">
      <c r="A1618" s="50"/>
    </row>
    <row r="1619">
      <c r="A1619" s="50"/>
    </row>
    <row r="1620">
      <c r="A1620" s="50"/>
    </row>
    <row r="1621">
      <c r="A1621" s="50"/>
    </row>
    <row r="1622">
      <c r="A1622" s="50"/>
    </row>
    <row r="1623">
      <c r="A1623" s="50"/>
    </row>
    <row r="1624">
      <c r="A1624" s="50"/>
    </row>
    <row r="1625">
      <c r="A1625" s="50"/>
    </row>
    <row r="1626">
      <c r="A1626" s="50"/>
    </row>
    <row r="1627">
      <c r="A1627" s="50"/>
    </row>
    <row r="1628">
      <c r="A1628" s="50"/>
    </row>
    <row r="1629">
      <c r="A1629" s="50"/>
    </row>
    <row r="1630">
      <c r="A1630" s="50"/>
    </row>
    <row r="1631">
      <c r="A1631" s="50"/>
    </row>
    <row r="1632">
      <c r="A1632" s="50"/>
    </row>
    <row r="1633">
      <c r="A1633" s="50"/>
    </row>
    <row r="1634">
      <c r="A1634" s="50"/>
    </row>
    <row r="1635">
      <c r="A1635" s="50"/>
    </row>
    <row r="1636">
      <c r="A1636" s="50"/>
    </row>
    <row r="1637">
      <c r="A1637" s="50"/>
    </row>
    <row r="1638">
      <c r="A1638" s="50"/>
    </row>
    <row r="1639">
      <c r="A1639" s="50"/>
    </row>
    <row r="1640">
      <c r="A1640" s="50"/>
    </row>
    <row r="1641">
      <c r="A1641" s="50"/>
    </row>
    <row r="1642">
      <c r="A1642" s="50"/>
    </row>
    <row r="1643">
      <c r="A1643" s="50"/>
    </row>
    <row r="1644">
      <c r="A1644" s="50"/>
    </row>
    <row r="1645">
      <c r="A1645" s="50"/>
    </row>
    <row r="1646">
      <c r="A1646" s="50"/>
    </row>
    <row r="1647">
      <c r="A1647" s="50"/>
    </row>
    <row r="1648">
      <c r="A1648" s="50"/>
    </row>
    <row r="1649">
      <c r="A1649" s="50"/>
    </row>
    <row r="1650">
      <c r="A1650" s="50"/>
    </row>
    <row r="1651">
      <c r="A1651" s="50"/>
    </row>
    <row r="1652">
      <c r="A1652" s="50"/>
    </row>
    <row r="1653">
      <c r="A1653" s="50"/>
    </row>
    <row r="1654">
      <c r="A1654" s="50"/>
    </row>
    <row r="1655">
      <c r="A1655" s="50"/>
    </row>
    <row r="1656">
      <c r="A1656" s="50"/>
    </row>
    <row r="1657">
      <c r="A1657" s="50"/>
    </row>
    <row r="1658">
      <c r="A1658" s="50"/>
    </row>
    <row r="1659">
      <c r="A1659" s="50"/>
    </row>
    <row r="1660">
      <c r="A1660" s="50"/>
    </row>
    <row r="1661">
      <c r="A1661" s="50"/>
    </row>
    <row r="1662">
      <c r="A1662" s="50"/>
    </row>
    <row r="1663">
      <c r="A1663" s="50"/>
    </row>
    <row r="1664">
      <c r="A1664" s="50"/>
    </row>
    <row r="1665">
      <c r="A1665" s="50"/>
    </row>
    <row r="1666">
      <c r="A1666" s="50"/>
    </row>
    <row r="1667">
      <c r="A1667" s="50"/>
    </row>
    <row r="1668">
      <c r="A1668" s="50"/>
    </row>
    <row r="1669">
      <c r="A1669" s="50"/>
    </row>
    <row r="1670">
      <c r="A1670" s="50"/>
    </row>
    <row r="1671">
      <c r="A1671" s="50"/>
    </row>
    <row r="1672">
      <c r="A1672" s="50"/>
    </row>
    <row r="1673">
      <c r="A1673" s="50"/>
    </row>
    <row r="1674">
      <c r="A1674" s="50"/>
    </row>
    <row r="1675">
      <c r="A1675" s="50"/>
    </row>
    <row r="1676">
      <c r="A1676" s="50"/>
    </row>
    <row r="1677">
      <c r="A1677" s="50"/>
    </row>
    <row r="1678">
      <c r="A1678" s="50"/>
    </row>
    <row r="1679">
      <c r="A1679" s="50"/>
    </row>
    <row r="1680">
      <c r="A1680" s="50"/>
    </row>
    <row r="1681">
      <c r="A1681" s="50"/>
    </row>
    <row r="1682">
      <c r="A1682" s="50"/>
    </row>
    <row r="1683">
      <c r="A1683" s="50"/>
    </row>
    <row r="1684">
      <c r="A1684" s="50"/>
    </row>
    <row r="1685">
      <c r="A1685" s="50"/>
    </row>
    <row r="1686">
      <c r="A1686" s="50"/>
    </row>
    <row r="1687">
      <c r="A1687" s="50"/>
    </row>
    <row r="1688">
      <c r="A1688" s="50"/>
    </row>
    <row r="1689">
      <c r="A1689" s="50"/>
    </row>
    <row r="1690">
      <c r="A1690" s="50"/>
    </row>
    <row r="1691">
      <c r="A1691" s="50"/>
    </row>
    <row r="1692">
      <c r="A1692" s="50"/>
    </row>
    <row r="1693">
      <c r="A1693" s="50"/>
    </row>
    <row r="1694">
      <c r="A1694" s="50"/>
    </row>
    <row r="1695">
      <c r="A1695" s="50"/>
    </row>
    <row r="1696">
      <c r="A1696" s="50"/>
    </row>
    <row r="1697">
      <c r="A1697" s="50"/>
    </row>
    <row r="1698">
      <c r="A1698" s="50"/>
    </row>
    <row r="1699">
      <c r="A1699" s="50"/>
    </row>
    <row r="1700">
      <c r="A1700" s="50"/>
    </row>
    <row r="1701">
      <c r="A1701" s="50"/>
    </row>
    <row r="1702">
      <c r="A1702" s="50"/>
    </row>
    <row r="1703">
      <c r="A1703" s="50"/>
    </row>
    <row r="1704">
      <c r="A1704" s="50"/>
    </row>
    <row r="1705">
      <c r="A1705" s="50"/>
    </row>
    <row r="1706">
      <c r="A1706" s="50"/>
    </row>
    <row r="1707">
      <c r="A1707" s="50"/>
    </row>
    <row r="1708">
      <c r="A1708" s="50"/>
    </row>
    <row r="1709">
      <c r="A1709" s="50"/>
    </row>
    <row r="1710">
      <c r="A1710" s="50"/>
    </row>
    <row r="1711">
      <c r="A1711" s="50"/>
    </row>
    <row r="1712">
      <c r="A1712" s="50"/>
    </row>
    <row r="1713">
      <c r="A1713" s="50"/>
    </row>
    <row r="1714">
      <c r="A1714" s="50"/>
    </row>
    <row r="1715">
      <c r="A1715" s="50"/>
    </row>
    <row r="1716">
      <c r="A1716" s="50"/>
    </row>
    <row r="1717">
      <c r="A1717" s="50"/>
    </row>
    <row r="1718">
      <c r="A1718" s="50"/>
    </row>
    <row r="1719">
      <c r="A1719" s="50"/>
    </row>
    <row r="1720">
      <c r="A1720" s="50"/>
    </row>
    <row r="1721">
      <c r="A1721" s="50"/>
    </row>
    <row r="1722">
      <c r="A1722" s="50"/>
    </row>
    <row r="1723">
      <c r="A1723" s="50"/>
    </row>
    <row r="1724">
      <c r="A1724" s="50"/>
    </row>
    <row r="1725">
      <c r="A1725" s="50"/>
    </row>
    <row r="1726">
      <c r="A1726" s="50"/>
    </row>
    <row r="1727">
      <c r="A1727" s="50"/>
    </row>
    <row r="1728">
      <c r="A1728" s="50"/>
    </row>
    <row r="1729">
      <c r="A1729" s="50"/>
    </row>
    <row r="1730">
      <c r="A1730" s="50"/>
    </row>
    <row r="1731">
      <c r="A1731" s="50"/>
    </row>
    <row r="1732">
      <c r="A1732" s="50"/>
    </row>
    <row r="1733">
      <c r="A1733" s="50"/>
    </row>
    <row r="1734">
      <c r="A1734" s="50"/>
    </row>
    <row r="1735">
      <c r="A1735" s="50"/>
    </row>
    <row r="1736">
      <c r="A1736" s="50"/>
    </row>
    <row r="1737">
      <c r="A1737" s="50"/>
    </row>
    <row r="1738">
      <c r="A1738" s="50"/>
    </row>
    <row r="1739">
      <c r="A1739" s="50"/>
    </row>
    <row r="1740">
      <c r="A1740" s="50"/>
    </row>
    <row r="1741">
      <c r="A1741" s="50"/>
    </row>
    <row r="1742">
      <c r="A1742" s="50"/>
    </row>
    <row r="1743">
      <c r="A1743" s="50"/>
    </row>
    <row r="1744">
      <c r="A1744" s="50"/>
    </row>
    <row r="1745">
      <c r="A1745" s="50"/>
    </row>
    <row r="1746">
      <c r="A1746" s="50"/>
    </row>
    <row r="1747">
      <c r="A1747" s="50"/>
    </row>
    <row r="1748">
      <c r="A1748" s="50"/>
    </row>
    <row r="1749">
      <c r="A1749" s="50"/>
    </row>
    <row r="1750">
      <c r="A1750" s="50"/>
    </row>
    <row r="1751">
      <c r="A1751" s="50"/>
    </row>
    <row r="1752">
      <c r="A1752" s="50"/>
    </row>
    <row r="1753">
      <c r="A1753" s="50"/>
    </row>
    <row r="1754">
      <c r="A1754" s="50"/>
    </row>
    <row r="1755">
      <c r="A1755" s="50"/>
    </row>
    <row r="1756">
      <c r="A1756" s="50"/>
    </row>
    <row r="1757">
      <c r="A1757" s="50"/>
    </row>
    <row r="1758">
      <c r="A1758" s="50"/>
    </row>
    <row r="1759">
      <c r="A1759" s="50"/>
    </row>
    <row r="1760">
      <c r="A1760" s="50"/>
    </row>
    <row r="1761">
      <c r="A1761" s="50"/>
    </row>
    <row r="1762">
      <c r="A1762" s="50"/>
    </row>
    <row r="1763">
      <c r="A1763" s="50"/>
    </row>
    <row r="1764">
      <c r="A1764" s="50"/>
    </row>
    <row r="1765">
      <c r="A1765" s="50"/>
    </row>
    <row r="1766">
      <c r="A1766" s="50"/>
    </row>
    <row r="1767">
      <c r="A1767" s="50"/>
    </row>
    <row r="1768">
      <c r="A1768" s="50"/>
    </row>
    <row r="1769">
      <c r="A1769" s="50"/>
    </row>
    <row r="1770">
      <c r="A1770" s="50"/>
    </row>
    <row r="1771">
      <c r="A1771" s="50"/>
    </row>
    <row r="1772">
      <c r="A1772" s="50"/>
    </row>
    <row r="1773">
      <c r="A1773" s="50"/>
    </row>
    <row r="1774">
      <c r="A1774" s="50"/>
    </row>
    <row r="1775">
      <c r="A1775" s="50"/>
    </row>
    <row r="1776">
      <c r="A1776" s="50"/>
    </row>
    <row r="1777">
      <c r="A1777" s="50"/>
    </row>
    <row r="1778">
      <c r="A1778" s="50"/>
    </row>
    <row r="1779">
      <c r="A1779" s="50"/>
    </row>
    <row r="1780">
      <c r="A1780" s="50"/>
    </row>
    <row r="1781">
      <c r="A1781" s="50"/>
    </row>
    <row r="1782">
      <c r="A1782" s="50"/>
    </row>
    <row r="1783">
      <c r="A1783" s="50"/>
    </row>
    <row r="1784">
      <c r="A1784" s="50"/>
    </row>
    <row r="1785">
      <c r="A1785" s="50"/>
    </row>
    <row r="1786">
      <c r="A1786" s="50"/>
    </row>
    <row r="1787">
      <c r="A1787" s="50"/>
    </row>
    <row r="1788">
      <c r="A1788" s="50"/>
    </row>
    <row r="1789">
      <c r="A1789" s="50"/>
    </row>
    <row r="1790">
      <c r="A1790" s="50"/>
    </row>
    <row r="1791">
      <c r="A1791" s="50"/>
    </row>
    <row r="1792">
      <c r="A1792" s="50"/>
    </row>
    <row r="1793">
      <c r="A1793" s="50"/>
    </row>
    <row r="1794">
      <c r="A1794" s="50"/>
    </row>
    <row r="1795">
      <c r="A1795" s="50"/>
    </row>
    <row r="1796">
      <c r="A1796" s="50"/>
    </row>
    <row r="1797">
      <c r="A1797" s="50"/>
    </row>
    <row r="1798">
      <c r="A1798" s="50"/>
    </row>
    <row r="1799">
      <c r="A1799" s="50"/>
    </row>
    <row r="1800">
      <c r="A1800" s="50"/>
    </row>
    <row r="1801">
      <c r="A1801" s="50"/>
    </row>
    <row r="1802">
      <c r="A1802" s="50"/>
    </row>
    <row r="1803">
      <c r="A1803" s="50"/>
    </row>
    <row r="1804">
      <c r="A1804" s="50"/>
    </row>
    <row r="1805">
      <c r="A1805" s="50"/>
    </row>
    <row r="1806">
      <c r="A1806" s="50"/>
    </row>
    <row r="1807">
      <c r="A1807" s="50"/>
    </row>
    <row r="1808">
      <c r="A1808" s="50"/>
    </row>
    <row r="1809">
      <c r="A1809" s="50"/>
    </row>
    <row r="1810">
      <c r="A1810" s="50"/>
    </row>
    <row r="1811">
      <c r="A1811" s="50"/>
    </row>
    <row r="1812">
      <c r="A1812" s="50"/>
    </row>
    <row r="1813">
      <c r="A1813" s="50"/>
    </row>
    <row r="1814">
      <c r="A1814" s="50"/>
    </row>
    <row r="1815">
      <c r="A1815" s="50"/>
    </row>
    <row r="1816">
      <c r="A1816" s="50"/>
    </row>
    <row r="1817">
      <c r="A1817" s="50"/>
    </row>
    <row r="1818">
      <c r="A1818" s="50"/>
    </row>
    <row r="1819">
      <c r="A1819" s="50"/>
    </row>
    <row r="1820">
      <c r="A1820" s="50"/>
    </row>
    <row r="1821">
      <c r="A1821" s="50"/>
    </row>
    <row r="1822">
      <c r="A1822" s="50"/>
    </row>
    <row r="1823">
      <c r="A1823" s="50"/>
    </row>
    <row r="1824">
      <c r="A1824" s="50"/>
    </row>
    <row r="1825">
      <c r="A1825" s="50"/>
    </row>
    <row r="1826">
      <c r="A1826" s="50"/>
    </row>
    <row r="1827">
      <c r="A1827" s="50"/>
    </row>
    <row r="1828">
      <c r="A1828" s="50"/>
    </row>
    <row r="1829">
      <c r="A1829" s="50"/>
    </row>
    <row r="1830">
      <c r="A1830" s="50"/>
    </row>
    <row r="1831">
      <c r="A1831" s="50"/>
    </row>
    <row r="1832">
      <c r="A1832" s="50"/>
    </row>
    <row r="1833">
      <c r="A1833" s="50"/>
    </row>
    <row r="1834">
      <c r="A1834" s="50"/>
    </row>
    <row r="1835">
      <c r="A1835" s="50"/>
    </row>
    <row r="1836">
      <c r="A1836" s="50"/>
    </row>
    <row r="1837">
      <c r="A1837" s="50"/>
    </row>
    <row r="1838">
      <c r="A1838" s="50"/>
    </row>
    <row r="1839">
      <c r="A1839" s="50"/>
    </row>
    <row r="1840">
      <c r="A1840" s="50"/>
    </row>
    <row r="1841">
      <c r="A1841" s="50"/>
    </row>
    <row r="1842">
      <c r="A1842" s="50"/>
    </row>
    <row r="1843">
      <c r="A1843" s="50"/>
    </row>
    <row r="1844">
      <c r="A1844" s="50"/>
    </row>
    <row r="1845">
      <c r="A1845" s="50"/>
    </row>
    <row r="1846">
      <c r="A1846" s="50"/>
    </row>
    <row r="1847">
      <c r="A1847" s="50"/>
    </row>
    <row r="1848">
      <c r="A1848" s="50"/>
    </row>
    <row r="1849">
      <c r="A1849" s="50"/>
    </row>
    <row r="1850">
      <c r="A1850" s="50"/>
    </row>
    <row r="1851">
      <c r="A1851" s="50"/>
    </row>
    <row r="1852">
      <c r="A1852" s="50"/>
    </row>
    <row r="1853">
      <c r="A1853" s="50"/>
    </row>
    <row r="1854">
      <c r="A1854" s="50"/>
    </row>
    <row r="1855">
      <c r="A1855" s="50"/>
    </row>
    <row r="1856">
      <c r="A1856" s="50"/>
    </row>
    <row r="1857">
      <c r="A1857" s="50"/>
    </row>
    <row r="1858">
      <c r="A1858" s="50"/>
    </row>
    <row r="1859">
      <c r="A1859" s="50"/>
    </row>
    <row r="1860">
      <c r="A1860" s="50"/>
    </row>
    <row r="1861">
      <c r="A1861" s="50"/>
    </row>
    <row r="1862">
      <c r="A1862" s="50"/>
    </row>
    <row r="1863">
      <c r="A1863" s="50"/>
    </row>
    <row r="1864">
      <c r="A1864" s="50"/>
    </row>
    <row r="1865">
      <c r="A1865" s="50"/>
    </row>
    <row r="1866">
      <c r="A1866" s="50"/>
    </row>
    <row r="1867">
      <c r="A1867" s="50"/>
    </row>
    <row r="1868">
      <c r="A1868" s="50"/>
    </row>
    <row r="1869">
      <c r="A1869" s="50"/>
    </row>
    <row r="1870">
      <c r="A1870" s="50"/>
    </row>
    <row r="1871">
      <c r="A1871" s="50"/>
    </row>
    <row r="1872">
      <c r="A1872" s="50"/>
    </row>
    <row r="1873">
      <c r="A1873" s="50"/>
    </row>
    <row r="1874">
      <c r="A1874" s="50"/>
    </row>
    <row r="1875">
      <c r="A1875" s="50"/>
    </row>
    <row r="1876">
      <c r="A1876" s="50"/>
    </row>
    <row r="1877">
      <c r="A1877" s="50"/>
    </row>
    <row r="1878">
      <c r="A1878" s="50"/>
    </row>
    <row r="1879">
      <c r="A1879" s="50"/>
    </row>
    <row r="1880">
      <c r="A1880" s="50"/>
    </row>
    <row r="1881">
      <c r="A1881" s="50"/>
    </row>
    <row r="1882">
      <c r="A1882" s="50"/>
    </row>
    <row r="1883">
      <c r="A1883" s="50"/>
    </row>
    <row r="1884">
      <c r="A1884" s="50"/>
    </row>
    <row r="1885">
      <c r="A1885" s="50"/>
    </row>
    <row r="1886">
      <c r="A1886" s="50"/>
    </row>
    <row r="1887">
      <c r="A1887" s="50"/>
    </row>
    <row r="1888">
      <c r="A1888" s="50"/>
    </row>
    <row r="1889">
      <c r="A1889" s="50"/>
    </row>
    <row r="1890">
      <c r="A1890" s="50"/>
    </row>
    <row r="1891">
      <c r="A1891" s="50"/>
    </row>
    <row r="1892">
      <c r="A1892" s="50"/>
    </row>
    <row r="1893">
      <c r="A1893" s="50"/>
    </row>
    <row r="1894">
      <c r="A1894" s="50"/>
    </row>
    <row r="1895">
      <c r="A1895" s="50"/>
    </row>
    <row r="1896">
      <c r="A1896" s="50"/>
    </row>
    <row r="1897">
      <c r="A1897" s="50"/>
    </row>
    <row r="1898">
      <c r="A1898" s="50"/>
    </row>
    <row r="1899">
      <c r="A1899" s="50"/>
    </row>
    <row r="1900">
      <c r="A1900" s="50"/>
    </row>
    <row r="1901">
      <c r="A1901" s="50"/>
    </row>
    <row r="1902">
      <c r="A1902" s="50"/>
    </row>
    <row r="1903">
      <c r="A1903" s="50"/>
    </row>
    <row r="1904">
      <c r="A1904" s="50"/>
    </row>
    <row r="1905">
      <c r="A1905" s="50"/>
    </row>
    <row r="1906">
      <c r="A1906" s="50"/>
    </row>
    <row r="1907">
      <c r="A1907" s="50"/>
    </row>
    <row r="1908">
      <c r="A1908" s="50"/>
    </row>
    <row r="1909">
      <c r="A1909" s="50"/>
    </row>
    <row r="1910">
      <c r="A1910" s="50"/>
    </row>
    <row r="1911">
      <c r="A1911" s="50"/>
    </row>
    <row r="1912">
      <c r="A1912" s="50"/>
    </row>
    <row r="1913">
      <c r="A1913" s="50"/>
    </row>
    <row r="1914">
      <c r="A1914" s="50"/>
    </row>
    <row r="1915">
      <c r="A1915" s="50"/>
    </row>
    <row r="1916">
      <c r="A1916" s="50"/>
    </row>
    <row r="1917">
      <c r="A1917" s="50"/>
    </row>
    <row r="1918">
      <c r="A1918" s="50"/>
    </row>
    <row r="1919">
      <c r="A1919" s="50"/>
    </row>
    <row r="1920">
      <c r="A1920" s="50"/>
    </row>
    <row r="1921">
      <c r="A1921" s="50"/>
    </row>
    <row r="1922">
      <c r="A1922" s="50"/>
    </row>
    <row r="1923">
      <c r="A1923" s="50"/>
    </row>
    <row r="1924">
      <c r="A1924" s="50"/>
    </row>
    <row r="1925">
      <c r="A1925" s="50"/>
    </row>
    <row r="1926">
      <c r="A1926" s="50"/>
    </row>
    <row r="1927">
      <c r="A1927" s="50"/>
    </row>
    <row r="1928">
      <c r="A1928" s="50"/>
    </row>
    <row r="1929">
      <c r="A1929" s="50"/>
    </row>
    <row r="1930">
      <c r="A1930" s="50"/>
    </row>
    <row r="1931">
      <c r="A1931" s="50"/>
    </row>
    <row r="1932">
      <c r="A1932" s="50"/>
    </row>
    <row r="1933">
      <c r="A1933" s="50"/>
    </row>
    <row r="1934">
      <c r="A1934" s="50"/>
    </row>
    <row r="1935">
      <c r="A1935" s="50"/>
    </row>
    <row r="1936">
      <c r="A1936" s="50"/>
    </row>
    <row r="1937">
      <c r="A1937" s="50"/>
    </row>
    <row r="1938">
      <c r="A1938" s="50"/>
    </row>
    <row r="1939">
      <c r="A1939" s="50"/>
    </row>
    <row r="1940">
      <c r="A1940" s="50"/>
    </row>
    <row r="1941">
      <c r="A1941" s="50"/>
    </row>
    <row r="1942">
      <c r="A1942" s="50"/>
    </row>
    <row r="1943">
      <c r="A1943" s="50"/>
    </row>
    <row r="1944">
      <c r="A1944" s="50"/>
    </row>
    <row r="1945">
      <c r="A1945" s="50"/>
    </row>
    <row r="1946">
      <c r="A1946" s="50"/>
    </row>
    <row r="1947">
      <c r="A1947" s="50"/>
    </row>
    <row r="1948">
      <c r="A1948" s="50"/>
    </row>
    <row r="1949">
      <c r="A1949" s="50"/>
    </row>
    <row r="1950">
      <c r="A1950" s="50"/>
    </row>
    <row r="1951">
      <c r="A1951" s="50"/>
    </row>
    <row r="1952">
      <c r="A1952" s="50"/>
    </row>
    <row r="1953">
      <c r="A1953" s="50"/>
    </row>
    <row r="1954">
      <c r="A1954" s="50"/>
    </row>
    <row r="1955">
      <c r="A1955" s="50"/>
    </row>
    <row r="1956">
      <c r="A1956" s="50"/>
    </row>
    <row r="1957">
      <c r="A1957" s="50"/>
    </row>
    <row r="1958">
      <c r="A1958" s="50"/>
    </row>
    <row r="1959">
      <c r="A1959" s="50"/>
    </row>
    <row r="1960">
      <c r="A1960" s="50"/>
    </row>
    <row r="1961">
      <c r="A1961" s="50"/>
    </row>
    <row r="1962">
      <c r="A1962" s="50"/>
    </row>
    <row r="1963">
      <c r="A1963" s="50"/>
    </row>
    <row r="1964">
      <c r="A1964" s="50"/>
    </row>
    <row r="1965">
      <c r="A1965" s="50"/>
    </row>
    <row r="1966">
      <c r="A1966" s="50"/>
    </row>
    <row r="1967">
      <c r="A1967" s="50"/>
    </row>
    <row r="1968">
      <c r="A1968" s="50"/>
    </row>
    <row r="1969">
      <c r="A1969" s="50"/>
    </row>
    <row r="1970">
      <c r="A1970" s="50"/>
    </row>
    <row r="1971">
      <c r="A1971" s="50"/>
    </row>
    <row r="1972">
      <c r="A1972" s="50"/>
    </row>
    <row r="1973">
      <c r="A1973" s="50"/>
    </row>
    <row r="1974">
      <c r="A1974" s="50"/>
    </row>
    <row r="1975">
      <c r="A1975" s="50"/>
    </row>
    <row r="1976">
      <c r="A1976" s="50"/>
    </row>
    <row r="1977">
      <c r="A1977" s="50"/>
    </row>
    <row r="1978">
      <c r="A1978" s="50"/>
    </row>
    <row r="1979">
      <c r="A1979" s="50"/>
    </row>
    <row r="1980">
      <c r="A1980" s="50"/>
    </row>
    <row r="1981">
      <c r="A1981" s="50"/>
    </row>
    <row r="1982">
      <c r="A1982" s="50"/>
    </row>
    <row r="1983">
      <c r="A1983" s="50"/>
    </row>
    <row r="1984">
      <c r="A1984" s="50"/>
    </row>
    <row r="1985">
      <c r="A1985" s="50"/>
    </row>
    <row r="1986">
      <c r="A1986" s="50"/>
    </row>
    <row r="1987">
      <c r="A1987" s="50"/>
    </row>
    <row r="1988">
      <c r="A1988" s="50"/>
    </row>
    <row r="1989">
      <c r="A1989" s="50"/>
    </row>
    <row r="1990">
      <c r="A1990" s="50"/>
    </row>
    <row r="1991">
      <c r="A1991" s="50"/>
    </row>
    <row r="1992">
      <c r="A1992" s="50"/>
    </row>
    <row r="1993">
      <c r="A1993" s="50"/>
    </row>
    <row r="1994">
      <c r="A1994" s="50"/>
    </row>
    <row r="1995">
      <c r="A1995" s="50"/>
    </row>
    <row r="1996">
      <c r="A1996" s="50"/>
    </row>
    <row r="1997">
      <c r="A1997" s="50"/>
    </row>
    <row r="1998">
      <c r="A1998" s="50"/>
    </row>
    <row r="1999">
      <c r="A1999" s="50"/>
    </row>
    <row r="2000">
      <c r="A2000" s="50"/>
    </row>
    <row r="2001">
      <c r="A2001" s="50"/>
    </row>
    <row r="2002">
      <c r="A2002" s="50"/>
    </row>
    <row r="2003">
      <c r="A2003" s="50"/>
    </row>
    <row r="2004">
      <c r="A2004" s="50"/>
    </row>
    <row r="2005">
      <c r="A2005" s="50"/>
    </row>
    <row r="2006">
      <c r="A2006" s="50"/>
    </row>
    <row r="2007">
      <c r="A2007" s="50"/>
    </row>
    <row r="2008">
      <c r="A2008" s="50"/>
    </row>
    <row r="2009">
      <c r="A2009" s="50"/>
    </row>
    <row r="2010">
      <c r="A2010" s="50"/>
    </row>
    <row r="2011">
      <c r="A2011" s="50"/>
    </row>
    <row r="2012">
      <c r="A2012" s="50"/>
    </row>
    <row r="2013">
      <c r="A2013" s="50"/>
    </row>
    <row r="2014">
      <c r="A2014" s="50"/>
    </row>
    <row r="2015">
      <c r="A2015" s="50"/>
    </row>
    <row r="2016">
      <c r="A2016" s="50"/>
    </row>
    <row r="2017">
      <c r="A2017" s="50"/>
    </row>
    <row r="2018">
      <c r="A2018" s="50"/>
    </row>
    <row r="2019">
      <c r="A2019" s="50"/>
    </row>
    <row r="2020">
      <c r="A2020" s="50"/>
    </row>
    <row r="2021">
      <c r="A2021" s="50"/>
    </row>
    <row r="2022">
      <c r="A2022" s="50"/>
    </row>
    <row r="2023">
      <c r="A2023" s="50"/>
    </row>
    <row r="2024">
      <c r="A2024" s="50"/>
    </row>
    <row r="2025">
      <c r="A2025" s="50"/>
    </row>
    <row r="2026">
      <c r="A2026" s="50"/>
    </row>
    <row r="2027">
      <c r="A2027" s="50"/>
    </row>
    <row r="2028">
      <c r="A2028" s="50"/>
    </row>
    <row r="2029">
      <c r="A2029" s="50"/>
    </row>
    <row r="2030">
      <c r="A2030" s="50"/>
    </row>
    <row r="2031">
      <c r="A2031" s="50"/>
    </row>
    <row r="2032">
      <c r="A2032" s="50"/>
    </row>
    <row r="2033">
      <c r="A2033" s="50"/>
    </row>
    <row r="2034">
      <c r="A2034" s="50"/>
    </row>
    <row r="2035">
      <c r="A2035" s="50"/>
    </row>
    <row r="2036">
      <c r="A2036" s="50"/>
    </row>
    <row r="2037">
      <c r="A2037" s="50"/>
    </row>
    <row r="2038">
      <c r="A2038" s="50"/>
    </row>
    <row r="2039">
      <c r="A2039" s="50"/>
    </row>
    <row r="2040">
      <c r="A2040" s="50"/>
    </row>
    <row r="2041">
      <c r="A2041" s="50"/>
    </row>
    <row r="2042">
      <c r="A2042" s="50"/>
    </row>
    <row r="2043">
      <c r="A2043" s="50"/>
    </row>
    <row r="2044">
      <c r="A2044" s="50"/>
    </row>
    <row r="2045">
      <c r="A2045" s="50"/>
    </row>
    <row r="2046">
      <c r="A2046" s="50"/>
    </row>
    <row r="2047">
      <c r="A2047" s="50"/>
    </row>
    <row r="2048">
      <c r="A2048" s="50"/>
    </row>
    <row r="2049">
      <c r="A2049" s="50"/>
    </row>
    <row r="2050">
      <c r="A2050" s="50"/>
    </row>
    <row r="2051">
      <c r="A2051" s="50"/>
    </row>
    <row r="2052">
      <c r="A2052" s="50"/>
    </row>
    <row r="2053">
      <c r="A2053" s="50"/>
    </row>
    <row r="2054">
      <c r="A2054" s="50"/>
    </row>
    <row r="2055">
      <c r="A2055" s="50"/>
    </row>
    <row r="2056">
      <c r="A2056" s="50"/>
    </row>
    <row r="2057">
      <c r="A2057" s="50"/>
    </row>
    <row r="2058">
      <c r="A2058" s="50"/>
    </row>
    <row r="2059">
      <c r="A2059" s="50"/>
    </row>
    <row r="2060">
      <c r="A2060" s="50"/>
    </row>
    <row r="2061">
      <c r="A2061" s="50"/>
    </row>
    <row r="2062">
      <c r="A2062" s="50"/>
    </row>
    <row r="2063">
      <c r="A2063" s="50"/>
    </row>
    <row r="2064">
      <c r="A2064" s="50"/>
    </row>
    <row r="2065">
      <c r="A2065" s="50"/>
    </row>
    <row r="2066">
      <c r="A2066" s="50"/>
    </row>
    <row r="2067">
      <c r="A2067" s="50"/>
    </row>
    <row r="2068">
      <c r="A2068" s="50"/>
    </row>
    <row r="2069">
      <c r="A2069" s="50"/>
    </row>
    <row r="2070">
      <c r="A2070" s="50"/>
    </row>
    <row r="2071">
      <c r="A2071" s="50"/>
    </row>
    <row r="2072">
      <c r="A2072" s="50"/>
    </row>
    <row r="2073">
      <c r="A2073" s="50"/>
    </row>
    <row r="2074">
      <c r="A2074" s="50"/>
    </row>
    <row r="2075">
      <c r="A2075" s="50"/>
    </row>
    <row r="2076">
      <c r="A2076" s="50"/>
    </row>
    <row r="2077">
      <c r="A2077" s="50"/>
    </row>
    <row r="2078">
      <c r="A2078" s="50"/>
    </row>
    <row r="2079">
      <c r="A2079" s="50"/>
    </row>
    <row r="2080">
      <c r="A2080" s="50"/>
    </row>
    <row r="2081">
      <c r="A2081" s="50"/>
    </row>
    <row r="2082">
      <c r="A2082" s="50"/>
    </row>
    <row r="2083">
      <c r="A2083" s="50"/>
    </row>
    <row r="2084">
      <c r="A2084" s="50"/>
    </row>
    <row r="2085">
      <c r="A2085" s="50"/>
    </row>
    <row r="2086">
      <c r="A2086" s="50"/>
    </row>
    <row r="2087">
      <c r="A2087" s="50"/>
    </row>
    <row r="2088">
      <c r="A2088" s="50"/>
    </row>
    <row r="2089">
      <c r="A2089" s="50"/>
    </row>
    <row r="2090">
      <c r="A2090" s="50"/>
    </row>
    <row r="2091">
      <c r="A2091" s="50"/>
    </row>
    <row r="2092">
      <c r="A2092" s="50"/>
    </row>
    <row r="2093">
      <c r="A2093" s="50"/>
    </row>
    <row r="2094">
      <c r="A2094" s="50"/>
    </row>
    <row r="2095">
      <c r="A2095" s="50"/>
    </row>
    <row r="2096">
      <c r="A2096" s="50"/>
    </row>
    <row r="2097">
      <c r="A2097" s="50"/>
    </row>
    <row r="2098">
      <c r="A2098" s="50"/>
    </row>
    <row r="2099">
      <c r="A2099" s="50"/>
    </row>
    <row r="2100">
      <c r="A2100" s="50"/>
    </row>
    <row r="2101">
      <c r="A2101" s="50"/>
    </row>
    <row r="2102">
      <c r="A2102" s="50"/>
    </row>
    <row r="2103">
      <c r="A2103" s="50"/>
    </row>
    <row r="2104">
      <c r="A2104" s="50"/>
    </row>
    <row r="2105">
      <c r="A2105" s="50"/>
    </row>
    <row r="2106">
      <c r="A2106" s="50"/>
    </row>
    <row r="2107">
      <c r="A2107" s="50"/>
    </row>
    <row r="2108">
      <c r="A2108" s="50"/>
    </row>
    <row r="2109">
      <c r="A2109" s="50"/>
    </row>
    <row r="2110">
      <c r="A2110" s="50"/>
    </row>
    <row r="2111">
      <c r="A2111" s="50"/>
    </row>
    <row r="2112">
      <c r="A2112" s="50"/>
    </row>
    <row r="2113">
      <c r="A2113" s="50"/>
    </row>
    <row r="2114">
      <c r="A2114" s="50"/>
    </row>
    <row r="2115">
      <c r="A2115" s="50"/>
    </row>
    <row r="2116">
      <c r="A2116" s="50"/>
    </row>
    <row r="2117">
      <c r="A2117" s="50"/>
    </row>
    <row r="2118">
      <c r="A2118" s="50"/>
    </row>
    <row r="2119">
      <c r="A2119" s="50"/>
    </row>
    <row r="2120">
      <c r="A2120" s="50"/>
    </row>
    <row r="2121">
      <c r="A2121" s="50"/>
    </row>
    <row r="2122">
      <c r="A2122" s="50"/>
    </row>
    <row r="2123">
      <c r="A2123" s="50"/>
    </row>
    <row r="2124">
      <c r="A2124" s="50"/>
    </row>
    <row r="2125">
      <c r="A2125" s="50"/>
    </row>
    <row r="2126">
      <c r="A2126" s="50"/>
    </row>
    <row r="2127">
      <c r="A2127" s="50"/>
    </row>
    <row r="2128">
      <c r="A2128" s="50"/>
    </row>
    <row r="2129">
      <c r="A2129" s="50"/>
    </row>
    <row r="2130">
      <c r="A2130" s="50"/>
    </row>
    <row r="2131">
      <c r="A2131" s="50"/>
    </row>
    <row r="2132">
      <c r="A2132" s="50"/>
    </row>
    <row r="2133">
      <c r="A2133" s="50"/>
    </row>
    <row r="2134">
      <c r="A2134" s="50"/>
    </row>
    <row r="2135">
      <c r="A2135" s="50"/>
    </row>
    <row r="2136">
      <c r="A2136" s="50"/>
    </row>
    <row r="2137">
      <c r="A2137" s="50"/>
    </row>
    <row r="2138">
      <c r="A2138" s="50"/>
    </row>
    <row r="2139">
      <c r="A2139" s="50"/>
    </row>
    <row r="2140">
      <c r="A2140" s="50"/>
    </row>
    <row r="2141">
      <c r="A2141" s="50"/>
    </row>
    <row r="2142">
      <c r="A2142" s="50"/>
    </row>
    <row r="2143">
      <c r="A2143" s="50"/>
    </row>
    <row r="2144">
      <c r="A2144" s="50"/>
    </row>
    <row r="2145">
      <c r="A2145" s="50"/>
    </row>
    <row r="2146">
      <c r="A2146" s="50"/>
    </row>
    <row r="2147">
      <c r="A2147" s="50"/>
    </row>
    <row r="2148">
      <c r="A2148" s="50"/>
    </row>
    <row r="2149">
      <c r="A2149" s="50"/>
    </row>
    <row r="2150">
      <c r="A2150" s="50"/>
    </row>
    <row r="2151">
      <c r="A2151" s="50"/>
    </row>
    <row r="2152">
      <c r="A2152" s="50"/>
    </row>
    <row r="2153">
      <c r="A2153" s="50"/>
    </row>
    <row r="2154">
      <c r="A2154" s="50"/>
    </row>
    <row r="2155">
      <c r="A2155" s="50"/>
    </row>
    <row r="2156">
      <c r="A2156" s="50"/>
    </row>
    <row r="2157">
      <c r="A2157" s="50"/>
    </row>
    <row r="2158">
      <c r="A2158" s="50"/>
    </row>
    <row r="2159">
      <c r="A2159" s="50"/>
    </row>
    <row r="2160">
      <c r="A2160" s="50"/>
    </row>
    <row r="2161">
      <c r="A2161" s="50"/>
    </row>
    <row r="2162">
      <c r="A2162" s="50"/>
    </row>
    <row r="2163">
      <c r="A2163" s="50"/>
    </row>
    <row r="2164">
      <c r="A2164" s="50"/>
    </row>
    <row r="2165">
      <c r="A2165" s="50"/>
    </row>
    <row r="2166">
      <c r="A2166" s="50"/>
    </row>
    <row r="2167">
      <c r="A2167" s="50"/>
    </row>
    <row r="2168">
      <c r="A2168" s="50"/>
    </row>
    <row r="2169">
      <c r="A2169" s="50"/>
    </row>
    <row r="2170">
      <c r="A2170" s="50"/>
    </row>
    <row r="2171">
      <c r="A2171" s="50"/>
    </row>
    <row r="2172">
      <c r="A2172" s="50"/>
    </row>
    <row r="2173">
      <c r="A2173" s="50"/>
    </row>
    <row r="2174">
      <c r="A2174" s="50"/>
    </row>
    <row r="2175">
      <c r="A2175" s="50"/>
    </row>
    <row r="2176">
      <c r="A2176" s="50"/>
    </row>
    <row r="2177">
      <c r="A2177" s="50"/>
    </row>
    <row r="2178">
      <c r="A2178" s="50"/>
    </row>
    <row r="2179">
      <c r="A2179" s="50"/>
    </row>
    <row r="2180">
      <c r="A2180" s="50"/>
    </row>
    <row r="2181">
      <c r="A2181" s="50"/>
    </row>
    <row r="2182">
      <c r="A2182" s="50"/>
    </row>
    <row r="2183">
      <c r="A2183" s="50"/>
    </row>
    <row r="2184">
      <c r="A2184" s="50"/>
    </row>
    <row r="2185">
      <c r="A2185" s="50"/>
    </row>
    <row r="2186">
      <c r="A2186" s="50"/>
    </row>
    <row r="2187">
      <c r="A2187" s="50"/>
    </row>
    <row r="2188">
      <c r="A2188" s="50"/>
    </row>
    <row r="2189">
      <c r="A2189" s="50"/>
    </row>
    <row r="2190">
      <c r="A2190" s="50"/>
    </row>
    <row r="2191">
      <c r="A2191" s="50"/>
    </row>
    <row r="2192">
      <c r="A2192" s="50"/>
    </row>
    <row r="2193">
      <c r="A2193" s="50"/>
    </row>
    <row r="2194">
      <c r="A2194" s="50"/>
    </row>
    <row r="2195">
      <c r="A2195" s="50"/>
    </row>
    <row r="2196">
      <c r="A2196" s="50"/>
    </row>
    <row r="2197">
      <c r="A2197" s="50"/>
    </row>
    <row r="2198">
      <c r="A2198" s="50"/>
    </row>
    <row r="2199">
      <c r="A2199" s="50"/>
    </row>
    <row r="2200">
      <c r="A2200" s="50"/>
    </row>
    <row r="2201">
      <c r="A2201" s="50"/>
    </row>
    <row r="2202">
      <c r="A2202" s="50"/>
    </row>
    <row r="2203">
      <c r="A2203" s="50"/>
    </row>
    <row r="2204">
      <c r="A2204" s="50"/>
    </row>
    <row r="2205">
      <c r="A2205" s="50"/>
    </row>
    <row r="2206">
      <c r="A2206" s="50"/>
    </row>
    <row r="2207">
      <c r="A2207" s="50"/>
    </row>
    <row r="2208">
      <c r="A2208" s="50"/>
    </row>
    <row r="2209">
      <c r="A2209" s="50"/>
    </row>
    <row r="2210">
      <c r="A2210" s="50"/>
    </row>
    <row r="2211">
      <c r="A2211" s="50"/>
    </row>
    <row r="2212">
      <c r="A2212" s="50"/>
    </row>
    <row r="2213">
      <c r="A2213" s="50"/>
    </row>
    <row r="2214">
      <c r="A2214" s="50"/>
    </row>
    <row r="2215">
      <c r="A2215" s="50"/>
    </row>
    <row r="2216">
      <c r="A2216" s="50"/>
    </row>
    <row r="2217">
      <c r="A2217" s="50"/>
    </row>
    <row r="2218">
      <c r="A2218" s="50"/>
    </row>
    <row r="2219">
      <c r="A2219" s="50"/>
    </row>
    <row r="2220">
      <c r="A2220" s="50"/>
    </row>
    <row r="2221">
      <c r="A2221" s="50"/>
    </row>
    <row r="2222">
      <c r="A2222" s="50"/>
    </row>
    <row r="2223">
      <c r="A2223" s="50"/>
    </row>
    <row r="2224">
      <c r="A2224" s="50"/>
    </row>
    <row r="2225">
      <c r="A2225" s="50"/>
    </row>
    <row r="2226">
      <c r="A2226" s="50"/>
    </row>
    <row r="2227">
      <c r="A2227" s="50"/>
    </row>
    <row r="2228">
      <c r="A2228" s="50"/>
    </row>
    <row r="2229">
      <c r="A2229" s="50"/>
    </row>
    <row r="2230">
      <c r="A2230" s="50"/>
    </row>
    <row r="2231">
      <c r="A2231" s="50"/>
    </row>
    <row r="2232">
      <c r="A2232" s="50"/>
    </row>
    <row r="2233">
      <c r="A2233" s="50"/>
    </row>
    <row r="2234">
      <c r="A2234" s="50"/>
    </row>
    <row r="2235">
      <c r="A2235" s="50"/>
    </row>
    <row r="2236">
      <c r="A2236" s="50"/>
    </row>
    <row r="2237">
      <c r="A2237" s="50"/>
    </row>
    <row r="2238">
      <c r="A2238" s="50"/>
    </row>
    <row r="2239">
      <c r="A2239" s="50"/>
    </row>
    <row r="2240">
      <c r="A2240" s="50"/>
    </row>
    <row r="2241">
      <c r="A2241" s="50"/>
    </row>
    <row r="2242">
      <c r="A2242" s="50"/>
    </row>
    <row r="2243">
      <c r="A2243" s="50"/>
    </row>
    <row r="2244">
      <c r="A2244" s="50"/>
    </row>
    <row r="2245">
      <c r="A2245" s="50"/>
    </row>
    <row r="2246">
      <c r="A2246" s="50"/>
    </row>
    <row r="2247">
      <c r="A2247" s="50"/>
    </row>
    <row r="2248">
      <c r="A2248" s="50"/>
    </row>
    <row r="2249">
      <c r="A2249" s="50"/>
    </row>
    <row r="2250">
      <c r="A2250" s="50"/>
    </row>
    <row r="2251">
      <c r="A2251" s="50"/>
    </row>
    <row r="2252">
      <c r="A2252" s="50"/>
    </row>
    <row r="2253">
      <c r="A2253" s="50"/>
    </row>
    <row r="2254">
      <c r="A2254" s="50"/>
    </row>
    <row r="2255">
      <c r="A2255" s="50"/>
    </row>
    <row r="2256">
      <c r="A2256" s="50"/>
    </row>
    <row r="2257">
      <c r="A2257" s="50"/>
    </row>
    <row r="2258">
      <c r="A2258" s="50"/>
    </row>
    <row r="2259">
      <c r="A2259" s="50"/>
    </row>
    <row r="2260">
      <c r="A2260" s="50"/>
    </row>
    <row r="2261">
      <c r="A2261" s="50"/>
    </row>
    <row r="2262">
      <c r="A2262" s="50"/>
    </row>
    <row r="2263">
      <c r="A2263" s="50"/>
    </row>
    <row r="2264">
      <c r="A2264" s="50"/>
    </row>
    <row r="2265">
      <c r="A2265" s="50"/>
    </row>
    <row r="2266">
      <c r="A2266" s="50"/>
    </row>
    <row r="2267">
      <c r="A2267" s="50"/>
    </row>
    <row r="2268">
      <c r="A2268" s="50"/>
    </row>
    <row r="2269">
      <c r="A2269" s="50"/>
    </row>
    <row r="2270">
      <c r="A2270" s="50"/>
    </row>
    <row r="2271">
      <c r="A2271" s="50"/>
    </row>
    <row r="2272">
      <c r="A2272" s="50"/>
    </row>
    <row r="2273">
      <c r="A2273" s="50"/>
    </row>
    <row r="2274">
      <c r="A2274" s="50"/>
    </row>
    <row r="2275">
      <c r="A2275" s="50"/>
    </row>
    <row r="2276">
      <c r="A2276" s="50"/>
    </row>
    <row r="2277">
      <c r="A2277" s="50"/>
    </row>
    <row r="2278">
      <c r="A2278" s="50"/>
    </row>
    <row r="2279">
      <c r="A2279" s="50"/>
    </row>
    <row r="2280">
      <c r="A2280" s="50"/>
    </row>
    <row r="2281">
      <c r="A2281" s="50"/>
    </row>
    <row r="2282">
      <c r="A2282" s="50"/>
    </row>
    <row r="2283">
      <c r="A2283" s="50"/>
    </row>
    <row r="2284">
      <c r="A2284" s="50"/>
    </row>
    <row r="2285">
      <c r="A2285" s="50"/>
    </row>
    <row r="2286">
      <c r="A2286" s="50"/>
    </row>
    <row r="2287">
      <c r="A2287" s="50"/>
    </row>
    <row r="2288">
      <c r="A2288" s="50"/>
    </row>
    <row r="2289">
      <c r="A2289" s="50"/>
    </row>
    <row r="2290">
      <c r="A2290" s="50"/>
    </row>
    <row r="2291">
      <c r="A2291" s="50"/>
    </row>
    <row r="2292">
      <c r="A2292" s="50"/>
    </row>
    <row r="2293">
      <c r="A2293" s="50"/>
    </row>
    <row r="2294">
      <c r="A2294" s="50"/>
    </row>
    <row r="2295">
      <c r="A2295" s="50"/>
    </row>
    <row r="2296">
      <c r="A2296" s="50"/>
    </row>
    <row r="2297">
      <c r="A2297" s="50"/>
    </row>
    <row r="2298">
      <c r="A2298" s="50"/>
    </row>
    <row r="2299">
      <c r="A2299" s="50"/>
    </row>
    <row r="2300">
      <c r="A2300" s="50"/>
    </row>
    <row r="2301">
      <c r="A2301" s="50"/>
    </row>
    <row r="2302">
      <c r="A2302" s="50"/>
    </row>
    <row r="2303">
      <c r="A2303" s="50"/>
    </row>
    <row r="2304">
      <c r="A2304" s="50"/>
    </row>
    <row r="2305">
      <c r="A2305" s="50"/>
    </row>
    <row r="2306">
      <c r="A2306" s="50"/>
    </row>
    <row r="2307">
      <c r="A2307" s="50"/>
    </row>
    <row r="2308">
      <c r="A2308" s="50"/>
    </row>
    <row r="2309">
      <c r="A2309" s="50"/>
    </row>
    <row r="2310">
      <c r="A2310" s="50"/>
    </row>
    <row r="2311">
      <c r="A2311" s="50"/>
    </row>
    <row r="2312">
      <c r="A2312" s="50"/>
    </row>
    <row r="2313">
      <c r="A2313" s="50"/>
    </row>
    <row r="2314">
      <c r="A2314" s="50"/>
    </row>
    <row r="2315">
      <c r="A2315" s="50"/>
    </row>
    <row r="2316">
      <c r="A2316" s="50"/>
    </row>
    <row r="2317">
      <c r="A2317" s="50"/>
    </row>
    <row r="2318">
      <c r="A2318" s="50"/>
    </row>
    <row r="2319">
      <c r="A2319" s="50"/>
    </row>
    <row r="2320">
      <c r="A2320" s="50"/>
    </row>
    <row r="2321">
      <c r="A2321" s="50"/>
    </row>
    <row r="2322">
      <c r="A2322" s="50"/>
    </row>
    <row r="2323">
      <c r="A2323" s="50"/>
    </row>
    <row r="2324">
      <c r="A2324" s="50"/>
    </row>
    <row r="2325">
      <c r="A2325" s="50"/>
    </row>
    <row r="2326">
      <c r="A2326" s="50"/>
    </row>
    <row r="2327">
      <c r="A2327" s="50"/>
    </row>
    <row r="2328">
      <c r="A2328" s="50"/>
    </row>
    <row r="2329">
      <c r="A2329" s="50"/>
    </row>
    <row r="2330">
      <c r="A2330" s="50"/>
    </row>
    <row r="2331">
      <c r="A2331" s="50"/>
    </row>
    <row r="2332">
      <c r="A2332" s="50"/>
    </row>
    <row r="2333">
      <c r="A2333" s="50"/>
    </row>
    <row r="2334">
      <c r="A2334" s="50"/>
    </row>
    <row r="2335">
      <c r="A2335" s="50"/>
    </row>
    <row r="2336">
      <c r="A2336" s="50"/>
    </row>
    <row r="2337">
      <c r="A2337" s="50"/>
    </row>
    <row r="2338">
      <c r="A2338" s="50"/>
    </row>
    <row r="2339">
      <c r="A2339" s="50"/>
    </row>
    <row r="2340">
      <c r="A2340" s="50"/>
    </row>
    <row r="2341">
      <c r="A2341" s="50"/>
    </row>
    <row r="2342">
      <c r="A2342" s="50"/>
    </row>
    <row r="2343">
      <c r="A2343" s="50"/>
    </row>
    <row r="2344">
      <c r="A2344" s="50"/>
    </row>
    <row r="2345">
      <c r="A2345" s="50"/>
    </row>
    <row r="2346">
      <c r="A2346" s="50"/>
    </row>
    <row r="2347">
      <c r="A2347" s="50"/>
    </row>
    <row r="2348">
      <c r="A2348" s="50"/>
    </row>
    <row r="2349">
      <c r="A2349" s="50"/>
    </row>
    <row r="2350">
      <c r="A2350" s="50"/>
    </row>
    <row r="2351">
      <c r="A2351" s="50"/>
    </row>
    <row r="2352">
      <c r="A2352" s="50"/>
    </row>
    <row r="2353">
      <c r="A2353" s="50"/>
    </row>
    <row r="2354">
      <c r="A2354" s="50"/>
    </row>
    <row r="2355">
      <c r="A2355" s="50"/>
    </row>
    <row r="2356">
      <c r="A2356" s="50"/>
    </row>
    <row r="2357">
      <c r="A2357" s="50"/>
    </row>
    <row r="2358">
      <c r="A2358" s="50"/>
    </row>
    <row r="2359">
      <c r="A2359" s="50"/>
    </row>
    <row r="2360">
      <c r="A2360" s="50"/>
    </row>
    <row r="2361">
      <c r="A2361" s="50"/>
    </row>
    <row r="2362">
      <c r="A2362" s="50"/>
    </row>
    <row r="2363">
      <c r="A2363" s="50"/>
    </row>
    <row r="2364">
      <c r="A2364" s="50"/>
    </row>
    <row r="2365">
      <c r="A2365" s="50"/>
    </row>
    <row r="2366">
      <c r="A2366" s="50"/>
    </row>
    <row r="2367">
      <c r="A2367" s="50"/>
    </row>
    <row r="2368">
      <c r="A2368" s="50"/>
    </row>
    <row r="2369">
      <c r="A2369" s="50"/>
    </row>
    <row r="2370">
      <c r="A2370" s="50"/>
    </row>
    <row r="2371">
      <c r="A2371" s="50"/>
    </row>
    <row r="2372">
      <c r="A2372" s="50"/>
    </row>
    <row r="2373">
      <c r="A2373" s="50"/>
    </row>
    <row r="2374">
      <c r="A2374" s="50"/>
    </row>
    <row r="2375">
      <c r="A2375" s="50"/>
    </row>
    <row r="2376">
      <c r="A2376" s="50"/>
    </row>
    <row r="2377">
      <c r="A2377" s="50"/>
    </row>
    <row r="2378">
      <c r="A2378" s="50"/>
    </row>
    <row r="2379">
      <c r="A2379" s="50"/>
    </row>
    <row r="2380">
      <c r="A2380" s="50"/>
    </row>
    <row r="2381">
      <c r="A2381" s="50"/>
    </row>
    <row r="2382">
      <c r="A2382" s="50"/>
    </row>
    <row r="2383">
      <c r="A2383" s="50"/>
    </row>
    <row r="2384">
      <c r="A2384" s="50"/>
    </row>
    <row r="2385">
      <c r="A2385" s="50"/>
    </row>
    <row r="2386">
      <c r="A2386" s="50"/>
    </row>
    <row r="2387">
      <c r="A2387" s="50"/>
    </row>
    <row r="2388">
      <c r="A2388" s="50"/>
    </row>
    <row r="2389">
      <c r="A2389" s="50"/>
    </row>
    <row r="2390">
      <c r="A2390" s="50"/>
    </row>
    <row r="2391">
      <c r="A2391" s="50"/>
    </row>
    <row r="2392">
      <c r="A2392" s="50"/>
    </row>
    <row r="2393">
      <c r="A2393" s="50"/>
    </row>
    <row r="2394">
      <c r="A2394" s="50"/>
    </row>
    <row r="2395">
      <c r="A2395" s="50"/>
    </row>
    <row r="2396">
      <c r="A2396" s="50"/>
    </row>
    <row r="2397">
      <c r="A2397" s="50"/>
    </row>
    <row r="2398">
      <c r="A2398" s="50"/>
    </row>
    <row r="2399">
      <c r="A2399" s="50"/>
    </row>
    <row r="2400">
      <c r="A2400" s="50"/>
    </row>
    <row r="2401">
      <c r="A2401" s="50"/>
    </row>
    <row r="2402">
      <c r="A2402" s="50"/>
    </row>
    <row r="2403">
      <c r="A2403" s="50"/>
    </row>
    <row r="2404">
      <c r="A2404" s="50"/>
    </row>
    <row r="2405">
      <c r="A2405" s="50"/>
    </row>
    <row r="2406">
      <c r="A2406" s="50"/>
    </row>
    <row r="2407">
      <c r="A2407" s="50"/>
    </row>
    <row r="2408">
      <c r="A2408" s="50"/>
    </row>
    <row r="2409">
      <c r="A2409" s="50"/>
    </row>
    <row r="2410">
      <c r="A2410" s="50"/>
    </row>
    <row r="2411">
      <c r="A2411" s="50"/>
    </row>
    <row r="2412">
      <c r="A2412" s="50"/>
    </row>
    <row r="2413">
      <c r="A2413" s="50"/>
    </row>
    <row r="2414">
      <c r="A2414" s="50"/>
    </row>
    <row r="2415">
      <c r="A2415" s="50"/>
    </row>
    <row r="2416">
      <c r="A2416" s="50"/>
    </row>
    <row r="2417">
      <c r="A2417" s="50"/>
    </row>
    <row r="2418">
      <c r="A2418" s="50"/>
    </row>
    <row r="2419">
      <c r="A2419" s="50"/>
    </row>
    <row r="2420">
      <c r="A2420" s="50"/>
    </row>
    <row r="2421">
      <c r="A2421" s="50"/>
    </row>
    <row r="2422">
      <c r="A2422" s="50"/>
    </row>
    <row r="2423">
      <c r="A2423" s="50"/>
    </row>
    <row r="2424">
      <c r="A2424" s="50"/>
    </row>
    <row r="2425">
      <c r="A2425" s="50"/>
    </row>
    <row r="2426">
      <c r="A2426" s="50"/>
    </row>
    <row r="2427">
      <c r="A2427" s="50"/>
    </row>
    <row r="2428">
      <c r="A2428" s="50"/>
    </row>
    <row r="2429">
      <c r="A2429" s="50"/>
    </row>
    <row r="2430">
      <c r="A2430" s="50"/>
    </row>
    <row r="2431">
      <c r="A2431" s="50"/>
    </row>
    <row r="2432">
      <c r="A2432" s="50"/>
    </row>
    <row r="2433">
      <c r="A2433" s="50"/>
    </row>
    <row r="2434">
      <c r="A2434" s="50"/>
    </row>
    <row r="2435">
      <c r="A2435" s="50"/>
    </row>
    <row r="2436">
      <c r="A2436" s="50"/>
    </row>
    <row r="2437">
      <c r="A2437" s="50"/>
    </row>
    <row r="2438">
      <c r="A2438" s="50"/>
    </row>
    <row r="2439">
      <c r="A2439" s="50"/>
    </row>
    <row r="2440">
      <c r="A2440" s="50"/>
    </row>
    <row r="2441">
      <c r="A2441" s="50"/>
    </row>
    <row r="2442">
      <c r="A2442" s="50"/>
    </row>
    <row r="2443">
      <c r="A2443" s="50"/>
    </row>
    <row r="2444">
      <c r="A2444" s="50"/>
    </row>
    <row r="2445">
      <c r="A2445" s="50"/>
    </row>
    <row r="2446">
      <c r="A2446" s="50"/>
    </row>
    <row r="2447">
      <c r="A2447" s="50"/>
    </row>
    <row r="2448">
      <c r="A2448" s="50"/>
    </row>
    <row r="2449">
      <c r="A2449" s="50"/>
    </row>
    <row r="2450">
      <c r="A2450" s="50"/>
    </row>
    <row r="2451">
      <c r="A2451" s="50"/>
    </row>
    <row r="2452">
      <c r="A2452" s="50"/>
    </row>
    <row r="2453">
      <c r="A2453" s="50"/>
    </row>
    <row r="2454">
      <c r="A2454" s="50"/>
    </row>
    <row r="2455">
      <c r="A2455" s="50"/>
    </row>
    <row r="2456">
      <c r="A2456" s="50"/>
    </row>
    <row r="2457">
      <c r="A2457" s="50"/>
    </row>
    <row r="2458">
      <c r="A2458" s="50"/>
    </row>
    <row r="2459">
      <c r="A2459" s="50"/>
    </row>
    <row r="2460">
      <c r="A2460" s="50"/>
    </row>
    <row r="2461">
      <c r="A2461" s="50"/>
    </row>
    <row r="2462">
      <c r="A2462" s="50"/>
    </row>
    <row r="2463">
      <c r="A2463" s="50"/>
    </row>
    <row r="2464">
      <c r="A2464" s="50"/>
    </row>
    <row r="2465">
      <c r="A2465" s="50"/>
    </row>
    <row r="2466">
      <c r="A2466" s="50"/>
    </row>
    <row r="2467">
      <c r="A2467" s="50"/>
    </row>
    <row r="2468">
      <c r="A2468" s="50"/>
    </row>
    <row r="2469">
      <c r="A2469" s="50"/>
    </row>
    <row r="2470">
      <c r="A2470" s="50"/>
    </row>
    <row r="2471">
      <c r="A2471" s="50"/>
    </row>
    <row r="2472">
      <c r="A2472" s="50"/>
    </row>
    <row r="2473">
      <c r="A2473" s="50"/>
    </row>
    <row r="2474">
      <c r="A2474" s="50"/>
    </row>
    <row r="2475">
      <c r="A2475" s="50"/>
    </row>
    <row r="2476">
      <c r="A2476" s="50"/>
    </row>
    <row r="2477">
      <c r="A2477" s="50"/>
    </row>
    <row r="2478">
      <c r="A2478" s="50"/>
    </row>
    <row r="2479">
      <c r="A2479" s="50"/>
    </row>
    <row r="2480">
      <c r="A2480" s="50"/>
    </row>
    <row r="2481">
      <c r="A2481" s="50"/>
    </row>
    <row r="2482">
      <c r="A2482" s="50"/>
    </row>
    <row r="2483">
      <c r="A2483" s="50"/>
    </row>
    <row r="2484">
      <c r="A2484" s="50"/>
    </row>
    <row r="2485">
      <c r="A2485" s="50"/>
    </row>
    <row r="2486">
      <c r="A2486" s="50"/>
    </row>
    <row r="2487">
      <c r="A2487" s="50"/>
    </row>
    <row r="2488">
      <c r="A2488" s="50"/>
    </row>
    <row r="2489">
      <c r="A2489" s="50"/>
    </row>
    <row r="2490">
      <c r="A2490" s="50"/>
    </row>
    <row r="2491">
      <c r="A2491" s="50"/>
    </row>
    <row r="2492">
      <c r="A2492" s="50"/>
    </row>
    <row r="2493">
      <c r="A2493" s="50"/>
    </row>
    <row r="2494">
      <c r="A2494" s="50"/>
    </row>
    <row r="2495">
      <c r="A2495" s="50"/>
    </row>
    <row r="2496">
      <c r="A2496" s="50"/>
    </row>
    <row r="2497">
      <c r="A2497" s="50"/>
    </row>
    <row r="2498">
      <c r="A2498" s="50"/>
    </row>
    <row r="2499">
      <c r="A2499" s="50"/>
    </row>
    <row r="2500">
      <c r="A2500" s="50"/>
    </row>
    <row r="2501">
      <c r="A2501" s="50"/>
    </row>
    <row r="2502">
      <c r="A2502" s="50"/>
    </row>
    <row r="2503">
      <c r="A2503" s="50"/>
    </row>
    <row r="2504">
      <c r="A2504" s="50"/>
    </row>
    <row r="2505">
      <c r="A2505" s="50"/>
    </row>
    <row r="2506">
      <c r="A2506" s="50"/>
    </row>
    <row r="2507">
      <c r="A2507" s="50"/>
    </row>
    <row r="2508">
      <c r="A2508" s="50"/>
    </row>
    <row r="2509">
      <c r="A2509" s="50"/>
    </row>
    <row r="2510">
      <c r="A2510" s="50"/>
    </row>
    <row r="2511">
      <c r="A2511" s="50"/>
    </row>
    <row r="2512">
      <c r="A2512" s="50"/>
    </row>
    <row r="2513">
      <c r="A2513" s="50"/>
    </row>
    <row r="2514">
      <c r="A2514" s="50"/>
    </row>
    <row r="2515">
      <c r="A2515" s="50"/>
    </row>
    <row r="2516">
      <c r="A2516" s="50"/>
    </row>
    <row r="2517">
      <c r="A2517" s="50"/>
    </row>
    <row r="2518">
      <c r="A2518" s="50"/>
    </row>
    <row r="2519">
      <c r="A2519" s="50"/>
    </row>
    <row r="2520">
      <c r="A2520" s="50"/>
    </row>
    <row r="2521">
      <c r="A2521" s="50"/>
    </row>
    <row r="2522">
      <c r="A2522" s="50"/>
    </row>
    <row r="2523">
      <c r="A2523" s="50"/>
    </row>
    <row r="2524">
      <c r="A2524" s="50"/>
    </row>
    <row r="2525">
      <c r="A2525" s="50"/>
    </row>
    <row r="2526">
      <c r="A2526" s="50"/>
    </row>
    <row r="2527">
      <c r="A2527" s="50"/>
    </row>
    <row r="2528">
      <c r="A2528" s="50"/>
    </row>
    <row r="2529">
      <c r="A2529" s="50"/>
    </row>
    <row r="2530">
      <c r="A2530" s="50"/>
    </row>
    <row r="2531">
      <c r="A2531" s="50"/>
    </row>
    <row r="2532">
      <c r="A2532" s="50"/>
    </row>
    <row r="2533">
      <c r="A2533" s="50"/>
    </row>
    <row r="2534">
      <c r="A2534" s="50"/>
    </row>
    <row r="2535">
      <c r="A2535" s="50"/>
    </row>
    <row r="2536">
      <c r="A2536" s="50"/>
    </row>
    <row r="2537">
      <c r="A2537" s="50"/>
    </row>
    <row r="2538">
      <c r="A2538" s="50"/>
    </row>
    <row r="2539">
      <c r="A2539" s="50"/>
    </row>
    <row r="2540">
      <c r="A2540" s="50"/>
    </row>
    <row r="2541">
      <c r="A2541" s="50"/>
    </row>
    <row r="2542">
      <c r="A2542" s="50"/>
    </row>
    <row r="2543">
      <c r="A2543" s="50"/>
    </row>
    <row r="2544">
      <c r="A2544" s="50"/>
    </row>
    <row r="2545">
      <c r="A2545" s="50"/>
    </row>
    <row r="2546">
      <c r="A2546" s="50"/>
    </row>
    <row r="2547">
      <c r="A2547" s="50"/>
    </row>
    <row r="2548">
      <c r="A2548" s="50"/>
    </row>
    <row r="2549">
      <c r="A2549" s="50"/>
    </row>
    <row r="2550">
      <c r="A2550" s="50"/>
    </row>
    <row r="2551">
      <c r="A2551" s="50"/>
    </row>
    <row r="2552">
      <c r="A2552" s="50"/>
    </row>
    <row r="2553">
      <c r="A2553" s="50"/>
    </row>
    <row r="2554">
      <c r="A2554" s="50"/>
    </row>
    <row r="2555">
      <c r="A2555" s="50"/>
    </row>
    <row r="2556">
      <c r="A2556" s="50"/>
    </row>
    <row r="2557">
      <c r="A2557" s="50"/>
    </row>
    <row r="2558">
      <c r="A2558" s="50"/>
    </row>
    <row r="2559">
      <c r="A2559" s="50"/>
    </row>
    <row r="2560">
      <c r="A2560" s="50"/>
    </row>
    <row r="2561">
      <c r="A2561" s="50"/>
    </row>
    <row r="2562">
      <c r="A2562" s="50"/>
    </row>
    <row r="2563">
      <c r="A2563" s="50"/>
    </row>
    <row r="2564">
      <c r="A2564" s="50"/>
    </row>
    <row r="2565">
      <c r="A2565" s="50"/>
    </row>
    <row r="2566">
      <c r="A2566" s="50"/>
    </row>
    <row r="2567">
      <c r="A2567" s="50"/>
    </row>
    <row r="2568">
      <c r="A2568" s="50"/>
    </row>
    <row r="2569">
      <c r="A2569" s="50"/>
    </row>
    <row r="2570">
      <c r="A2570" s="50"/>
    </row>
    <row r="2571">
      <c r="A2571" s="50"/>
    </row>
    <row r="2572">
      <c r="A2572" s="50"/>
    </row>
    <row r="2573">
      <c r="A2573" s="50"/>
    </row>
    <row r="2574">
      <c r="A2574" s="50"/>
    </row>
    <row r="2575">
      <c r="A2575" s="50"/>
    </row>
    <row r="2576">
      <c r="A2576" s="50"/>
    </row>
    <row r="2577">
      <c r="A2577" s="50"/>
    </row>
    <row r="2578">
      <c r="A2578" s="50"/>
    </row>
    <row r="2579">
      <c r="A2579" s="50"/>
    </row>
    <row r="2580">
      <c r="A2580" s="50"/>
    </row>
    <row r="2581">
      <c r="A2581" s="50"/>
    </row>
    <row r="2582">
      <c r="A2582" s="50"/>
    </row>
    <row r="2583">
      <c r="A2583" s="50"/>
    </row>
    <row r="2584">
      <c r="A2584" s="50"/>
    </row>
    <row r="2585">
      <c r="A2585" s="50"/>
    </row>
    <row r="2586">
      <c r="A2586" s="50"/>
    </row>
    <row r="2587">
      <c r="A2587" s="50"/>
    </row>
    <row r="2588">
      <c r="A2588" s="50"/>
    </row>
    <row r="2589">
      <c r="A2589" s="50"/>
    </row>
    <row r="2590">
      <c r="A2590" s="50"/>
    </row>
    <row r="2591">
      <c r="A2591" s="50"/>
    </row>
    <row r="2592">
      <c r="A2592" s="50"/>
    </row>
    <row r="2593">
      <c r="A2593" s="50"/>
    </row>
    <row r="2594">
      <c r="A2594" s="50"/>
    </row>
    <row r="2595">
      <c r="A2595" s="50"/>
    </row>
    <row r="2596">
      <c r="A2596" s="50"/>
    </row>
    <row r="2597">
      <c r="A2597" s="50"/>
    </row>
    <row r="2598">
      <c r="A2598" s="50"/>
    </row>
    <row r="2599">
      <c r="A2599" s="50"/>
    </row>
    <row r="2600">
      <c r="A2600" s="50"/>
    </row>
    <row r="2601">
      <c r="A2601" s="50"/>
    </row>
    <row r="2602">
      <c r="A2602" s="50"/>
    </row>
    <row r="2603">
      <c r="A2603" s="50"/>
    </row>
    <row r="2604">
      <c r="A2604" s="50"/>
    </row>
    <row r="2605">
      <c r="A2605" s="50"/>
    </row>
    <row r="2606">
      <c r="A2606" s="50"/>
    </row>
    <row r="2607">
      <c r="A2607" s="50"/>
    </row>
    <row r="2608">
      <c r="A2608" s="50"/>
    </row>
    <row r="2609">
      <c r="A2609" s="50"/>
    </row>
    <row r="2610">
      <c r="A2610" s="50"/>
    </row>
    <row r="2611">
      <c r="A2611" s="50"/>
    </row>
    <row r="2612">
      <c r="A2612" s="50"/>
    </row>
    <row r="2613">
      <c r="A2613" s="50"/>
    </row>
    <row r="2614">
      <c r="A2614" s="50"/>
    </row>
    <row r="2615">
      <c r="A2615" s="50"/>
    </row>
    <row r="2616">
      <c r="A2616" s="50"/>
    </row>
    <row r="2617">
      <c r="A2617" s="50"/>
    </row>
    <row r="2618">
      <c r="A2618" s="50"/>
    </row>
    <row r="2619">
      <c r="A2619" s="50"/>
    </row>
    <row r="2620">
      <c r="A2620" s="50"/>
    </row>
    <row r="2621">
      <c r="A2621" s="50"/>
    </row>
    <row r="2622">
      <c r="A2622" s="50"/>
    </row>
    <row r="2623">
      <c r="A2623" s="50"/>
    </row>
    <row r="2624">
      <c r="A2624" s="50"/>
    </row>
    <row r="2625">
      <c r="A2625" s="50"/>
    </row>
    <row r="2626">
      <c r="A2626" s="50"/>
    </row>
    <row r="2627">
      <c r="A2627" s="50"/>
    </row>
    <row r="2628">
      <c r="A2628" s="50"/>
    </row>
    <row r="2629">
      <c r="A2629" s="50"/>
    </row>
    <row r="2630">
      <c r="A2630" s="50"/>
    </row>
    <row r="2631">
      <c r="A2631" s="50"/>
    </row>
    <row r="2632">
      <c r="A2632" s="50"/>
    </row>
    <row r="2633">
      <c r="A2633" s="50"/>
    </row>
    <row r="2634">
      <c r="A2634" s="50"/>
    </row>
    <row r="2635">
      <c r="A2635" s="50"/>
    </row>
    <row r="2636">
      <c r="A2636" s="50"/>
    </row>
    <row r="2637">
      <c r="A2637" s="50"/>
    </row>
    <row r="2638">
      <c r="A2638" s="50"/>
    </row>
    <row r="2639">
      <c r="A2639" s="50"/>
    </row>
    <row r="2640">
      <c r="A2640" s="50"/>
    </row>
    <row r="2641">
      <c r="A2641" s="50"/>
    </row>
    <row r="2642">
      <c r="A2642" s="50"/>
    </row>
    <row r="2643">
      <c r="A2643" s="50"/>
    </row>
    <row r="2644">
      <c r="A2644" s="50"/>
    </row>
    <row r="2645">
      <c r="A2645" s="50"/>
    </row>
    <row r="2646">
      <c r="A2646" s="50"/>
    </row>
    <row r="2647">
      <c r="A2647" s="50"/>
    </row>
    <row r="2648">
      <c r="A2648" s="50"/>
    </row>
    <row r="2649">
      <c r="A2649" s="50"/>
    </row>
    <row r="2650">
      <c r="A2650" s="50"/>
    </row>
    <row r="2651">
      <c r="A2651" s="50"/>
    </row>
    <row r="2652">
      <c r="A2652" s="50"/>
    </row>
    <row r="2653">
      <c r="A2653" s="50"/>
    </row>
    <row r="2654">
      <c r="A2654" s="50"/>
    </row>
    <row r="2655">
      <c r="A2655" s="50"/>
    </row>
    <row r="2656">
      <c r="A2656" s="50"/>
    </row>
    <row r="2657">
      <c r="A2657" s="50"/>
    </row>
    <row r="2658">
      <c r="A2658" s="50"/>
    </row>
    <row r="2659">
      <c r="A2659" s="50"/>
    </row>
    <row r="2660">
      <c r="A2660" s="50"/>
    </row>
    <row r="2661">
      <c r="A2661" s="50"/>
    </row>
    <row r="2662">
      <c r="A2662" s="50"/>
    </row>
    <row r="2663">
      <c r="A2663" s="50"/>
    </row>
    <row r="2664">
      <c r="A2664" s="50"/>
    </row>
    <row r="2665">
      <c r="A2665" s="50"/>
    </row>
    <row r="2666">
      <c r="A2666" s="50"/>
    </row>
    <row r="2667">
      <c r="A2667" s="50"/>
    </row>
    <row r="2668">
      <c r="A2668" s="50"/>
    </row>
    <row r="2669">
      <c r="A2669" s="50"/>
    </row>
    <row r="2670">
      <c r="A2670" s="50"/>
    </row>
    <row r="2671">
      <c r="A2671" s="50"/>
    </row>
    <row r="2672">
      <c r="A2672" s="50"/>
    </row>
    <row r="2673">
      <c r="A2673" s="50"/>
    </row>
    <row r="2674">
      <c r="A2674" s="50"/>
    </row>
    <row r="2675">
      <c r="A2675" s="50"/>
    </row>
    <row r="2676">
      <c r="A2676" s="50"/>
    </row>
    <row r="2677">
      <c r="A2677" s="50"/>
    </row>
    <row r="2678">
      <c r="A2678" s="50"/>
    </row>
    <row r="2679">
      <c r="A2679" s="50"/>
    </row>
    <row r="2680">
      <c r="A2680" s="50"/>
    </row>
    <row r="2681">
      <c r="A2681" s="50"/>
    </row>
    <row r="2682">
      <c r="A2682" s="50"/>
    </row>
    <row r="2683">
      <c r="A2683" s="50"/>
    </row>
    <row r="2684">
      <c r="A2684" s="50"/>
    </row>
    <row r="2685">
      <c r="A2685" s="50"/>
    </row>
    <row r="2686">
      <c r="A2686" s="50"/>
    </row>
    <row r="2687">
      <c r="A2687" s="50"/>
    </row>
    <row r="2688">
      <c r="A2688" s="50"/>
    </row>
    <row r="2689">
      <c r="A2689" s="50"/>
    </row>
    <row r="2690">
      <c r="A2690" s="50"/>
    </row>
    <row r="2691">
      <c r="A2691" s="50"/>
    </row>
    <row r="2692">
      <c r="A2692" s="50"/>
    </row>
    <row r="2693">
      <c r="A2693" s="50"/>
    </row>
    <row r="2694">
      <c r="A2694" s="50"/>
    </row>
    <row r="2695">
      <c r="A2695" s="50"/>
    </row>
    <row r="2696">
      <c r="A2696" s="50"/>
    </row>
    <row r="2697">
      <c r="A2697" s="50"/>
    </row>
    <row r="2698">
      <c r="A2698" s="50"/>
    </row>
    <row r="2699">
      <c r="A2699" s="50"/>
    </row>
    <row r="2700">
      <c r="A2700" s="50"/>
    </row>
    <row r="2701">
      <c r="A2701" s="50"/>
    </row>
    <row r="2702">
      <c r="A2702" s="50"/>
    </row>
    <row r="2703">
      <c r="A2703" s="50"/>
    </row>
    <row r="2704">
      <c r="A2704" s="50"/>
    </row>
    <row r="2705">
      <c r="A2705" s="50"/>
    </row>
    <row r="2706">
      <c r="A2706" s="50"/>
    </row>
    <row r="2707">
      <c r="A2707" s="50"/>
    </row>
    <row r="2708">
      <c r="A2708" s="50"/>
    </row>
    <row r="2709">
      <c r="A2709" s="50"/>
    </row>
    <row r="2710">
      <c r="A2710" s="50"/>
    </row>
    <row r="2711">
      <c r="A2711" s="50"/>
    </row>
    <row r="2712">
      <c r="A2712" s="50"/>
    </row>
    <row r="2713">
      <c r="A2713" s="50"/>
    </row>
    <row r="2714">
      <c r="A2714" s="50"/>
    </row>
    <row r="2715">
      <c r="A2715" s="50"/>
    </row>
    <row r="2716">
      <c r="A2716" s="50"/>
    </row>
    <row r="2717">
      <c r="A2717" s="50"/>
    </row>
    <row r="2718">
      <c r="A2718" s="50"/>
    </row>
    <row r="2719">
      <c r="A2719" s="50"/>
    </row>
    <row r="2720">
      <c r="A2720" s="50"/>
    </row>
    <row r="2721">
      <c r="A2721" s="50"/>
    </row>
    <row r="2722">
      <c r="A2722" s="50"/>
    </row>
    <row r="2723">
      <c r="A2723" s="50"/>
    </row>
    <row r="2724">
      <c r="A2724" s="50"/>
    </row>
    <row r="2725">
      <c r="A2725" s="50"/>
    </row>
    <row r="2726">
      <c r="A2726" s="50"/>
    </row>
    <row r="2727">
      <c r="A2727" s="50"/>
    </row>
    <row r="2728">
      <c r="A2728" s="50"/>
    </row>
    <row r="2729">
      <c r="A2729" s="50"/>
    </row>
    <row r="2730">
      <c r="A2730" s="50"/>
    </row>
    <row r="2731">
      <c r="A2731" s="50"/>
    </row>
    <row r="2732">
      <c r="A2732" s="50"/>
    </row>
    <row r="2733">
      <c r="A2733" s="50"/>
    </row>
    <row r="2734">
      <c r="A2734" s="50"/>
    </row>
    <row r="2735">
      <c r="A2735" s="50"/>
    </row>
    <row r="2736">
      <c r="A2736" s="50"/>
    </row>
    <row r="2737">
      <c r="A2737" s="50"/>
    </row>
    <row r="2738">
      <c r="A2738" s="50"/>
    </row>
    <row r="2739">
      <c r="A2739" s="50"/>
    </row>
    <row r="2740">
      <c r="A2740" s="50"/>
    </row>
    <row r="2741">
      <c r="A2741" s="50"/>
    </row>
    <row r="2742">
      <c r="A2742" s="50"/>
    </row>
    <row r="2743">
      <c r="A2743" s="50"/>
    </row>
    <row r="2744">
      <c r="A2744" s="50"/>
    </row>
    <row r="2745">
      <c r="A2745" s="50"/>
    </row>
    <row r="2746">
      <c r="A2746" s="50"/>
    </row>
    <row r="2747">
      <c r="A2747" s="50"/>
    </row>
    <row r="2748">
      <c r="A2748" s="50"/>
    </row>
    <row r="2749">
      <c r="A2749" s="50"/>
    </row>
    <row r="2750">
      <c r="A2750" s="50"/>
    </row>
    <row r="2751">
      <c r="A2751" s="50"/>
    </row>
    <row r="2752">
      <c r="A2752" s="50"/>
    </row>
    <row r="2753">
      <c r="A2753" s="50"/>
    </row>
    <row r="2754">
      <c r="A2754" s="50"/>
    </row>
    <row r="2755">
      <c r="A2755" s="50"/>
    </row>
    <row r="2756">
      <c r="A2756" s="50"/>
    </row>
    <row r="2757">
      <c r="A2757" s="50"/>
    </row>
    <row r="2758">
      <c r="A2758" s="50"/>
    </row>
    <row r="2759">
      <c r="A2759" s="50"/>
    </row>
    <row r="2760">
      <c r="A2760" s="50"/>
    </row>
    <row r="2761">
      <c r="A2761" s="50"/>
    </row>
    <row r="2762">
      <c r="A2762" s="50"/>
    </row>
    <row r="2763">
      <c r="A2763" s="50"/>
    </row>
    <row r="2764">
      <c r="A2764" s="50"/>
    </row>
    <row r="2765">
      <c r="A2765" s="50"/>
    </row>
    <row r="2766">
      <c r="A2766" s="50"/>
    </row>
    <row r="2767">
      <c r="A2767" s="50"/>
    </row>
    <row r="2768">
      <c r="A2768" s="50"/>
    </row>
    <row r="2769">
      <c r="A2769" s="50"/>
    </row>
    <row r="2770">
      <c r="A2770" s="50"/>
    </row>
    <row r="2771">
      <c r="A2771" s="50"/>
    </row>
    <row r="2772">
      <c r="A2772" s="50"/>
    </row>
    <row r="2773">
      <c r="A2773" s="50"/>
    </row>
    <row r="2774">
      <c r="A2774" s="50"/>
    </row>
    <row r="2775">
      <c r="A2775" s="50"/>
    </row>
    <row r="2776">
      <c r="A2776" s="50"/>
    </row>
    <row r="2777">
      <c r="A2777" s="50"/>
    </row>
    <row r="2778">
      <c r="A2778" s="50"/>
    </row>
    <row r="2779">
      <c r="A2779" s="50"/>
    </row>
    <row r="2780">
      <c r="A2780" s="50"/>
    </row>
    <row r="2781">
      <c r="A2781" s="50"/>
    </row>
    <row r="2782">
      <c r="A2782" s="50"/>
    </row>
    <row r="2783">
      <c r="A2783" s="50"/>
    </row>
    <row r="2784">
      <c r="A2784" s="50"/>
    </row>
    <row r="2785">
      <c r="A2785" s="50"/>
    </row>
    <row r="2786">
      <c r="A2786" s="50"/>
    </row>
    <row r="2787">
      <c r="A2787" s="50"/>
    </row>
    <row r="2788">
      <c r="A2788" s="50"/>
    </row>
    <row r="2789">
      <c r="A2789" s="50"/>
    </row>
    <row r="2790">
      <c r="A2790" s="50"/>
    </row>
    <row r="2791">
      <c r="A2791" s="50"/>
    </row>
    <row r="2792">
      <c r="A2792" s="50"/>
    </row>
    <row r="2793">
      <c r="A2793" s="50"/>
    </row>
    <row r="2794">
      <c r="A2794" s="50"/>
    </row>
    <row r="2795">
      <c r="A2795" s="50"/>
    </row>
    <row r="2796">
      <c r="A2796" s="50"/>
    </row>
    <row r="2797">
      <c r="A2797" s="50"/>
    </row>
    <row r="2798">
      <c r="A2798" s="50"/>
    </row>
    <row r="2799">
      <c r="A2799" s="50"/>
    </row>
    <row r="2800">
      <c r="A2800" s="50"/>
    </row>
    <row r="2801">
      <c r="A2801" s="50"/>
    </row>
    <row r="2802">
      <c r="A2802" s="50"/>
    </row>
    <row r="2803">
      <c r="A2803" s="50"/>
    </row>
    <row r="2804">
      <c r="A2804" s="50"/>
    </row>
    <row r="2805">
      <c r="A2805" s="50"/>
    </row>
    <row r="2806">
      <c r="A2806" s="50"/>
    </row>
    <row r="2807">
      <c r="A2807" s="50"/>
    </row>
    <row r="2808">
      <c r="A2808" s="50"/>
    </row>
    <row r="2809">
      <c r="A2809" s="50"/>
    </row>
    <row r="2810">
      <c r="A2810" s="50"/>
    </row>
    <row r="2811">
      <c r="A2811" s="50"/>
    </row>
    <row r="2812">
      <c r="A2812" s="50"/>
    </row>
    <row r="2813">
      <c r="A2813" s="50"/>
    </row>
    <row r="2814">
      <c r="A2814" s="50"/>
    </row>
    <row r="2815">
      <c r="A2815" s="50"/>
    </row>
    <row r="2816">
      <c r="A2816" s="50"/>
    </row>
    <row r="2817">
      <c r="A2817" s="50"/>
    </row>
    <row r="2818">
      <c r="A2818" s="50"/>
    </row>
    <row r="2819">
      <c r="A2819" s="50"/>
    </row>
    <row r="2820">
      <c r="A2820" s="50"/>
    </row>
    <row r="2821">
      <c r="A2821" s="50"/>
    </row>
    <row r="2822">
      <c r="A2822" s="50"/>
    </row>
    <row r="2823">
      <c r="A2823" s="50"/>
    </row>
    <row r="2824">
      <c r="A2824" s="50"/>
    </row>
    <row r="2825">
      <c r="A2825" s="50"/>
    </row>
    <row r="2826">
      <c r="A2826" s="50"/>
    </row>
    <row r="2827">
      <c r="A2827" s="50"/>
    </row>
    <row r="2828">
      <c r="A2828" s="50"/>
    </row>
    <row r="2829">
      <c r="A2829" s="50"/>
    </row>
    <row r="2830">
      <c r="A2830" s="50"/>
    </row>
    <row r="2831">
      <c r="A2831" s="50"/>
    </row>
    <row r="2832">
      <c r="A2832" s="50"/>
    </row>
    <row r="2833">
      <c r="A2833" s="50"/>
    </row>
    <row r="2834">
      <c r="A2834" s="50"/>
    </row>
    <row r="2835">
      <c r="A2835" s="50"/>
    </row>
    <row r="2836">
      <c r="A2836" s="50"/>
    </row>
    <row r="2837">
      <c r="A2837" s="50"/>
    </row>
    <row r="2838">
      <c r="A2838" s="50"/>
    </row>
    <row r="2839">
      <c r="A2839" s="50"/>
    </row>
    <row r="2840">
      <c r="A2840" s="50"/>
    </row>
    <row r="2841">
      <c r="A2841" s="50"/>
    </row>
    <row r="2842">
      <c r="A2842" s="50"/>
    </row>
    <row r="2843">
      <c r="A2843" s="50"/>
    </row>
    <row r="2844">
      <c r="A2844" s="50"/>
    </row>
    <row r="2845">
      <c r="A2845" s="50"/>
    </row>
    <row r="2846">
      <c r="A2846" s="50"/>
    </row>
    <row r="2847">
      <c r="A2847" s="50"/>
    </row>
    <row r="2848">
      <c r="A2848" s="50"/>
    </row>
    <row r="2849">
      <c r="A2849" s="50"/>
    </row>
    <row r="2850">
      <c r="A2850" s="50"/>
    </row>
    <row r="2851">
      <c r="A2851" s="50"/>
    </row>
    <row r="2852">
      <c r="A2852" s="50"/>
    </row>
    <row r="2853">
      <c r="A2853" s="50"/>
    </row>
    <row r="2854">
      <c r="A2854" s="50"/>
    </row>
    <row r="2855">
      <c r="A2855" s="50"/>
    </row>
    <row r="2856">
      <c r="A2856" s="50"/>
    </row>
    <row r="2857">
      <c r="A2857" s="50"/>
    </row>
    <row r="2858">
      <c r="A2858" s="50"/>
    </row>
    <row r="2859">
      <c r="A2859" s="50"/>
    </row>
    <row r="2860">
      <c r="A2860" s="50"/>
    </row>
    <row r="2861">
      <c r="A2861" s="50"/>
    </row>
    <row r="2862">
      <c r="A2862" s="50"/>
    </row>
    <row r="2863">
      <c r="A2863" s="50"/>
    </row>
    <row r="2864">
      <c r="A2864" s="50"/>
    </row>
    <row r="2865">
      <c r="A2865" s="50"/>
    </row>
    <row r="2866">
      <c r="A2866" s="50"/>
    </row>
    <row r="2867">
      <c r="A2867" s="50"/>
    </row>
    <row r="2868">
      <c r="A2868" s="50"/>
    </row>
    <row r="2869">
      <c r="A2869" s="50"/>
    </row>
    <row r="2870">
      <c r="A2870" s="50"/>
    </row>
    <row r="2871">
      <c r="A2871" s="50"/>
    </row>
    <row r="2872">
      <c r="A2872" s="50"/>
    </row>
    <row r="2873">
      <c r="A2873" s="50"/>
    </row>
    <row r="2874">
      <c r="A2874" s="50"/>
    </row>
    <row r="2875">
      <c r="A2875" s="50"/>
    </row>
    <row r="2876">
      <c r="A2876" s="50"/>
    </row>
    <row r="2877">
      <c r="A2877" s="50"/>
    </row>
    <row r="2878">
      <c r="A2878" s="50"/>
    </row>
    <row r="2879">
      <c r="A2879" s="50"/>
    </row>
    <row r="2880">
      <c r="A2880" s="50"/>
    </row>
    <row r="2881">
      <c r="A2881" s="50"/>
    </row>
    <row r="2882">
      <c r="A2882" s="50"/>
    </row>
    <row r="2883">
      <c r="A2883" s="50"/>
    </row>
    <row r="2884">
      <c r="A2884" s="50"/>
    </row>
    <row r="2885">
      <c r="A2885" s="50"/>
    </row>
    <row r="2886">
      <c r="A2886" s="50"/>
    </row>
    <row r="2887">
      <c r="A2887" s="50"/>
    </row>
    <row r="2888">
      <c r="A2888" s="50"/>
    </row>
    <row r="2889">
      <c r="A2889" s="50"/>
    </row>
    <row r="2890">
      <c r="A2890" s="50"/>
    </row>
    <row r="2891">
      <c r="A2891" s="50"/>
    </row>
    <row r="2892">
      <c r="A2892" s="50"/>
    </row>
    <row r="2893">
      <c r="A2893" s="50"/>
    </row>
    <row r="2894">
      <c r="A2894" s="50"/>
    </row>
    <row r="2895">
      <c r="A2895" s="50"/>
    </row>
    <row r="2896">
      <c r="A2896" s="50"/>
    </row>
    <row r="2897">
      <c r="A2897" s="50"/>
    </row>
    <row r="2898">
      <c r="A2898" s="50"/>
    </row>
    <row r="2899">
      <c r="A2899" s="50"/>
    </row>
    <row r="2900">
      <c r="A2900" s="50"/>
    </row>
    <row r="2901">
      <c r="A2901" s="50"/>
    </row>
    <row r="2902">
      <c r="A2902" s="50"/>
    </row>
    <row r="2903">
      <c r="A2903" s="50"/>
    </row>
    <row r="2904">
      <c r="A2904" s="50"/>
    </row>
    <row r="2905">
      <c r="A2905" s="50"/>
    </row>
    <row r="2906">
      <c r="A2906" s="50"/>
    </row>
    <row r="2907">
      <c r="A2907" s="50"/>
    </row>
    <row r="2908">
      <c r="A2908" s="50"/>
    </row>
    <row r="2909">
      <c r="A2909" s="50"/>
    </row>
    <row r="2910">
      <c r="A2910" s="50"/>
    </row>
    <row r="2911">
      <c r="A2911" s="50"/>
    </row>
    <row r="2912">
      <c r="A2912" s="50"/>
    </row>
    <row r="2913">
      <c r="A2913" s="50"/>
    </row>
    <row r="2914">
      <c r="A2914" s="50"/>
    </row>
    <row r="2915">
      <c r="A2915" s="50"/>
    </row>
    <row r="2916">
      <c r="A2916" s="50"/>
    </row>
    <row r="2917">
      <c r="A2917" s="50"/>
    </row>
    <row r="2918">
      <c r="A2918" s="50"/>
    </row>
    <row r="2919">
      <c r="A2919" s="50"/>
    </row>
    <row r="2920">
      <c r="A2920" s="50"/>
    </row>
    <row r="2921">
      <c r="A2921" s="50"/>
    </row>
    <row r="2922">
      <c r="A2922" s="50"/>
    </row>
    <row r="2923">
      <c r="A2923" s="50"/>
    </row>
    <row r="2924">
      <c r="A2924" s="50"/>
    </row>
    <row r="2925">
      <c r="A2925" s="50"/>
    </row>
    <row r="2926">
      <c r="A2926" s="50"/>
    </row>
    <row r="2927">
      <c r="A2927" s="50"/>
    </row>
    <row r="2928">
      <c r="A2928" s="50"/>
    </row>
    <row r="2929">
      <c r="A2929" s="50"/>
    </row>
    <row r="2930">
      <c r="A2930" s="50"/>
    </row>
    <row r="2931">
      <c r="A2931" s="50"/>
    </row>
    <row r="2932">
      <c r="A2932" s="50"/>
    </row>
    <row r="2933">
      <c r="A2933" s="50"/>
    </row>
    <row r="2934">
      <c r="A2934" s="50"/>
    </row>
    <row r="2935">
      <c r="A2935" s="50"/>
    </row>
    <row r="2936">
      <c r="A2936" s="50"/>
    </row>
    <row r="2937">
      <c r="A2937" s="50"/>
    </row>
    <row r="2938">
      <c r="A2938" s="50"/>
    </row>
    <row r="2939">
      <c r="A2939" s="50"/>
    </row>
    <row r="2940">
      <c r="A2940" s="50"/>
    </row>
    <row r="2941">
      <c r="A2941" s="50"/>
    </row>
    <row r="2942">
      <c r="A2942" s="50"/>
    </row>
    <row r="2943">
      <c r="A2943" s="50"/>
    </row>
    <row r="2944">
      <c r="A2944" s="50"/>
    </row>
    <row r="2945">
      <c r="A2945" s="50"/>
    </row>
    <row r="2946">
      <c r="A2946" s="50"/>
    </row>
    <row r="2947">
      <c r="A2947" s="50"/>
    </row>
    <row r="2948">
      <c r="A2948" s="50"/>
    </row>
    <row r="2949">
      <c r="A2949" s="50"/>
    </row>
    <row r="2950">
      <c r="A2950" s="50"/>
    </row>
    <row r="2951">
      <c r="A2951" s="50"/>
    </row>
    <row r="2952">
      <c r="A2952" s="50"/>
    </row>
    <row r="2953">
      <c r="A2953" s="50"/>
    </row>
    <row r="2954">
      <c r="A2954" s="50"/>
    </row>
    <row r="2955">
      <c r="A2955" s="50"/>
    </row>
    <row r="2956">
      <c r="A2956" s="50"/>
    </row>
    <row r="2957">
      <c r="A2957" s="50"/>
    </row>
    <row r="2958">
      <c r="A2958" s="50"/>
    </row>
    <row r="2959">
      <c r="A2959" s="50"/>
    </row>
    <row r="2960">
      <c r="A2960" s="50"/>
    </row>
    <row r="2961">
      <c r="A2961" s="50"/>
    </row>
    <row r="2962">
      <c r="A2962" s="50"/>
    </row>
    <row r="2963">
      <c r="A2963" s="50"/>
    </row>
    <row r="2964">
      <c r="A2964" s="50"/>
    </row>
    <row r="2965">
      <c r="A2965" s="50"/>
    </row>
    <row r="2966">
      <c r="A2966" s="50"/>
    </row>
    <row r="2967">
      <c r="A2967" s="50"/>
    </row>
    <row r="2968">
      <c r="A2968" s="50"/>
    </row>
    <row r="2969">
      <c r="A2969" s="50"/>
    </row>
    <row r="2970">
      <c r="A2970" s="50"/>
    </row>
    <row r="2971">
      <c r="A2971" s="50"/>
    </row>
    <row r="2972">
      <c r="A2972" s="50"/>
    </row>
    <row r="2973">
      <c r="A2973" s="50"/>
    </row>
    <row r="2974">
      <c r="A2974" s="50"/>
    </row>
    <row r="2975">
      <c r="A2975" s="50"/>
    </row>
    <row r="2976">
      <c r="A2976" s="50"/>
    </row>
    <row r="2977">
      <c r="A2977" s="50"/>
    </row>
    <row r="2978">
      <c r="A2978" s="50"/>
    </row>
    <row r="2979">
      <c r="A2979" s="50"/>
    </row>
    <row r="2980">
      <c r="A2980" s="50"/>
    </row>
    <row r="2981">
      <c r="A2981" s="50"/>
    </row>
    <row r="2982">
      <c r="A2982" s="50"/>
    </row>
    <row r="2983">
      <c r="A2983" s="50"/>
    </row>
    <row r="2984">
      <c r="A2984" s="50"/>
    </row>
    <row r="2985">
      <c r="A2985" s="50"/>
    </row>
    <row r="2986">
      <c r="A2986" s="50"/>
    </row>
    <row r="2987">
      <c r="A2987" s="50"/>
    </row>
    <row r="2988">
      <c r="A2988" s="50"/>
    </row>
    <row r="2989">
      <c r="A2989" s="50"/>
    </row>
    <row r="2990">
      <c r="A2990" s="50"/>
    </row>
    <row r="2991">
      <c r="A2991" s="50"/>
    </row>
    <row r="2992">
      <c r="A2992" s="50"/>
    </row>
    <row r="2993">
      <c r="A2993" s="50"/>
    </row>
    <row r="2994">
      <c r="A2994" s="50"/>
    </row>
    <row r="2995">
      <c r="A2995" s="50"/>
    </row>
    <row r="2996">
      <c r="A2996" s="50"/>
    </row>
    <row r="2997">
      <c r="A2997" s="50"/>
    </row>
    <row r="2998">
      <c r="A2998" s="50"/>
    </row>
    <row r="2999">
      <c r="A2999" s="50"/>
    </row>
    <row r="3000">
      <c r="A3000" s="50"/>
    </row>
    <row r="3001">
      <c r="A3001" s="50"/>
    </row>
    <row r="3002">
      <c r="A3002" s="50"/>
    </row>
    <row r="3003">
      <c r="A3003" s="50"/>
    </row>
    <row r="3004">
      <c r="A3004" s="50"/>
    </row>
    <row r="3005">
      <c r="A3005" s="50"/>
    </row>
    <row r="3006">
      <c r="A3006" s="50"/>
    </row>
    <row r="3007">
      <c r="A3007" s="50"/>
    </row>
    <row r="3008">
      <c r="A3008" s="50"/>
    </row>
    <row r="3009">
      <c r="A3009" s="50"/>
    </row>
    <row r="3010">
      <c r="A3010" s="50"/>
    </row>
    <row r="3011">
      <c r="A3011" s="50"/>
    </row>
    <row r="3012">
      <c r="A3012" s="50"/>
    </row>
    <row r="3013">
      <c r="A3013" s="50"/>
    </row>
    <row r="3014">
      <c r="A3014" s="50"/>
    </row>
    <row r="3015">
      <c r="A3015" s="50"/>
    </row>
    <row r="3016">
      <c r="A3016" s="50"/>
    </row>
    <row r="3017">
      <c r="A3017" s="50"/>
    </row>
    <row r="3018">
      <c r="A3018" s="50"/>
    </row>
    <row r="3019">
      <c r="A3019" s="50"/>
    </row>
    <row r="3020">
      <c r="A3020" s="50"/>
    </row>
    <row r="3021">
      <c r="A3021" s="50"/>
    </row>
    <row r="3022">
      <c r="A3022" s="50"/>
    </row>
    <row r="3023">
      <c r="A3023" s="50"/>
    </row>
    <row r="3024">
      <c r="A3024" s="50"/>
    </row>
    <row r="3025">
      <c r="A3025" s="50"/>
    </row>
    <row r="3026">
      <c r="A3026" s="50"/>
    </row>
    <row r="3027">
      <c r="A3027" s="50"/>
    </row>
    <row r="3028">
      <c r="A3028" s="50"/>
    </row>
    <row r="3029">
      <c r="A3029" s="50"/>
    </row>
    <row r="3030">
      <c r="A3030" s="50"/>
    </row>
    <row r="3031">
      <c r="A3031" s="50"/>
    </row>
    <row r="3032">
      <c r="A3032" s="50"/>
    </row>
    <row r="3033">
      <c r="A3033" s="50"/>
    </row>
    <row r="3034">
      <c r="A3034" s="50"/>
    </row>
    <row r="3035">
      <c r="A3035" s="50"/>
    </row>
    <row r="3036">
      <c r="A3036" s="50"/>
    </row>
    <row r="3037">
      <c r="A3037" s="50"/>
    </row>
    <row r="3038">
      <c r="A3038" s="50"/>
    </row>
    <row r="3039">
      <c r="A3039" s="50"/>
    </row>
    <row r="3040">
      <c r="A3040" s="50"/>
    </row>
    <row r="3041">
      <c r="A3041" s="50"/>
    </row>
    <row r="3042">
      <c r="A3042" s="50"/>
    </row>
    <row r="3043">
      <c r="A3043" s="50"/>
    </row>
    <row r="3044">
      <c r="A3044" s="50"/>
    </row>
    <row r="3045">
      <c r="A3045" s="50"/>
    </row>
    <row r="3046">
      <c r="A3046" s="50"/>
    </row>
    <row r="3047">
      <c r="A3047" s="50"/>
    </row>
    <row r="3048">
      <c r="A3048" s="50"/>
    </row>
    <row r="3049">
      <c r="A3049" s="50"/>
    </row>
    <row r="3050">
      <c r="A3050" s="50"/>
    </row>
    <row r="3051">
      <c r="A3051" s="50"/>
    </row>
    <row r="3052">
      <c r="A3052" s="50"/>
    </row>
    <row r="3053">
      <c r="A3053" s="50"/>
    </row>
    <row r="3054">
      <c r="A3054" s="50"/>
    </row>
    <row r="3055">
      <c r="A3055" s="50"/>
    </row>
    <row r="3056">
      <c r="A3056" s="50"/>
    </row>
    <row r="3057">
      <c r="A3057" s="50"/>
    </row>
    <row r="3058">
      <c r="A3058" s="50"/>
    </row>
    <row r="3059">
      <c r="A3059" s="50"/>
    </row>
    <row r="3060">
      <c r="A3060" s="50"/>
    </row>
    <row r="3061">
      <c r="A3061" s="50"/>
    </row>
    <row r="3062">
      <c r="A3062" s="50"/>
    </row>
    <row r="3063">
      <c r="A3063" s="50"/>
    </row>
    <row r="3064">
      <c r="A3064" s="50"/>
    </row>
    <row r="3065">
      <c r="A3065" s="50"/>
    </row>
    <row r="3066">
      <c r="A3066" s="50"/>
    </row>
    <row r="3067">
      <c r="A3067" s="50"/>
    </row>
    <row r="3068">
      <c r="A3068" s="50"/>
    </row>
    <row r="3069">
      <c r="A3069" s="50"/>
    </row>
    <row r="3070">
      <c r="A3070" s="50"/>
    </row>
    <row r="3071">
      <c r="A3071" s="50"/>
    </row>
    <row r="3072">
      <c r="A3072" s="50"/>
    </row>
    <row r="3073">
      <c r="A3073" s="50"/>
    </row>
    <row r="3074">
      <c r="A3074" s="50"/>
    </row>
    <row r="3075">
      <c r="A3075" s="50"/>
    </row>
    <row r="3076">
      <c r="A3076" s="50"/>
    </row>
    <row r="3077">
      <c r="A3077" s="50"/>
    </row>
    <row r="3078">
      <c r="A3078" s="50"/>
    </row>
    <row r="3079">
      <c r="A3079" s="50"/>
    </row>
    <row r="3080">
      <c r="A3080" s="50"/>
    </row>
    <row r="3081">
      <c r="A3081" s="50"/>
    </row>
    <row r="3082">
      <c r="A3082" s="50"/>
    </row>
    <row r="3083">
      <c r="A3083" s="50"/>
    </row>
    <row r="3084">
      <c r="A3084" s="50"/>
    </row>
    <row r="3085">
      <c r="A3085" s="50"/>
    </row>
    <row r="3086">
      <c r="A3086" s="50"/>
    </row>
    <row r="3087">
      <c r="A3087" s="50"/>
    </row>
    <row r="3088">
      <c r="A3088" s="50"/>
    </row>
    <row r="3089">
      <c r="A3089" s="50"/>
    </row>
    <row r="3090">
      <c r="A3090" s="50"/>
    </row>
    <row r="3091">
      <c r="A3091" s="50"/>
    </row>
    <row r="3092">
      <c r="A3092" s="50"/>
    </row>
    <row r="3093">
      <c r="A3093" s="50"/>
    </row>
    <row r="3094">
      <c r="A3094" s="50"/>
    </row>
    <row r="3095">
      <c r="A3095" s="50"/>
    </row>
    <row r="3096">
      <c r="A3096" s="50"/>
    </row>
    <row r="3097">
      <c r="A3097" s="50"/>
    </row>
    <row r="3098">
      <c r="A3098" s="50"/>
    </row>
    <row r="3099">
      <c r="A3099" s="50"/>
    </row>
    <row r="3100">
      <c r="A3100" s="50"/>
    </row>
    <row r="3101">
      <c r="A3101" s="50"/>
    </row>
    <row r="3102">
      <c r="A3102" s="50"/>
    </row>
    <row r="3103">
      <c r="A3103" s="50"/>
    </row>
    <row r="3104">
      <c r="A3104" s="50"/>
    </row>
    <row r="3105">
      <c r="A3105" s="50"/>
    </row>
    <row r="3106">
      <c r="A3106" s="50"/>
    </row>
    <row r="3107">
      <c r="A3107" s="50"/>
    </row>
    <row r="3108">
      <c r="A3108" s="50"/>
    </row>
    <row r="3109">
      <c r="A3109" s="50"/>
    </row>
    <row r="3110">
      <c r="A3110" s="50"/>
    </row>
    <row r="3111">
      <c r="A3111" s="50"/>
    </row>
    <row r="3112">
      <c r="A3112" s="50"/>
    </row>
    <row r="3113">
      <c r="A3113" s="50"/>
    </row>
    <row r="3114">
      <c r="A3114" s="50"/>
    </row>
    <row r="3115">
      <c r="A3115" s="50"/>
    </row>
    <row r="3116">
      <c r="A3116" s="50"/>
    </row>
    <row r="3117">
      <c r="A3117" s="50"/>
    </row>
    <row r="3118">
      <c r="A3118" s="50"/>
    </row>
    <row r="3119">
      <c r="A3119" s="50"/>
    </row>
    <row r="3120">
      <c r="A3120" s="50"/>
    </row>
    <row r="3121">
      <c r="A3121" s="50"/>
    </row>
    <row r="3122">
      <c r="A3122" s="50"/>
    </row>
    <row r="3123">
      <c r="A3123" s="50"/>
    </row>
    <row r="3124">
      <c r="A3124" s="50"/>
    </row>
    <row r="3125">
      <c r="A3125" s="50"/>
    </row>
    <row r="3126">
      <c r="A3126" s="50"/>
    </row>
    <row r="3127">
      <c r="A3127" s="50"/>
    </row>
    <row r="3128">
      <c r="A3128" s="50"/>
    </row>
    <row r="3129">
      <c r="A3129" s="50"/>
    </row>
    <row r="3130">
      <c r="A3130" s="50"/>
    </row>
    <row r="3131">
      <c r="A3131" s="50"/>
    </row>
    <row r="3132">
      <c r="A3132" s="50"/>
    </row>
    <row r="3133">
      <c r="A3133" s="50"/>
    </row>
    <row r="3134">
      <c r="A3134" s="50"/>
    </row>
    <row r="3135">
      <c r="A3135" s="50"/>
    </row>
    <row r="3136">
      <c r="A3136" s="50"/>
    </row>
    <row r="3137">
      <c r="A3137" s="50"/>
    </row>
    <row r="3138">
      <c r="A3138" s="50"/>
    </row>
    <row r="3139">
      <c r="A3139" s="50"/>
    </row>
    <row r="3140">
      <c r="A3140" s="50"/>
    </row>
    <row r="3141">
      <c r="A3141" s="50"/>
    </row>
    <row r="3142">
      <c r="A3142" s="50"/>
    </row>
    <row r="3143">
      <c r="A3143" s="50"/>
    </row>
    <row r="3144">
      <c r="A3144" s="50"/>
    </row>
    <row r="3145">
      <c r="A3145" s="50"/>
    </row>
    <row r="3146">
      <c r="A3146" s="50"/>
    </row>
    <row r="3147">
      <c r="A3147" s="50"/>
    </row>
    <row r="3148">
      <c r="A3148" s="50"/>
    </row>
    <row r="3149">
      <c r="A3149" s="50"/>
    </row>
    <row r="3150">
      <c r="A3150" s="50"/>
    </row>
    <row r="3151">
      <c r="A3151" s="50"/>
    </row>
    <row r="3152">
      <c r="A3152" s="50"/>
    </row>
    <row r="3153">
      <c r="A3153" s="50"/>
    </row>
    <row r="3154">
      <c r="A3154" s="50"/>
    </row>
    <row r="3155">
      <c r="A3155" s="50"/>
    </row>
    <row r="3156">
      <c r="A3156" s="50"/>
    </row>
    <row r="3157">
      <c r="A3157" s="50"/>
    </row>
    <row r="3158">
      <c r="A3158" s="50"/>
    </row>
    <row r="3159">
      <c r="A3159" s="50"/>
    </row>
    <row r="3160">
      <c r="A3160" s="50"/>
    </row>
    <row r="3161">
      <c r="A3161" s="50"/>
    </row>
    <row r="3162">
      <c r="A3162" s="50"/>
    </row>
    <row r="3163">
      <c r="A3163" s="50"/>
    </row>
    <row r="3164">
      <c r="A3164" s="50"/>
    </row>
    <row r="3165">
      <c r="A3165" s="50"/>
    </row>
    <row r="3166">
      <c r="A3166" s="50"/>
    </row>
    <row r="3167">
      <c r="A3167" s="50"/>
    </row>
    <row r="3168">
      <c r="A3168" s="50"/>
    </row>
    <row r="3169">
      <c r="A3169" s="50"/>
    </row>
    <row r="3170">
      <c r="A3170" s="50"/>
    </row>
    <row r="3171">
      <c r="A3171" s="50"/>
    </row>
    <row r="3172">
      <c r="A3172" s="50"/>
    </row>
    <row r="3173">
      <c r="A3173" s="50"/>
    </row>
    <row r="3174">
      <c r="A3174" s="50"/>
    </row>
    <row r="3175">
      <c r="A3175" s="50"/>
    </row>
    <row r="3176">
      <c r="A3176" s="50"/>
    </row>
    <row r="3177">
      <c r="A3177" s="50"/>
    </row>
    <row r="3178">
      <c r="A3178" s="50"/>
    </row>
    <row r="3179">
      <c r="A3179" s="50"/>
    </row>
    <row r="3180">
      <c r="A3180" s="50"/>
    </row>
    <row r="3181">
      <c r="A3181" s="50"/>
    </row>
    <row r="3182">
      <c r="A3182" s="50"/>
    </row>
    <row r="3183">
      <c r="A3183" s="50"/>
    </row>
    <row r="3184">
      <c r="A3184" s="50"/>
    </row>
    <row r="3185">
      <c r="A3185" s="50"/>
    </row>
    <row r="3186">
      <c r="A3186" s="50"/>
    </row>
    <row r="3187">
      <c r="A3187" s="50"/>
    </row>
    <row r="3188">
      <c r="A3188" s="50"/>
    </row>
    <row r="3189">
      <c r="A3189" s="50"/>
    </row>
    <row r="3190">
      <c r="A3190" s="50"/>
    </row>
    <row r="3191">
      <c r="A3191" s="50"/>
    </row>
    <row r="3192">
      <c r="A3192" s="50"/>
    </row>
    <row r="3193">
      <c r="A3193" s="50"/>
    </row>
    <row r="3194">
      <c r="A3194" s="50"/>
    </row>
    <row r="3195">
      <c r="A3195" s="50"/>
    </row>
    <row r="3196">
      <c r="A3196" s="50"/>
    </row>
    <row r="3197">
      <c r="A3197" s="50"/>
    </row>
    <row r="3198">
      <c r="A3198" s="50"/>
    </row>
    <row r="3199">
      <c r="A3199" s="50"/>
    </row>
    <row r="3200">
      <c r="A3200" s="50"/>
    </row>
    <row r="3201">
      <c r="A3201" s="50"/>
    </row>
    <row r="3202">
      <c r="A3202" s="50"/>
    </row>
    <row r="3203">
      <c r="A3203" s="50"/>
    </row>
    <row r="3204">
      <c r="A3204" s="50"/>
    </row>
    <row r="3205">
      <c r="A3205" s="50"/>
    </row>
    <row r="3206">
      <c r="A3206" s="50"/>
    </row>
    <row r="3207">
      <c r="A3207" s="50"/>
    </row>
    <row r="3208">
      <c r="A3208" s="50"/>
    </row>
    <row r="3209">
      <c r="A3209" s="50"/>
    </row>
    <row r="3210">
      <c r="A3210" s="50"/>
    </row>
    <row r="3211">
      <c r="A3211" s="50"/>
    </row>
    <row r="3212">
      <c r="A3212" s="50"/>
    </row>
    <row r="3213">
      <c r="A3213" s="50"/>
    </row>
    <row r="3214">
      <c r="A3214" s="50"/>
    </row>
    <row r="3215">
      <c r="A3215" s="50"/>
    </row>
    <row r="3216">
      <c r="A3216" s="50"/>
    </row>
    <row r="3217">
      <c r="A3217" s="50"/>
    </row>
    <row r="3218">
      <c r="A3218" s="50"/>
    </row>
    <row r="3219">
      <c r="A3219" s="50"/>
    </row>
    <row r="3220">
      <c r="A3220" s="50"/>
    </row>
    <row r="3221">
      <c r="A3221" s="50"/>
    </row>
    <row r="3222">
      <c r="A3222" s="50"/>
    </row>
    <row r="3223">
      <c r="A3223" s="50"/>
    </row>
    <row r="3224">
      <c r="A3224" s="50"/>
    </row>
    <row r="3225">
      <c r="A3225" s="50"/>
    </row>
    <row r="3226">
      <c r="A3226" s="50"/>
    </row>
    <row r="3227">
      <c r="A3227" s="50"/>
    </row>
    <row r="3228">
      <c r="A3228" s="50"/>
    </row>
    <row r="3229">
      <c r="A3229" s="50"/>
    </row>
    <row r="3230">
      <c r="A3230" s="50"/>
    </row>
    <row r="3231">
      <c r="A3231" s="50"/>
    </row>
    <row r="3232">
      <c r="A3232" s="50"/>
    </row>
    <row r="3233">
      <c r="A3233" s="50"/>
    </row>
    <row r="3234">
      <c r="A3234" s="50"/>
    </row>
    <row r="3235">
      <c r="A3235" s="50"/>
    </row>
    <row r="3236">
      <c r="A3236" s="50"/>
    </row>
    <row r="3237">
      <c r="A3237" s="50"/>
    </row>
    <row r="3238">
      <c r="A3238" s="50"/>
    </row>
    <row r="3239">
      <c r="A3239" s="50"/>
    </row>
    <row r="3240">
      <c r="A3240" s="50"/>
    </row>
    <row r="3241">
      <c r="A3241" s="50"/>
    </row>
    <row r="3242">
      <c r="A3242" s="50"/>
    </row>
    <row r="3243">
      <c r="A3243" s="50"/>
    </row>
    <row r="3244">
      <c r="A3244" s="50"/>
    </row>
    <row r="3245">
      <c r="A3245" s="50"/>
    </row>
    <row r="3246">
      <c r="A3246" s="50"/>
    </row>
    <row r="3247">
      <c r="A3247" s="50"/>
    </row>
    <row r="3248">
      <c r="A3248" s="50"/>
    </row>
    <row r="3249">
      <c r="A3249" s="50"/>
    </row>
    <row r="3250">
      <c r="A3250" s="50"/>
    </row>
    <row r="3251">
      <c r="A3251" s="50"/>
    </row>
    <row r="3252">
      <c r="A3252" s="50"/>
    </row>
    <row r="3253">
      <c r="A3253" s="50"/>
    </row>
    <row r="3254">
      <c r="A3254" s="50"/>
    </row>
    <row r="3255">
      <c r="A3255" s="50"/>
    </row>
    <row r="3256">
      <c r="A3256" s="50"/>
    </row>
    <row r="3257">
      <c r="A3257" s="50"/>
    </row>
    <row r="3258">
      <c r="A3258" s="50"/>
    </row>
    <row r="3259">
      <c r="A3259" s="50"/>
    </row>
    <row r="3260">
      <c r="A3260" s="50"/>
    </row>
    <row r="3261">
      <c r="A3261" s="50"/>
    </row>
    <row r="3262">
      <c r="A3262" s="50"/>
    </row>
    <row r="3263">
      <c r="A3263" s="50"/>
    </row>
    <row r="3264">
      <c r="A3264" s="50"/>
    </row>
    <row r="3265">
      <c r="A3265" s="50"/>
    </row>
    <row r="3266">
      <c r="A3266" s="50"/>
    </row>
    <row r="3267">
      <c r="A3267" s="50"/>
    </row>
    <row r="3268">
      <c r="A3268" s="50"/>
    </row>
    <row r="3269">
      <c r="A3269" s="50"/>
    </row>
    <row r="3270">
      <c r="A3270" s="50"/>
    </row>
    <row r="3271">
      <c r="A3271" s="50"/>
    </row>
    <row r="3272">
      <c r="A3272" s="50"/>
    </row>
    <row r="3273">
      <c r="A3273" s="50"/>
    </row>
    <row r="3274">
      <c r="A3274" s="50"/>
    </row>
    <row r="3275">
      <c r="A3275" s="50"/>
    </row>
    <row r="3276">
      <c r="A3276" s="50"/>
    </row>
    <row r="3277">
      <c r="A3277" s="50"/>
    </row>
    <row r="3278">
      <c r="A3278" s="50"/>
    </row>
    <row r="3279">
      <c r="A3279" s="50"/>
    </row>
    <row r="3280">
      <c r="A3280" s="50"/>
    </row>
    <row r="3281">
      <c r="A3281" s="50"/>
    </row>
    <row r="3282">
      <c r="A3282" s="50"/>
    </row>
    <row r="3283">
      <c r="A3283" s="50"/>
    </row>
    <row r="3284">
      <c r="A3284" s="50"/>
    </row>
    <row r="3285">
      <c r="A3285" s="50"/>
    </row>
    <row r="3286">
      <c r="A3286" s="50"/>
    </row>
    <row r="3287">
      <c r="A3287" s="50"/>
    </row>
    <row r="3288">
      <c r="A3288" s="50"/>
    </row>
    <row r="3289">
      <c r="A3289" s="50"/>
    </row>
    <row r="3290">
      <c r="A3290" s="50"/>
    </row>
    <row r="3291">
      <c r="A3291" s="50"/>
    </row>
    <row r="3292">
      <c r="A3292" s="50"/>
    </row>
    <row r="3293">
      <c r="A3293" s="50"/>
    </row>
    <row r="3294">
      <c r="A3294" s="50"/>
    </row>
    <row r="3295">
      <c r="A3295" s="50"/>
    </row>
    <row r="3296">
      <c r="A3296" s="50"/>
    </row>
    <row r="3297">
      <c r="A3297" s="50"/>
    </row>
    <row r="3298">
      <c r="A3298" s="50"/>
    </row>
    <row r="3299">
      <c r="A3299" s="50"/>
    </row>
    <row r="3300">
      <c r="A3300" s="50"/>
    </row>
    <row r="3301">
      <c r="A3301" s="50"/>
    </row>
    <row r="3302">
      <c r="A3302" s="50"/>
    </row>
    <row r="3303">
      <c r="A3303" s="50"/>
    </row>
    <row r="3304">
      <c r="A3304" s="50"/>
    </row>
    <row r="3305">
      <c r="A3305" s="50"/>
    </row>
    <row r="3306">
      <c r="A3306" s="50"/>
    </row>
    <row r="3307">
      <c r="A3307" s="50"/>
    </row>
    <row r="3308">
      <c r="A3308" s="50"/>
    </row>
    <row r="3309">
      <c r="A3309" s="50"/>
    </row>
    <row r="3310">
      <c r="A3310" s="50"/>
    </row>
    <row r="3311">
      <c r="A3311" s="50"/>
    </row>
    <row r="3312">
      <c r="A3312" s="50"/>
    </row>
    <row r="3313">
      <c r="A3313" s="50"/>
    </row>
    <row r="3314">
      <c r="A3314" s="50"/>
    </row>
    <row r="3315">
      <c r="A3315" s="50"/>
    </row>
    <row r="3316">
      <c r="A3316" s="50"/>
    </row>
    <row r="3317">
      <c r="A3317" s="50"/>
    </row>
    <row r="3318">
      <c r="A3318" s="50"/>
    </row>
    <row r="3319">
      <c r="A3319" s="50"/>
    </row>
    <row r="3320">
      <c r="A3320" s="50"/>
    </row>
    <row r="3321">
      <c r="A3321" s="50"/>
    </row>
    <row r="3322">
      <c r="A3322" s="50"/>
    </row>
    <row r="3323">
      <c r="A3323" s="50"/>
    </row>
    <row r="3324">
      <c r="A3324" s="50"/>
    </row>
    <row r="3325">
      <c r="A3325" s="50"/>
    </row>
    <row r="3326">
      <c r="A3326" s="50"/>
    </row>
    <row r="3327">
      <c r="A3327" s="50"/>
    </row>
    <row r="3328">
      <c r="A3328" s="50"/>
    </row>
    <row r="3329">
      <c r="A3329" s="50"/>
    </row>
    <row r="3330">
      <c r="A3330" s="50"/>
    </row>
    <row r="3331">
      <c r="A3331" s="50"/>
    </row>
    <row r="3332">
      <c r="A3332" s="50"/>
    </row>
    <row r="3333">
      <c r="A3333" s="50"/>
    </row>
    <row r="3334">
      <c r="A3334" s="50"/>
    </row>
    <row r="3335">
      <c r="A3335" s="50"/>
    </row>
    <row r="3336">
      <c r="A3336" s="50"/>
    </row>
    <row r="3337">
      <c r="A3337" s="50"/>
    </row>
    <row r="3338">
      <c r="A3338" s="50"/>
    </row>
    <row r="3339">
      <c r="A3339" s="50"/>
    </row>
    <row r="3340">
      <c r="A3340" s="50"/>
    </row>
    <row r="3341">
      <c r="A3341" s="50"/>
    </row>
    <row r="3342">
      <c r="A3342" s="50"/>
    </row>
    <row r="3343">
      <c r="A3343" s="50"/>
    </row>
    <row r="3344">
      <c r="A3344" s="50"/>
    </row>
    <row r="3345">
      <c r="A3345" s="50"/>
    </row>
    <row r="3346">
      <c r="A3346" s="50"/>
    </row>
    <row r="3347">
      <c r="A3347" s="50"/>
    </row>
    <row r="3348">
      <c r="A3348" s="50"/>
    </row>
    <row r="3349">
      <c r="A3349" s="50"/>
    </row>
    <row r="3350">
      <c r="A3350" s="50"/>
    </row>
    <row r="3351">
      <c r="A3351" s="50"/>
    </row>
    <row r="3352">
      <c r="A3352" s="50"/>
    </row>
    <row r="3353">
      <c r="A3353" s="50"/>
    </row>
    <row r="3354">
      <c r="A3354" s="50"/>
    </row>
    <row r="3355">
      <c r="A3355" s="50"/>
    </row>
    <row r="3356">
      <c r="A3356" s="50"/>
    </row>
    <row r="3357">
      <c r="A3357" s="50"/>
    </row>
    <row r="3358">
      <c r="A3358" s="50"/>
    </row>
    <row r="3359">
      <c r="A3359" s="50"/>
    </row>
    <row r="3360">
      <c r="A3360" s="50"/>
    </row>
    <row r="3361">
      <c r="A3361" s="50"/>
    </row>
    <row r="3362">
      <c r="A3362" s="50"/>
    </row>
    <row r="3363">
      <c r="A3363" s="50"/>
    </row>
    <row r="3364">
      <c r="A3364" s="50"/>
    </row>
    <row r="3365">
      <c r="A3365" s="50"/>
    </row>
    <row r="3366">
      <c r="A3366" s="50"/>
    </row>
    <row r="3367">
      <c r="A3367" s="50"/>
    </row>
    <row r="3368">
      <c r="A3368" s="50"/>
    </row>
    <row r="3369">
      <c r="A3369" s="50"/>
    </row>
    <row r="3370">
      <c r="A3370" s="50"/>
    </row>
    <row r="3371">
      <c r="A3371" s="50"/>
    </row>
    <row r="3372">
      <c r="A3372" s="50"/>
    </row>
    <row r="3373">
      <c r="A3373" s="50"/>
    </row>
    <row r="3374">
      <c r="A3374" s="50"/>
    </row>
    <row r="3375">
      <c r="A3375" s="50"/>
    </row>
    <row r="3376">
      <c r="A3376" s="50"/>
    </row>
    <row r="3377">
      <c r="A3377" s="50"/>
    </row>
    <row r="3378">
      <c r="A3378" s="50"/>
    </row>
    <row r="3379">
      <c r="A3379" s="50"/>
    </row>
    <row r="3380">
      <c r="A3380" s="50"/>
    </row>
    <row r="3381">
      <c r="A3381" s="50"/>
    </row>
    <row r="3382">
      <c r="A3382" s="50"/>
    </row>
    <row r="3383">
      <c r="A3383" s="50"/>
    </row>
    <row r="3384">
      <c r="A3384" s="50"/>
    </row>
    <row r="3385">
      <c r="A3385" s="50"/>
    </row>
    <row r="3386">
      <c r="A3386" s="50"/>
    </row>
    <row r="3387">
      <c r="A3387" s="50"/>
    </row>
    <row r="3388">
      <c r="A3388" s="50"/>
    </row>
    <row r="3389">
      <c r="A3389" s="50"/>
    </row>
    <row r="3390">
      <c r="A3390" s="50"/>
    </row>
    <row r="3391">
      <c r="A3391" s="50"/>
    </row>
    <row r="3392">
      <c r="A3392" s="50"/>
    </row>
    <row r="3393">
      <c r="A3393" s="50"/>
    </row>
    <row r="3394">
      <c r="A3394" s="50"/>
    </row>
    <row r="3395">
      <c r="A3395" s="50"/>
    </row>
    <row r="3396">
      <c r="A3396" s="50"/>
    </row>
    <row r="3397">
      <c r="A3397" s="50"/>
    </row>
    <row r="3398">
      <c r="A3398" s="50"/>
    </row>
    <row r="3399">
      <c r="A3399" s="50"/>
    </row>
    <row r="3400">
      <c r="A3400" s="50"/>
    </row>
    <row r="3401">
      <c r="A3401" s="50"/>
    </row>
    <row r="3402">
      <c r="A3402" s="50"/>
    </row>
    <row r="3403">
      <c r="A3403" s="50"/>
    </row>
    <row r="3404">
      <c r="A3404" s="50"/>
    </row>
    <row r="3405">
      <c r="A3405" s="50"/>
    </row>
    <row r="3406">
      <c r="A3406" s="50"/>
    </row>
    <row r="3407">
      <c r="A3407" s="50"/>
    </row>
    <row r="3408">
      <c r="A3408" s="50"/>
    </row>
    <row r="3409">
      <c r="A3409" s="50"/>
    </row>
    <row r="3410">
      <c r="A3410" s="50"/>
    </row>
    <row r="3411">
      <c r="A3411" s="50"/>
    </row>
    <row r="3412">
      <c r="A3412" s="50"/>
    </row>
    <row r="3413">
      <c r="A3413" s="50"/>
    </row>
    <row r="3414">
      <c r="A3414" s="50"/>
    </row>
    <row r="3415">
      <c r="A3415" s="50"/>
    </row>
    <row r="3416">
      <c r="A3416" s="50"/>
    </row>
    <row r="3417">
      <c r="A3417" s="50"/>
    </row>
    <row r="3418">
      <c r="A3418" s="50"/>
    </row>
    <row r="3419">
      <c r="A3419" s="50"/>
    </row>
    <row r="3420">
      <c r="A3420" s="50"/>
    </row>
    <row r="3421">
      <c r="A3421" s="50"/>
    </row>
    <row r="3422">
      <c r="A3422" s="50"/>
    </row>
    <row r="3423">
      <c r="A3423" s="50"/>
    </row>
    <row r="3424">
      <c r="A3424" s="50"/>
    </row>
    <row r="3425">
      <c r="A3425" s="50"/>
    </row>
    <row r="3426">
      <c r="A3426" s="50"/>
    </row>
    <row r="3427">
      <c r="A3427" s="50"/>
    </row>
    <row r="3428">
      <c r="A3428" s="50"/>
    </row>
    <row r="3429">
      <c r="A3429" s="50"/>
    </row>
    <row r="3430">
      <c r="A3430" s="50"/>
    </row>
    <row r="3431">
      <c r="A3431" s="50"/>
    </row>
    <row r="3432">
      <c r="A3432" s="50"/>
    </row>
    <row r="3433">
      <c r="A3433" s="50"/>
    </row>
    <row r="3434">
      <c r="A3434" s="50"/>
    </row>
    <row r="3435">
      <c r="A3435" s="50"/>
    </row>
    <row r="3436">
      <c r="A3436" s="50"/>
    </row>
    <row r="3437">
      <c r="A3437" s="50"/>
    </row>
    <row r="3438">
      <c r="A3438" s="50"/>
    </row>
    <row r="3439">
      <c r="A3439" s="50"/>
    </row>
    <row r="3440">
      <c r="A3440" s="50"/>
    </row>
    <row r="3441">
      <c r="A3441" s="50"/>
    </row>
    <row r="3442">
      <c r="A3442" s="50"/>
    </row>
    <row r="3443">
      <c r="A3443" s="50"/>
    </row>
    <row r="3444">
      <c r="A3444" s="50"/>
    </row>
    <row r="3445">
      <c r="A3445" s="50"/>
    </row>
    <row r="3446">
      <c r="A3446" s="50"/>
    </row>
    <row r="3447">
      <c r="A3447" s="50"/>
    </row>
    <row r="3448">
      <c r="A3448" s="50"/>
    </row>
    <row r="3449">
      <c r="A3449" s="50"/>
    </row>
    <row r="3450">
      <c r="A3450" s="50"/>
    </row>
    <row r="3451">
      <c r="A3451" s="50"/>
    </row>
    <row r="3452">
      <c r="A3452" s="50"/>
    </row>
    <row r="3453">
      <c r="A3453" s="50"/>
    </row>
    <row r="3454">
      <c r="A3454" s="50"/>
    </row>
    <row r="3455">
      <c r="A3455" s="50"/>
    </row>
    <row r="3456">
      <c r="A3456" s="50"/>
    </row>
    <row r="3457">
      <c r="A3457" s="50"/>
    </row>
    <row r="3458">
      <c r="A3458" s="50"/>
    </row>
    <row r="3459">
      <c r="A3459" s="50"/>
    </row>
    <row r="3460">
      <c r="A3460" s="50"/>
    </row>
    <row r="3461">
      <c r="A3461" s="50"/>
    </row>
    <row r="3462">
      <c r="A3462" s="50"/>
    </row>
    <row r="3463">
      <c r="A3463" s="50"/>
    </row>
    <row r="3464">
      <c r="A3464" s="50"/>
    </row>
    <row r="3465">
      <c r="A3465" s="50"/>
    </row>
    <row r="3466">
      <c r="A3466" s="50"/>
    </row>
    <row r="3467">
      <c r="A3467" s="50"/>
    </row>
    <row r="3468">
      <c r="A3468" s="50"/>
    </row>
    <row r="3469">
      <c r="A3469" s="50"/>
    </row>
    <row r="3470">
      <c r="A3470" s="50"/>
    </row>
    <row r="3471">
      <c r="A3471" s="50"/>
    </row>
    <row r="3472">
      <c r="A3472" s="50"/>
    </row>
    <row r="3473">
      <c r="A3473" s="50"/>
    </row>
    <row r="3474">
      <c r="A3474" s="50"/>
    </row>
    <row r="3475">
      <c r="A3475" s="50"/>
    </row>
    <row r="3476">
      <c r="A3476" s="50"/>
    </row>
    <row r="3477">
      <c r="A3477" s="50"/>
    </row>
    <row r="3478">
      <c r="A3478" s="50"/>
    </row>
    <row r="3479">
      <c r="A3479" s="50"/>
    </row>
    <row r="3480">
      <c r="A3480" s="50"/>
    </row>
    <row r="3481">
      <c r="A3481" s="50"/>
    </row>
    <row r="3482">
      <c r="A3482" s="50"/>
    </row>
    <row r="3483">
      <c r="A3483" s="50"/>
    </row>
    <row r="3484">
      <c r="A3484" s="50"/>
    </row>
    <row r="3485">
      <c r="A3485" s="50"/>
    </row>
    <row r="3486">
      <c r="A3486" s="50"/>
    </row>
    <row r="3487">
      <c r="A3487" s="50"/>
    </row>
    <row r="3488">
      <c r="A3488" s="50"/>
    </row>
    <row r="3489">
      <c r="A3489" s="50"/>
    </row>
    <row r="3490">
      <c r="A3490" s="50"/>
    </row>
    <row r="3491">
      <c r="A3491" s="50"/>
    </row>
    <row r="3492">
      <c r="A3492" s="50"/>
    </row>
    <row r="3493">
      <c r="A3493" s="50"/>
    </row>
    <row r="3494">
      <c r="A3494" s="50"/>
    </row>
    <row r="3495">
      <c r="A3495" s="50"/>
    </row>
    <row r="3496">
      <c r="A3496" s="50"/>
    </row>
    <row r="3497">
      <c r="A3497" s="50"/>
    </row>
    <row r="3498">
      <c r="A3498" s="50"/>
    </row>
    <row r="3499">
      <c r="A3499" s="50"/>
    </row>
    <row r="3500">
      <c r="A3500" s="50"/>
    </row>
    <row r="3501">
      <c r="A3501" s="50"/>
    </row>
    <row r="3502">
      <c r="A3502" s="50"/>
    </row>
    <row r="3503">
      <c r="A3503" s="50"/>
    </row>
    <row r="3504">
      <c r="A3504" s="50"/>
    </row>
    <row r="3505">
      <c r="A3505" s="50"/>
    </row>
    <row r="3506">
      <c r="A3506" s="50"/>
    </row>
    <row r="3507">
      <c r="A3507" s="50"/>
    </row>
    <row r="3508">
      <c r="A3508" s="50"/>
    </row>
    <row r="3509">
      <c r="A3509" s="50"/>
    </row>
    <row r="3510">
      <c r="A3510" s="50"/>
    </row>
    <row r="3511">
      <c r="A3511" s="50"/>
    </row>
    <row r="3512">
      <c r="A3512" s="50"/>
    </row>
    <row r="3513">
      <c r="A3513" s="50"/>
    </row>
    <row r="3514">
      <c r="A3514" s="50"/>
    </row>
    <row r="3515">
      <c r="A3515" s="50"/>
    </row>
    <row r="3516">
      <c r="A3516" s="50"/>
    </row>
    <row r="3517">
      <c r="A3517" s="50"/>
    </row>
    <row r="3518">
      <c r="A3518" s="50"/>
    </row>
    <row r="3519">
      <c r="A3519" s="50"/>
    </row>
    <row r="3520">
      <c r="A3520" s="50"/>
    </row>
    <row r="3521">
      <c r="A3521" s="50"/>
    </row>
    <row r="3522">
      <c r="A3522" s="50"/>
    </row>
    <row r="3523">
      <c r="A3523" s="50"/>
    </row>
    <row r="3524">
      <c r="A3524" s="50"/>
    </row>
    <row r="3525">
      <c r="A3525" s="50"/>
    </row>
    <row r="3526">
      <c r="A3526" s="50"/>
    </row>
    <row r="3527">
      <c r="A3527" s="50"/>
    </row>
    <row r="3528">
      <c r="A3528" s="50"/>
    </row>
    <row r="3529">
      <c r="A3529" s="50"/>
    </row>
    <row r="3530">
      <c r="A3530" s="50"/>
    </row>
    <row r="3531">
      <c r="A3531" s="50"/>
    </row>
    <row r="3532">
      <c r="A3532" s="50"/>
    </row>
    <row r="3533">
      <c r="A3533" s="50"/>
    </row>
    <row r="3534">
      <c r="A3534" s="50"/>
    </row>
    <row r="3535">
      <c r="A3535" s="50"/>
    </row>
    <row r="3536">
      <c r="A3536" s="50"/>
    </row>
    <row r="3537">
      <c r="A3537" s="50"/>
    </row>
    <row r="3538">
      <c r="A3538" s="50"/>
    </row>
    <row r="3539">
      <c r="A3539" s="50"/>
    </row>
    <row r="3540">
      <c r="A3540" s="50"/>
    </row>
    <row r="3541">
      <c r="A3541" s="50"/>
    </row>
    <row r="3542">
      <c r="A3542" s="50"/>
    </row>
    <row r="3543">
      <c r="A3543" s="50"/>
    </row>
    <row r="3544">
      <c r="A3544" s="50"/>
    </row>
    <row r="3545">
      <c r="A3545" s="50"/>
    </row>
    <row r="3546">
      <c r="A3546" s="50"/>
    </row>
    <row r="3547">
      <c r="A3547" s="50"/>
    </row>
    <row r="3548">
      <c r="A3548" s="50"/>
    </row>
    <row r="3549">
      <c r="A3549" s="50"/>
    </row>
    <row r="3550">
      <c r="A3550" s="50"/>
    </row>
    <row r="3551">
      <c r="A3551" s="50"/>
    </row>
    <row r="3552">
      <c r="A3552" s="50"/>
    </row>
    <row r="3553">
      <c r="A3553" s="50"/>
    </row>
    <row r="3554">
      <c r="A3554" s="50"/>
    </row>
    <row r="3555">
      <c r="A3555" s="50"/>
    </row>
    <row r="3556">
      <c r="A3556" s="50"/>
    </row>
    <row r="3557">
      <c r="A3557" s="50"/>
    </row>
    <row r="3558">
      <c r="A3558" s="50"/>
    </row>
    <row r="3559">
      <c r="A3559" s="50"/>
    </row>
    <row r="3560">
      <c r="A3560" s="50"/>
    </row>
    <row r="3561">
      <c r="A3561" s="50"/>
    </row>
    <row r="3562">
      <c r="A3562" s="50"/>
    </row>
    <row r="3563">
      <c r="A3563" s="50"/>
    </row>
    <row r="3564">
      <c r="A3564" s="50"/>
    </row>
    <row r="3565">
      <c r="A3565" s="50"/>
    </row>
    <row r="3566">
      <c r="A3566" s="50"/>
    </row>
    <row r="3567">
      <c r="A3567" s="50"/>
    </row>
    <row r="3568">
      <c r="A3568" s="50"/>
    </row>
    <row r="3569">
      <c r="A3569" s="50"/>
    </row>
    <row r="3570">
      <c r="A3570" s="50"/>
    </row>
    <row r="3571">
      <c r="A3571" s="50"/>
    </row>
    <row r="3572">
      <c r="A3572" s="50"/>
    </row>
    <row r="3573">
      <c r="A3573" s="50"/>
    </row>
    <row r="3574">
      <c r="A3574" s="50"/>
    </row>
    <row r="3575">
      <c r="A3575" s="50"/>
    </row>
    <row r="3576">
      <c r="A3576" s="50"/>
    </row>
    <row r="3577">
      <c r="A3577" s="50"/>
    </row>
    <row r="3578">
      <c r="A3578" s="50"/>
    </row>
    <row r="3579">
      <c r="A3579" s="50"/>
    </row>
    <row r="3580">
      <c r="A3580" s="50"/>
    </row>
    <row r="3581">
      <c r="A3581" s="50"/>
    </row>
    <row r="3582">
      <c r="A3582" s="50"/>
    </row>
    <row r="3583">
      <c r="A3583" s="50"/>
    </row>
    <row r="3584">
      <c r="A3584" s="50"/>
    </row>
    <row r="3585">
      <c r="A3585" s="50"/>
    </row>
    <row r="3586">
      <c r="A3586" s="50"/>
    </row>
    <row r="3587">
      <c r="A3587" s="50"/>
    </row>
    <row r="3588">
      <c r="A3588" s="50"/>
    </row>
    <row r="3589">
      <c r="A3589" s="50"/>
    </row>
    <row r="3590">
      <c r="A3590" s="50"/>
    </row>
    <row r="3591">
      <c r="A3591" s="50"/>
    </row>
    <row r="3592">
      <c r="A3592" s="50"/>
    </row>
    <row r="3593">
      <c r="A3593" s="50"/>
    </row>
    <row r="3594">
      <c r="A3594" s="50"/>
    </row>
    <row r="3595">
      <c r="A3595" s="50"/>
    </row>
    <row r="3596">
      <c r="A3596" s="50"/>
    </row>
    <row r="3597">
      <c r="A3597" s="50"/>
    </row>
    <row r="3598">
      <c r="A3598" s="50"/>
    </row>
    <row r="3599">
      <c r="A3599" s="50"/>
    </row>
    <row r="3600">
      <c r="A3600" s="50"/>
    </row>
    <row r="3601">
      <c r="A3601" s="50"/>
    </row>
    <row r="3602">
      <c r="A3602" s="50"/>
    </row>
    <row r="3603">
      <c r="A3603" s="50"/>
    </row>
    <row r="3604">
      <c r="A3604" s="50"/>
    </row>
    <row r="3605">
      <c r="A3605" s="50"/>
    </row>
    <row r="3606">
      <c r="A3606" s="50"/>
    </row>
    <row r="3607">
      <c r="A3607" s="50"/>
    </row>
    <row r="3608">
      <c r="A3608" s="50"/>
    </row>
    <row r="3609">
      <c r="A3609" s="50"/>
    </row>
    <row r="3610">
      <c r="A3610" s="50"/>
    </row>
    <row r="3611">
      <c r="A3611" s="50"/>
    </row>
    <row r="3612">
      <c r="A3612" s="50"/>
    </row>
    <row r="3613">
      <c r="A3613" s="50"/>
    </row>
    <row r="3614">
      <c r="A3614" s="50"/>
    </row>
    <row r="3615">
      <c r="A3615" s="50"/>
    </row>
    <row r="3616">
      <c r="A3616" s="50"/>
    </row>
    <row r="3617">
      <c r="A3617" s="50"/>
    </row>
    <row r="3618">
      <c r="A3618" s="50"/>
    </row>
    <row r="3619">
      <c r="A3619" s="50"/>
    </row>
    <row r="3620">
      <c r="A3620" s="50"/>
    </row>
    <row r="3621">
      <c r="A3621" s="50"/>
    </row>
    <row r="3622">
      <c r="A3622" s="50"/>
    </row>
    <row r="3623">
      <c r="A3623" s="50"/>
    </row>
    <row r="3624">
      <c r="A3624" s="50"/>
    </row>
    <row r="3625">
      <c r="A3625" s="50"/>
    </row>
    <row r="3626">
      <c r="A3626" s="50"/>
    </row>
    <row r="3627">
      <c r="A3627" s="50"/>
    </row>
    <row r="3628">
      <c r="A3628" s="50"/>
    </row>
    <row r="3629">
      <c r="A3629" s="50"/>
    </row>
    <row r="3630">
      <c r="A3630" s="50"/>
    </row>
    <row r="3631">
      <c r="A3631" s="50"/>
    </row>
    <row r="3632">
      <c r="A3632" s="50"/>
    </row>
    <row r="3633">
      <c r="A3633" s="50"/>
    </row>
    <row r="3634">
      <c r="A3634" s="50"/>
    </row>
    <row r="3635">
      <c r="A3635" s="50"/>
    </row>
    <row r="3636">
      <c r="A3636" s="50"/>
    </row>
    <row r="3637">
      <c r="A3637" s="50"/>
    </row>
    <row r="3638">
      <c r="A3638" s="50"/>
    </row>
    <row r="3639">
      <c r="A3639" s="50"/>
    </row>
    <row r="3640">
      <c r="A3640" s="50"/>
    </row>
    <row r="3641">
      <c r="A3641" s="50"/>
    </row>
    <row r="3642">
      <c r="A3642" s="50"/>
    </row>
    <row r="3643">
      <c r="A3643" s="50"/>
    </row>
    <row r="3644">
      <c r="A3644" s="50"/>
    </row>
    <row r="3645">
      <c r="A3645" s="50"/>
    </row>
    <row r="3646">
      <c r="A3646" s="50"/>
    </row>
    <row r="3647">
      <c r="A3647" s="50"/>
    </row>
    <row r="3648">
      <c r="A3648" s="50"/>
    </row>
    <row r="3649">
      <c r="A3649" s="50"/>
    </row>
    <row r="3650">
      <c r="A3650" s="50"/>
    </row>
    <row r="3651">
      <c r="A3651" s="50"/>
    </row>
    <row r="3652">
      <c r="A3652" s="50"/>
    </row>
    <row r="3653">
      <c r="A3653" s="50"/>
    </row>
    <row r="3654">
      <c r="A3654" s="50"/>
    </row>
    <row r="3655">
      <c r="A3655" s="50"/>
    </row>
    <row r="3656">
      <c r="A3656" s="50"/>
    </row>
    <row r="3657">
      <c r="A3657" s="50"/>
    </row>
    <row r="3658">
      <c r="A3658" s="50"/>
    </row>
    <row r="3659">
      <c r="A3659" s="50"/>
    </row>
    <row r="3660">
      <c r="A3660" s="50"/>
    </row>
    <row r="3661">
      <c r="A3661" s="50"/>
    </row>
    <row r="3662">
      <c r="A3662" s="50"/>
    </row>
    <row r="3663">
      <c r="A3663" s="50"/>
    </row>
    <row r="3664">
      <c r="A3664" s="50"/>
    </row>
    <row r="3665">
      <c r="A3665" s="50"/>
    </row>
    <row r="3666">
      <c r="A3666" s="50"/>
    </row>
    <row r="3667">
      <c r="A3667" s="50"/>
    </row>
    <row r="3668">
      <c r="A3668" s="50"/>
    </row>
    <row r="3669">
      <c r="A3669" s="50"/>
    </row>
    <row r="3670">
      <c r="A3670" s="50"/>
    </row>
    <row r="3671">
      <c r="A3671" s="50"/>
    </row>
    <row r="3672">
      <c r="A3672" s="50"/>
    </row>
    <row r="3673">
      <c r="A3673" s="50"/>
    </row>
    <row r="3674">
      <c r="A3674" s="50"/>
    </row>
    <row r="3675">
      <c r="A3675" s="50"/>
    </row>
    <row r="3676">
      <c r="A3676" s="50"/>
    </row>
    <row r="3677">
      <c r="A3677" s="50"/>
    </row>
    <row r="3678">
      <c r="A3678" s="50"/>
    </row>
    <row r="3679">
      <c r="A3679" s="50"/>
    </row>
    <row r="3680">
      <c r="A3680" s="50"/>
    </row>
    <row r="3681">
      <c r="A3681" s="50"/>
    </row>
    <row r="3682">
      <c r="A3682" s="50"/>
    </row>
    <row r="3683">
      <c r="A3683" s="50"/>
    </row>
    <row r="3684">
      <c r="A3684" s="50"/>
    </row>
    <row r="3685">
      <c r="A3685" s="50"/>
    </row>
    <row r="3686">
      <c r="A3686" s="50"/>
    </row>
    <row r="3687">
      <c r="A3687" s="50"/>
    </row>
    <row r="3688">
      <c r="A3688" s="50"/>
    </row>
    <row r="3689">
      <c r="A3689" s="50"/>
    </row>
    <row r="3690">
      <c r="A3690" s="50"/>
    </row>
    <row r="3691">
      <c r="A3691" s="50"/>
    </row>
    <row r="3692">
      <c r="A3692" s="50"/>
    </row>
    <row r="3693">
      <c r="A3693" s="50"/>
    </row>
    <row r="3694">
      <c r="A3694" s="50"/>
    </row>
    <row r="3695">
      <c r="A3695" s="50"/>
    </row>
    <row r="3696">
      <c r="A3696" s="50"/>
    </row>
    <row r="3697">
      <c r="A3697" s="50"/>
    </row>
    <row r="3698">
      <c r="A3698" s="50"/>
    </row>
    <row r="3699">
      <c r="A3699" s="50"/>
    </row>
    <row r="3700">
      <c r="A3700" s="50"/>
    </row>
    <row r="3701">
      <c r="A3701" s="50"/>
    </row>
    <row r="3702">
      <c r="A3702" s="50"/>
    </row>
    <row r="3703">
      <c r="A3703" s="50"/>
    </row>
    <row r="3704">
      <c r="A3704" s="50"/>
    </row>
    <row r="3705">
      <c r="A3705" s="50"/>
    </row>
    <row r="3706">
      <c r="A3706" s="50"/>
    </row>
    <row r="3707">
      <c r="A3707" s="50"/>
    </row>
    <row r="3708">
      <c r="A3708" s="50"/>
    </row>
    <row r="3709">
      <c r="A3709" s="50"/>
    </row>
    <row r="3710">
      <c r="A3710" s="50"/>
    </row>
    <row r="3711">
      <c r="A3711" s="50"/>
    </row>
    <row r="3712">
      <c r="A3712" s="50"/>
    </row>
    <row r="3713">
      <c r="A3713" s="50"/>
    </row>
    <row r="3714">
      <c r="A3714" s="50"/>
    </row>
    <row r="3715">
      <c r="A3715" s="50"/>
    </row>
    <row r="3716">
      <c r="A3716" s="50"/>
    </row>
    <row r="3717">
      <c r="A3717" s="50"/>
    </row>
    <row r="3718">
      <c r="A3718" s="50"/>
    </row>
    <row r="3719">
      <c r="A3719" s="50"/>
    </row>
    <row r="3720">
      <c r="A3720" s="50"/>
    </row>
    <row r="3721">
      <c r="A3721" s="50"/>
    </row>
    <row r="3722">
      <c r="A3722" s="50"/>
    </row>
    <row r="3723">
      <c r="A3723" s="50"/>
    </row>
    <row r="3724">
      <c r="A3724" s="50"/>
    </row>
    <row r="3725">
      <c r="A3725" s="50"/>
    </row>
    <row r="3726">
      <c r="A3726" s="50"/>
    </row>
    <row r="3727">
      <c r="A3727" s="50"/>
    </row>
    <row r="3728">
      <c r="A3728" s="50"/>
    </row>
    <row r="3729">
      <c r="A3729" s="50"/>
    </row>
    <row r="3730">
      <c r="A3730" s="50"/>
    </row>
    <row r="3731">
      <c r="A3731" s="50"/>
    </row>
    <row r="3732">
      <c r="A3732" s="50"/>
    </row>
    <row r="3733">
      <c r="A3733" s="50"/>
    </row>
    <row r="3734">
      <c r="A3734" s="50"/>
    </row>
    <row r="3735">
      <c r="A3735" s="50"/>
    </row>
    <row r="3736">
      <c r="A3736" s="50"/>
    </row>
    <row r="3737">
      <c r="A3737" s="50"/>
    </row>
    <row r="3738">
      <c r="A3738" s="50"/>
    </row>
    <row r="3739">
      <c r="A3739" s="50"/>
    </row>
    <row r="3740">
      <c r="A3740" s="50"/>
    </row>
    <row r="3741">
      <c r="A3741" s="50"/>
    </row>
    <row r="3742">
      <c r="A3742" s="50"/>
    </row>
    <row r="3743">
      <c r="A3743" s="50"/>
    </row>
    <row r="3744">
      <c r="A3744" s="50"/>
    </row>
    <row r="3745">
      <c r="A3745" s="50"/>
    </row>
    <row r="3746">
      <c r="A3746" s="50"/>
    </row>
    <row r="3747">
      <c r="A3747" s="50"/>
    </row>
    <row r="3748">
      <c r="A3748" s="50"/>
    </row>
    <row r="3749">
      <c r="A3749" s="50"/>
    </row>
    <row r="3750">
      <c r="A3750" s="50"/>
    </row>
    <row r="3751">
      <c r="A3751" s="50"/>
    </row>
    <row r="3752">
      <c r="A3752" s="50"/>
    </row>
    <row r="3753">
      <c r="A3753" s="50"/>
    </row>
    <row r="3754">
      <c r="A3754" s="50"/>
    </row>
    <row r="3755">
      <c r="A3755" s="50"/>
    </row>
    <row r="3756">
      <c r="A3756" s="50"/>
    </row>
    <row r="3757">
      <c r="A3757" s="50"/>
    </row>
    <row r="3758">
      <c r="A3758" s="50"/>
    </row>
    <row r="3759">
      <c r="A3759" s="50"/>
    </row>
    <row r="3760">
      <c r="A3760" s="50"/>
    </row>
    <row r="3761">
      <c r="A3761" s="50"/>
    </row>
    <row r="3762">
      <c r="A3762" s="50"/>
    </row>
    <row r="3763">
      <c r="A3763" s="50"/>
    </row>
    <row r="3764">
      <c r="A3764" s="50"/>
    </row>
    <row r="3765">
      <c r="A3765" s="50"/>
    </row>
    <row r="3766">
      <c r="A3766" s="50"/>
    </row>
    <row r="3767">
      <c r="A3767" s="50"/>
    </row>
    <row r="3768">
      <c r="A3768" s="50"/>
    </row>
    <row r="3769">
      <c r="A3769" s="50"/>
    </row>
    <row r="3770">
      <c r="A3770" s="50"/>
    </row>
    <row r="3771">
      <c r="A3771" s="50"/>
    </row>
    <row r="3772">
      <c r="A3772" s="50"/>
    </row>
    <row r="3773">
      <c r="A3773" s="50"/>
    </row>
    <row r="3774">
      <c r="A3774" s="50"/>
    </row>
    <row r="3775">
      <c r="A3775" s="50"/>
    </row>
    <row r="3776">
      <c r="A3776" s="50"/>
    </row>
    <row r="3777">
      <c r="A3777" s="50"/>
    </row>
    <row r="3778">
      <c r="A3778" s="50"/>
    </row>
    <row r="3779">
      <c r="A3779" s="50"/>
    </row>
    <row r="3780">
      <c r="A3780" s="50"/>
    </row>
    <row r="3781">
      <c r="A3781" s="50"/>
    </row>
    <row r="3782">
      <c r="A3782" s="50"/>
    </row>
    <row r="3783">
      <c r="A3783" s="50"/>
    </row>
    <row r="3784">
      <c r="A3784" s="50"/>
    </row>
    <row r="3785">
      <c r="A3785" s="50"/>
    </row>
    <row r="3786">
      <c r="A3786" s="50"/>
    </row>
    <row r="3787">
      <c r="A3787" s="50"/>
    </row>
    <row r="3788">
      <c r="A3788" s="50"/>
    </row>
    <row r="3789">
      <c r="A3789" s="50"/>
    </row>
    <row r="3790">
      <c r="A3790" s="50"/>
    </row>
    <row r="3791">
      <c r="A3791" s="50"/>
    </row>
    <row r="3792">
      <c r="A3792" s="50"/>
    </row>
    <row r="3793">
      <c r="A3793" s="50"/>
    </row>
    <row r="3794">
      <c r="A3794" s="50"/>
    </row>
    <row r="3795">
      <c r="A3795" s="50"/>
    </row>
    <row r="3796">
      <c r="A3796" s="50"/>
    </row>
    <row r="3797">
      <c r="A3797" s="50"/>
    </row>
    <row r="3798">
      <c r="A3798" s="50"/>
    </row>
    <row r="3799">
      <c r="A3799" s="50"/>
    </row>
    <row r="3800">
      <c r="A3800" s="50"/>
    </row>
    <row r="3801">
      <c r="A3801" s="50"/>
    </row>
    <row r="3802">
      <c r="A3802" s="50"/>
    </row>
    <row r="3803">
      <c r="A3803" s="50"/>
    </row>
    <row r="3804">
      <c r="A3804" s="50"/>
    </row>
    <row r="3805">
      <c r="A3805" s="50"/>
    </row>
    <row r="3806">
      <c r="A3806" s="50"/>
    </row>
    <row r="3807">
      <c r="A3807" s="50"/>
    </row>
    <row r="3808">
      <c r="A3808" s="50"/>
    </row>
    <row r="3809">
      <c r="A3809" s="50"/>
    </row>
    <row r="3810">
      <c r="A3810" s="50"/>
    </row>
    <row r="3811">
      <c r="A3811" s="50"/>
    </row>
    <row r="3812">
      <c r="A3812" s="50"/>
    </row>
    <row r="3813">
      <c r="A3813" s="50"/>
    </row>
    <row r="3814">
      <c r="A3814" s="50"/>
    </row>
    <row r="3815">
      <c r="A3815" s="50"/>
    </row>
    <row r="3816">
      <c r="A3816" s="50"/>
    </row>
    <row r="3817">
      <c r="A3817" s="50"/>
    </row>
    <row r="3818">
      <c r="A3818" s="50"/>
    </row>
    <row r="3819">
      <c r="A3819" s="50"/>
    </row>
    <row r="3820">
      <c r="A3820" s="50"/>
    </row>
    <row r="3821">
      <c r="A3821" s="50"/>
    </row>
    <row r="3822">
      <c r="A3822" s="50"/>
    </row>
    <row r="3823">
      <c r="A3823" s="50"/>
    </row>
    <row r="3824">
      <c r="A3824" s="50"/>
    </row>
    <row r="3825">
      <c r="A3825" s="50"/>
    </row>
    <row r="3826">
      <c r="A3826" s="50"/>
    </row>
    <row r="3827">
      <c r="A3827" s="50"/>
    </row>
    <row r="3828">
      <c r="A3828" s="50"/>
    </row>
    <row r="3829">
      <c r="A3829" s="50"/>
    </row>
    <row r="3830">
      <c r="A3830" s="50"/>
    </row>
    <row r="3831">
      <c r="A3831" s="50"/>
    </row>
    <row r="3832">
      <c r="A3832" s="50"/>
    </row>
    <row r="3833">
      <c r="A3833" s="50"/>
    </row>
    <row r="3834">
      <c r="A3834" s="50"/>
    </row>
    <row r="3835">
      <c r="A3835" s="50"/>
    </row>
    <row r="3836">
      <c r="A3836" s="50"/>
    </row>
    <row r="3837">
      <c r="A3837" s="50"/>
    </row>
    <row r="3838">
      <c r="A3838" s="50"/>
    </row>
    <row r="3839">
      <c r="A3839" s="50"/>
    </row>
    <row r="3840">
      <c r="A3840" s="50"/>
    </row>
    <row r="3841">
      <c r="A3841" s="50"/>
    </row>
    <row r="3842">
      <c r="A3842" s="50"/>
    </row>
    <row r="3843">
      <c r="A3843" s="50"/>
    </row>
    <row r="3844">
      <c r="A3844" s="50"/>
    </row>
    <row r="3845">
      <c r="A3845" s="50"/>
    </row>
    <row r="3846">
      <c r="A3846" s="50"/>
    </row>
    <row r="3847">
      <c r="A3847" s="50"/>
    </row>
    <row r="3848">
      <c r="A3848" s="50"/>
    </row>
    <row r="3849">
      <c r="A3849" s="50"/>
    </row>
    <row r="3850">
      <c r="A3850" s="50"/>
    </row>
    <row r="3851">
      <c r="A3851" s="50"/>
    </row>
    <row r="3852">
      <c r="A3852" s="50"/>
    </row>
    <row r="3853">
      <c r="A3853" s="50"/>
    </row>
    <row r="3854">
      <c r="A3854" s="50"/>
    </row>
    <row r="3855">
      <c r="A3855" s="50"/>
    </row>
    <row r="3856">
      <c r="A3856" s="50"/>
    </row>
    <row r="3857">
      <c r="A3857" s="50"/>
    </row>
    <row r="3858">
      <c r="A3858" s="50"/>
    </row>
    <row r="3859">
      <c r="A3859" s="50"/>
    </row>
    <row r="3860">
      <c r="A3860" s="50"/>
    </row>
    <row r="3861">
      <c r="A3861" s="50"/>
    </row>
    <row r="3862">
      <c r="A3862" s="50"/>
    </row>
    <row r="3863">
      <c r="A3863" s="50"/>
    </row>
    <row r="3864">
      <c r="A3864" s="50"/>
    </row>
    <row r="3865">
      <c r="A3865" s="50"/>
    </row>
    <row r="3866">
      <c r="A3866" s="50"/>
    </row>
    <row r="3867">
      <c r="A3867" s="50"/>
    </row>
    <row r="3868">
      <c r="A3868" s="50"/>
    </row>
    <row r="3869">
      <c r="A3869" s="50"/>
    </row>
    <row r="3870">
      <c r="A3870" s="50"/>
    </row>
    <row r="3871">
      <c r="A3871" s="50"/>
    </row>
    <row r="3872">
      <c r="A3872" s="50"/>
    </row>
    <row r="3873">
      <c r="A3873" s="50"/>
    </row>
    <row r="3874">
      <c r="A3874" s="50"/>
    </row>
    <row r="3875">
      <c r="A3875" s="50"/>
    </row>
    <row r="3876">
      <c r="A3876" s="50"/>
    </row>
    <row r="3877">
      <c r="A3877" s="50"/>
    </row>
    <row r="3878">
      <c r="A3878" s="50"/>
    </row>
    <row r="3879">
      <c r="A3879" s="50"/>
    </row>
    <row r="3880">
      <c r="A3880" s="50"/>
    </row>
    <row r="3881">
      <c r="A3881" s="50"/>
    </row>
    <row r="3882">
      <c r="A3882" s="50"/>
    </row>
    <row r="3883">
      <c r="A3883" s="50"/>
    </row>
    <row r="3884">
      <c r="A3884" s="50"/>
    </row>
    <row r="3885">
      <c r="A3885" s="50"/>
    </row>
    <row r="3886">
      <c r="A3886" s="50"/>
    </row>
    <row r="3887">
      <c r="A3887" s="50"/>
    </row>
    <row r="3888">
      <c r="A3888" s="50"/>
    </row>
    <row r="3889">
      <c r="A3889" s="50"/>
    </row>
    <row r="3890">
      <c r="A3890" s="50"/>
    </row>
    <row r="3891">
      <c r="A3891" s="50"/>
    </row>
    <row r="3892">
      <c r="A3892" s="50"/>
    </row>
    <row r="3893">
      <c r="A3893" s="50"/>
    </row>
    <row r="3894">
      <c r="A3894" s="50"/>
    </row>
    <row r="3895">
      <c r="A3895" s="50"/>
    </row>
    <row r="3896">
      <c r="A3896" s="50"/>
    </row>
    <row r="3897">
      <c r="A3897" s="50"/>
    </row>
    <row r="3898">
      <c r="A3898" s="50"/>
    </row>
    <row r="3899">
      <c r="A3899" s="50"/>
    </row>
    <row r="3900">
      <c r="A3900" s="50"/>
    </row>
    <row r="3901">
      <c r="A3901" s="50"/>
    </row>
    <row r="3902">
      <c r="A3902" s="50"/>
    </row>
    <row r="3903">
      <c r="A3903" s="50"/>
    </row>
    <row r="3904">
      <c r="A3904" s="50"/>
    </row>
    <row r="3905">
      <c r="A3905" s="50"/>
    </row>
    <row r="3906">
      <c r="A3906" s="50"/>
    </row>
    <row r="3907">
      <c r="A3907" s="50"/>
    </row>
    <row r="3908">
      <c r="A3908" s="50"/>
    </row>
    <row r="3909">
      <c r="A3909" s="50"/>
    </row>
    <row r="3910">
      <c r="A3910" s="50"/>
    </row>
    <row r="3911">
      <c r="A3911" s="50"/>
    </row>
    <row r="3912">
      <c r="A3912" s="50"/>
    </row>
    <row r="3913">
      <c r="A3913" s="50"/>
    </row>
    <row r="3914">
      <c r="A3914" s="50"/>
    </row>
    <row r="3915">
      <c r="A3915" s="50"/>
    </row>
    <row r="3916">
      <c r="A3916" s="50"/>
    </row>
    <row r="3917">
      <c r="A3917" s="50"/>
    </row>
    <row r="3918">
      <c r="A3918" s="50"/>
    </row>
    <row r="3919">
      <c r="A3919" s="50"/>
    </row>
    <row r="3920">
      <c r="A3920" s="50"/>
    </row>
    <row r="3921">
      <c r="A3921" s="50"/>
    </row>
    <row r="3922">
      <c r="A3922" s="50"/>
    </row>
    <row r="3923">
      <c r="A3923" s="50"/>
    </row>
    <row r="3924">
      <c r="A3924" s="50"/>
    </row>
    <row r="3925">
      <c r="A3925" s="50"/>
    </row>
    <row r="3926">
      <c r="A3926" s="50"/>
    </row>
    <row r="3927">
      <c r="A3927" s="50"/>
    </row>
    <row r="3928">
      <c r="A3928" s="50"/>
    </row>
    <row r="3929">
      <c r="A3929" s="50"/>
    </row>
    <row r="3930">
      <c r="A3930" s="50"/>
    </row>
    <row r="3931">
      <c r="A3931" s="50"/>
    </row>
    <row r="3932">
      <c r="A3932" s="50"/>
    </row>
    <row r="3933">
      <c r="A3933" s="50"/>
    </row>
    <row r="3934">
      <c r="A3934" s="50"/>
    </row>
    <row r="3935">
      <c r="A3935" s="50"/>
    </row>
    <row r="3936">
      <c r="A3936" s="50"/>
    </row>
    <row r="3937">
      <c r="A3937" s="50"/>
    </row>
    <row r="3938">
      <c r="A3938" s="50"/>
    </row>
    <row r="3939">
      <c r="A3939" s="50"/>
    </row>
    <row r="3940">
      <c r="A3940" s="50"/>
    </row>
    <row r="3941">
      <c r="A3941" s="50"/>
    </row>
    <row r="3942">
      <c r="A3942" s="50"/>
    </row>
    <row r="3943">
      <c r="A3943" s="50"/>
    </row>
    <row r="3944">
      <c r="A3944" s="50"/>
    </row>
    <row r="3945">
      <c r="A3945" s="50"/>
    </row>
    <row r="3946">
      <c r="A3946" s="50"/>
    </row>
    <row r="3947">
      <c r="A3947" s="50"/>
    </row>
    <row r="3948">
      <c r="A3948" s="50"/>
    </row>
    <row r="3949">
      <c r="A3949" s="50"/>
    </row>
    <row r="3950">
      <c r="A3950" s="50"/>
    </row>
    <row r="3951">
      <c r="A3951" s="50"/>
    </row>
    <row r="3952">
      <c r="A3952" s="50"/>
    </row>
    <row r="3953">
      <c r="A3953" s="50"/>
    </row>
    <row r="3954">
      <c r="A3954" s="50"/>
    </row>
    <row r="3955">
      <c r="A3955" s="50"/>
    </row>
    <row r="3956">
      <c r="A3956" s="50"/>
    </row>
    <row r="3957">
      <c r="A3957" s="50"/>
    </row>
    <row r="3958">
      <c r="A3958" s="50"/>
    </row>
    <row r="3959">
      <c r="A3959" s="50"/>
    </row>
    <row r="3960">
      <c r="A3960" s="50"/>
    </row>
    <row r="3961">
      <c r="A3961" s="50"/>
    </row>
    <row r="3962">
      <c r="A3962" s="50"/>
    </row>
    <row r="3963">
      <c r="A3963" s="50"/>
    </row>
    <row r="3964">
      <c r="A3964" s="50"/>
    </row>
    <row r="3965">
      <c r="A3965" s="50"/>
    </row>
    <row r="3966">
      <c r="A3966" s="50"/>
    </row>
    <row r="3967">
      <c r="A3967" s="50"/>
    </row>
    <row r="3968">
      <c r="A3968" s="50"/>
    </row>
    <row r="3969">
      <c r="A3969" s="50"/>
    </row>
    <row r="3970">
      <c r="A3970" s="50"/>
    </row>
    <row r="3971">
      <c r="A3971" s="50"/>
    </row>
    <row r="3972">
      <c r="A3972" s="50"/>
    </row>
    <row r="3973">
      <c r="A3973" s="50"/>
    </row>
    <row r="3974">
      <c r="A3974" s="50"/>
    </row>
    <row r="3975">
      <c r="A3975" s="50"/>
    </row>
    <row r="3976">
      <c r="A3976" s="50"/>
    </row>
    <row r="3977">
      <c r="A3977" s="50"/>
    </row>
    <row r="3978">
      <c r="A3978" s="50"/>
    </row>
    <row r="3979">
      <c r="A3979" s="50"/>
    </row>
    <row r="3980">
      <c r="A3980" s="50"/>
    </row>
    <row r="3981">
      <c r="A3981" s="50"/>
    </row>
    <row r="3982">
      <c r="A3982" s="50"/>
    </row>
    <row r="3983">
      <c r="A3983" s="50"/>
    </row>
    <row r="3984">
      <c r="A3984" s="50"/>
    </row>
    <row r="3985">
      <c r="A3985" s="50"/>
    </row>
    <row r="3986">
      <c r="A3986" s="50"/>
    </row>
    <row r="3987">
      <c r="A3987" s="50"/>
    </row>
    <row r="3988">
      <c r="A3988" s="50"/>
    </row>
    <row r="3989">
      <c r="A3989" s="50"/>
    </row>
    <row r="3990">
      <c r="A3990" s="50"/>
    </row>
    <row r="3991">
      <c r="A3991" s="50"/>
    </row>
    <row r="3992">
      <c r="A3992" s="50"/>
    </row>
    <row r="3993">
      <c r="A3993" s="50"/>
    </row>
    <row r="3994">
      <c r="A3994" s="50"/>
    </row>
    <row r="3995">
      <c r="A3995" s="50"/>
    </row>
    <row r="3996">
      <c r="A3996" s="50"/>
    </row>
    <row r="3997">
      <c r="A3997" s="50"/>
    </row>
    <row r="3998">
      <c r="A3998" s="50"/>
    </row>
    <row r="3999">
      <c r="A3999" s="50"/>
    </row>
    <row r="4000">
      <c r="A4000" s="50"/>
    </row>
    <row r="4001">
      <c r="A4001" s="50"/>
    </row>
    <row r="4002">
      <c r="A4002" s="50"/>
    </row>
    <row r="4003">
      <c r="A4003" s="50"/>
    </row>
    <row r="4004">
      <c r="A4004" s="50"/>
    </row>
    <row r="4005">
      <c r="A4005" s="50"/>
    </row>
    <row r="4006">
      <c r="A4006" s="50"/>
    </row>
    <row r="4007">
      <c r="A4007" s="50"/>
    </row>
    <row r="4008">
      <c r="A4008" s="50"/>
    </row>
    <row r="4009">
      <c r="A4009" s="50"/>
    </row>
    <row r="4010">
      <c r="A4010" s="50"/>
    </row>
    <row r="4011">
      <c r="A4011" s="50"/>
    </row>
    <row r="4012">
      <c r="A4012" s="50"/>
    </row>
    <row r="4013">
      <c r="A4013" s="50"/>
    </row>
    <row r="4014">
      <c r="A4014" s="50"/>
    </row>
    <row r="4015">
      <c r="A4015" s="50"/>
    </row>
    <row r="4016">
      <c r="A4016" s="50"/>
    </row>
    <row r="4017">
      <c r="A4017" s="50"/>
    </row>
    <row r="4018">
      <c r="A4018" s="50"/>
    </row>
    <row r="4019">
      <c r="A4019" s="50"/>
    </row>
    <row r="4020">
      <c r="A4020" s="50"/>
    </row>
    <row r="4021">
      <c r="A4021" s="50"/>
    </row>
    <row r="4022">
      <c r="A4022" s="50"/>
    </row>
    <row r="4023">
      <c r="A4023" s="50"/>
    </row>
    <row r="4024">
      <c r="A4024" s="50"/>
    </row>
    <row r="4025">
      <c r="A4025" s="50"/>
    </row>
    <row r="4026">
      <c r="A4026" s="50"/>
    </row>
    <row r="4027">
      <c r="A4027" s="50"/>
    </row>
    <row r="4028">
      <c r="A4028" s="50"/>
    </row>
    <row r="4029">
      <c r="A4029" s="50"/>
    </row>
    <row r="4030">
      <c r="A4030" s="50"/>
    </row>
    <row r="4031">
      <c r="A4031" s="50"/>
    </row>
    <row r="4032">
      <c r="A4032" s="50"/>
    </row>
    <row r="4033">
      <c r="A4033" s="50"/>
    </row>
    <row r="4034">
      <c r="A4034" s="50"/>
    </row>
    <row r="4035">
      <c r="A4035" s="50"/>
    </row>
    <row r="4036">
      <c r="A4036" s="50"/>
    </row>
    <row r="4037">
      <c r="A4037" s="50"/>
    </row>
    <row r="4038">
      <c r="A4038" s="50"/>
    </row>
    <row r="4039">
      <c r="A4039" s="50"/>
    </row>
    <row r="4040">
      <c r="A4040" s="50"/>
    </row>
    <row r="4041">
      <c r="A4041" s="50"/>
    </row>
    <row r="4042">
      <c r="A4042" s="50"/>
    </row>
    <row r="4043">
      <c r="A4043" s="50"/>
    </row>
    <row r="4044">
      <c r="A4044" s="50"/>
    </row>
    <row r="4045">
      <c r="A4045" s="50"/>
    </row>
    <row r="4046">
      <c r="A4046" s="50"/>
    </row>
    <row r="4047">
      <c r="A4047" s="50"/>
    </row>
    <row r="4048">
      <c r="A4048" s="50"/>
    </row>
    <row r="4049">
      <c r="A4049" s="50"/>
    </row>
    <row r="4050">
      <c r="A4050" s="50"/>
    </row>
    <row r="4051">
      <c r="A4051" s="50"/>
    </row>
    <row r="4052">
      <c r="A4052" s="50"/>
    </row>
    <row r="4053">
      <c r="A4053" s="50"/>
    </row>
    <row r="4054">
      <c r="A4054" s="50"/>
    </row>
    <row r="4055">
      <c r="A4055" s="50"/>
    </row>
    <row r="4056">
      <c r="A4056" s="50"/>
    </row>
    <row r="4057">
      <c r="A4057" s="50"/>
    </row>
    <row r="4058">
      <c r="A4058" s="50"/>
    </row>
    <row r="4059">
      <c r="A4059" s="50"/>
    </row>
    <row r="4060">
      <c r="A4060" s="50"/>
    </row>
    <row r="4061">
      <c r="A4061" s="50"/>
    </row>
    <row r="4062">
      <c r="A4062" s="50"/>
    </row>
    <row r="4063">
      <c r="A4063" s="50"/>
    </row>
    <row r="4064">
      <c r="A4064" s="50"/>
    </row>
    <row r="4065">
      <c r="A4065" s="50"/>
    </row>
    <row r="4066">
      <c r="A4066" s="50"/>
    </row>
    <row r="4067">
      <c r="A4067" s="50"/>
    </row>
    <row r="4068">
      <c r="A4068" s="50"/>
    </row>
    <row r="4069">
      <c r="A4069" s="50"/>
    </row>
    <row r="4070">
      <c r="A4070" s="50"/>
    </row>
    <row r="4071">
      <c r="A4071" s="50"/>
    </row>
    <row r="4072">
      <c r="A4072" s="50"/>
    </row>
    <row r="4073">
      <c r="A4073" s="50"/>
    </row>
    <row r="4074">
      <c r="A4074" s="50"/>
    </row>
    <row r="4075">
      <c r="A4075" s="50"/>
    </row>
    <row r="4076">
      <c r="A4076" s="50"/>
    </row>
    <row r="4077">
      <c r="A4077" s="50"/>
    </row>
    <row r="4078">
      <c r="A4078" s="50"/>
    </row>
    <row r="4079">
      <c r="A4079" s="50"/>
    </row>
    <row r="4080">
      <c r="A4080" s="50"/>
    </row>
    <row r="4081">
      <c r="A4081" s="50"/>
    </row>
    <row r="4082">
      <c r="A4082" s="50"/>
    </row>
    <row r="4083">
      <c r="A4083" s="50"/>
    </row>
    <row r="4084">
      <c r="A4084" s="50"/>
    </row>
    <row r="4085">
      <c r="A4085" s="50"/>
    </row>
    <row r="4086">
      <c r="A4086" s="50"/>
    </row>
    <row r="4087">
      <c r="A4087" s="50"/>
    </row>
    <row r="4088">
      <c r="A4088" s="50"/>
    </row>
    <row r="4089">
      <c r="A4089" s="50"/>
    </row>
    <row r="4090">
      <c r="A4090" s="50"/>
    </row>
    <row r="4091">
      <c r="A4091" s="50"/>
    </row>
    <row r="4092">
      <c r="A4092" s="50"/>
    </row>
    <row r="4093">
      <c r="A4093" s="50"/>
    </row>
    <row r="4094">
      <c r="A4094" s="50"/>
    </row>
    <row r="4095">
      <c r="A4095" s="50"/>
    </row>
    <row r="4096">
      <c r="A4096" s="50"/>
    </row>
    <row r="4097">
      <c r="A4097" s="50"/>
    </row>
    <row r="4098">
      <c r="A4098" s="50"/>
    </row>
    <row r="4099">
      <c r="A4099" s="50"/>
    </row>
    <row r="4100">
      <c r="A4100" s="50"/>
    </row>
    <row r="4101">
      <c r="A4101" s="50"/>
    </row>
    <row r="4102">
      <c r="A4102" s="50"/>
    </row>
    <row r="4103">
      <c r="A4103" s="50"/>
    </row>
    <row r="4104">
      <c r="A4104" s="50"/>
    </row>
    <row r="4105">
      <c r="A4105" s="50"/>
    </row>
    <row r="4106">
      <c r="A4106" s="50"/>
    </row>
    <row r="4107">
      <c r="A4107" s="50"/>
    </row>
    <row r="4108">
      <c r="A4108" s="50"/>
    </row>
    <row r="4109">
      <c r="A4109" s="50"/>
    </row>
    <row r="4110">
      <c r="A4110" s="50"/>
    </row>
    <row r="4111">
      <c r="A4111" s="50"/>
    </row>
    <row r="4112">
      <c r="A4112" s="50"/>
    </row>
    <row r="4113">
      <c r="A4113" s="50"/>
    </row>
    <row r="4114">
      <c r="A4114" s="50"/>
    </row>
    <row r="4115">
      <c r="A4115" s="50"/>
    </row>
    <row r="4116">
      <c r="A4116" s="50"/>
    </row>
    <row r="4117">
      <c r="A4117" s="50"/>
    </row>
    <row r="4118">
      <c r="A4118" s="50"/>
    </row>
    <row r="4119">
      <c r="A4119" s="50"/>
    </row>
    <row r="4120">
      <c r="A4120" s="50"/>
    </row>
    <row r="4121">
      <c r="A4121" s="50"/>
    </row>
    <row r="4122">
      <c r="A4122" s="50"/>
    </row>
    <row r="4123">
      <c r="A4123" s="50"/>
    </row>
    <row r="4124">
      <c r="A4124" s="50"/>
    </row>
    <row r="4125">
      <c r="A4125" s="50"/>
    </row>
    <row r="4126">
      <c r="A4126" s="50"/>
    </row>
    <row r="4127">
      <c r="A4127" s="50"/>
    </row>
    <row r="4128">
      <c r="A4128" s="50"/>
    </row>
    <row r="4129">
      <c r="A4129" s="50"/>
    </row>
    <row r="4130">
      <c r="A4130" s="50"/>
    </row>
    <row r="4131">
      <c r="A4131" s="50"/>
    </row>
    <row r="4132">
      <c r="A4132" s="50"/>
    </row>
    <row r="4133">
      <c r="A4133" s="50"/>
    </row>
    <row r="4134">
      <c r="A4134" s="50"/>
    </row>
    <row r="4135">
      <c r="A4135" s="50"/>
    </row>
    <row r="4136">
      <c r="A4136" s="50"/>
    </row>
    <row r="4137">
      <c r="A4137" s="50"/>
    </row>
    <row r="4138">
      <c r="A4138" s="50"/>
    </row>
    <row r="4139">
      <c r="A4139" s="50"/>
    </row>
    <row r="4140">
      <c r="A4140" s="50"/>
    </row>
    <row r="4141">
      <c r="A4141" s="50"/>
    </row>
    <row r="4142">
      <c r="A4142" s="50"/>
    </row>
    <row r="4143">
      <c r="A4143" s="50"/>
    </row>
    <row r="4144">
      <c r="A4144" s="50"/>
    </row>
    <row r="4145">
      <c r="A4145" s="50"/>
    </row>
    <row r="4146">
      <c r="A4146" s="50"/>
    </row>
    <row r="4147">
      <c r="A4147" s="50"/>
    </row>
    <row r="4148">
      <c r="A4148" s="50"/>
    </row>
    <row r="4149">
      <c r="A4149" s="50"/>
    </row>
    <row r="4150">
      <c r="A4150" s="50"/>
    </row>
    <row r="4151">
      <c r="A4151" s="50"/>
    </row>
    <row r="4152">
      <c r="A4152" s="50"/>
    </row>
    <row r="4153">
      <c r="A4153" s="50"/>
    </row>
    <row r="4154">
      <c r="A4154" s="50"/>
    </row>
    <row r="4155">
      <c r="A4155" s="50"/>
    </row>
    <row r="4156">
      <c r="A4156" s="50"/>
    </row>
    <row r="4157">
      <c r="A4157" s="50"/>
    </row>
    <row r="4158">
      <c r="A4158" s="50"/>
    </row>
    <row r="4159">
      <c r="A4159" s="50"/>
    </row>
    <row r="4160">
      <c r="A4160" s="50"/>
    </row>
    <row r="4161">
      <c r="A4161" s="50"/>
    </row>
    <row r="4162">
      <c r="A4162" s="50"/>
    </row>
    <row r="4163">
      <c r="A4163" s="50"/>
    </row>
    <row r="4164">
      <c r="A4164" s="50"/>
    </row>
    <row r="4165">
      <c r="A4165" s="50"/>
    </row>
    <row r="4166">
      <c r="A4166" s="50"/>
    </row>
    <row r="4167">
      <c r="A4167" s="50"/>
    </row>
    <row r="4168">
      <c r="A4168" s="50"/>
    </row>
    <row r="4169">
      <c r="A4169" s="50"/>
    </row>
    <row r="4170">
      <c r="A4170" s="50"/>
    </row>
    <row r="4171">
      <c r="A4171" s="50"/>
    </row>
    <row r="4172">
      <c r="A4172" s="50"/>
    </row>
    <row r="4173">
      <c r="A4173" s="50"/>
    </row>
    <row r="4174">
      <c r="A4174" s="50"/>
    </row>
    <row r="4175">
      <c r="A4175" s="50"/>
    </row>
    <row r="4176">
      <c r="A4176" s="50"/>
    </row>
    <row r="4177">
      <c r="A4177" s="50"/>
    </row>
    <row r="4178">
      <c r="A4178" s="50"/>
    </row>
    <row r="4179">
      <c r="A4179" s="50"/>
    </row>
    <row r="4180">
      <c r="A4180" s="50"/>
    </row>
    <row r="4181">
      <c r="A4181" s="50"/>
    </row>
    <row r="4182">
      <c r="A4182" s="50"/>
    </row>
    <row r="4183">
      <c r="A4183" s="50"/>
    </row>
    <row r="4184">
      <c r="A4184" s="50"/>
    </row>
    <row r="4185">
      <c r="A4185" s="50"/>
    </row>
    <row r="4186">
      <c r="A4186" s="50"/>
    </row>
    <row r="4187">
      <c r="A4187" s="50"/>
    </row>
    <row r="4188">
      <c r="A4188" s="50"/>
    </row>
    <row r="4189">
      <c r="A4189" s="50"/>
    </row>
    <row r="4190">
      <c r="A4190" s="50"/>
    </row>
    <row r="4191">
      <c r="A4191" s="50"/>
    </row>
    <row r="4192">
      <c r="A4192" s="50"/>
    </row>
    <row r="4193">
      <c r="A4193" s="50"/>
    </row>
    <row r="4194">
      <c r="A4194" s="50"/>
    </row>
    <row r="4195">
      <c r="A4195" s="50"/>
    </row>
    <row r="4196">
      <c r="A4196" s="50"/>
    </row>
    <row r="4197">
      <c r="A4197" s="50"/>
    </row>
    <row r="4198">
      <c r="A4198" s="50"/>
    </row>
    <row r="4199">
      <c r="A4199" s="50"/>
    </row>
    <row r="4200">
      <c r="A4200" s="50"/>
    </row>
    <row r="4201">
      <c r="A4201" s="50"/>
    </row>
    <row r="4202">
      <c r="A4202" s="50"/>
    </row>
    <row r="4203">
      <c r="A4203" s="50"/>
    </row>
    <row r="4204">
      <c r="A4204" s="50"/>
    </row>
    <row r="4205">
      <c r="A4205" s="50"/>
    </row>
    <row r="4206">
      <c r="A4206" s="50"/>
    </row>
    <row r="4207">
      <c r="A4207" s="50"/>
    </row>
    <row r="4208">
      <c r="A4208" s="50"/>
    </row>
    <row r="4209">
      <c r="A4209" s="50"/>
    </row>
    <row r="4210">
      <c r="A4210" s="50"/>
    </row>
    <row r="4211">
      <c r="A4211" s="50"/>
    </row>
    <row r="4212">
      <c r="A4212" s="50"/>
    </row>
    <row r="4213">
      <c r="A4213" s="50"/>
    </row>
    <row r="4214">
      <c r="A4214" s="50"/>
    </row>
    <row r="4215">
      <c r="A4215" s="50"/>
    </row>
    <row r="4216">
      <c r="A4216" s="50"/>
    </row>
    <row r="4217">
      <c r="A4217" s="50"/>
    </row>
    <row r="4218">
      <c r="A4218" s="50"/>
    </row>
    <row r="4219">
      <c r="A4219" s="50"/>
    </row>
    <row r="4220">
      <c r="A4220" s="50"/>
    </row>
    <row r="4221">
      <c r="A4221" s="50"/>
    </row>
    <row r="4222">
      <c r="A4222" s="50"/>
    </row>
    <row r="4223">
      <c r="A4223" s="50"/>
    </row>
    <row r="4224">
      <c r="A4224" s="50"/>
    </row>
    <row r="4225">
      <c r="A4225" s="50"/>
    </row>
    <row r="4226">
      <c r="A4226" s="50"/>
    </row>
    <row r="4227">
      <c r="A4227" s="50"/>
    </row>
    <row r="4228">
      <c r="A4228" s="50"/>
    </row>
    <row r="4229">
      <c r="A4229" s="50"/>
    </row>
    <row r="4230">
      <c r="A4230" s="50"/>
    </row>
    <row r="4231">
      <c r="A4231" s="50"/>
    </row>
    <row r="4232">
      <c r="A4232" s="50"/>
    </row>
    <row r="4233">
      <c r="A4233" s="50"/>
    </row>
    <row r="4234">
      <c r="A4234" s="50"/>
    </row>
    <row r="4235">
      <c r="A4235" s="50"/>
    </row>
    <row r="4236">
      <c r="A4236" s="50"/>
    </row>
    <row r="4237">
      <c r="A4237" s="50"/>
    </row>
    <row r="4238">
      <c r="A4238" s="50"/>
    </row>
    <row r="4239">
      <c r="A4239" s="50"/>
    </row>
    <row r="4240">
      <c r="A4240" s="50"/>
    </row>
    <row r="4241">
      <c r="A4241" s="50"/>
    </row>
    <row r="4242">
      <c r="A4242" s="50"/>
    </row>
    <row r="4243">
      <c r="A4243" s="50"/>
    </row>
    <row r="4244">
      <c r="A4244" s="50"/>
    </row>
    <row r="4245">
      <c r="A4245" s="50"/>
    </row>
    <row r="4246">
      <c r="A4246" s="50"/>
    </row>
    <row r="4247">
      <c r="A4247" s="50"/>
    </row>
    <row r="4248">
      <c r="A4248" s="50"/>
    </row>
    <row r="4249">
      <c r="A4249" s="50"/>
    </row>
    <row r="4250">
      <c r="A4250" s="50"/>
    </row>
    <row r="4251">
      <c r="A4251" s="50"/>
    </row>
    <row r="4252">
      <c r="A4252" s="50"/>
    </row>
    <row r="4253">
      <c r="A4253" s="50"/>
    </row>
    <row r="4254">
      <c r="A4254" s="50"/>
    </row>
    <row r="4255">
      <c r="A4255" s="50"/>
    </row>
    <row r="4256">
      <c r="A4256" s="50"/>
    </row>
    <row r="4257">
      <c r="A4257" s="50"/>
    </row>
    <row r="4258">
      <c r="A4258" s="50"/>
    </row>
    <row r="4259">
      <c r="A4259" s="50"/>
    </row>
    <row r="4260">
      <c r="A4260" s="50"/>
    </row>
    <row r="4261">
      <c r="A4261" s="50"/>
    </row>
    <row r="4262">
      <c r="A4262" s="50"/>
    </row>
    <row r="4263">
      <c r="A4263" s="50"/>
    </row>
    <row r="4264">
      <c r="A4264" s="50"/>
    </row>
    <row r="4265">
      <c r="A4265" s="50"/>
    </row>
    <row r="4266">
      <c r="A4266" s="50"/>
    </row>
    <row r="4267">
      <c r="A4267" s="50"/>
    </row>
    <row r="4268">
      <c r="A4268" s="50"/>
    </row>
    <row r="4269">
      <c r="A4269" s="50"/>
    </row>
    <row r="4270">
      <c r="A4270" s="50"/>
    </row>
    <row r="4271">
      <c r="A4271" s="50"/>
    </row>
    <row r="4272">
      <c r="A4272" s="50"/>
    </row>
    <row r="4273">
      <c r="A4273" s="50"/>
    </row>
    <row r="4274">
      <c r="A4274" s="50"/>
    </row>
    <row r="4275">
      <c r="A4275" s="50"/>
    </row>
    <row r="4276">
      <c r="A4276" s="50"/>
    </row>
    <row r="4277">
      <c r="A4277" s="50"/>
    </row>
    <row r="4278">
      <c r="A4278" s="50"/>
    </row>
    <row r="4279">
      <c r="A4279" s="50"/>
    </row>
    <row r="4280">
      <c r="A4280" s="50"/>
    </row>
    <row r="4281">
      <c r="A4281" s="50"/>
    </row>
    <row r="4282">
      <c r="A4282" s="50"/>
    </row>
    <row r="4283">
      <c r="A4283" s="50"/>
    </row>
    <row r="4284">
      <c r="A4284" s="50"/>
    </row>
    <row r="4285">
      <c r="A4285" s="50"/>
    </row>
    <row r="4286">
      <c r="A4286" s="50"/>
    </row>
    <row r="4287">
      <c r="A4287" s="50"/>
    </row>
    <row r="4288">
      <c r="A4288" s="50"/>
    </row>
    <row r="4289">
      <c r="A4289" s="50"/>
    </row>
    <row r="4290">
      <c r="A4290" s="50"/>
    </row>
    <row r="4291">
      <c r="A4291" s="50"/>
    </row>
    <row r="4292">
      <c r="A4292" s="50"/>
    </row>
    <row r="4293">
      <c r="A4293" s="50"/>
    </row>
    <row r="4294">
      <c r="A4294" s="50"/>
    </row>
    <row r="4295">
      <c r="A4295" s="50"/>
    </row>
    <row r="4296">
      <c r="A4296" s="50"/>
    </row>
    <row r="4297">
      <c r="A4297" s="50"/>
    </row>
    <row r="4298">
      <c r="A4298" s="50"/>
    </row>
    <row r="4299">
      <c r="A4299" s="50"/>
    </row>
    <row r="4300">
      <c r="A4300" s="50"/>
    </row>
    <row r="4301">
      <c r="A4301" s="50"/>
    </row>
    <row r="4302">
      <c r="A4302" s="50"/>
    </row>
    <row r="4303">
      <c r="A4303" s="50"/>
    </row>
    <row r="4304">
      <c r="A4304" s="50"/>
    </row>
    <row r="4305">
      <c r="A4305" s="50"/>
    </row>
    <row r="4306">
      <c r="A4306" s="50"/>
    </row>
    <row r="4307">
      <c r="A4307" s="50"/>
    </row>
    <row r="4308">
      <c r="A4308" s="50"/>
    </row>
    <row r="4309">
      <c r="A4309" s="50"/>
    </row>
    <row r="4310">
      <c r="A4310" s="50"/>
    </row>
    <row r="4311">
      <c r="A4311" s="50"/>
    </row>
    <row r="4312">
      <c r="A4312" s="50"/>
    </row>
    <row r="4313">
      <c r="A4313" s="50"/>
    </row>
    <row r="4314">
      <c r="A4314" s="50"/>
    </row>
    <row r="4315">
      <c r="A4315" s="50"/>
    </row>
    <row r="4316">
      <c r="A4316" s="50"/>
    </row>
    <row r="4317">
      <c r="A4317" s="50"/>
    </row>
    <row r="4318">
      <c r="A4318" s="50"/>
    </row>
    <row r="4319">
      <c r="A4319" s="50"/>
    </row>
    <row r="4320">
      <c r="A4320" s="50"/>
    </row>
    <row r="4321">
      <c r="A4321" s="50"/>
    </row>
    <row r="4322">
      <c r="A4322" s="50"/>
    </row>
    <row r="4323">
      <c r="A4323" s="50"/>
    </row>
    <row r="4324">
      <c r="A4324" s="50"/>
    </row>
    <row r="4325">
      <c r="A4325" s="50"/>
    </row>
    <row r="4326">
      <c r="A4326" s="50"/>
    </row>
    <row r="4327">
      <c r="A4327" s="50"/>
    </row>
    <row r="4328">
      <c r="A4328" s="50"/>
    </row>
    <row r="4329">
      <c r="A4329" s="50"/>
    </row>
    <row r="4330">
      <c r="A4330" s="50"/>
    </row>
    <row r="4331">
      <c r="A4331" s="50"/>
    </row>
    <row r="4332">
      <c r="A4332" s="50"/>
    </row>
    <row r="4333">
      <c r="A4333" s="50"/>
    </row>
    <row r="4334">
      <c r="A4334" s="50"/>
    </row>
    <row r="4335">
      <c r="A4335" s="50"/>
    </row>
    <row r="4336">
      <c r="A4336" s="50"/>
    </row>
    <row r="4337">
      <c r="A4337" s="50"/>
    </row>
    <row r="4338">
      <c r="A4338" s="50"/>
    </row>
    <row r="4339">
      <c r="A4339" s="50"/>
    </row>
    <row r="4340">
      <c r="A4340" s="50"/>
    </row>
    <row r="4341">
      <c r="A4341" s="50"/>
    </row>
    <row r="4342">
      <c r="A4342" s="50"/>
    </row>
    <row r="4343">
      <c r="A4343" s="50"/>
    </row>
    <row r="4344">
      <c r="A4344" s="50"/>
    </row>
    <row r="4345">
      <c r="A4345" s="50"/>
    </row>
    <row r="4346">
      <c r="A4346" s="50"/>
    </row>
    <row r="4347">
      <c r="A4347" s="50"/>
    </row>
    <row r="4348">
      <c r="A4348" s="50"/>
    </row>
    <row r="4349">
      <c r="A4349" s="50"/>
    </row>
    <row r="4350">
      <c r="A4350" s="50"/>
    </row>
    <row r="4351">
      <c r="A4351" s="50"/>
    </row>
    <row r="4352">
      <c r="A4352" s="50"/>
    </row>
    <row r="4353">
      <c r="A4353" s="50"/>
    </row>
    <row r="4354">
      <c r="A4354" s="50"/>
    </row>
    <row r="4355">
      <c r="A4355" s="50"/>
    </row>
    <row r="4356">
      <c r="A4356" s="50"/>
    </row>
    <row r="4357">
      <c r="A4357" s="50"/>
    </row>
    <row r="4358">
      <c r="A4358" s="50"/>
    </row>
    <row r="4359">
      <c r="A4359" s="50"/>
    </row>
    <row r="4360">
      <c r="A4360" s="50"/>
    </row>
    <row r="4361">
      <c r="A4361" s="50"/>
    </row>
    <row r="4362">
      <c r="A4362" s="50"/>
    </row>
    <row r="4363">
      <c r="A4363" s="50"/>
    </row>
    <row r="4364">
      <c r="A4364" s="50"/>
    </row>
    <row r="4365">
      <c r="A4365" s="50"/>
    </row>
    <row r="4366">
      <c r="A4366" s="50"/>
    </row>
    <row r="4367">
      <c r="A4367" s="50"/>
    </row>
    <row r="4368">
      <c r="A4368" s="50"/>
    </row>
    <row r="4369">
      <c r="A4369" s="50"/>
    </row>
    <row r="4370">
      <c r="A4370" s="50"/>
    </row>
    <row r="4371">
      <c r="A4371" s="50"/>
    </row>
    <row r="4372">
      <c r="A4372" s="50"/>
    </row>
    <row r="4373">
      <c r="A4373" s="50"/>
    </row>
    <row r="4374">
      <c r="A4374" s="50"/>
    </row>
    <row r="4375">
      <c r="A4375" s="50"/>
    </row>
    <row r="4376">
      <c r="A4376" s="50"/>
    </row>
    <row r="4377">
      <c r="A4377" s="50"/>
    </row>
    <row r="4378">
      <c r="A4378" s="50"/>
    </row>
    <row r="4379">
      <c r="A4379" s="50"/>
    </row>
    <row r="4380">
      <c r="A4380" s="50"/>
    </row>
    <row r="4381">
      <c r="A4381" s="50"/>
    </row>
    <row r="4382">
      <c r="A4382" s="50"/>
    </row>
    <row r="4383">
      <c r="A4383" s="50"/>
    </row>
    <row r="4384">
      <c r="A4384" s="50"/>
    </row>
    <row r="4385">
      <c r="A4385" s="50"/>
    </row>
    <row r="4386">
      <c r="A4386" s="50"/>
    </row>
    <row r="4387">
      <c r="A4387" s="50"/>
    </row>
    <row r="4388">
      <c r="A4388" s="50"/>
    </row>
    <row r="4389">
      <c r="A4389" s="50"/>
    </row>
    <row r="4390">
      <c r="A4390" s="50"/>
    </row>
    <row r="4391">
      <c r="A4391" s="50"/>
    </row>
    <row r="4392">
      <c r="A4392" s="50"/>
    </row>
    <row r="4393">
      <c r="A4393" s="50"/>
    </row>
    <row r="4394">
      <c r="A4394" s="50"/>
    </row>
    <row r="4395">
      <c r="A4395" s="50"/>
    </row>
    <row r="4396">
      <c r="A4396" s="50"/>
    </row>
    <row r="4397">
      <c r="A4397" s="50"/>
    </row>
    <row r="4398">
      <c r="A4398" s="50"/>
    </row>
    <row r="4399">
      <c r="A4399" s="50"/>
    </row>
    <row r="4400">
      <c r="A4400" s="50"/>
    </row>
    <row r="4401">
      <c r="A4401" s="50"/>
    </row>
    <row r="4402">
      <c r="A4402" s="50"/>
    </row>
    <row r="4403">
      <c r="A4403" s="50"/>
    </row>
    <row r="4404">
      <c r="A4404" s="50"/>
    </row>
    <row r="4405">
      <c r="A4405" s="50"/>
    </row>
    <row r="4406">
      <c r="A4406" s="50"/>
    </row>
    <row r="4407">
      <c r="A4407" s="50"/>
    </row>
    <row r="4408">
      <c r="A4408" s="50"/>
    </row>
    <row r="4409">
      <c r="A4409" s="50"/>
    </row>
    <row r="4410">
      <c r="A4410" s="50"/>
    </row>
    <row r="4411">
      <c r="A4411" s="50"/>
    </row>
    <row r="4412">
      <c r="A4412" s="50"/>
    </row>
    <row r="4413">
      <c r="A4413" s="50"/>
    </row>
    <row r="4414">
      <c r="A4414" s="50"/>
    </row>
    <row r="4415">
      <c r="A4415" s="50"/>
    </row>
    <row r="4416">
      <c r="A4416" s="50"/>
    </row>
    <row r="4417">
      <c r="A4417" s="50"/>
    </row>
    <row r="4418">
      <c r="A4418" s="50"/>
    </row>
    <row r="4419">
      <c r="A4419" s="50"/>
    </row>
    <row r="4420">
      <c r="A4420" s="50"/>
    </row>
    <row r="4421">
      <c r="A4421" s="50"/>
    </row>
    <row r="4422">
      <c r="A4422" s="50"/>
    </row>
    <row r="4423">
      <c r="A4423" s="50"/>
    </row>
    <row r="4424">
      <c r="A4424" s="50"/>
    </row>
    <row r="4425">
      <c r="A4425" s="50"/>
    </row>
    <row r="4426">
      <c r="A4426" s="50"/>
    </row>
    <row r="4427">
      <c r="A4427" s="50"/>
    </row>
    <row r="4428">
      <c r="A4428" s="50"/>
    </row>
    <row r="4429">
      <c r="A4429" s="50"/>
    </row>
    <row r="4430">
      <c r="A4430" s="50"/>
    </row>
    <row r="4431">
      <c r="A4431" s="50"/>
    </row>
    <row r="4432">
      <c r="A4432" s="50"/>
    </row>
    <row r="4433">
      <c r="A4433" s="50"/>
    </row>
    <row r="4434">
      <c r="A4434" s="50"/>
    </row>
    <row r="4435">
      <c r="A4435" s="50"/>
    </row>
    <row r="4436">
      <c r="A4436" s="50"/>
    </row>
    <row r="4437">
      <c r="A4437" s="50"/>
    </row>
    <row r="4438">
      <c r="A4438" s="50"/>
    </row>
    <row r="4439">
      <c r="A4439" s="50"/>
    </row>
    <row r="4440">
      <c r="A4440" s="50"/>
    </row>
    <row r="4441">
      <c r="A4441" s="50"/>
    </row>
    <row r="4442">
      <c r="A4442" s="50"/>
    </row>
    <row r="4443">
      <c r="A4443" s="50"/>
    </row>
    <row r="4444">
      <c r="A4444" s="50"/>
    </row>
    <row r="4445">
      <c r="A4445" s="50"/>
    </row>
    <row r="4446">
      <c r="A4446" s="50"/>
    </row>
    <row r="4447">
      <c r="A4447" s="50"/>
    </row>
    <row r="4448">
      <c r="A4448" s="50"/>
    </row>
    <row r="4449">
      <c r="A4449" s="50"/>
    </row>
    <row r="4450">
      <c r="A4450" s="50"/>
    </row>
    <row r="4451">
      <c r="A4451" s="50"/>
    </row>
    <row r="4452">
      <c r="A4452" s="50"/>
    </row>
    <row r="4453">
      <c r="A4453" s="50"/>
    </row>
    <row r="4454">
      <c r="A4454" s="50"/>
    </row>
    <row r="4455">
      <c r="A4455" s="50"/>
    </row>
    <row r="4456">
      <c r="A4456" s="50"/>
    </row>
    <row r="4457">
      <c r="A4457" s="50"/>
    </row>
    <row r="4458">
      <c r="A4458" s="50"/>
    </row>
    <row r="4459">
      <c r="A4459" s="50"/>
    </row>
    <row r="4460">
      <c r="A4460" s="50"/>
    </row>
    <row r="4461">
      <c r="A4461" s="50"/>
    </row>
    <row r="4462">
      <c r="A4462" s="50"/>
    </row>
    <row r="4463">
      <c r="A4463" s="50"/>
    </row>
    <row r="4464">
      <c r="A4464" s="50"/>
    </row>
    <row r="4465">
      <c r="A4465" s="50"/>
    </row>
    <row r="4466">
      <c r="A4466" s="50"/>
    </row>
    <row r="4467">
      <c r="A4467" s="50"/>
    </row>
    <row r="4468">
      <c r="A4468" s="50"/>
    </row>
    <row r="4469">
      <c r="A4469" s="50"/>
    </row>
    <row r="4470">
      <c r="A4470" s="50"/>
    </row>
    <row r="4471">
      <c r="A4471" s="50"/>
    </row>
    <row r="4472">
      <c r="A4472" s="50"/>
    </row>
    <row r="4473">
      <c r="A4473" s="50"/>
    </row>
    <row r="4474">
      <c r="A4474" s="50"/>
    </row>
    <row r="4475">
      <c r="A4475" s="50"/>
    </row>
    <row r="4476">
      <c r="A4476" s="50"/>
    </row>
    <row r="4477">
      <c r="A4477" s="50"/>
    </row>
    <row r="4478">
      <c r="A4478" s="50"/>
    </row>
    <row r="4479">
      <c r="A4479" s="50"/>
    </row>
    <row r="4480">
      <c r="A4480" s="50"/>
    </row>
    <row r="4481">
      <c r="A4481" s="50"/>
    </row>
    <row r="4482">
      <c r="A4482" s="50"/>
    </row>
    <row r="4483">
      <c r="A4483" s="50"/>
    </row>
    <row r="4484">
      <c r="A4484" s="50"/>
    </row>
    <row r="4485">
      <c r="A4485" s="50"/>
    </row>
    <row r="4486">
      <c r="A4486" s="50"/>
    </row>
    <row r="4487">
      <c r="A4487" s="50"/>
    </row>
    <row r="4488">
      <c r="A4488" s="50"/>
    </row>
    <row r="4489">
      <c r="A4489" s="50"/>
    </row>
    <row r="4490">
      <c r="A4490" s="50"/>
    </row>
    <row r="4491">
      <c r="A4491" s="50"/>
    </row>
    <row r="4492">
      <c r="A4492" s="50"/>
    </row>
    <row r="4493">
      <c r="A4493" s="50"/>
    </row>
    <row r="4494">
      <c r="A4494" s="50"/>
    </row>
    <row r="4495">
      <c r="A4495" s="50"/>
    </row>
    <row r="4496">
      <c r="A4496" s="50"/>
    </row>
    <row r="4497">
      <c r="A4497" s="50"/>
    </row>
    <row r="4498">
      <c r="A4498" s="50"/>
    </row>
    <row r="4499">
      <c r="A4499" s="50"/>
    </row>
    <row r="4500">
      <c r="A4500" s="50"/>
    </row>
    <row r="4501">
      <c r="A4501" s="50"/>
    </row>
    <row r="4502">
      <c r="A4502" s="50"/>
    </row>
    <row r="4503">
      <c r="A4503" s="50"/>
    </row>
    <row r="4504">
      <c r="A4504" s="50"/>
    </row>
    <row r="4505">
      <c r="A4505" s="50"/>
    </row>
    <row r="4506">
      <c r="A4506" s="50"/>
    </row>
    <row r="4507">
      <c r="A4507" s="50"/>
    </row>
    <row r="4508">
      <c r="A4508" s="50"/>
    </row>
    <row r="4509">
      <c r="A4509" s="50"/>
    </row>
    <row r="4510">
      <c r="A4510" s="50"/>
    </row>
    <row r="4511">
      <c r="A4511" s="50"/>
    </row>
    <row r="4512">
      <c r="A4512" s="50"/>
    </row>
    <row r="4513">
      <c r="A4513" s="50"/>
    </row>
    <row r="4514">
      <c r="A4514" s="50"/>
    </row>
    <row r="4515">
      <c r="A4515" s="50"/>
    </row>
    <row r="4516">
      <c r="A4516" s="50"/>
    </row>
    <row r="4517">
      <c r="A4517" s="50"/>
    </row>
    <row r="4518">
      <c r="A4518" s="50"/>
    </row>
    <row r="4519">
      <c r="A4519" s="50"/>
    </row>
    <row r="4520">
      <c r="A4520" s="50"/>
    </row>
    <row r="4521">
      <c r="A4521" s="50"/>
    </row>
    <row r="4522">
      <c r="A4522" s="50"/>
    </row>
    <row r="4523">
      <c r="A4523" s="50"/>
    </row>
    <row r="4524">
      <c r="A4524" s="50"/>
    </row>
    <row r="4525">
      <c r="A4525" s="50"/>
    </row>
    <row r="4526">
      <c r="A4526" s="50"/>
    </row>
    <row r="4527">
      <c r="A4527" s="50"/>
    </row>
    <row r="4528">
      <c r="A4528" s="50"/>
    </row>
    <row r="4529">
      <c r="A4529" s="50"/>
    </row>
    <row r="4530">
      <c r="A4530" s="50"/>
    </row>
    <row r="4531">
      <c r="A4531" s="50"/>
    </row>
    <row r="4532">
      <c r="A4532" s="50"/>
    </row>
    <row r="4533">
      <c r="A4533" s="50"/>
    </row>
    <row r="4534">
      <c r="A4534" s="50"/>
    </row>
    <row r="4535">
      <c r="A4535" s="50"/>
    </row>
    <row r="4536">
      <c r="A4536" s="50"/>
    </row>
    <row r="4537">
      <c r="A4537" s="50"/>
    </row>
    <row r="4538">
      <c r="A4538" s="50"/>
    </row>
    <row r="4539">
      <c r="A4539" s="50"/>
    </row>
    <row r="4540">
      <c r="A4540" s="50"/>
    </row>
    <row r="4541">
      <c r="A4541" s="50"/>
    </row>
    <row r="4542">
      <c r="A4542" s="50"/>
    </row>
    <row r="4543">
      <c r="A4543" s="50"/>
    </row>
    <row r="4544">
      <c r="A4544" s="50"/>
    </row>
    <row r="4545">
      <c r="A4545" s="50"/>
    </row>
    <row r="4546">
      <c r="A4546" s="50"/>
    </row>
    <row r="4547">
      <c r="A4547" s="50"/>
    </row>
    <row r="4548">
      <c r="A4548" s="50"/>
    </row>
    <row r="4549">
      <c r="A4549" s="50"/>
    </row>
    <row r="4550">
      <c r="A4550" s="50"/>
    </row>
    <row r="4551">
      <c r="A4551" s="50"/>
    </row>
    <row r="4552">
      <c r="A4552" s="50"/>
    </row>
    <row r="4553">
      <c r="A4553" s="50"/>
    </row>
    <row r="4554">
      <c r="A4554" s="50"/>
    </row>
    <row r="4555">
      <c r="A4555" s="50"/>
    </row>
    <row r="4556">
      <c r="A4556" s="50"/>
    </row>
    <row r="4557">
      <c r="A4557" s="50"/>
    </row>
    <row r="4558">
      <c r="A4558" s="50"/>
    </row>
    <row r="4559">
      <c r="A4559" s="50"/>
    </row>
    <row r="4560">
      <c r="A4560" s="50"/>
    </row>
    <row r="4561">
      <c r="A4561" s="50"/>
    </row>
    <row r="4562">
      <c r="A4562" s="50"/>
    </row>
    <row r="4563">
      <c r="A4563" s="50"/>
    </row>
    <row r="4564">
      <c r="A4564" s="50"/>
    </row>
    <row r="4565">
      <c r="A4565" s="50"/>
    </row>
    <row r="4566">
      <c r="A4566" s="50"/>
    </row>
    <row r="4567">
      <c r="A4567" s="50"/>
    </row>
    <row r="4568">
      <c r="A4568" s="50"/>
    </row>
    <row r="4569">
      <c r="A4569" s="50"/>
    </row>
    <row r="4570">
      <c r="A4570" s="50"/>
    </row>
    <row r="4571">
      <c r="A4571" s="50"/>
    </row>
    <row r="4572">
      <c r="A4572" s="50"/>
    </row>
    <row r="4573">
      <c r="A4573" s="50"/>
    </row>
    <row r="4574">
      <c r="A4574" s="50"/>
    </row>
    <row r="4575">
      <c r="A4575" s="50"/>
    </row>
    <row r="4576">
      <c r="A4576" s="50"/>
    </row>
    <row r="4577">
      <c r="A4577" s="50"/>
    </row>
    <row r="4578">
      <c r="A4578" s="50"/>
    </row>
    <row r="4579">
      <c r="A4579" s="50"/>
    </row>
    <row r="4580">
      <c r="A4580" s="50"/>
    </row>
    <row r="4581">
      <c r="A4581" s="50"/>
    </row>
    <row r="4582">
      <c r="A4582" s="50"/>
    </row>
    <row r="4583">
      <c r="A4583" s="50"/>
    </row>
    <row r="4584">
      <c r="A4584" s="50"/>
    </row>
    <row r="4585">
      <c r="A4585" s="50"/>
    </row>
    <row r="4586">
      <c r="A4586" s="50"/>
    </row>
    <row r="4587">
      <c r="A4587" s="50"/>
    </row>
    <row r="4588">
      <c r="A4588" s="50"/>
    </row>
    <row r="4589">
      <c r="A4589" s="50"/>
    </row>
    <row r="4590">
      <c r="A4590" s="50"/>
    </row>
    <row r="4591">
      <c r="A4591" s="50"/>
    </row>
    <row r="4592">
      <c r="A4592" s="50"/>
    </row>
    <row r="4593">
      <c r="A4593" s="50"/>
    </row>
    <row r="4594">
      <c r="A4594" s="50"/>
    </row>
    <row r="4595">
      <c r="A4595" s="50"/>
    </row>
    <row r="4596">
      <c r="A4596" s="50"/>
    </row>
    <row r="4597">
      <c r="A4597" s="50"/>
    </row>
    <row r="4598">
      <c r="A4598" s="50"/>
    </row>
    <row r="4599">
      <c r="A4599" s="50"/>
    </row>
    <row r="4600">
      <c r="A4600" s="50"/>
    </row>
    <row r="4601">
      <c r="A4601" s="50"/>
    </row>
    <row r="4602">
      <c r="A4602" s="50"/>
    </row>
    <row r="4603">
      <c r="A4603" s="50"/>
    </row>
    <row r="4604">
      <c r="A4604" s="50"/>
    </row>
    <row r="4605">
      <c r="A4605" s="50"/>
    </row>
    <row r="4606">
      <c r="A4606" s="50"/>
    </row>
    <row r="4607">
      <c r="A4607" s="50"/>
    </row>
    <row r="4608">
      <c r="A4608" s="50"/>
    </row>
    <row r="4609">
      <c r="A4609" s="50"/>
    </row>
    <row r="4610">
      <c r="A4610" s="50"/>
    </row>
    <row r="4611">
      <c r="A4611" s="50"/>
    </row>
    <row r="4612">
      <c r="A4612" s="50"/>
    </row>
    <row r="4613">
      <c r="A4613" s="50"/>
    </row>
    <row r="4614">
      <c r="A4614" s="50"/>
    </row>
    <row r="4615">
      <c r="A4615" s="50"/>
    </row>
    <row r="4616">
      <c r="A4616" s="50"/>
    </row>
    <row r="4617">
      <c r="A4617" s="50"/>
    </row>
    <row r="4618">
      <c r="A4618" s="50"/>
    </row>
    <row r="4619">
      <c r="A4619" s="50"/>
    </row>
    <row r="4620">
      <c r="A4620" s="50"/>
    </row>
    <row r="4621">
      <c r="A4621" s="50"/>
    </row>
    <row r="4622">
      <c r="A4622" s="50"/>
    </row>
    <row r="4623">
      <c r="A4623" s="50"/>
    </row>
    <row r="4624">
      <c r="A4624" s="50"/>
    </row>
    <row r="4625">
      <c r="A4625" s="50"/>
    </row>
    <row r="4626">
      <c r="A4626" s="50"/>
    </row>
    <row r="4627">
      <c r="A4627" s="50"/>
    </row>
    <row r="4628">
      <c r="A4628" s="50"/>
    </row>
    <row r="4629">
      <c r="A4629" s="50"/>
    </row>
    <row r="4630">
      <c r="A4630" s="50"/>
    </row>
    <row r="4631">
      <c r="A4631" s="50"/>
    </row>
    <row r="4632">
      <c r="A4632" s="50"/>
    </row>
    <row r="4633">
      <c r="A4633" s="50"/>
    </row>
    <row r="4634">
      <c r="A4634" s="50"/>
    </row>
    <row r="4635">
      <c r="A4635" s="50"/>
    </row>
    <row r="4636">
      <c r="A4636" s="50"/>
    </row>
    <row r="4637">
      <c r="A4637" s="50"/>
    </row>
    <row r="4638">
      <c r="A4638" s="50"/>
    </row>
    <row r="4639">
      <c r="A4639" s="50"/>
    </row>
    <row r="4640">
      <c r="A4640" s="50"/>
    </row>
    <row r="4641">
      <c r="A4641" s="50"/>
    </row>
    <row r="4642">
      <c r="A4642" s="50"/>
    </row>
    <row r="4643">
      <c r="A4643" s="50"/>
    </row>
    <row r="4644">
      <c r="A4644" s="50"/>
    </row>
    <row r="4645">
      <c r="A4645" s="50"/>
    </row>
    <row r="4646">
      <c r="A4646" s="50"/>
    </row>
    <row r="4647">
      <c r="A4647" s="50"/>
    </row>
    <row r="4648">
      <c r="A4648" s="50"/>
    </row>
    <row r="4649">
      <c r="A4649" s="50"/>
    </row>
    <row r="4650">
      <c r="A4650" s="50"/>
    </row>
    <row r="4651">
      <c r="A4651" s="50"/>
    </row>
    <row r="4652">
      <c r="A4652" s="50"/>
    </row>
    <row r="4653">
      <c r="A4653" s="50"/>
    </row>
    <row r="4654">
      <c r="A4654" s="50"/>
    </row>
    <row r="4655">
      <c r="A4655" s="50"/>
    </row>
    <row r="4656">
      <c r="A4656" s="50"/>
    </row>
    <row r="4657">
      <c r="A4657" s="50"/>
    </row>
    <row r="4658">
      <c r="A4658" s="50"/>
    </row>
    <row r="4659">
      <c r="A4659" s="50"/>
    </row>
    <row r="4660">
      <c r="A4660" s="50"/>
    </row>
    <row r="4661">
      <c r="A4661" s="50"/>
    </row>
    <row r="4662">
      <c r="A4662" s="50"/>
    </row>
    <row r="4663">
      <c r="A4663" s="50"/>
    </row>
    <row r="4664">
      <c r="A4664" s="50"/>
    </row>
    <row r="4665">
      <c r="A4665" s="50"/>
    </row>
    <row r="4666">
      <c r="A4666" s="50"/>
    </row>
    <row r="4667">
      <c r="A4667" s="50"/>
    </row>
    <row r="4668">
      <c r="A4668" s="50"/>
    </row>
    <row r="4669">
      <c r="A4669" s="50"/>
    </row>
    <row r="4670">
      <c r="A4670" s="50"/>
    </row>
    <row r="4671">
      <c r="A4671" s="50"/>
    </row>
    <row r="4672">
      <c r="A4672" s="50"/>
    </row>
    <row r="4673">
      <c r="A4673" s="50"/>
    </row>
    <row r="4674">
      <c r="A4674" s="50"/>
    </row>
    <row r="4675">
      <c r="A4675" s="50"/>
    </row>
    <row r="4676">
      <c r="A4676" s="50"/>
    </row>
    <row r="4677">
      <c r="A4677" s="50"/>
    </row>
    <row r="4678">
      <c r="A4678" s="50"/>
    </row>
    <row r="4679">
      <c r="A4679" s="50"/>
    </row>
    <row r="4680">
      <c r="A4680" s="50"/>
    </row>
    <row r="4681">
      <c r="A4681" s="50"/>
    </row>
    <row r="4682">
      <c r="A4682" s="50"/>
    </row>
    <row r="4683">
      <c r="A4683" s="50"/>
    </row>
    <row r="4684">
      <c r="A4684" s="50"/>
    </row>
    <row r="4685">
      <c r="A4685" s="50"/>
    </row>
    <row r="4686">
      <c r="A4686" s="50"/>
    </row>
    <row r="4687">
      <c r="A4687" s="50"/>
    </row>
    <row r="4688">
      <c r="A4688" s="50"/>
    </row>
    <row r="4689">
      <c r="A4689" s="50"/>
    </row>
    <row r="4690">
      <c r="A4690" s="50"/>
    </row>
    <row r="4691">
      <c r="A4691" s="50"/>
    </row>
    <row r="4692">
      <c r="A4692" s="50"/>
    </row>
    <row r="4693">
      <c r="A4693" s="50"/>
    </row>
    <row r="4694">
      <c r="A4694" s="50"/>
    </row>
    <row r="4695">
      <c r="A4695" s="50"/>
    </row>
    <row r="4696">
      <c r="A4696" s="50"/>
    </row>
    <row r="4697">
      <c r="A4697" s="50"/>
    </row>
    <row r="4698">
      <c r="A4698" s="50"/>
    </row>
    <row r="4699">
      <c r="A4699" s="50"/>
    </row>
    <row r="4700">
      <c r="A4700" s="50"/>
    </row>
    <row r="4701">
      <c r="A4701" s="50"/>
    </row>
    <row r="4702">
      <c r="A4702" s="50"/>
    </row>
    <row r="4703">
      <c r="A4703" s="50"/>
    </row>
    <row r="4704">
      <c r="A4704" s="50"/>
    </row>
    <row r="4705">
      <c r="A4705" s="50"/>
    </row>
    <row r="4706">
      <c r="A4706" s="50"/>
    </row>
    <row r="4707">
      <c r="A4707" s="50"/>
    </row>
    <row r="4708">
      <c r="A4708" s="50"/>
    </row>
    <row r="4709">
      <c r="A4709" s="50"/>
    </row>
    <row r="4710">
      <c r="A4710" s="50"/>
    </row>
    <row r="4711">
      <c r="A4711" s="50"/>
    </row>
    <row r="4712">
      <c r="A4712" s="50"/>
    </row>
    <row r="4713">
      <c r="A4713" s="50"/>
    </row>
    <row r="4714">
      <c r="A4714" s="50"/>
    </row>
    <row r="4715">
      <c r="A4715" s="50"/>
    </row>
    <row r="4716">
      <c r="A4716" s="50"/>
    </row>
    <row r="4717">
      <c r="A4717" s="50"/>
    </row>
    <row r="4718">
      <c r="A4718" s="50"/>
    </row>
    <row r="4719">
      <c r="A4719" s="50"/>
    </row>
    <row r="4720">
      <c r="A4720" s="50"/>
    </row>
    <row r="4721">
      <c r="A4721" s="50"/>
    </row>
    <row r="4722">
      <c r="A4722" s="50"/>
    </row>
    <row r="4723">
      <c r="A4723" s="50"/>
    </row>
    <row r="4724">
      <c r="A4724" s="50"/>
    </row>
    <row r="4725">
      <c r="A4725" s="50"/>
    </row>
    <row r="4726">
      <c r="A4726" s="50"/>
    </row>
    <row r="4727">
      <c r="A4727" s="50"/>
    </row>
    <row r="4728">
      <c r="A4728" s="50"/>
    </row>
    <row r="4729">
      <c r="A4729" s="50"/>
    </row>
    <row r="4730">
      <c r="A4730" s="50"/>
    </row>
    <row r="4731">
      <c r="A4731" s="50"/>
    </row>
    <row r="4732">
      <c r="A4732" s="50"/>
    </row>
    <row r="4733">
      <c r="A4733" s="50"/>
    </row>
    <row r="4734">
      <c r="A4734" s="50"/>
    </row>
    <row r="4735">
      <c r="A4735" s="50"/>
    </row>
    <row r="4736">
      <c r="A4736" s="50"/>
    </row>
    <row r="4737">
      <c r="A4737" s="50"/>
    </row>
    <row r="4738">
      <c r="A4738" s="50"/>
    </row>
    <row r="4739">
      <c r="A4739" s="50"/>
    </row>
    <row r="4740">
      <c r="A4740" s="50"/>
    </row>
    <row r="4741">
      <c r="A4741" s="50"/>
    </row>
    <row r="4742">
      <c r="A4742" s="50"/>
    </row>
    <row r="4743">
      <c r="A4743" s="50"/>
    </row>
    <row r="4744">
      <c r="A4744" s="50"/>
    </row>
    <row r="4745">
      <c r="A4745" s="50"/>
    </row>
    <row r="4746">
      <c r="A4746" s="50"/>
    </row>
    <row r="4747">
      <c r="A4747" s="50"/>
    </row>
    <row r="4748">
      <c r="A4748" s="50"/>
    </row>
    <row r="4749">
      <c r="A4749" s="50"/>
    </row>
    <row r="4750">
      <c r="A4750" s="50"/>
    </row>
    <row r="4751">
      <c r="A4751" s="50"/>
    </row>
    <row r="4752">
      <c r="A4752" s="50"/>
    </row>
    <row r="4753">
      <c r="A4753" s="50"/>
    </row>
    <row r="4754">
      <c r="A4754" s="50"/>
    </row>
    <row r="4755">
      <c r="A4755" s="50"/>
    </row>
    <row r="4756">
      <c r="A4756" s="50"/>
    </row>
    <row r="4757">
      <c r="A4757" s="50"/>
    </row>
    <row r="4758">
      <c r="A4758" s="50"/>
    </row>
    <row r="4759">
      <c r="A4759" s="50"/>
    </row>
    <row r="4760">
      <c r="A4760" s="50"/>
    </row>
    <row r="4761">
      <c r="A4761" s="50"/>
    </row>
    <row r="4762">
      <c r="A4762" s="50"/>
    </row>
    <row r="4763">
      <c r="A4763" s="50"/>
    </row>
    <row r="4764">
      <c r="A4764" s="50"/>
    </row>
    <row r="4765">
      <c r="A4765" s="50"/>
    </row>
    <row r="4766">
      <c r="A4766" s="50"/>
    </row>
    <row r="4767">
      <c r="A4767" s="50"/>
    </row>
    <row r="4768">
      <c r="A4768" s="50"/>
    </row>
    <row r="4769">
      <c r="A4769" s="50"/>
    </row>
    <row r="4770">
      <c r="A4770" s="50"/>
    </row>
    <row r="4771">
      <c r="A4771" s="50"/>
    </row>
    <row r="4772">
      <c r="A4772" s="50"/>
    </row>
    <row r="4773">
      <c r="A4773" s="50"/>
    </row>
    <row r="4774">
      <c r="A4774" s="50"/>
    </row>
    <row r="4775">
      <c r="A4775" s="50"/>
    </row>
    <row r="4776">
      <c r="A4776" s="50"/>
    </row>
    <row r="4777">
      <c r="A4777" s="50"/>
    </row>
    <row r="4778">
      <c r="A4778" s="50"/>
    </row>
    <row r="4779">
      <c r="A4779" s="50"/>
    </row>
    <row r="4780">
      <c r="A4780" s="50"/>
    </row>
    <row r="4781">
      <c r="A4781" s="50"/>
    </row>
    <row r="4782">
      <c r="A4782" s="50"/>
    </row>
    <row r="4783">
      <c r="A4783" s="50"/>
    </row>
    <row r="4784">
      <c r="A4784" s="50"/>
    </row>
    <row r="4785">
      <c r="A4785" s="50"/>
    </row>
    <row r="4786">
      <c r="A4786" s="50"/>
    </row>
    <row r="4787">
      <c r="A4787" s="50"/>
    </row>
    <row r="4788">
      <c r="A4788" s="50"/>
    </row>
    <row r="4789">
      <c r="A4789" s="50"/>
    </row>
    <row r="4790">
      <c r="A4790" s="50"/>
    </row>
    <row r="4791">
      <c r="A4791" s="50"/>
    </row>
    <row r="4792">
      <c r="A4792" s="50"/>
    </row>
    <row r="4793">
      <c r="A4793" s="50"/>
    </row>
    <row r="4794">
      <c r="A4794" s="50"/>
    </row>
    <row r="4795">
      <c r="A4795" s="50"/>
    </row>
    <row r="4796">
      <c r="A4796" s="50"/>
    </row>
    <row r="4797">
      <c r="A4797" s="50"/>
    </row>
    <row r="4798">
      <c r="A4798" s="50"/>
    </row>
    <row r="4799">
      <c r="A4799" s="50"/>
    </row>
    <row r="4800">
      <c r="A4800" s="50"/>
    </row>
    <row r="4801">
      <c r="A4801" s="50"/>
    </row>
    <row r="4802">
      <c r="A4802" s="50"/>
    </row>
    <row r="4803">
      <c r="A4803" s="50"/>
    </row>
    <row r="4804">
      <c r="A4804" s="50"/>
    </row>
    <row r="4805">
      <c r="A4805" s="50"/>
    </row>
    <row r="4806">
      <c r="A4806" s="50"/>
    </row>
    <row r="4807">
      <c r="A4807" s="50"/>
    </row>
    <row r="4808">
      <c r="A4808" s="50"/>
    </row>
    <row r="4809">
      <c r="A4809" s="50"/>
    </row>
    <row r="4810">
      <c r="A4810" s="50"/>
    </row>
    <row r="4811">
      <c r="A4811" s="50"/>
    </row>
    <row r="4812">
      <c r="A4812" s="50"/>
    </row>
    <row r="4813">
      <c r="A4813" s="50"/>
    </row>
    <row r="4814">
      <c r="A4814" s="50"/>
    </row>
    <row r="4815">
      <c r="A4815" s="50"/>
    </row>
    <row r="4816">
      <c r="A4816" s="50"/>
    </row>
    <row r="4817">
      <c r="A4817" s="50"/>
    </row>
    <row r="4818">
      <c r="A4818" s="50"/>
    </row>
    <row r="4819">
      <c r="A4819" s="50"/>
    </row>
    <row r="4820">
      <c r="A4820" s="50"/>
    </row>
    <row r="4821">
      <c r="A4821" s="50"/>
    </row>
    <row r="4822">
      <c r="A4822" s="50"/>
    </row>
    <row r="4823">
      <c r="A4823" s="50"/>
    </row>
    <row r="4824">
      <c r="A4824" s="50"/>
    </row>
    <row r="4825">
      <c r="A4825" s="50"/>
    </row>
    <row r="4826">
      <c r="A4826" s="50"/>
    </row>
    <row r="4827">
      <c r="A4827" s="50"/>
    </row>
    <row r="4828">
      <c r="A4828" s="50"/>
    </row>
    <row r="4829">
      <c r="A4829" s="50"/>
    </row>
    <row r="4830">
      <c r="A4830" s="50"/>
    </row>
    <row r="4831">
      <c r="A4831" s="50"/>
    </row>
    <row r="4832">
      <c r="A4832" s="50"/>
    </row>
    <row r="4833">
      <c r="A4833" s="50"/>
    </row>
    <row r="4834">
      <c r="A4834" s="50"/>
    </row>
    <row r="4835">
      <c r="A4835" s="50"/>
    </row>
    <row r="4836">
      <c r="A4836" s="50"/>
    </row>
    <row r="4837">
      <c r="A4837" s="50"/>
    </row>
    <row r="4838">
      <c r="A4838" s="50"/>
    </row>
    <row r="4839">
      <c r="A4839" s="50"/>
    </row>
    <row r="4840">
      <c r="A4840" s="50"/>
    </row>
    <row r="4841">
      <c r="A4841" s="50"/>
    </row>
    <row r="4842">
      <c r="A4842" s="50"/>
    </row>
    <row r="4843">
      <c r="A4843" s="50"/>
    </row>
    <row r="4844">
      <c r="A4844" s="50"/>
    </row>
    <row r="4845">
      <c r="A4845" s="50"/>
    </row>
    <row r="4846">
      <c r="A4846" s="50"/>
    </row>
    <row r="4847">
      <c r="A4847" s="50"/>
    </row>
    <row r="4848">
      <c r="A4848" s="50"/>
    </row>
    <row r="4849">
      <c r="A4849" s="50"/>
    </row>
    <row r="4850">
      <c r="A4850" s="50"/>
    </row>
    <row r="4851">
      <c r="A4851" s="50"/>
    </row>
    <row r="4852">
      <c r="A4852" s="50"/>
    </row>
    <row r="4853">
      <c r="A4853" s="50"/>
    </row>
    <row r="4854">
      <c r="A4854" s="50"/>
    </row>
    <row r="4855">
      <c r="A4855" s="50"/>
    </row>
    <row r="4856">
      <c r="A4856" s="50"/>
    </row>
    <row r="4857">
      <c r="A4857" s="50"/>
    </row>
    <row r="4858">
      <c r="A4858" s="50"/>
    </row>
    <row r="4859">
      <c r="A4859" s="50"/>
    </row>
    <row r="4860">
      <c r="A4860" s="50"/>
    </row>
    <row r="4861">
      <c r="A4861" s="50"/>
    </row>
    <row r="4862">
      <c r="A4862" s="50"/>
    </row>
    <row r="4863">
      <c r="A4863" s="50"/>
    </row>
    <row r="4864">
      <c r="A4864" s="50"/>
    </row>
    <row r="4865">
      <c r="A4865" s="50"/>
    </row>
    <row r="4866">
      <c r="A4866" s="50"/>
    </row>
    <row r="4867">
      <c r="A4867" s="50"/>
    </row>
    <row r="4868">
      <c r="A4868" s="50"/>
    </row>
    <row r="4869">
      <c r="A4869" s="50"/>
    </row>
    <row r="4870">
      <c r="A4870" s="50"/>
    </row>
    <row r="4871">
      <c r="A4871" s="50"/>
    </row>
    <row r="4872">
      <c r="A4872" s="50"/>
    </row>
    <row r="4873">
      <c r="A4873" s="50"/>
    </row>
    <row r="4874">
      <c r="A4874" s="50"/>
    </row>
    <row r="4875">
      <c r="A4875" s="50"/>
    </row>
    <row r="4876">
      <c r="A4876" s="50"/>
    </row>
    <row r="4877">
      <c r="A4877" s="50"/>
    </row>
    <row r="4878">
      <c r="A4878" s="50"/>
    </row>
    <row r="4879">
      <c r="A4879" s="50"/>
    </row>
    <row r="4880">
      <c r="A4880" s="50"/>
    </row>
    <row r="4881">
      <c r="A4881" s="50"/>
    </row>
    <row r="4882">
      <c r="A4882" s="50"/>
    </row>
    <row r="4883">
      <c r="A4883" s="50"/>
    </row>
    <row r="4884">
      <c r="A4884" s="50"/>
    </row>
    <row r="4885">
      <c r="A4885" s="50"/>
    </row>
    <row r="4886">
      <c r="A4886" s="50"/>
    </row>
    <row r="4887">
      <c r="A4887" s="50"/>
    </row>
    <row r="4888">
      <c r="A4888" s="50"/>
    </row>
    <row r="4889">
      <c r="A4889" s="50"/>
    </row>
    <row r="4890">
      <c r="A4890" s="50"/>
    </row>
    <row r="4891">
      <c r="A4891" s="50"/>
    </row>
    <row r="4892">
      <c r="A4892" s="50"/>
    </row>
    <row r="4893">
      <c r="A4893" s="50"/>
    </row>
    <row r="4894">
      <c r="A4894" s="50"/>
    </row>
    <row r="4895">
      <c r="A4895" s="50"/>
    </row>
    <row r="4896">
      <c r="A4896" s="50"/>
    </row>
    <row r="4897">
      <c r="A4897" s="50"/>
    </row>
    <row r="4898">
      <c r="A4898" s="50"/>
    </row>
    <row r="4899">
      <c r="A4899" s="50"/>
    </row>
    <row r="4900">
      <c r="A4900" s="50"/>
    </row>
    <row r="4901">
      <c r="A4901" s="50"/>
    </row>
    <row r="4902">
      <c r="A4902" s="50"/>
    </row>
    <row r="4903">
      <c r="A4903" s="50"/>
    </row>
    <row r="4904">
      <c r="A4904" s="50"/>
    </row>
    <row r="4905">
      <c r="A4905" s="50"/>
    </row>
    <row r="4906">
      <c r="A4906" s="50"/>
    </row>
    <row r="4907">
      <c r="A4907" s="50"/>
    </row>
    <row r="4908">
      <c r="A4908" s="50"/>
    </row>
    <row r="4909">
      <c r="A4909" s="50"/>
    </row>
    <row r="4910">
      <c r="A4910" s="50"/>
    </row>
    <row r="4911">
      <c r="A4911" s="50"/>
    </row>
    <row r="4912">
      <c r="A4912" s="50"/>
    </row>
    <row r="4913">
      <c r="A4913" s="50"/>
    </row>
    <row r="4914">
      <c r="A4914" s="50"/>
    </row>
    <row r="4915">
      <c r="A4915" s="50"/>
    </row>
    <row r="4916">
      <c r="A4916" s="50"/>
    </row>
    <row r="4917">
      <c r="A4917" s="50"/>
    </row>
    <row r="4918">
      <c r="A4918" s="50"/>
    </row>
    <row r="4919">
      <c r="A4919" s="50"/>
    </row>
    <row r="4920">
      <c r="A4920" s="50"/>
    </row>
    <row r="4921">
      <c r="A4921" s="50"/>
    </row>
    <row r="4922">
      <c r="A4922" s="50"/>
    </row>
    <row r="4923">
      <c r="A4923" s="50"/>
    </row>
    <row r="4924">
      <c r="A4924" s="50"/>
    </row>
    <row r="4925">
      <c r="A4925" s="50"/>
    </row>
    <row r="4926">
      <c r="A4926" s="50"/>
    </row>
    <row r="4927">
      <c r="A4927" s="50"/>
    </row>
    <row r="4928">
      <c r="A4928" s="50"/>
    </row>
    <row r="4929">
      <c r="A4929" s="50"/>
    </row>
    <row r="4930">
      <c r="A4930" s="50"/>
    </row>
    <row r="4931">
      <c r="A4931" s="50"/>
    </row>
    <row r="4932">
      <c r="A4932" s="50"/>
    </row>
    <row r="4933">
      <c r="A4933" s="50"/>
    </row>
    <row r="4934">
      <c r="A4934" s="50"/>
    </row>
    <row r="4935">
      <c r="A4935" s="50"/>
    </row>
    <row r="4936">
      <c r="A4936" s="50"/>
    </row>
    <row r="4937">
      <c r="A4937" s="50"/>
    </row>
    <row r="4938">
      <c r="A4938" s="50"/>
    </row>
    <row r="4939">
      <c r="A4939" s="50"/>
    </row>
    <row r="4940">
      <c r="A4940" s="50"/>
    </row>
    <row r="4941">
      <c r="A4941" s="50"/>
    </row>
    <row r="4942">
      <c r="A4942" s="50"/>
    </row>
    <row r="4943">
      <c r="A4943" s="50"/>
    </row>
    <row r="4944">
      <c r="A4944" s="50"/>
    </row>
    <row r="4945">
      <c r="A4945" s="50"/>
    </row>
    <row r="4946">
      <c r="A4946" s="50"/>
    </row>
    <row r="4947">
      <c r="A4947" s="50"/>
    </row>
    <row r="4948">
      <c r="A4948" s="50"/>
    </row>
    <row r="4949">
      <c r="A4949" s="50"/>
    </row>
    <row r="4950">
      <c r="A4950" s="50"/>
    </row>
    <row r="4951">
      <c r="A4951" s="50"/>
    </row>
    <row r="4952">
      <c r="A4952" s="50"/>
    </row>
    <row r="4953">
      <c r="A4953" s="50"/>
    </row>
    <row r="4954">
      <c r="A4954" s="50"/>
    </row>
    <row r="4955">
      <c r="A4955" s="50"/>
    </row>
    <row r="4956">
      <c r="A4956" s="50"/>
    </row>
    <row r="4957">
      <c r="A4957" s="50"/>
    </row>
    <row r="4958">
      <c r="A4958" s="50"/>
    </row>
    <row r="4959">
      <c r="A4959" s="50"/>
    </row>
    <row r="4960">
      <c r="A4960" s="50"/>
    </row>
    <row r="4961">
      <c r="A4961" s="50"/>
    </row>
    <row r="4962">
      <c r="A4962" s="50"/>
    </row>
    <row r="4963">
      <c r="A4963" s="50"/>
    </row>
    <row r="4964">
      <c r="A4964" s="50"/>
    </row>
    <row r="4965">
      <c r="A4965" s="50"/>
    </row>
    <row r="4966">
      <c r="A4966" s="50"/>
    </row>
    <row r="4967">
      <c r="A4967" s="50"/>
    </row>
    <row r="4968">
      <c r="A4968" s="50"/>
    </row>
    <row r="4969">
      <c r="A4969" s="50"/>
    </row>
    <row r="4970">
      <c r="A4970" s="50"/>
    </row>
    <row r="4971">
      <c r="A4971" s="50"/>
    </row>
    <row r="4972">
      <c r="A4972" s="50"/>
    </row>
    <row r="4973">
      <c r="A4973" s="50"/>
    </row>
    <row r="4974">
      <c r="A4974" s="50"/>
    </row>
    <row r="4975">
      <c r="A4975" s="50"/>
    </row>
    <row r="4976">
      <c r="A4976" s="50"/>
    </row>
    <row r="4977">
      <c r="A4977" s="50"/>
    </row>
    <row r="4978">
      <c r="A4978" s="50"/>
    </row>
    <row r="4979">
      <c r="A4979" s="50"/>
    </row>
    <row r="4980">
      <c r="A4980" s="50"/>
    </row>
    <row r="4981">
      <c r="A4981" s="50"/>
    </row>
    <row r="4982">
      <c r="A4982" s="50"/>
    </row>
    <row r="4983">
      <c r="A4983" s="50"/>
    </row>
    <row r="4984">
      <c r="A4984" s="50"/>
    </row>
    <row r="4985">
      <c r="A4985" s="50"/>
    </row>
    <row r="4986">
      <c r="A4986" s="50"/>
    </row>
    <row r="4987">
      <c r="A4987" s="50"/>
    </row>
    <row r="4988">
      <c r="A4988" s="50"/>
    </row>
    <row r="4989">
      <c r="A4989" s="50"/>
    </row>
    <row r="4990">
      <c r="A4990" s="50"/>
    </row>
    <row r="4991">
      <c r="A4991" s="50"/>
    </row>
    <row r="4992">
      <c r="A4992" s="50"/>
    </row>
    <row r="4993">
      <c r="A4993" s="50"/>
    </row>
    <row r="4994">
      <c r="A4994" s="50"/>
    </row>
    <row r="4995">
      <c r="A4995" s="50"/>
    </row>
    <row r="4996">
      <c r="A4996" s="50"/>
    </row>
    <row r="4997">
      <c r="A4997" s="50"/>
    </row>
    <row r="4998">
      <c r="A4998" s="50"/>
    </row>
    <row r="4999">
      <c r="A4999" s="50"/>
    </row>
    <row r="5000">
      <c r="A5000" s="50"/>
    </row>
  </sheetData>
  <autoFilter ref="A1:I861" xr:uid="{00000000-0001-0000-0B00-000000000000}"/>
  <phoneticPr fontId="4" type="noConversion"/>
  <dataValidations count="4">
    <dataValidation type="list" sqref="G2:G861" xr:uid="{00000000-0002-0000-0B00-000001000000}">
      <formula1>"Yes,No"</formula1>
    </dataValidation>
    <dataValidation type="list" allowBlank="1" showInputMessage="1" showErrorMessage="1" promptTitle="Select Category" prompt="Choose a budget category from the list" sqref="D2:D861" xr:uid="{93640F34-E9AC-404B-9F98-03A2E7DB3915}">
      <formula1>CategoryList</formula1>
    </dataValidation>
    <dataValidation type="list" allowBlank="1" showInputMessage="1" showErrorMessage="1" promptTitle="Select Account" prompt="Choose Checking or Savings" sqref="F2:F861" xr:uid="{B23298C6-B99C-4AA9-B1FF-33FC2150A513}">
      <formula1>AccountList</formula1>
    </dataValidation>
    <dataValidation type="list" errorStyle="warning" allowBlank="1" showInputMessage="1" showErrorMessage="1" errorTitle="Invalid Subcategory" error="Please select a subcategory that matches the chosen category, or select a category first." promptTitle="Select Subcategory" prompt="Choose a subcategory based on the selected category" sqref="E2:E861" xr:uid="{F061910E-C561-4FC1-92D9-D1550F8C80E1}">
      <formula1>INDIRECT(SUBSTITUTE(D2," ","_"))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/>
  <sheetViews>
    <sheetView workbookViewId="0">
      <selection sqref="A1:H1"/>
    </sheetView>
  </sheetViews>
  <sheetFormatPr defaultRowHeight="14.4" x14ac:dyDescent="0.3"/>
  <cols>
    <col min="1" max="1" width="20" customWidth="1"/>
    <col min="2" max="4" width="16" customWidth="1"/>
    <col min="5" max="6" width="14" customWidth="1"/>
    <col min="7" max="7" width="15" customWidth="1"/>
    <col min="8" max="8" width="30" customWidth="1"/>
  </cols>
  <sheetData>
    <row r="1" spans="1:8" ht="21" x14ac:dyDescent="0.4">
      <c r="A1" t="s" s="63">
        <v>324</v>
      </c>
      <c r="B1" s="63"/>
      <c r="C1" s="63"/>
      <c r="D1" s="63"/>
      <c r="E1" s="63"/>
      <c r="F1" s="63"/>
      <c r="G1" s="63"/>
      <c r="H1" s="63"/>
    </row>
    <row r="3" spans="1:8" x14ac:dyDescent="0.3">
      <c r="A3" t="s" s="53">
        <v>82</v>
      </c>
      <c r="B3" t="s" s="53">
        <v>280</v>
      </c>
      <c r="C3" t="s" s="53">
        <v>325</v>
      </c>
      <c r="D3" t="s" s="53">
        <v>282</v>
      </c>
      <c r="E3" t="s" s="53">
        <v>283</v>
      </c>
      <c r="F3" t="s" s="53">
        <v>326</v>
      </c>
      <c r="G3" t="s" s="53">
        <v>91</v>
      </c>
      <c r="H3" t="s" s="53">
        <v>327</v>
      </c>
    </row>
    <row r="4" spans="1:8" x14ac:dyDescent="0.3">
      <c r="A4" t="s">
        <v>92</v>
      </c>
      <c r="B4" s="5">
        <f>SUMIF('Budget Plan'!$A$4:$A$55,A4,'Budget Plan'!$C$4:$C$55)</f>
      </c>
      <c r="C4" s="5">
        <f>SUMIF('Budget Plan'!$A$4:$A$55,A4,'Budget Plan'!$D$4:$D$55)</f>
      </c>
      <c r="D4" s="5">
        <f t="shared" ref="D4:D20" si="0">B4-C4</f>
      </c>
      <c r="E4" s="25">
        <f t="shared" ref="E4:E20" si="1">IF(B4=0,IF(C4=0,0,-1),D4/B4)</f>
      </c>
      <c r="F4" s="25">
        <f t="shared" ref="F4:F12" si="2">IF(SUM($C$4:$C$20)=0,0,C4/SUM($C$4:$C$20))</f>
      </c>
      <c r="G4">
        <f t="shared" ref="G4:G20" si="3">IF(C4=0,"No Activity",IF(D4&lt;0,"Over Budget",IF(C4&gt;B4*0.9,"Watch","On Track")))</f>
      </c>
      <c r="H4">
        <f t="shared" ref="H4:H20" si="4">IF(C4=0,"No bank expenses imported",IF(D4&lt;0,"Reduce or reallocate "&amp;TEXT(-D4,"$#,##0"),"Available "&amp;TEXT(D4,"$#,##0")))</f>
      </c>
    </row>
    <row r="5" spans="1:8" x14ac:dyDescent="0.3">
      <c r="A5" t="s">
        <v>96</v>
      </c>
      <c r="B5" s="5">
        <f>SUMIF('Budget Plan'!$A$4:$A$55,A5,'Budget Plan'!$C$4:$C$55)</f>
      </c>
      <c r="C5" s="5">
        <f>SUMIF('Budget Plan'!$A$4:$A$55,A5,'Budget Plan'!$D$4:$D$55)</f>
      </c>
      <c r="D5" s="5">
        <f t="shared" si="0"/>
      </c>
      <c r="E5" s="25">
        <f t="shared" si="1"/>
      </c>
      <c r="F5" s="25">
        <f t="shared" si="2"/>
      </c>
      <c r="G5">
        <f t="shared" si="3"/>
      </c>
      <c r="H5">
        <f t="shared" si="4"/>
      </c>
    </row>
    <row r="6" spans="1:8" x14ac:dyDescent="0.3">
      <c r="A6" t="s">
        <v>100</v>
      </c>
      <c r="B6" s="5">
        <f>SUMIF('Budget Plan'!$A$4:$A$55,A6,'Budget Plan'!$C$4:$C$55)</f>
      </c>
      <c r="C6" s="5">
        <f>SUMIF('Budget Plan'!$A$4:$A$55,A6,'Budget Plan'!$D$4:$D$55)</f>
      </c>
      <c r="D6" s="5">
        <f t="shared" si="0"/>
      </c>
      <c r="E6" s="25">
        <f t="shared" si="1"/>
      </c>
      <c r="F6" s="25">
        <f t="shared" si="2"/>
      </c>
      <c r="G6">
        <f t="shared" si="3"/>
      </c>
      <c r="H6">
        <f t="shared" si="4"/>
      </c>
    </row>
    <row r="7" spans="1:8" x14ac:dyDescent="0.3">
      <c r="A7" t="s">
        <v>104</v>
      </c>
      <c r="B7" s="5">
        <f>SUMIF('Budget Plan'!$A$4:$A$55,A7,'Budget Plan'!$C$4:$C$55)</f>
      </c>
      <c r="C7" s="5">
        <f>SUMIF('Budget Plan'!$A$4:$A$55,A7,'Budget Plan'!$D$4:$D$55)</f>
      </c>
      <c r="D7" s="5">
        <f t="shared" si="0"/>
      </c>
      <c r="E7" s="25">
        <f t="shared" si="1"/>
      </c>
      <c r="F7" s="25">
        <f t="shared" si="2"/>
      </c>
      <c r="G7">
        <f t="shared" si="3"/>
      </c>
      <c r="H7">
        <f t="shared" si="4"/>
      </c>
    </row>
    <row r="8" spans="1:8" x14ac:dyDescent="0.3">
      <c r="A8" t="s">
        <v>134</v>
      </c>
      <c r="B8" s="5">
        <f>SUMIF('Budget Plan'!$A$4:$A$55,A8,'Budget Plan'!$C$4:$C$55)</f>
      </c>
      <c r="C8" s="5">
        <f>SUMIF('Budget Plan'!$A$4:$A$55,A8,'Budget Plan'!$D$4:$D$55)</f>
      </c>
      <c r="D8" s="5">
        <f t="shared" si="0"/>
      </c>
      <c r="E8" s="25">
        <f t="shared" si="1"/>
      </c>
      <c r="F8" s="25">
        <f t="shared" si="2"/>
      </c>
      <c r="G8">
        <f t="shared" si="3"/>
      </c>
      <c r="H8">
        <f t="shared" si="4"/>
      </c>
    </row>
    <row r="9" spans="1:8" x14ac:dyDescent="0.3">
      <c r="A9" t="s">
        <v>135</v>
      </c>
      <c r="B9" s="5">
        <f>SUMIF('Budget Plan'!$A$4:$A$55,A9,'Budget Plan'!$C$4:$C$55)</f>
      </c>
      <c r="C9" s="5">
        <f>SUMIF('Budget Plan'!$A$4:$A$55,A9,'Budget Plan'!$D$4:$D$55)</f>
      </c>
      <c r="D9" s="5">
        <f t="shared" si="0"/>
      </c>
      <c r="E9" s="25">
        <f t="shared" si="1"/>
      </c>
      <c r="F9" s="25">
        <f t="shared" si="2"/>
      </c>
      <c r="G9">
        <f t="shared" si="3"/>
      </c>
      <c r="H9">
        <f t="shared" si="4"/>
      </c>
    </row>
    <row r="10" spans="1:8" x14ac:dyDescent="0.3">
      <c r="A10" t="s">
        <v>136</v>
      </c>
      <c r="B10" s="5">
        <f>SUMIF('Budget Plan'!$A$4:$A$55,A10,'Budget Plan'!$C$4:$C$55)</f>
      </c>
      <c r="C10" s="5">
        <f>SUMIF('Budget Plan'!$A$4:$A$55,A10,'Budget Plan'!$D$4:$D$55)</f>
      </c>
      <c r="D10" s="5">
        <f t="shared" si="0"/>
      </c>
      <c r="E10" s="25">
        <f t="shared" si="1"/>
      </c>
      <c r="F10" s="25">
        <f t="shared" si="2"/>
      </c>
      <c r="G10">
        <f t="shared" si="3"/>
      </c>
      <c r="H10">
        <f t="shared" si="4"/>
      </c>
    </row>
    <row r="11" spans="1:8" x14ac:dyDescent="0.3">
      <c r="A11" t="s">
        <v>137</v>
      </c>
      <c r="B11" s="5">
        <f>SUMIF('Budget Plan'!$A$4:$A$55,A11,'Budget Plan'!$C$4:$C$55)</f>
      </c>
      <c r="C11" s="5">
        <f>SUMIF('Budget Plan'!$A$4:$A$55,A11,'Budget Plan'!$D$4:$D$55)</f>
      </c>
      <c r="D11" s="5">
        <f t="shared" si="0"/>
      </c>
      <c r="E11" s="25">
        <f t="shared" si="1"/>
      </c>
      <c r="F11" s="25">
        <f t="shared" si="2"/>
      </c>
      <c r="G11">
        <f t="shared" si="3"/>
      </c>
      <c r="H11">
        <f t="shared" si="4"/>
      </c>
    </row>
    <row r="12" spans="1:8" x14ac:dyDescent="0.3">
      <c r="A12" t="s">
        <v>113</v>
      </c>
      <c r="B12" s="5">
        <f>SUMIF('Budget Plan'!$A$4:$A$55,A12,'Budget Plan'!$C$4:$C$55)</f>
      </c>
      <c r="C12" s="5">
        <f>SUMIF('Budget Plan'!$A$4:$A$55,A12,'Budget Plan'!$D$4:$D$55)</f>
      </c>
      <c r="D12" s="5">
        <f t="shared" si="0"/>
      </c>
      <c r="E12" s="25">
        <f t="shared" si="1"/>
      </c>
      <c r="F12" s="25">
        <f t="shared" si="2"/>
      </c>
      <c r="G12">
        <f t="shared" si="3"/>
      </c>
      <c r="H12">
        <f t="shared" si="4"/>
      </c>
    </row>
    <row r="13" spans="1:8" x14ac:dyDescent="0.3">
      <c r="A13" t="s">
        <v>114</v>
      </c>
      <c r="B13" s="5">
        <f>SUMIF('Budget Plan'!$A$4:$A$60,"Subscriptions",'Budget Plan'!$C$4:$C$60)</f>
      </c>
      <c r="C13" s="5">
        <f>SUMIF('Budget Plan'!$A$4:$A$60,"Subscriptions",'Budget Plan'!$D$4:$D$60)</f>
      </c>
      <c r="D13" s="5">
        <f>B13-C13</f>
      </c>
      <c r="E13" s="25">
        <f>IF(B13=0,IF(C13=0,0,-1),(B13-C13)/B13)</f>
      </c>
      <c r="F13" s="25">
        <f>IF($C$20=0,0,C13/$C$20)</f>
      </c>
      <c r="G13">
        <f>IF(C13=0,"No Activity",IF(E13&gt;=0.1,"On Track",IF(E13&gt;=0,"Close","Over Budget")))</f>
      </c>
      <c r="H13">
        <f>IF(C13=0,"No bank expenses imported","Available "&amp;TEXT(D13,"$#,##0"))</f>
      </c>
    </row>
    <row r="14" spans="1:8" x14ac:dyDescent="0.3">
      <c r="A14" t="s">
        <v>138</v>
      </c>
      <c r="B14" s="5">
        <f>SUMIF('Budget Plan'!$A$4:$A$55,A14,'Budget Plan'!$C$4:$C$55)</f>
      </c>
      <c r="C14" s="5">
        <f>SUMIF('Budget Plan'!$A$4:$A$55,A14,'Budget Plan'!$D$4:$D$55)</f>
      </c>
      <c r="D14" s="5">
        <f t="shared" si="0"/>
      </c>
      <c r="E14" s="25">
        <f t="shared" si="1"/>
      </c>
      <c r="F14" s="25">
        <f t="shared" ref="F14:F20" si="5">IF(SUM($C$4:$C$20)=0,0,C14/SUM($C$4:$C$20))</f>
      </c>
      <c r="G14">
        <f t="shared" si="3"/>
      </c>
      <c r="H14">
        <f t="shared" si="4"/>
      </c>
    </row>
    <row r="15" spans="1:8" x14ac:dyDescent="0.3">
      <c r="A15" t="s">
        <v>139</v>
      </c>
      <c r="B15" s="5">
        <f>SUMIF('Budget Plan'!$A$4:$A$55,A15,'Budget Plan'!$C$4:$C$55)</f>
      </c>
      <c r="C15" s="5">
        <f>SUMIF('Budget Plan'!$A$4:$A$55,A15,'Budget Plan'!$D$4:$D$55)</f>
      </c>
      <c r="D15" s="5">
        <f t="shared" si="0"/>
      </c>
      <c r="E15" s="25">
        <f t="shared" si="1"/>
      </c>
      <c r="F15" s="25">
        <f t="shared" si="5"/>
      </c>
      <c r="G15">
        <f t="shared" si="3"/>
      </c>
      <c r="H15">
        <f t="shared" si="4"/>
      </c>
    </row>
    <row r="16" spans="1:8" x14ac:dyDescent="0.3">
      <c r="A16" t="s">
        <v>108</v>
      </c>
      <c r="B16" s="5">
        <f>SUMIF('Budget Plan'!$A$4:$A$55,A16,'Budget Plan'!$C$4:$C$55)</f>
      </c>
      <c r="C16" s="5">
        <f>SUMIF('Budget Plan'!$A$4:$A$55,A16,'Budget Plan'!$D$4:$D$55)</f>
      </c>
      <c r="D16" s="5">
        <f t="shared" si="0"/>
      </c>
      <c r="E16" s="25">
        <f t="shared" si="1"/>
      </c>
      <c r="F16" s="25">
        <f t="shared" si="5"/>
      </c>
      <c r="G16">
        <f t="shared" si="3"/>
      </c>
      <c r="H16">
        <f t="shared" si="4"/>
      </c>
    </row>
    <row r="17" spans="1:8" x14ac:dyDescent="0.3">
      <c r="A17" t="s">
        <v>112</v>
      </c>
      <c r="B17" s="5">
        <f>SUMIF('Budget Plan'!$A$4:$A$55,A17,'Budget Plan'!$C$4:$C$55)</f>
      </c>
      <c r="C17" s="5">
        <f>SUMIF('Budget Plan'!$A$4:$A$55,A17,'Budget Plan'!$D$4:$D$55)</f>
      </c>
      <c r="D17" s="5">
        <f t="shared" si="0"/>
      </c>
      <c r="E17" s="25">
        <f t="shared" si="1"/>
      </c>
      <c r="F17" s="25">
        <f t="shared" si="5"/>
      </c>
      <c r="G17">
        <f t="shared" si="3"/>
      </c>
      <c r="H17">
        <f t="shared" si="4"/>
      </c>
    </row>
    <row r="18" spans="1:8" x14ac:dyDescent="0.3">
      <c r="A18" t="s">
        <v>140</v>
      </c>
      <c r="B18" s="5">
        <f>SUMIF('Budget Plan'!$A$4:$A$55,A18,'Budget Plan'!$C$4:$C$55)</f>
      </c>
      <c r="C18" s="5">
        <f>SUMIF('Budget Plan'!$A$4:$A$55,A18,'Budget Plan'!$D$4:$D$55)</f>
      </c>
      <c r="D18" s="5">
        <f t="shared" si="0"/>
      </c>
      <c r="E18" s="25">
        <f t="shared" si="1"/>
      </c>
      <c r="F18" s="25">
        <f t="shared" si="5"/>
      </c>
      <c r="G18">
        <f t="shared" si="3"/>
      </c>
      <c r="H18">
        <f t="shared" si="4"/>
      </c>
    </row>
    <row r="19" spans="1:8" x14ac:dyDescent="0.3">
      <c r="A19" t="s">
        <v>141</v>
      </c>
      <c r="B19" s="5">
        <f>SUMIF('Budget Plan'!$A$4:$A$55,A19,'Budget Plan'!$C$4:$C$55)</f>
      </c>
      <c r="C19" s="5">
        <f>SUMIF('Budget Plan'!$A$4:$A$55,A19,'Budget Plan'!$D$4:$D$55)</f>
      </c>
      <c r="D19" s="5">
        <f t="shared" si="0"/>
      </c>
      <c r="E19" s="25">
        <f t="shared" si="1"/>
      </c>
      <c r="F19" s="25">
        <f t="shared" si="5"/>
      </c>
      <c r="G19">
        <f t="shared" si="3"/>
      </c>
      <c r="H19">
        <f t="shared" si="4"/>
      </c>
    </row>
    <row r="20" spans="1:8" x14ac:dyDescent="0.3">
      <c r="A20" t="s">
        <v>116</v>
      </c>
      <c r="B20" s="5">
        <f>SUMIF('Budget Plan'!$A$4:$A$55,A20,'Budget Plan'!$C$4:$C$55)</f>
      </c>
      <c r="C20" s="5">
        <f>SUMIF('Budget Plan'!$A$4:$A$55,A20,'Budget Plan'!$D$4:$D$55)</f>
      </c>
      <c r="D20" s="5">
        <f t="shared" si="0"/>
      </c>
      <c r="E20" s="25">
        <f t="shared" si="1"/>
      </c>
      <c r="F20" s="25">
        <f t="shared" si="5"/>
      </c>
      <c r="G20">
        <f t="shared" si="3"/>
      </c>
      <c r="H20">
        <f t="shared" si="4"/>
      </c>
    </row>
  </sheetData>
  <mergeCells count="1">
    <mergeCell ref="A1:H1"/>
  </mergeCells>
  <conditionalFormatting sqref="G4:G20">
    <cfRule type="expression" dxfId="6" priority="1">
      <formula>$G4="Over Budget"</formula>
    </cfRule>
    <cfRule type="expression" dxfId="5" priority="2">
      <formula>$G4="On Track"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/>
  <sheetViews>
    <sheetView workbookViewId="0">
      <selection sqref="A1:L1"/>
    </sheetView>
  </sheetViews>
  <sheetFormatPr defaultRowHeight="14.4" x14ac:dyDescent="0.3"/>
  <cols>
    <col min="1" max="1" width="22" customWidth="1"/>
    <col min="2" max="2" width="12" customWidth="1"/>
    <col min="3" max="4" width="18" customWidth="1"/>
    <col min="5" max="5" width="14" customWidth="1"/>
    <col min="6" max="6" width="15" customWidth="1"/>
    <col min="7" max="9" width="18" customWidth="1"/>
    <col min="10" max="10" width="14" customWidth="1"/>
    <col min="11" max="11" width="16" customWidth="1"/>
    <col min="12" max="12" width="26" customWidth="1"/>
  </cols>
  <sheetData>
    <row r="1" spans="1:12" ht="21" x14ac:dyDescent="0.4">
      <c r="A1" t="s" s="63">
        <v>328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3" spans="1:12" ht="28.8" x14ac:dyDescent="0.3">
      <c r="A3" t="s" s="20">
        <v>329</v>
      </c>
      <c r="B3" t="s" s="20">
        <v>86</v>
      </c>
      <c r="C3" t="s" s="20">
        <v>330</v>
      </c>
      <c r="D3" t="s" s="20">
        <v>331</v>
      </c>
      <c r="E3" t="s" s="20">
        <v>332</v>
      </c>
      <c r="F3" t="s" s="20">
        <v>333</v>
      </c>
      <c r="G3" t="s" s="20">
        <v>334</v>
      </c>
      <c r="H3" t="s" s="20">
        <v>335</v>
      </c>
      <c r="I3" t="s" s="20">
        <v>336</v>
      </c>
      <c r="J3" t="s" s="20">
        <v>91</v>
      </c>
      <c r="K3" t="s" s="20">
        <v>337</v>
      </c>
      <c r="L3" t="s" s="20">
        <v>121</v>
      </c>
    </row>
    <row r="4" spans="1:12" x14ac:dyDescent="0.3">
      <c r="A4" t="s">
        <v>155</v>
      </c>
      <c r="B4" t="s">
        <v>338</v>
      </c>
      <c r="C4" s="6"/>
      <c r="D4" s="6"/>
      <c r="E4" s="23"/>
      <c r="F4" s="19">
        <f>IF(E4="","",MAX(0,DATEDIF(Setup!$B$4,E4,"m")))</f>
      </c>
      <c r="G4" s="18">
        <f>IF(OR(C4="",F4=""),0,MAX(0,(C4-D4)/MAX(1,F4)))</f>
      </c>
      <c r="H4" s="18"/>
      <c r="I4" s="24">
        <f>IF(H4&lt;=0,"",EDATE(Setup!$B$4,ROUNDUP(MAX(0,C4-D4)/H4,0)))</f>
      </c>
      <c r="J4" s="19">
        <f>IF(C4="","",IF(D4&gt;=C4,"Complete",IF(H4&gt;=G4,"On Track",IF(H4&gt;0,"Behind","Not Funded"))))</f>
      </c>
      <c r="K4" s="18">
        <f>MAX(0,G4-H4)</f>
      </c>
    </row>
    <row r="5" spans="1:12" x14ac:dyDescent="0.3">
      <c r="A5" t="s">
        <v>112</v>
      </c>
      <c r="B5" t="s">
        <v>339</v>
      </c>
      <c r="C5" s="6">
        <v>10000</v>
      </c>
      <c r="D5" s="6">
        <v>76.16</v>
      </c>
      <c r="E5" s="23">
        <v>46600</v>
      </c>
      <c r="F5" s="19">
        <f>IF(E5="","",MAX(0,DATEDIF(Setup!$B$4,E5,"m")))</f>
      </c>
      <c r="G5" s="18">
        <v>826.9866666666667</v>
      </c>
      <c r="H5" s="18">
        <v>375</v>
      </c>
      <c r="I5" s="24">
        <f>IF(H5&lt;=0,"",EDATE(Setup!$B$4,ROUNDUP(MAX(0,C5-D5)/H5,0)))</f>
      </c>
      <c r="J5" t="s" s="19">
        <v>340</v>
      </c>
      <c r="K5" s="18">
        <v>451.9866666666667</v>
      </c>
    </row>
    <row r="6" spans="1:12" x14ac:dyDescent="0.3">
      <c r="A6" t="s">
        <v>341</v>
      </c>
      <c r="B6" t="s">
        <v>289</v>
      </c>
      <c r="C6" s="6"/>
      <c r="D6" s="6"/>
      <c r="E6" s="23"/>
      <c r="F6" s="19">
        <f>IF(E6="","",MAX(0,DATEDIF(Setup!$B$4,E6,"m")))</f>
      </c>
      <c r="G6" s="18">
        <v>0</v>
      </c>
      <c r="H6" s="18"/>
      <c r="I6" s="24">
        <f>IF(H6&lt;=0,"",EDATE(Setup!$B$4,ROUNDUP(MAX(0,C6-D6)/H6,0)))</f>
      </c>
      <c r="J6" s="19"/>
      <c r="K6" s="18">
        <v>0</v>
      </c>
    </row>
    <row r="7" spans="1:12" x14ac:dyDescent="0.3">
      <c r="A7" t="s">
        <v>342</v>
      </c>
      <c r="B7" t="s">
        <v>289</v>
      </c>
      <c r="C7" s="6"/>
      <c r="D7" s="6"/>
      <c r="E7" s="23"/>
      <c r="F7" s="19">
        <f>IF(E7="","",MAX(0,DATEDIF(Setup!$B$4,E7,"m")))</f>
      </c>
      <c r="G7" s="18">
        <v>0</v>
      </c>
      <c r="H7" s="18"/>
      <c r="I7" s="24">
        <f>IF(H7&lt;=0,"",EDATE(Setup!$B$4,ROUNDUP(MAX(0,C7-D7)/H7,0)))</f>
      </c>
      <c r="J7" s="19"/>
      <c r="K7" s="18">
        <v>0</v>
      </c>
    </row>
    <row r="8" spans="1:12" x14ac:dyDescent="0.3">
      <c r="A8" t="s">
        <v>343</v>
      </c>
      <c r="B8" t="s">
        <v>344</v>
      </c>
      <c r="C8" s="6"/>
      <c r="D8" s="6"/>
      <c r="E8" s="23"/>
      <c r="F8" s="19">
        <f>IF(E8="","",MAX(0,DATEDIF(Setup!$B$4,E8,"m")))</f>
      </c>
      <c r="G8" s="18">
        <v>0</v>
      </c>
      <c r="H8" s="18"/>
      <c r="I8" s="24">
        <f>IF(H8&lt;=0,"",EDATE(Setup!$B$4,ROUNDUP(MAX(0,C8-D8)/H8,0)))</f>
      </c>
      <c r="J8" s="19"/>
      <c r="K8" s="18">
        <v>0</v>
      </c>
    </row>
    <row r="9" spans="1:12" x14ac:dyDescent="0.3">
      <c r="A9" t="s">
        <v>345</v>
      </c>
      <c r="B9" t="s">
        <v>344</v>
      </c>
      <c r="C9" s="6"/>
      <c r="D9" s="6"/>
      <c r="E9" s="23"/>
      <c r="F9" s="19">
        <f>IF(E9="","",MAX(0,DATEDIF(Setup!$B$4,E9,"m")))</f>
      </c>
      <c r="G9" s="18">
        <v>0</v>
      </c>
      <c r="H9" s="18"/>
      <c r="I9" s="24">
        <f>IF(H9&lt;=0,"",EDATE(Setup!$B$4,ROUNDUP(MAX(0,C9-D9)/H9,0)))</f>
      </c>
      <c r="J9" s="19"/>
      <c r="K9" s="18">
        <v>0</v>
      </c>
    </row>
  </sheetData>
  <mergeCells count="1">
    <mergeCell ref="A1:L1"/>
  </mergeCells>
  <conditionalFormatting sqref="J4:J9">
    <cfRule type="expression" dxfId="4" priority="1">
      <formula>$J4="On Track"</formula>
    </cfRule>
    <cfRule type="expression" dxfId="3" priority="2">
      <formula>OR($J4="Behind",$J4="Not Funded")</formula>
    </cfRule>
  </conditionalFormatting>
  <dataValidations count="1">
    <dataValidation type="list" sqref="B4:B9" xr:uid="{00000000-0002-0000-0800-000000000000}">
      <formula1>"Critical,High,Medium,Low"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/>
  <sheetViews>
    <sheetView workbookViewId="0">
      <selection sqref="A1:N1"/>
    </sheetView>
  </sheetViews>
  <sheetFormatPr defaultRowHeight="14.4" x14ac:dyDescent="0.3"/>
  <cols>
    <col min="1" max="1" width="18" customWidth="1"/>
    <col min="2" max="2" width="14" customWidth="1"/>
    <col min="3" max="3" width="17" customWidth="1"/>
    <col min="4" max="4" width="10" customWidth="1"/>
    <col min="5" max="5" width="18" customWidth="1"/>
    <col min="6" max="6" width="9" customWidth="1"/>
    <col min="7" max="8" width="13" customWidth="1"/>
    <col min="9" max="10" width="18" customWidth="1"/>
    <col min="11" max="11" width="15" customWidth="1"/>
    <col min="12" max="13" width="16" customWidth="1"/>
    <col min="14" max="14" width="24" customWidth="1"/>
  </cols>
  <sheetData>
    <row r="1" spans="1:14" ht="21" x14ac:dyDescent="0.4">
      <c r="A1" t="s" s="63">
        <v>346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3" spans="1:14" ht="28.8" x14ac:dyDescent="0.3">
      <c r="A3" t="s" s="20">
        <v>347</v>
      </c>
      <c r="B3" t="s" s="20">
        <v>348</v>
      </c>
      <c r="C3" t="s" s="20">
        <v>349</v>
      </c>
      <c r="D3" t="s" s="20">
        <v>350</v>
      </c>
      <c r="E3" t="s" s="20">
        <v>351</v>
      </c>
      <c r="F3" t="s" s="20">
        <v>285</v>
      </c>
      <c r="G3" t="s" s="20">
        <v>352</v>
      </c>
      <c r="H3" t="s" s="20">
        <v>353</v>
      </c>
      <c r="I3" t="s" s="20">
        <v>354</v>
      </c>
      <c r="J3" t="s" s="20">
        <v>355</v>
      </c>
      <c r="K3" t="s" s="20">
        <v>356</v>
      </c>
      <c r="L3" t="s" s="20">
        <v>357</v>
      </c>
      <c r="M3" t="s" s="20">
        <v>358</v>
      </c>
      <c r="N3" t="s" s="20">
        <v>121</v>
      </c>
    </row>
    <row r="4" spans="1:14" x14ac:dyDescent="0.3">
      <c r="A4" t="s">
        <v>359</v>
      </c>
      <c r="B4" t="s">
        <v>360</v>
      </c>
      <c r="C4" s="6"/>
      <c r="D4" s="22"/>
      <c r="E4" s="6"/>
      <c r="F4" s="7"/>
      <c r="G4" s="23"/>
      <c r="H4" s="19">
        <f>IF(C4&lt;=0,"",IF(Setup!$B$6="Avalanche",_xludf.RANK.EQ(D4,$D$4:$D$11,0),IF(Setup!$B$6="Snowball",_xludf.RANK.EQ(C4,$C$4:$C$11,1),_xludf.RANK.EQ(E4,$E$4:$E$11,0))))</f>
      </c>
      <c r="I4" s="18">
        <f>IF(H4=1,MAX(0,Dashboard!$B$10-Setup!$B$5),0)</f>
      </c>
      <c r="J4" s="18">
        <f>MIN(C4,E4+I4)</f>
      </c>
      <c r="K4" s="19">
        <f>IF(OR(C4&lt;=0,J4&lt;=0),"",IF(D4=0,ROUNDUP(C4/J4,0),ROUNDUP(NPER(D4/12,-J4,C4),0)))</f>
      </c>
      <c r="L4" s="24">
        <f>IF(K4="","",EDATE(Setup!$B$4,K4))</f>
      </c>
      <c r="M4" s="18">
        <f>IF(K4="","",MAX(0,J4*K4-C4))</f>
      </c>
    </row>
    <row r="5" spans="1:14" x14ac:dyDescent="0.3">
      <c r="A5" t="s">
        <v>361</v>
      </c>
      <c r="B5" t="s">
        <v>360</v>
      </c>
      <c r="C5" s="6"/>
      <c r="D5" s="22"/>
      <c r="E5" s="6"/>
      <c r="F5" s="7"/>
      <c r="G5" s="23"/>
      <c r="H5" s="19">
        <f>IF(C5&lt;=0,"",IF(Setup!$B$6="Avalanche",_xludf.RANK.EQ(D5,$D$4:$D$11,0),IF(Setup!$B$6="Snowball",_xludf.RANK.EQ(C5,$C$4:$C$11,1),_xludf.RANK.EQ(E5,$E$4:$E$11,0))))</f>
      </c>
      <c r="I5" s="18">
        <f>IF(H5=1,MAX(0,Dashboard!$B$10-Setup!$B$5),0)</f>
      </c>
      <c r="J5" s="18">
        <v>0</v>
      </c>
      <c r="K5" s="19"/>
      <c r="L5" s="24">
        <f>IF(K5="","",EDATE(Setup!$B$4,K5))</f>
      </c>
      <c r="M5" s="18"/>
    </row>
    <row r="6" spans="1:14" x14ac:dyDescent="0.3">
      <c r="A6" t="s">
        <v>362</v>
      </c>
      <c r="B6" t="s">
        <v>363</v>
      </c>
      <c r="C6" s="6"/>
      <c r="D6" s="22"/>
      <c r="E6" s="6"/>
      <c r="F6" s="7"/>
      <c r="G6" s="23"/>
      <c r="H6" s="19">
        <f>IF(C6&lt;=0,"",IF(Setup!$B$6="Avalanche",_xludf.RANK.EQ(D6,$D$4:$D$11,0),IF(Setup!$B$6="Snowball",_xludf.RANK.EQ(C6,$C$4:$C$11,1),_xludf.RANK.EQ(E6,$E$4:$E$11,0))))</f>
      </c>
      <c r="I6" s="18">
        <f>IF(H6=1,MAX(0,Dashboard!$B$10-Setup!$B$5),0)</f>
      </c>
      <c r="J6" s="18">
        <v>0</v>
      </c>
      <c r="K6" s="19"/>
      <c r="L6" s="24">
        <f>IF(K6="","",EDATE(Setup!$B$4,K6))</f>
      </c>
      <c r="M6" s="18"/>
    </row>
    <row r="7" spans="1:14" x14ac:dyDescent="0.3">
      <c r="A7" t="s">
        <v>364</v>
      </c>
      <c r="B7" t="s">
        <v>363</v>
      </c>
      <c r="C7" s="6"/>
      <c r="D7" s="22"/>
      <c r="E7" s="6"/>
      <c r="F7" s="7"/>
      <c r="G7" s="23"/>
      <c r="H7" s="19">
        <f>IF(C7&lt;=0,"",IF(Setup!$B$6="Avalanche",_xludf.RANK.EQ(D7,$D$4:$D$11,0),IF(Setup!$B$6="Snowball",_xludf.RANK.EQ(C7,$C$4:$C$11,1),_xludf.RANK.EQ(E7,$E$4:$E$11,0))))</f>
      </c>
      <c r="I7" s="18">
        <f>IF(H7=1,MAX(0,Dashboard!$B$10-Setup!$B$5),0)</f>
      </c>
      <c r="J7" s="18">
        <v>0</v>
      </c>
      <c r="K7" s="19"/>
      <c r="L7" s="24">
        <f>IF(K7="","",EDATE(Setup!$B$4,K7))</f>
      </c>
      <c r="M7" s="18"/>
    </row>
    <row r="8" spans="1:14" x14ac:dyDescent="0.3">
      <c r="A8" t="s">
        <v>365</v>
      </c>
      <c r="B8" t="s">
        <v>100</v>
      </c>
      <c r="C8" s="6"/>
      <c r="D8" s="22"/>
      <c r="E8" s="6"/>
      <c r="F8" s="7"/>
      <c r="G8" s="23"/>
      <c r="H8" s="19">
        <f>IF(C8&lt;=0,"",IF(Setup!$B$6="Avalanche",_xludf.RANK.EQ(D8,$D$4:$D$11,0),IF(Setup!$B$6="Snowball",_xludf.RANK.EQ(C8,$C$4:$C$11,1),_xludf.RANK.EQ(E8,$E$4:$E$11,0))))</f>
      </c>
      <c r="I8" s="18">
        <f>IF(H8=1,MAX(0,Dashboard!$B$10-Setup!$B$5),0)</f>
      </c>
      <c r="J8" s="18">
        <v>0</v>
      </c>
      <c r="K8" s="19"/>
      <c r="L8" s="24">
        <f>IF(K8="","",EDATE(Setup!$B$4,K8))</f>
      </c>
      <c r="M8" s="18"/>
    </row>
    <row r="9" spans="1:14" x14ac:dyDescent="0.3">
      <c r="A9" t="s">
        <v>366</v>
      </c>
      <c r="B9" t="s">
        <v>135</v>
      </c>
      <c r="C9" s="6"/>
      <c r="D9" s="22"/>
      <c r="E9" s="6"/>
      <c r="F9" s="7"/>
      <c r="G9" s="23"/>
      <c r="H9" s="19">
        <f>IF(C9&lt;=0,"",IF(Setup!$B$6="Avalanche",_xludf.RANK.EQ(D9,$D$4:$D$11,0),IF(Setup!$B$6="Snowball",_xludf.RANK.EQ(C9,$C$4:$C$11,1),_xludf.RANK.EQ(E9,$E$4:$E$11,0))))</f>
      </c>
      <c r="I9" s="18">
        <f>IF(H9=1,MAX(0,Dashboard!$B$10-Setup!$B$5),0)</f>
      </c>
      <c r="J9" s="18">
        <v>0</v>
      </c>
      <c r="K9" s="19"/>
      <c r="L9" s="24">
        <f>IF(K9="","",EDATE(Setup!$B$4,K9))</f>
      </c>
      <c r="M9" s="18"/>
    </row>
    <row r="10" spans="1:14" x14ac:dyDescent="0.3">
      <c r="A10" t="s">
        <v>367</v>
      </c>
      <c r="B10" t="s">
        <v>194</v>
      </c>
      <c r="C10" s="6"/>
      <c r="D10" s="22"/>
      <c r="E10" s="6"/>
      <c r="F10" s="7"/>
      <c r="G10" s="23"/>
      <c r="H10" s="19">
        <f>IF(C10&lt;=0,"",IF(Setup!$B$6="Avalanche",_xludf.RANK.EQ(D10,$D$4:$D$11,0),IF(Setup!$B$6="Snowball",_xludf.RANK.EQ(C10,$C$4:$C$11,1),_xludf.RANK.EQ(E10,$E$4:$E$11,0))))</f>
      </c>
      <c r="I10" s="18">
        <f>IF(H10=1,MAX(0,Dashboard!$B$10-Setup!$B$5),0)</f>
      </c>
      <c r="J10" s="18">
        <v>0</v>
      </c>
      <c r="K10" s="19"/>
      <c r="L10" s="24">
        <f>IF(K10="","",EDATE(Setup!$B$4,K10))</f>
      </c>
      <c r="M10" s="18"/>
    </row>
    <row r="11" spans="1:14" x14ac:dyDescent="0.3">
      <c r="A11" t="s">
        <v>368</v>
      </c>
      <c r="B11" t="s">
        <v>194</v>
      </c>
      <c r="C11" s="6"/>
      <c r="D11" s="22"/>
      <c r="E11" s="6"/>
      <c r="F11" s="7"/>
      <c r="G11" s="23"/>
      <c r="H11" s="19">
        <f>IF(C11&lt;=0,"",IF(Setup!$B$6="Avalanche",_xludf.RANK.EQ(D11,$D$4:$D$11,0),IF(Setup!$B$6="Snowball",_xludf.RANK.EQ(C11,$C$4:$C$11,1),_xludf.RANK.EQ(E11,$E$4:$E$11,0))))</f>
      </c>
      <c r="I11" s="18">
        <f>IF(H11=1,MAX(0,Dashboard!$B$10-Setup!$B$5),0)</f>
      </c>
      <c r="J11" s="18">
        <v>0</v>
      </c>
      <c r="K11" s="19"/>
      <c r="L11" s="24">
        <f>IF(K11="","",EDATE(Setup!$B$4,K11))</f>
      </c>
      <c r="M11" s="18"/>
    </row>
    <row r="13" spans="1:14" x14ac:dyDescent="0.3">
      <c r="A13" t="s" s="54">
        <v>369</v>
      </c>
      <c r="B13" t="s" s="54">
        <v>160</v>
      </c>
    </row>
    <row r="14" spans="1:14" x14ac:dyDescent="0.3">
      <c r="A14" t="s">
        <v>78</v>
      </c>
      <c r="B14" s="5">
        <f>SUM(C4:C11)</f>
      </c>
    </row>
    <row r="15" spans="1:14" x14ac:dyDescent="0.3">
      <c r="A15" t="s">
        <v>370</v>
      </c>
      <c r="B15" s="5">
        <f>SUM(E4:E11)</f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/>
  <sheetViews>
    <sheetView workbookViewId="0">
      <selection activeCell="B8" sqref="B8"/>
    </sheetView>
  </sheetViews>
  <sheetFormatPr defaultRowHeight="14.4" x14ac:dyDescent="0.3"/>
  <cols>
    <col min="1" max="1" width="20" customWidth="1"/>
    <col min="2" max="5" width="17" customWidth="1"/>
    <col min="6" max="6" width="14" customWidth="1"/>
    <col min="7" max="7" width="24" customWidth="1"/>
  </cols>
  <sheetData>
    <row r="1" spans="1:7" ht="21" x14ac:dyDescent="0.4">
      <c r="A1" t="s" s="63">
        <v>371</v>
      </c>
      <c r="B1" s="63"/>
      <c r="C1" s="63"/>
      <c r="D1" s="63"/>
      <c r="E1" s="63"/>
      <c r="F1" s="63"/>
      <c r="G1" s="63"/>
    </row>
    <row r="3" spans="1:7" x14ac:dyDescent="0.3">
      <c r="A3" t="s" s="30">
        <v>82</v>
      </c>
      <c r="B3" t="s" s="30">
        <v>286</v>
      </c>
      <c r="C3" t="s" s="30">
        <v>287</v>
      </c>
      <c r="D3" t="s" s="30">
        <v>372</v>
      </c>
      <c r="E3" t="s" s="30">
        <v>373</v>
      </c>
      <c r="F3" t="s" s="30">
        <v>91</v>
      </c>
      <c r="G3" t="s" s="30">
        <v>87</v>
      </c>
    </row>
    <row r="4" spans="1:7" x14ac:dyDescent="0.3">
      <c r="A4" t="s">
        <v>92</v>
      </c>
      <c r="B4" s="5">
        <f>SUMIFS('Manual Actuals'!$C$2:$C$861,'Manual Actuals'!$D$2:$D$861,$A4,'Manual Actuals'!$H$2:$H$861,Setup!$B$4,'Manual Actuals'!$G$2:$G$861,"Yes")</f>
      </c>
      <c r="C4" s="5">
        <f>SUMIFS(bk_download!$L$2:$L$1902,bk_download!$H$2:$H$1902,$A4,bk_download!$K$2:$K$1902,Setup!$B$4,bk_download!$J$2:$J$1902,"Yes")</f>
      </c>
      <c r="D4" s="5">
        <f t="shared" ref="D4:D21" si="0">B4-C4</f>
      </c>
      <c r="E4" s="25">
        <f t="shared" ref="E4:E21" si="1">IF(C4=0,IF(B4=0,0,1),D4/C4)</f>
      </c>
      <c r="F4">
        <f t="shared" ref="F4:F20" si="2">IF(ABS(D4)&lt;=1,"Matched",IF(ABS(D4)&lt;=10,"Review","Investigate"))</f>
      </c>
      <c r="G4">
        <f t="shared" ref="G4:G20" si="3">IF(F4="Matched","None",IF(D4&gt;0,"Manual exceeds bank","Bank exceeds manual"))</f>
      </c>
    </row>
    <row r="5" spans="1:7" x14ac:dyDescent="0.3">
      <c r="A5" t="s">
        <v>96</v>
      </c>
      <c r="B5" s="5">
        <f>SUMIFS('Manual Actuals'!$C$2:$C$861,'Manual Actuals'!$D$2:$D$861,$A5,'Manual Actuals'!$H$2:$H$861,Setup!$B$4,'Manual Actuals'!$G$2:$G$861,"Yes")</f>
      </c>
      <c r="C5" s="5">
        <f>SUMIFS(bk_download!$L$2:$L$1902,bk_download!$H$2:$H$1902,$A5,bk_download!$K$2:$K$1902,Setup!$B$4,bk_download!$J$2:$J$1902,"Yes")</f>
      </c>
      <c r="D5" s="5">
        <f t="shared" si="0"/>
      </c>
      <c r="E5" s="25">
        <f t="shared" si="1"/>
      </c>
      <c r="F5">
        <f t="shared" si="2"/>
      </c>
      <c r="G5">
        <f t="shared" si="3"/>
      </c>
    </row>
    <row r="6" spans="1:7" x14ac:dyDescent="0.3">
      <c r="A6" t="s">
        <v>100</v>
      </c>
      <c r="B6" s="5">
        <f>SUMIFS('Manual Actuals'!$C$2:$C$861,'Manual Actuals'!$D$2:$D$861,$A6,'Manual Actuals'!$H$2:$H$861,Setup!$B$4,'Manual Actuals'!$G$2:$G$861,"Yes")</f>
      </c>
      <c r="C6" s="5">
        <f>SUMIFS(bk_download!$L$2:$L$1902,bk_download!$H$2:$H$1902,$A6,bk_download!$K$2:$K$1902,Setup!$B$4,bk_download!$J$2:$J$1902,"Yes")</f>
      </c>
      <c r="D6" s="5">
        <f t="shared" si="0"/>
      </c>
      <c r="E6" s="25">
        <f t="shared" si="1"/>
      </c>
      <c r="F6">
        <f t="shared" si="2"/>
      </c>
      <c r="G6">
        <f t="shared" si="3"/>
      </c>
    </row>
    <row r="7" spans="1:7" x14ac:dyDescent="0.3">
      <c r="A7" t="s">
        <v>104</v>
      </c>
      <c r="B7" s="5">
        <f>SUMIFS('Manual Actuals'!$C$2:$C$861,'Manual Actuals'!$D$2:$D$861,$A7,'Manual Actuals'!$H$2:$H$861,Setup!$B$4,'Manual Actuals'!$G$2:$G$861,"Yes")</f>
      </c>
      <c r="C7" s="5">
        <f>SUMIFS(bk_download!$L$2:$L$1902,bk_download!$H$2:$H$1902,$A7,bk_download!$K$2:$K$1902,Setup!$B$4,bk_download!$J$2:$J$1902,"Yes")</f>
      </c>
      <c r="D7" s="5">
        <f t="shared" si="0"/>
      </c>
      <c r="E7" s="25">
        <f t="shared" si="1"/>
      </c>
      <c r="F7">
        <f t="shared" si="2"/>
      </c>
      <c r="G7">
        <f t="shared" si="3"/>
      </c>
    </row>
    <row r="8" spans="1:7" x14ac:dyDescent="0.3">
      <c r="A8" t="s">
        <v>134</v>
      </c>
      <c r="B8" s="5">
        <f>SUMIFS('Manual Actuals'!$C$2:$C$861,'Manual Actuals'!$D$2:$D$861,$A8,'Manual Actuals'!$H$2:$H$861,Setup!$B$4,'Manual Actuals'!$G$2:$G$861,"Yes")</f>
      </c>
      <c r="C8" s="5">
        <f>SUMIFS(bk_download!$L$2:$L$1902,bk_download!$H$2:$H$1902,$A8,bk_download!$K$2:$K$1902,Setup!$B$4,bk_download!$J$2:$J$1902,"Yes")</f>
      </c>
      <c r="D8" s="5">
        <f t="shared" si="0"/>
      </c>
      <c r="E8" s="25">
        <f t="shared" si="1"/>
      </c>
      <c r="F8">
        <f t="shared" si="2"/>
      </c>
      <c r="G8">
        <f t="shared" si="3"/>
      </c>
    </row>
    <row r="9" spans="1:7" x14ac:dyDescent="0.3">
      <c r="A9" t="s">
        <v>135</v>
      </c>
      <c r="B9" s="5">
        <f>SUMIFS('Manual Actuals'!$C$2:$C$861,'Manual Actuals'!$D$2:$D$861,$A9,'Manual Actuals'!$H$2:$H$861,Setup!$B$4,'Manual Actuals'!$G$2:$G$861,"Yes")</f>
      </c>
      <c r="C9" s="5">
        <f>SUMIFS(bk_download!$L$2:$L$1902,bk_download!$H$2:$H$1902,$A9,bk_download!$K$2:$K$1902,Setup!$B$4,bk_download!$J$2:$J$1902,"Yes")</f>
      </c>
      <c r="D9" s="5">
        <f t="shared" si="0"/>
      </c>
      <c r="E9" s="25">
        <f t="shared" si="1"/>
      </c>
      <c r="F9">
        <f t="shared" si="2"/>
      </c>
      <c r="G9">
        <f t="shared" si="3"/>
      </c>
    </row>
    <row r="10" spans="1:7" x14ac:dyDescent="0.3">
      <c r="A10" t="s">
        <v>136</v>
      </c>
      <c r="B10" s="5">
        <f>SUMIFS('Manual Actuals'!$C$2:$C$861,'Manual Actuals'!$D$2:$D$861,$A10,'Manual Actuals'!$H$2:$H$861,Setup!$B$4,'Manual Actuals'!$G$2:$G$861,"Yes")</f>
      </c>
      <c r="C10" s="5">
        <f>SUMIFS(bk_download!$L$2:$L$1902,bk_download!$H$2:$H$1902,$A10,bk_download!$K$2:$K$1902,Setup!$B$4,bk_download!$J$2:$J$1902,"Yes")</f>
      </c>
      <c r="D10" s="5">
        <f t="shared" si="0"/>
      </c>
      <c r="E10" s="25">
        <f t="shared" si="1"/>
      </c>
      <c r="F10">
        <f t="shared" si="2"/>
      </c>
      <c r="G10">
        <f t="shared" si="3"/>
      </c>
    </row>
    <row r="11" spans="1:7" x14ac:dyDescent="0.3">
      <c r="A11" t="s">
        <v>137</v>
      </c>
      <c r="B11" s="5">
        <f>SUMIFS('Manual Actuals'!$C$2:$C$861,'Manual Actuals'!$D$2:$D$861,$A11,'Manual Actuals'!$H$2:$H$861,Setup!$B$4,'Manual Actuals'!$G$2:$G$861,"Yes")</f>
      </c>
      <c r="C11" s="5">
        <f>SUMIFS(bk_download!$L$2:$L$1902,bk_download!$H$2:$H$1902,$A11,bk_download!$K$2:$K$1902,Setup!$B$4,bk_download!$J$2:$J$1902,"Yes")</f>
      </c>
      <c r="D11" s="5">
        <f t="shared" si="0"/>
      </c>
      <c r="E11" s="25">
        <f t="shared" si="1"/>
      </c>
      <c r="F11">
        <f t="shared" si="2"/>
      </c>
      <c r="G11">
        <f t="shared" si="3"/>
      </c>
    </row>
    <row r="12" spans="1:7" x14ac:dyDescent="0.3">
      <c r="A12" t="s">
        <v>113</v>
      </c>
      <c r="B12" s="5">
        <f>SUMIFS('Manual Actuals'!$C$2:$C$861,'Manual Actuals'!$D$2:$D$861,$A12,'Manual Actuals'!$H$2:$H$861,Setup!$B$4,'Manual Actuals'!$G$2:$G$861,"Yes")</f>
      </c>
      <c r="C12" s="5">
        <f>SUMIFS(bk_download!$L$2:$L$1902,bk_download!$H$2:$H$1902,$A12,bk_download!$K$2:$K$1902,Setup!$B$4,bk_download!$J$2:$J$1902,"Yes")</f>
      </c>
      <c r="D12" s="5">
        <f t="shared" si="0"/>
      </c>
      <c r="E12" s="25">
        <f t="shared" si="1"/>
      </c>
      <c r="F12">
        <f t="shared" si="2"/>
      </c>
      <c r="G12">
        <f t="shared" si="3"/>
      </c>
    </row>
    <row r="13" spans="1:7" x14ac:dyDescent="0.3">
      <c r="A13" t="s">
        <v>138</v>
      </c>
      <c r="B13" s="5">
        <f>SUMIFS('Manual Actuals'!$C$2:$C$861,'Manual Actuals'!$D$2:$D$861,$A13,'Manual Actuals'!$H$2:$H$861,Setup!$B$4,'Manual Actuals'!$G$2:$G$861,"Yes")</f>
      </c>
      <c r="C13" s="5">
        <f>SUMIFS(bk_download!$L$2:$L$1902,bk_download!$H$2:$H$1902,$A13,bk_download!$K$2:$K$1902,Setup!$B$4,bk_download!$J$2:$J$1902,"Yes")</f>
      </c>
      <c r="D13" s="5">
        <f t="shared" si="0"/>
      </c>
      <c r="E13" s="25">
        <f t="shared" si="1"/>
      </c>
      <c r="F13">
        <f t="shared" si="2"/>
      </c>
      <c r="G13">
        <f t="shared" si="3"/>
      </c>
    </row>
    <row r="14" spans="1:7" x14ac:dyDescent="0.3">
      <c r="A14" t="s">
        <v>114</v>
      </c>
      <c r="B14" s="5">
        <f>SUMIF('Budget Plan'!$A$4:$A$60,"Subscriptions",'Budget Plan'!$K$4:$K$60)</f>
      </c>
      <c r="C14" s="5">
        <f>SUMIFS(bk_download!$L$2:$L$1902,bk_download!$H$2:$H$1902,$A14,bk_download!$K$2:$K$1902,Setup!$B$4,bk_download!$J$2:$J$1902,"Yes")</f>
      </c>
      <c r="D14" s="5">
        <f>B14-C14</f>
      </c>
      <c r="E14" s="25">
        <f>IF(B14=0,IF(C14=0,0,1),ABS(D14)/B14)</f>
      </c>
      <c r="F14">
        <f>IF(D14=0,"Matched",IF(ABS(E14)&lt;=0.05,"Close","Investigate"))</f>
      </c>
      <c r="G14">
        <f>IF(F14="Matched","None",IF(D14&gt;0,"Manual exceeds bank","Bank exceeds manual"))</f>
      </c>
    </row>
    <row r="15" spans="1:7" x14ac:dyDescent="0.3">
      <c r="A15" t="s">
        <v>139</v>
      </c>
      <c r="B15" s="5">
        <f>SUMIFS('Manual Actuals'!$C$2:$C$861,'Manual Actuals'!$D$2:$D$861,$A15,'Manual Actuals'!$H$2:$H$861,Setup!$B$4,'Manual Actuals'!$G$2:$G$861,"Yes")</f>
      </c>
      <c r="C15" s="5">
        <f>SUMIFS(bk_download!$L$2:$L$1902,bk_download!$H$2:$H$1902,$A15,bk_download!$K$2:$K$1902,Setup!$B$4,bk_download!$J$2:$J$1902,"Yes")</f>
      </c>
      <c r="D15" s="5">
        <f t="shared" si="0"/>
      </c>
      <c r="E15" s="25">
        <f t="shared" si="1"/>
      </c>
      <c r="F15">
        <f t="shared" si="2"/>
      </c>
      <c r="G15">
        <f t="shared" si="3"/>
      </c>
    </row>
    <row r="16" spans="1:7" x14ac:dyDescent="0.3">
      <c r="A16" t="s">
        <v>108</v>
      </c>
      <c r="B16" s="5">
        <f>SUMIFS('Manual Actuals'!$C$2:$C$861,'Manual Actuals'!$D$2:$D$861,$A16,'Manual Actuals'!$H$2:$H$861,Setup!$B$4,'Manual Actuals'!$G$2:$G$861,"Yes")</f>
      </c>
      <c r="C16" s="5">
        <f>SUMIFS(bk_download!$L$2:$L$1902,bk_download!$H$2:$H$1902,$A16,bk_download!$K$2:$K$1902,Setup!$B$4,bk_download!$J$2:$J$1902,"Yes")</f>
      </c>
      <c r="D16" s="5">
        <f t="shared" si="0"/>
      </c>
      <c r="E16" s="25">
        <f t="shared" si="1"/>
      </c>
      <c r="F16">
        <f t="shared" si="2"/>
      </c>
      <c r="G16">
        <f t="shared" si="3"/>
      </c>
    </row>
    <row r="17" spans="1:7" x14ac:dyDescent="0.3">
      <c r="A17" t="s">
        <v>112</v>
      </c>
      <c r="B17" s="5">
        <f>SUMIFS('Manual Actuals'!$C$2:$C$861,'Manual Actuals'!$D$2:$D$861,$A17,'Manual Actuals'!$H$2:$H$861,Setup!$B$4,'Manual Actuals'!$G$2:$G$861,"Yes")</f>
      </c>
      <c r="C17" s="5">
        <f>SUMIFS(bk_download!$L$2:$L$1902,bk_download!$H$2:$H$1902,$A17,bk_download!$K$2:$K$1902,Setup!$B$4,bk_download!$J$2:$J$1902,"Yes")</f>
      </c>
      <c r="D17" s="5">
        <f t="shared" si="0"/>
      </c>
      <c r="E17" s="25">
        <f t="shared" si="1"/>
      </c>
      <c r="F17">
        <f t="shared" si="2"/>
      </c>
      <c r="G17">
        <f t="shared" si="3"/>
      </c>
    </row>
    <row r="18" spans="1:7" x14ac:dyDescent="0.3">
      <c r="A18" t="s">
        <v>140</v>
      </c>
      <c r="B18" s="5">
        <f>SUMIFS('Manual Actuals'!$C$2:$C$861,'Manual Actuals'!$D$2:$D$861,$A18,'Manual Actuals'!$H$2:$H$861,Setup!$B$4,'Manual Actuals'!$G$2:$G$861,"Yes")</f>
      </c>
      <c r="C18" s="5">
        <f>SUMIFS(bk_download!$L$2:$L$1902,bk_download!$H$2:$H$1902,$A18,bk_download!$K$2:$K$1902,Setup!$B$4,bk_download!$J$2:$J$1902,"Yes")</f>
      </c>
      <c r="D18" s="5">
        <f t="shared" si="0"/>
      </c>
      <c r="E18" s="25">
        <f t="shared" si="1"/>
      </c>
      <c r="F18">
        <f t="shared" si="2"/>
      </c>
      <c r="G18">
        <f t="shared" si="3"/>
      </c>
    </row>
    <row r="19" spans="1:7" x14ac:dyDescent="0.3">
      <c r="A19" t="s">
        <v>141</v>
      </c>
      <c r="B19" s="5">
        <f>SUMIFS('Manual Actuals'!$C$2:$C$861,'Manual Actuals'!$D$2:$D$861,$A19,'Manual Actuals'!$H$2:$H$861,Setup!$B$4,'Manual Actuals'!$G$2:$G$861,"Yes")</f>
      </c>
      <c r="C19" s="5">
        <f>SUMIFS(bk_download!$L$2:$L$1902,bk_download!$H$2:$H$1902,$A19,bk_download!$K$2:$K$1902,Setup!$B$4,bk_download!$J$2:$J$1902,"Yes")</f>
      </c>
      <c r="D19" s="5">
        <f t="shared" si="0"/>
      </c>
      <c r="E19" s="25">
        <f t="shared" si="1"/>
      </c>
      <c r="F19">
        <f t="shared" si="2"/>
      </c>
      <c r="G19">
        <f t="shared" si="3"/>
      </c>
    </row>
    <row r="20" spans="1:7" x14ac:dyDescent="0.3">
      <c r="A20" t="s">
        <v>116</v>
      </c>
      <c r="B20" s="5">
        <f>SUMIFS('Manual Actuals'!$C$2:$C$861,'Manual Actuals'!$D$2:$D$861,$A20,'Manual Actuals'!$H$2:$H$861,Setup!$B$4,'Manual Actuals'!$G$2:$G$861,"Yes")</f>
      </c>
      <c r="C20" s="5">
        <f>SUMIFS(bk_download!$L$2:$L$1902,bk_download!$H$2:$H$1902,$A20,bk_download!$K$2:$K$1902,Setup!$B$4,bk_download!$J$2:$J$1902,"Yes")</f>
      </c>
      <c r="D20" s="5">
        <f t="shared" si="0"/>
      </c>
      <c r="E20" s="25">
        <f t="shared" si="1"/>
      </c>
      <c r="F20">
        <f t="shared" si="2"/>
      </c>
      <c r="G20">
        <f t="shared" si="3"/>
      </c>
    </row>
    <row r="21" spans="1:7" x14ac:dyDescent="0.3">
      <c r="A21" t="s" s="38">
        <v>374</v>
      </c>
      <c r="B21" s="39">
        <f>SUM(B4:B20)</f>
      </c>
      <c r="C21" s="39">
        <f>SUM(C4:C20)</f>
      </c>
      <c r="D21" s="39">
        <f t="shared" si="0"/>
      </c>
      <c r="E21" s="40">
        <f t="shared" si="1"/>
      </c>
      <c r="F21" s="38">
        <f>IF(ABS(D21)&lt;=1,"Matched","Review")</f>
      </c>
      <c r="G21" s="38"/>
    </row>
  </sheetData>
  <mergeCells count="1">
    <mergeCell ref="A1:G1"/>
  </mergeCells>
  <conditionalFormatting sqref="F4:F21">
    <cfRule type="expression" dxfId="2" priority="1">
      <formula>F4="Matched"</formula>
    </cfRule>
    <cfRule type="expression" dxfId="1" priority="2">
      <formula>F4="Review"</formula>
    </cfRule>
    <cfRule type="expression" dxfId="0" priority="3">
      <formula>F4="Investigate"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topLeftCell="B1" workbookViewId="0">
      <pane ySplit="1" topLeftCell="A18" activePane="bottomLeft" state="frozen"/>
      <selection activeCell="C1" sqref="C1"/>
      <selection pane="bottomLeft" activeCell="B31" sqref="A1:N1902"/>
    </sheetView>
  </sheetViews>
  <sheetFormatPr defaultColWidth="8.88671875" defaultRowHeight="14.4" x14ac:dyDescent="0.3"/>
  <cols>
    <col min="1" max="1" width="15.33203125" customWidth="1"/>
    <col min="2" max="3" width="38.109375" customWidth="1"/>
    <col min="4" max="4" width="22.88671875" customWidth="1"/>
    <col min="5" max="5" width="12.109375" bestFit="1" customWidth="1"/>
    <col min="6" max="6" width="8.33203125" bestFit="1" customWidth="1"/>
    <col min="7" max="7" width="9" bestFit="1" customWidth="1"/>
    <col min="8" max="9" width="19" customWidth="1"/>
    <col min="10" max="10" width="8.5546875" bestFit="1" customWidth="1"/>
    <col min="11" max="11" width="9.5546875" bestFit="1" customWidth="1"/>
    <col min="12" max="12" width="19.109375" bestFit="1" customWidth="1"/>
    <col min="13" max="13" width="18.33203125" bestFit="1" customWidth="1"/>
    <col min="14" max="14" width="22.88671875" customWidth="1"/>
    <col min="15" max="15" width="38" customWidth="1"/>
    <col min="16" max="16" width="20" customWidth="1"/>
  </cols>
  <sheetData>
    <row r="1" spans="1:14" x14ac:dyDescent="0.3">
      <c r="A1" t="s" s="44">
        <v>300</v>
      </c>
      <c r="B1" t="s" s="45">
        <v>301</v>
      </c>
      <c r="C1" t="s" s="45">
        <v>375</v>
      </c>
      <c r="D1" t="s" s="45">
        <v>82</v>
      </c>
      <c r="E1" t="s" s="45">
        <v>376</v>
      </c>
      <c r="F1" t="s" s="45">
        <v>91</v>
      </c>
      <c r="G1" t="s" s="45">
        <v>143</v>
      </c>
      <c r="H1" t="s" s="45">
        <v>216</v>
      </c>
      <c r="I1" t="s" s="45">
        <v>223</v>
      </c>
      <c r="J1" t="s" s="45">
        <v>303</v>
      </c>
      <c r="K1" t="s" s="45">
        <v>304</v>
      </c>
      <c r="L1" t="s" s="45">
        <v>377</v>
      </c>
      <c r="M1" t="s" s="45">
        <v>378</v>
      </c>
      <c r="N1" t="s" s="45">
        <v>379</v>
      </c>
    </row>
    <row r="2" spans="1:14" x14ac:dyDescent="0.3">
      <c r="A2" s="79">
        <v>46241</v>
      </c>
      <c r="B2" t="s">
        <v>402</v>
      </c>
      <c r="C2" t="s" s="16">
        <v>402</v>
      </c>
      <c r="D2" t="s">
        <v>255</v>
      </c>
      <c r="E2" s="80">
        <v>-101.8</v>
      </c>
      <c r="F2" t="s">
        <v>380</v>
      </c>
      <c r="G2" t="s" s="5">
        <v>158</v>
      </c>
      <c r="H2" t="s">
        <v>108</v>
      </c>
      <c r="I2" t="s">
        <v>154</v>
      </c>
      <c r="J2" t="s">
        <v>238</v>
      </c>
      <c r="K2" t="s" s="4">
        <v>181</v>
      </c>
      <c r="L2" s="81">
        <v>0</v>
      </c>
      <c r="M2" s="82">
        <v>0</v>
      </c>
      <c r="N2" t="s">
        <v>451</v>
      </c>
    </row>
    <row r="3" spans="1:14" x14ac:dyDescent="0.3">
      <c r="A3" s="83">
        <v>46241</v>
      </c>
      <c r="B3" t="s">
        <v>403</v>
      </c>
      <c r="C3" t="s" s="16">
        <v>403</v>
      </c>
      <c r="D3" t="s">
        <v>255</v>
      </c>
      <c r="E3" s="84">
        <v>-6.25</v>
      </c>
      <c r="F3" t="s">
        <v>380</v>
      </c>
      <c r="G3" t="s" s="5">
        <v>158</v>
      </c>
      <c r="H3" t="s">
        <v>100</v>
      </c>
      <c r="I3" t="s">
        <v>187</v>
      </c>
      <c r="J3" t="s">
        <v>238</v>
      </c>
      <c r="K3" t="s" s="4">
        <v>181</v>
      </c>
      <c r="L3" s="85">
        <v>0</v>
      </c>
      <c r="M3" s="86">
        <v>0</v>
      </c>
      <c r="N3" t="s">
        <v>451</v>
      </c>
    </row>
    <row r="4" spans="1:14" x14ac:dyDescent="0.3">
      <c r="A4" s="87">
        <v>46241</v>
      </c>
      <c r="B4" t="s">
        <v>405</v>
      </c>
      <c r="C4" t="s" s="16">
        <v>405</v>
      </c>
      <c r="D4" t="s">
        <v>255</v>
      </c>
      <c r="E4" s="88">
        <v>-250</v>
      </c>
      <c r="F4" t="s">
        <v>380</v>
      </c>
      <c r="G4" t="s" s="5">
        <v>158</v>
      </c>
      <c r="H4" t="s">
        <v>92</v>
      </c>
      <c r="I4" t="s">
        <v>206</v>
      </c>
      <c r="J4" t="s">
        <v>238</v>
      </c>
      <c r="K4" t="s" s="4">
        <v>181</v>
      </c>
      <c r="L4" s="89">
        <v>0</v>
      </c>
      <c r="M4" s="90">
        <v>0</v>
      </c>
      <c r="N4" t="s">
        <v>451</v>
      </c>
    </row>
    <row r="5" spans="1:14" x14ac:dyDescent="0.3">
      <c r="A5" s="91">
        <v>46241</v>
      </c>
      <c r="B5" t="s">
        <v>385</v>
      </c>
      <c r="C5" t="s" s="16">
        <v>406</v>
      </c>
      <c r="D5" t="s">
        <v>269</v>
      </c>
      <c r="E5" s="92">
        <v>-154.67</v>
      </c>
      <c r="F5" t="s">
        <v>381</v>
      </c>
      <c r="G5" t="s" s="5">
        <v>158</v>
      </c>
      <c r="H5" t="s">
        <v>96</v>
      </c>
      <c r="I5" t="s">
        <v>198</v>
      </c>
      <c r="J5" t="s">
        <v>220</v>
      </c>
      <c r="K5" t="s" s="4">
        <v>181</v>
      </c>
      <c r="L5" s="93">
        <v>154.67</v>
      </c>
      <c r="M5" s="94">
        <v>0</v>
      </c>
      <c r="N5" t="s">
        <v>452</v>
      </c>
    </row>
    <row r="6" spans="1:14" x14ac:dyDescent="0.3">
      <c r="A6" s="95">
        <v>46241</v>
      </c>
      <c r="B6" t="s">
        <v>390</v>
      </c>
      <c r="C6" t="s" s="16">
        <v>391</v>
      </c>
      <c r="D6" t="s">
        <v>278</v>
      </c>
      <c r="E6" s="96">
        <v>464</v>
      </c>
      <c r="F6" t="s">
        <v>381</v>
      </c>
      <c r="G6" t="s" s="5">
        <v>158</v>
      </c>
      <c r="H6" t="s">
        <v>237</v>
      </c>
      <c r="I6" t="s">
        <v>237</v>
      </c>
      <c r="J6" t="s">
        <v>238</v>
      </c>
      <c r="K6" t="s" s="4">
        <v>181</v>
      </c>
      <c r="L6" s="97">
        <v>0</v>
      </c>
      <c r="M6" s="98">
        <v>0</v>
      </c>
      <c r="N6" t="s">
        <v>452</v>
      </c>
    </row>
    <row r="7" spans="1:14" x14ac:dyDescent="0.3">
      <c r="A7" s="99">
        <v>46240</v>
      </c>
      <c r="B7" t="s">
        <v>404</v>
      </c>
      <c r="C7" t="s" s="16">
        <v>404</v>
      </c>
      <c r="D7" t="s">
        <v>255</v>
      </c>
      <c r="E7" s="100">
        <v>-80.55</v>
      </c>
      <c r="F7" t="s">
        <v>380</v>
      </c>
      <c r="G7" t="s" s="5">
        <v>158</v>
      </c>
      <c r="H7" t="s">
        <v>104</v>
      </c>
      <c r="I7" t="s">
        <v>169</v>
      </c>
      <c r="J7" t="s">
        <v>238</v>
      </c>
      <c r="K7" t="s" s="4">
        <v>181</v>
      </c>
      <c r="L7" s="101">
        <v>0</v>
      </c>
      <c r="M7" s="102">
        <v>0</v>
      </c>
      <c r="N7" t="s">
        <v>451</v>
      </c>
    </row>
    <row r="8" spans="1:14" x14ac:dyDescent="0.3">
      <c r="A8" s="103">
        <v>46240</v>
      </c>
      <c r="B8" t="s">
        <v>387</v>
      </c>
      <c r="C8" t="s" s="16">
        <v>388</v>
      </c>
      <c r="D8" t="s">
        <v>278</v>
      </c>
      <c r="E8" s="104">
        <v>-199.51</v>
      </c>
      <c r="F8" t="s">
        <v>381</v>
      </c>
      <c r="G8" t="s" s="5">
        <v>158</v>
      </c>
      <c r="H8" t="s">
        <v>237</v>
      </c>
      <c r="I8" t="s">
        <v>237</v>
      </c>
      <c r="J8" t="s">
        <v>238</v>
      </c>
      <c r="K8" t="s" s="4">
        <v>181</v>
      </c>
      <c r="L8" s="105">
        <v>0</v>
      </c>
      <c r="M8" s="106">
        <v>0</v>
      </c>
      <c r="N8" t="s">
        <v>452</v>
      </c>
    </row>
    <row r="9" spans="1:14" x14ac:dyDescent="0.3">
      <c r="A9" s="107">
        <v>46239</v>
      </c>
      <c r="B9" t="s">
        <v>227</v>
      </c>
      <c r="C9" t="s" s="16">
        <v>407</v>
      </c>
      <c r="D9" t="s">
        <v>96</v>
      </c>
      <c r="E9" s="108">
        <v>-362.14</v>
      </c>
      <c r="F9" t="s">
        <v>381</v>
      </c>
      <c r="G9" t="s" s="5">
        <v>158</v>
      </c>
      <c r="H9" t="s">
        <v>96</v>
      </c>
      <c r="I9" t="s">
        <v>145</v>
      </c>
      <c r="J9" t="s">
        <v>220</v>
      </c>
      <c r="K9" t="s" s="4">
        <v>181</v>
      </c>
      <c r="L9" s="109">
        <v>362.14</v>
      </c>
      <c r="M9" s="110">
        <v>0</v>
      </c>
      <c r="N9" t="s">
        <v>452</v>
      </c>
    </row>
    <row r="10" spans="1:14" x14ac:dyDescent="0.3">
      <c r="A10" s="111">
        <v>46239</v>
      </c>
      <c r="B10" t="s">
        <v>227</v>
      </c>
      <c r="C10" t="s" s="16">
        <v>408</v>
      </c>
      <c r="D10" t="s">
        <v>96</v>
      </c>
      <c r="E10" s="112">
        <v>-38.03</v>
      </c>
      <c r="F10" t="s">
        <v>381</v>
      </c>
      <c r="G10" t="s" s="5">
        <v>158</v>
      </c>
      <c r="H10" t="s">
        <v>96</v>
      </c>
      <c r="I10" t="s">
        <v>145</v>
      </c>
      <c r="J10" t="s">
        <v>220</v>
      </c>
      <c r="K10" t="s" s="4">
        <v>181</v>
      </c>
      <c r="L10" s="113">
        <v>38.03</v>
      </c>
      <c r="M10" s="114">
        <v>0</v>
      </c>
      <c r="N10" t="s">
        <v>452</v>
      </c>
    </row>
    <row r="11" spans="1:14" x14ac:dyDescent="0.3">
      <c r="A11" s="115">
        <v>46239</v>
      </c>
      <c r="B11" t="s">
        <v>383</v>
      </c>
      <c r="C11" t="s" s="16">
        <v>384</v>
      </c>
      <c r="D11" t="s">
        <v>147</v>
      </c>
      <c r="E11" s="116">
        <v>-135.25</v>
      </c>
      <c r="F11" t="s">
        <v>381</v>
      </c>
      <c r="G11" t="s" s="5">
        <v>158</v>
      </c>
      <c r="H11" t="s">
        <v>104</v>
      </c>
      <c r="I11" t="s">
        <v>147</v>
      </c>
      <c r="J11" t="s">
        <v>220</v>
      </c>
      <c r="K11" t="s" s="4">
        <v>181</v>
      </c>
      <c r="L11" s="117">
        <v>135.25</v>
      </c>
      <c r="M11" s="118">
        <v>0</v>
      </c>
      <c r="N11" t="s">
        <v>452</v>
      </c>
    </row>
    <row r="12" spans="1:14" x14ac:dyDescent="0.3">
      <c r="A12" s="119">
        <v>46239</v>
      </c>
      <c r="B12" t="s">
        <v>399</v>
      </c>
      <c r="C12" t="s" s="16">
        <v>409</v>
      </c>
      <c r="D12" t="s">
        <v>275</v>
      </c>
      <c r="E12" s="120">
        <v>-41.59</v>
      </c>
      <c r="F12" t="s">
        <v>381</v>
      </c>
      <c r="G12" t="s" s="5">
        <v>158</v>
      </c>
      <c r="H12" t="s">
        <v>104</v>
      </c>
      <c r="I12" t="s">
        <v>169</v>
      </c>
      <c r="J12" t="s">
        <v>220</v>
      </c>
      <c r="K12" t="s" s="4">
        <v>181</v>
      </c>
      <c r="L12" s="121">
        <v>41.59</v>
      </c>
      <c r="M12" s="122">
        <v>0</v>
      </c>
      <c r="N12" t="s">
        <v>452</v>
      </c>
    </row>
    <row r="13" spans="1:14" x14ac:dyDescent="0.3">
      <c r="A13" s="123">
        <v>46238</v>
      </c>
      <c r="B13" t="s">
        <v>392</v>
      </c>
      <c r="C13" t="s" s="16">
        <v>410</v>
      </c>
      <c r="D13" t="s">
        <v>259</v>
      </c>
      <c r="E13" s="124">
        <v>-14.16</v>
      </c>
      <c r="F13" t="s">
        <v>381</v>
      </c>
      <c r="G13" t="s" s="5">
        <v>158</v>
      </c>
      <c r="H13" t="s">
        <v>104</v>
      </c>
      <c r="I13" t="s">
        <v>169</v>
      </c>
      <c r="J13" t="s">
        <v>220</v>
      </c>
      <c r="K13" t="s" s="4">
        <v>181</v>
      </c>
      <c r="L13" s="125">
        <v>14.16</v>
      </c>
      <c r="M13" s="126">
        <v>0</v>
      </c>
      <c r="N13" t="s">
        <v>452</v>
      </c>
    </row>
    <row r="14" spans="1:14" x14ac:dyDescent="0.3">
      <c r="A14" s="127">
        <v>46238</v>
      </c>
      <c r="B14" t="s">
        <v>390</v>
      </c>
      <c r="C14" t="s" s="16">
        <v>391</v>
      </c>
      <c r="D14" t="s">
        <v>278</v>
      </c>
      <c r="E14" s="128">
        <v>2500</v>
      </c>
      <c r="F14" t="s">
        <v>381</v>
      </c>
      <c r="G14" t="s" s="5">
        <v>158</v>
      </c>
      <c r="H14" t="s">
        <v>237</v>
      </c>
      <c r="I14" t="s">
        <v>237</v>
      </c>
      <c r="J14" t="s">
        <v>238</v>
      </c>
      <c r="K14" t="s" s="4">
        <v>181</v>
      </c>
      <c r="L14" s="129">
        <v>0</v>
      </c>
      <c r="M14" s="130">
        <v>0</v>
      </c>
      <c r="N14" t="s">
        <v>452</v>
      </c>
    </row>
    <row r="15" spans="1:14" x14ac:dyDescent="0.3">
      <c r="A15" s="131">
        <v>46237</v>
      </c>
      <c r="B15" t="s">
        <v>383</v>
      </c>
      <c r="C15" t="s" s="16">
        <v>384</v>
      </c>
      <c r="D15" t="s">
        <v>147</v>
      </c>
      <c r="E15" s="132">
        <v>-114.89</v>
      </c>
      <c r="F15" t="s">
        <v>381</v>
      </c>
      <c r="G15" t="s" s="5">
        <v>158</v>
      </c>
      <c r="H15" t="s">
        <v>104</v>
      </c>
      <c r="I15" t="s">
        <v>147</v>
      </c>
      <c r="J15" t="s">
        <v>220</v>
      </c>
      <c r="K15" t="s" s="4">
        <v>181</v>
      </c>
      <c r="L15" s="133">
        <v>114.89</v>
      </c>
      <c r="M15" s="134">
        <v>0</v>
      </c>
      <c r="N15" t="s">
        <v>452</v>
      </c>
    </row>
    <row r="16" spans="1:14" x14ac:dyDescent="0.3">
      <c r="A16" s="135">
        <v>46237</v>
      </c>
      <c r="B16" t="s">
        <v>393</v>
      </c>
      <c r="C16" t="s" s="16">
        <v>394</v>
      </c>
      <c r="D16" t="s">
        <v>275</v>
      </c>
      <c r="E16" s="136">
        <v>-99.07</v>
      </c>
      <c r="F16" t="s">
        <v>381</v>
      </c>
      <c r="G16" t="s" s="5">
        <v>158</v>
      </c>
      <c r="H16" t="s">
        <v>104</v>
      </c>
      <c r="I16" t="s">
        <v>169</v>
      </c>
      <c r="J16" t="s">
        <v>220</v>
      </c>
      <c r="K16" t="s" s="4">
        <v>181</v>
      </c>
      <c r="L16" s="137">
        <v>99.07</v>
      </c>
      <c r="M16" s="138">
        <v>0</v>
      </c>
      <c r="N16" t="s">
        <v>452</v>
      </c>
    </row>
    <row r="17" spans="1:14" x14ac:dyDescent="0.3">
      <c r="A17" s="139">
        <v>46237</v>
      </c>
      <c r="B17" t="s">
        <v>396</v>
      </c>
      <c r="C17" t="s" s="16">
        <v>397</v>
      </c>
      <c r="D17" t="s">
        <v>249</v>
      </c>
      <c r="E17" s="140">
        <v>-35.71</v>
      </c>
      <c r="F17" t="s">
        <v>381</v>
      </c>
      <c r="G17" t="s" s="5">
        <v>158</v>
      </c>
      <c r="H17" t="s">
        <v>104</v>
      </c>
      <c r="I17" t="s">
        <v>169</v>
      </c>
      <c r="J17" t="s">
        <v>220</v>
      </c>
      <c r="K17" t="s" s="4">
        <v>181</v>
      </c>
      <c r="L17" s="141">
        <v>35.71</v>
      </c>
      <c r="M17" s="142">
        <v>0</v>
      </c>
      <c r="N17" t="s">
        <v>452</v>
      </c>
    </row>
    <row r="18" spans="1:14" x14ac:dyDescent="0.3">
      <c r="A18" s="143">
        <v>46237</v>
      </c>
      <c r="B18" t="s">
        <v>411</v>
      </c>
      <c r="C18" t="s" s="16">
        <v>412</v>
      </c>
      <c r="D18" t="s">
        <v>272</v>
      </c>
      <c r="E18" s="144">
        <v>-25.41</v>
      </c>
      <c r="F18" t="s">
        <v>381</v>
      </c>
      <c r="G18" t="s" s="5">
        <v>158</v>
      </c>
      <c r="H18" t="s">
        <v>113</v>
      </c>
      <c r="I18" t="s">
        <v>113</v>
      </c>
      <c r="J18" t="s">
        <v>220</v>
      </c>
      <c r="K18" t="s" s="4">
        <v>181</v>
      </c>
      <c r="L18" s="145">
        <v>25.41</v>
      </c>
      <c r="M18" s="146">
        <v>0</v>
      </c>
      <c r="N18" t="s">
        <v>452</v>
      </c>
    </row>
    <row r="19" spans="1:14" x14ac:dyDescent="0.3">
      <c r="A19" s="147">
        <v>46237</v>
      </c>
      <c r="B19" t="s">
        <v>386</v>
      </c>
      <c r="C19" t="s" s="16">
        <v>413</v>
      </c>
      <c r="D19" t="s">
        <v>207</v>
      </c>
      <c r="E19" s="148">
        <v>-12.81</v>
      </c>
      <c r="F19" t="s">
        <v>381</v>
      </c>
      <c r="G19" t="s" s="5">
        <v>158</v>
      </c>
      <c r="H19" t="s">
        <v>100</v>
      </c>
      <c r="I19" t="s">
        <v>187</v>
      </c>
      <c r="J19" t="s">
        <v>220</v>
      </c>
      <c r="K19" t="s" s="4">
        <v>181</v>
      </c>
      <c r="L19" s="149">
        <v>12.81</v>
      </c>
      <c r="M19" s="150">
        <v>0</v>
      </c>
      <c r="N19" t="s">
        <v>452</v>
      </c>
    </row>
    <row r="20" spans="1:14" x14ac:dyDescent="0.3">
      <c r="A20" s="151">
        <v>46237</v>
      </c>
      <c r="B20" t="s">
        <v>414</v>
      </c>
      <c r="C20" t="s" s="16">
        <v>415</v>
      </c>
      <c r="D20" t="s">
        <v>277</v>
      </c>
      <c r="E20" s="152">
        <v>-11.64</v>
      </c>
      <c r="F20" t="s">
        <v>381</v>
      </c>
      <c r="G20" t="s" s="5">
        <v>158</v>
      </c>
      <c r="H20" t="s">
        <v>116</v>
      </c>
      <c r="I20" t="s">
        <v>179</v>
      </c>
      <c r="J20" t="s">
        <v>220</v>
      </c>
      <c r="K20" t="s" s="4">
        <v>181</v>
      </c>
      <c r="L20" s="153">
        <v>11.64</v>
      </c>
      <c r="M20" s="154">
        <v>0</v>
      </c>
      <c r="N20" t="s">
        <v>452</v>
      </c>
    </row>
    <row r="21" spans="1:14" x14ac:dyDescent="0.3">
      <c r="A21" s="155">
        <v>46237</v>
      </c>
      <c r="B21" t="s">
        <v>386</v>
      </c>
      <c r="C21" t="s" s="16">
        <v>413</v>
      </c>
      <c r="D21" t="s">
        <v>207</v>
      </c>
      <c r="E21" s="156">
        <v>-4.52</v>
      </c>
      <c r="F21" t="s">
        <v>381</v>
      </c>
      <c r="G21" t="s" s="5">
        <v>158</v>
      </c>
      <c r="H21" t="s">
        <v>100</v>
      </c>
      <c r="I21" t="s">
        <v>187</v>
      </c>
      <c r="J21" t="s">
        <v>220</v>
      </c>
      <c r="K21" t="s" s="4">
        <v>181</v>
      </c>
      <c r="L21" s="157">
        <v>4.52</v>
      </c>
      <c r="M21" s="158">
        <v>0</v>
      </c>
      <c r="N21" t="s">
        <v>452</v>
      </c>
    </row>
    <row r="22" spans="1:14" x14ac:dyDescent="0.3">
      <c r="A22" s="159">
        <v>46233</v>
      </c>
      <c r="B22" t="s">
        <v>305</v>
      </c>
      <c r="C22" t="s" s="16">
        <v>398</v>
      </c>
      <c r="D22" t="s">
        <v>96</v>
      </c>
      <c r="E22" s="160">
        <v>-121</v>
      </c>
      <c r="F22" t="s">
        <v>381</v>
      </c>
      <c r="G22" t="s" s="5">
        <v>158</v>
      </c>
      <c r="H22" t="s">
        <v>96</v>
      </c>
      <c r="I22" t="s">
        <v>167</v>
      </c>
      <c r="J22" t="s">
        <v>220</v>
      </c>
      <c r="K22" t="s" s="4">
        <v>181</v>
      </c>
      <c r="L22" s="161">
        <v>121</v>
      </c>
      <c r="M22" s="162">
        <v>0</v>
      </c>
      <c r="N22" t="s">
        <v>452</v>
      </c>
    </row>
    <row r="23" spans="1:14" x14ac:dyDescent="0.3">
      <c r="A23" s="163">
        <v>46233</v>
      </c>
      <c r="B23" t="s">
        <v>416</v>
      </c>
      <c r="C23" t="s" s="16">
        <v>417</v>
      </c>
      <c r="D23" t="s">
        <v>418</v>
      </c>
      <c r="E23" s="164">
        <v>-82.99</v>
      </c>
      <c r="F23" t="s">
        <v>381</v>
      </c>
      <c r="G23" t="s" s="5">
        <v>158</v>
      </c>
      <c r="H23" t="s">
        <v>114</v>
      </c>
      <c r="I23" t="s">
        <v>151</v>
      </c>
      <c r="J23" t="s">
        <v>220</v>
      </c>
      <c r="K23" t="s" s="4">
        <v>181</v>
      </c>
      <c r="L23" s="165">
        <v>82.99</v>
      </c>
      <c r="M23" s="166">
        <v>0</v>
      </c>
      <c r="N23" t="s">
        <v>452</v>
      </c>
    </row>
    <row r="24" spans="1:14" x14ac:dyDescent="0.3">
      <c r="A24" s="167">
        <v>46232</v>
      </c>
      <c r="B24" t="s">
        <v>419</v>
      </c>
      <c r="C24" t="s" s="16">
        <v>420</v>
      </c>
      <c r="D24" t="s">
        <v>262</v>
      </c>
      <c r="E24" s="168">
        <v>-16.5</v>
      </c>
      <c r="F24" t="s">
        <v>381</v>
      </c>
      <c r="G24" t="s" s="5">
        <v>158</v>
      </c>
      <c r="H24" t="s">
        <v>104</v>
      </c>
      <c r="I24" t="s">
        <v>169</v>
      </c>
      <c r="J24" t="s">
        <v>220</v>
      </c>
      <c r="K24" t="s" s="4">
        <v>181</v>
      </c>
      <c r="L24" s="169">
        <v>16.5</v>
      </c>
      <c r="M24" s="170">
        <v>0</v>
      </c>
      <c r="N24" t="s">
        <v>452</v>
      </c>
    </row>
    <row r="25" spans="1:14" x14ac:dyDescent="0.3">
      <c r="A25" s="171">
        <v>46232</v>
      </c>
      <c r="B25" t="s">
        <v>421</v>
      </c>
      <c r="C25" t="s" s="16">
        <v>422</v>
      </c>
      <c r="D25" t="s">
        <v>256</v>
      </c>
      <c r="E25" s="172">
        <v>-3.97</v>
      </c>
      <c r="F25" t="s">
        <v>381</v>
      </c>
      <c r="G25" t="s" s="5">
        <v>158</v>
      </c>
      <c r="H25" t="s">
        <v>104</v>
      </c>
      <c r="I25" t="s">
        <v>169</v>
      </c>
      <c r="J25" t="s">
        <v>220</v>
      </c>
      <c r="K25" t="s" s="4">
        <v>181</v>
      </c>
      <c r="L25" s="173">
        <v>3.97</v>
      </c>
      <c r="M25" s="174">
        <v>0</v>
      </c>
      <c r="N25" t="s">
        <v>452</v>
      </c>
    </row>
    <row r="26" spans="1:14" x14ac:dyDescent="0.3">
      <c r="A26" s="175">
        <v>46232</v>
      </c>
      <c r="B26" t="s">
        <v>400</v>
      </c>
      <c r="C26" t="s" s="16">
        <v>401</v>
      </c>
      <c r="D26" t="s">
        <v>274</v>
      </c>
      <c r="E26" s="176">
        <v>758.37</v>
      </c>
      <c r="F26" t="s">
        <v>381</v>
      </c>
      <c r="G26" t="s" s="5">
        <v>158</v>
      </c>
      <c r="H26" t="s">
        <v>235</v>
      </c>
      <c r="I26" t="s">
        <v>244</v>
      </c>
      <c r="J26" t="s">
        <v>238</v>
      </c>
      <c r="K26" t="s" s="4">
        <v>181</v>
      </c>
      <c r="L26" s="177">
        <v>0</v>
      </c>
      <c r="M26" s="178">
        <v>0</v>
      </c>
      <c r="N26" t="s">
        <v>452</v>
      </c>
    </row>
    <row r="27" spans="1:14" x14ac:dyDescent="0.3">
      <c r="A27" s="179">
        <v>46231</v>
      </c>
      <c r="B27" t="s">
        <v>416</v>
      </c>
      <c r="C27" t="s" s="16">
        <v>417</v>
      </c>
      <c r="D27" t="s">
        <v>418</v>
      </c>
      <c r="E27" s="180">
        <v>-29.99</v>
      </c>
      <c r="F27" t="s">
        <v>381</v>
      </c>
      <c r="G27" t="s" s="5">
        <v>158</v>
      </c>
      <c r="H27" t="s">
        <v>114</v>
      </c>
      <c r="I27" t="s">
        <v>151</v>
      </c>
      <c r="J27" t="s">
        <v>220</v>
      </c>
      <c r="K27" t="s" s="4">
        <v>448</v>
      </c>
      <c r="L27" s="181">
        <v>29.99</v>
      </c>
      <c r="M27" s="182">
        <v>0</v>
      </c>
      <c r="N27" t="s">
        <v>452</v>
      </c>
    </row>
    <row r="28" spans="1:14" x14ac:dyDescent="0.3">
      <c r="A28" s="183">
        <v>46231</v>
      </c>
      <c r="B28" t="s">
        <v>423</v>
      </c>
      <c r="C28" t="s" s="16">
        <v>424</v>
      </c>
      <c r="D28" t="s">
        <v>207</v>
      </c>
      <c r="E28" s="184">
        <v>-11.36</v>
      </c>
      <c r="F28" t="s">
        <v>381</v>
      </c>
      <c r="G28" t="s" s="5">
        <v>158</v>
      </c>
      <c r="H28" t="s">
        <v>100</v>
      </c>
      <c r="I28" t="s">
        <v>187</v>
      </c>
      <c r="J28" t="s">
        <v>220</v>
      </c>
      <c r="K28" t="s" s="4">
        <v>448</v>
      </c>
      <c r="L28" s="185">
        <v>11.36</v>
      </c>
      <c r="M28" s="186">
        <v>0</v>
      </c>
      <c r="N28" t="s">
        <v>452</v>
      </c>
    </row>
    <row r="29" spans="1:14" x14ac:dyDescent="0.3">
      <c r="A29" s="187">
        <v>46230</v>
      </c>
      <c r="B29" t="s">
        <v>395</v>
      </c>
      <c r="C29" t="s" s="16">
        <v>382</v>
      </c>
      <c r="D29" t="s">
        <v>278</v>
      </c>
      <c r="E29" s="188">
        <v>-200</v>
      </c>
      <c r="F29" t="s">
        <v>381</v>
      </c>
      <c r="G29" t="s" s="5">
        <v>158</v>
      </c>
      <c r="H29" t="s">
        <v>237</v>
      </c>
      <c r="I29" t="s">
        <v>237</v>
      </c>
      <c r="J29" t="s">
        <v>238</v>
      </c>
      <c r="K29" t="s" s="4">
        <v>448</v>
      </c>
      <c r="L29" s="189">
        <v>0</v>
      </c>
      <c r="M29" s="190">
        <v>0</v>
      </c>
      <c r="N29" t="s">
        <v>452</v>
      </c>
    </row>
    <row r="30" spans="1:14" x14ac:dyDescent="0.3">
      <c r="A30" s="191">
        <v>46230</v>
      </c>
      <c r="B30" t="s">
        <v>425</v>
      </c>
      <c r="C30" t="s" s="16">
        <v>426</v>
      </c>
      <c r="D30" t="s">
        <v>427</v>
      </c>
      <c r="E30" s="192">
        <v>-119.9</v>
      </c>
      <c r="F30" t="s">
        <v>381</v>
      </c>
      <c r="G30" t="s" s="5">
        <v>158</v>
      </c>
      <c r="H30" t="s">
        <v>116</v>
      </c>
      <c r="I30" t="s">
        <v>202</v>
      </c>
      <c r="J30" t="s">
        <v>220</v>
      </c>
      <c r="K30" t="s" s="4">
        <v>448</v>
      </c>
      <c r="L30" s="193">
        <v>119.9</v>
      </c>
      <c r="M30" s="194">
        <v>0</v>
      </c>
      <c r="N30" t="s">
        <v>453</v>
      </c>
    </row>
    <row r="31" spans="1:14" x14ac:dyDescent="0.3">
      <c r="A31" s="195">
        <v>46230</v>
      </c>
      <c r="B31" t="s">
        <v>387</v>
      </c>
      <c r="C31" t="s" s="16">
        <v>388</v>
      </c>
      <c r="D31" t="s">
        <v>278</v>
      </c>
      <c r="E31" s="196">
        <v>-100</v>
      </c>
      <c r="F31" t="s">
        <v>381</v>
      </c>
      <c r="G31" t="s" s="5">
        <v>158</v>
      </c>
      <c r="H31" t="s">
        <v>237</v>
      </c>
      <c r="I31" t="s">
        <v>237</v>
      </c>
      <c r="J31" t="s">
        <v>238</v>
      </c>
      <c r="K31" t="s" s="4">
        <v>448</v>
      </c>
      <c r="L31" s="197">
        <v>0</v>
      </c>
      <c r="M31" s="198">
        <v>0</v>
      </c>
      <c r="N31" t="s">
        <v>452</v>
      </c>
    </row>
    <row r="32" spans="1:14" x14ac:dyDescent="0.3">
      <c r="A32" s="199">
        <v>46230</v>
      </c>
      <c r="B32" t="s">
        <v>428</v>
      </c>
      <c r="C32" t="s" s="16">
        <v>429</v>
      </c>
      <c r="D32" t="s">
        <v>430</v>
      </c>
      <c r="E32" s="200">
        <v>-55.38</v>
      </c>
      <c r="F32" t="s">
        <v>381</v>
      </c>
      <c r="G32" t="s" s="5">
        <v>158</v>
      </c>
      <c r="H32" t="s">
        <v>116</v>
      </c>
      <c r="I32" t="s">
        <v>202</v>
      </c>
      <c r="J32" t="s">
        <v>220</v>
      </c>
      <c r="K32" t="s" s="4">
        <v>448</v>
      </c>
      <c r="L32" s="201">
        <v>55.38</v>
      </c>
      <c r="M32" s="202">
        <v>0</v>
      </c>
      <c r="N32" t="s">
        <v>453</v>
      </c>
    </row>
    <row r="33" spans="1:14" x14ac:dyDescent="0.3">
      <c r="A33" s="203">
        <v>46230</v>
      </c>
      <c r="B33" t="s">
        <v>389</v>
      </c>
      <c r="C33" t="s" s="16">
        <v>431</v>
      </c>
      <c r="D33" t="s">
        <v>262</v>
      </c>
      <c r="E33" s="204">
        <v>-51.38</v>
      </c>
      <c r="F33" t="s">
        <v>381</v>
      </c>
      <c r="G33" t="s" s="5">
        <v>158</v>
      </c>
      <c r="H33" t="s">
        <v>104</v>
      </c>
      <c r="I33" t="s">
        <v>169</v>
      </c>
      <c r="J33" t="s">
        <v>220</v>
      </c>
      <c r="K33" t="s" s="4">
        <v>448</v>
      </c>
      <c r="L33" s="205">
        <v>51.38</v>
      </c>
      <c r="M33" s="206">
        <v>0</v>
      </c>
      <c r="N33" t="s">
        <v>452</v>
      </c>
    </row>
    <row r="34" spans="1:14" x14ac:dyDescent="0.3">
      <c r="A34" s="207">
        <v>46230</v>
      </c>
      <c r="B34" t="s">
        <v>432</v>
      </c>
      <c r="C34" t="s" s="16">
        <v>433</v>
      </c>
      <c r="D34" t="s">
        <v>434</v>
      </c>
      <c r="E34" s="208">
        <v>-35</v>
      </c>
      <c r="F34" t="s">
        <v>381</v>
      </c>
      <c r="G34" t="s" s="5">
        <v>158</v>
      </c>
      <c r="H34" t="s">
        <v>116</v>
      </c>
      <c r="I34" t="s">
        <v>202</v>
      </c>
      <c r="J34" t="s">
        <v>220</v>
      </c>
      <c r="K34" t="s" s="4">
        <v>448</v>
      </c>
      <c r="L34" s="209">
        <v>35</v>
      </c>
      <c r="M34" s="210">
        <v>0</v>
      </c>
      <c r="N34" t="s">
        <v>453</v>
      </c>
    </row>
    <row r="35" spans="1:14" x14ac:dyDescent="0.3">
      <c r="A35" s="211">
        <v>46230</v>
      </c>
      <c r="B35" t="s">
        <v>435</v>
      </c>
      <c r="C35" t="s" s="16">
        <v>436</v>
      </c>
      <c r="D35" t="s">
        <v>259</v>
      </c>
      <c r="E35" s="212">
        <v>-31.26</v>
      </c>
      <c r="F35" t="s">
        <v>381</v>
      </c>
      <c r="G35" t="s" s="5">
        <v>158</v>
      </c>
      <c r="H35" t="s">
        <v>104</v>
      </c>
      <c r="I35" t="s">
        <v>169</v>
      </c>
      <c r="J35" t="s">
        <v>220</v>
      </c>
      <c r="K35" t="s" s="4">
        <v>448</v>
      </c>
      <c r="L35" s="213">
        <v>31.26</v>
      </c>
      <c r="M35" s="214">
        <v>0</v>
      </c>
      <c r="N35" t="s">
        <v>452</v>
      </c>
    </row>
    <row r="36" spans="1:14" x14ac:dyDescent="0.3">
      <c r="A36" s="215">
        <v>46230</v>
      </c>
      <c r="B36" t="s">
        <v>437</v>
      </c>
      <c r="C36" t="s" s="16">
        <v>438</v>
      </c>
      <c r="D36" t="s">
        <v>439</v>
      </c>
      <c r="E36" s="216">
        <v>-24.15</v>
      </c>
      <c r="F36" t="s">
        <v>381</v>
      </c>
      <c r="G36" t="s" s="5">
        <v>158</v>
      </c>
      <c r="H36" t="s">
        <v>116</v>
      </c>
      <c r="I36" t="s">
        <v>202</v>
      </c>
      <c r="J36" t="s">
        <v>220</v>
      </c>
      <c r="K36" t="s" s="4">
        <v>448</v>
      </c>
      <c r="L36" s="217">
        <v>24.15</v>
      </c>
      <c r="M36" s="218">
        <v>0</v>
      </c>
      <c r="N36" t="s">
        <v>453</v>
      </c>
    </row>
    <row r="37" spans="1:14" x14ac:dyDescent="0.3">
      <c r="A37" s="219">
        <v>46230</v>
      </c>
      <c r="B37" t="s">
        <v>437</v>
      </c>
      <c r="C37" t="s" s="16">
        <v>438</v>
      </c>
      <c r="D37" t="s">
        <v>439</v>
      </c>
      <c r="E37" s="220">
        <v>-24.15</v>
      </c>
      <c r="F37" t="s">
        <v>381</v>
      </c>
      <c r="G37" t="s" s="5">
        <v>158</v>
      </c>
      <c r="H37" t="s">
        <v>116</v>
      </c>
      <c r="I37" t="s">
        <v>202</v>
      </c>
      <c r="J37" t="s">
        <v>220</v>
      </c>
      <c r="K37" t="s" s="4">
        <v>448</v>
      </c>
      <c r="L37" s="221">
        <v>24.15</v>
      </c>
      <c r="M37" s="222">
        <v>0</v>
      </c>
      <c r="N37" t="s">
        <v>453</v>
      </c>
    </row>
    <row r="38" spans="1:14" x14ac:dyDescent="0.3">
      <c r="A38" s="223">
        <v>46230</v>
      </c>
      <c r="B38" t="s">
        <v>440</v>
      </c>
      <c r="C38" t="s" s="16">
        <v>441</v>
      </c>
      <c r="D38" t="s">
        <v>275</v>
      </c>
      <c r="E38" s="224">
        <v>-16.29</v>
      </c>
      <c r="F38" t="s">
        <v>381</v>
      </c>
      <c r="G38" t="s" s="5">
        <v>158</v>
      </c>
      <c r="H38" t="s">
        <v>104</v>
      </c>
      <c r="I38" t="s">
        <v>169</v>
      </c>
      <c r="J38" t="s">
        <v>220</v>
      </c>
      <c r="K38" t="s" s="4">
        <v>448</v>
      </c>
      <c r="L38" s="225">
        <v>16.29</v>
      </c>
      <c r="M38" s="226">
        <v>0</v>
      </c>
      <c r="N38" t="s">
        <v>452</v>
      </c>
    </row>
    <row r="39" spans="1:14" x14ac:dyDescent="0.3">
      <c r="A39" s="227">
        <v>46230</v>
      </c>
      <c r="B39" t="s">
        <v>428</v>
      </c>
      <c r="C39" t="s" s="16">
        <v>429</v>
      </c>
      <c r="D39" t="s">
        <v>430</v>
      </c>
      <c r="E39" s="228">
        <v>-16</v>
      </c>
      <c r="F39" t="s">
        <v>381</v>
      </c>
      <c r="G39" t="s" s="5">
        <v>158</v>
      </c>
      <c r="H39" t="s">
        <v>116</v>
      </c>
      <c r="I39" t="s">
        <v>202</v>
      </c>
      <c r="J39" t="s">
        <v>220</v>
      </c>
      <c r="K39" t="s" s="4">
        <v>448</v>
      </c>
      <c r="L39" s="229">
        <v>16</v>
      </c>
      <c r="M39" s="230">
        <v>0</v>
      </c>
      <c r="N39" t="s">
        <v>453</v>
      </c>
    </row>
    <row r="40" spans="1:14" x14ac:dyDescent="0.3">
      <c r="A40" s="231">
        <v>46230</v>
      </c>
      <c r="B40" t="s">
        <v>442</v>
      </c>
      <c r="C40" t="s" s="16">
        <v>443</v>
      </c>
      <c r="D40" t="s">
        <v>96</v>
      </c>
      <c r="E40" s="232">
        <v>-10</v>
      </c>
      <c r="F40" t="s">
        <v>381</v>
      </c>
      <c r="G40" t="s" s="5">
        <v>158</v>
      </c>
      <c r="H40" t="s">
        <v>96</v>
      </c>
      <c r="I40" t="s">
        <v>145</v>
      </c>
      <c r="J40" t="s">
        <v>220</v>
      </c>
      <c r="K40" t="s" s="4">
        <v>448</v>
      </c>
      <c r="L40" s="233">
        <v>10</v>
      </c>
      <c r="M40" s="234">
        <v>0</v>
      </c>
      <c r="N40" t="s">
        <v>452</v>
      </c>
    </row>
    <row r="41" spans="1:14" x14ac:dyDescent="0.3">
      <c r="A41" s="235">
        <v>46230</v>
      </c>
      <c r="B41" t="s">
        <v>442</v>
      </c>
      <c r="C41" t="s" s="16">
        <v>443</v>
      </c>
      <c r="D41" t="s">
        <v>96</v>
      </c>
      <c r="E41" s="236">
        <v>-10</v>
      </c>
      <c r="F41" t="s">
        <v>381</v>
      </c>
      <c r="G41" t="s" s="5">
        <v>158</v>
      </c>
      <c r="H41" t="s">
        <v>96</v>
      </c>
      <c r="I41" t="s">
        <v>145</v>
      </c>
      <c r="J41" t="s">
        <v>220</v>
      </c>
      <c r="K41" t="s" s="4">
        <v>448</v>
      </c>
      <c r="L41" s="237">
        <v>10</v>
      </c>
      <c r="M41" s="238">
        <v>0</v>
      </c>
      <c r="N41" t="s">
        <v>454</v>
      </c>
    </row>
    <row r="42" spans="1:14" x14ac:dyDescent="0.3">
      <c r="A42" s="239">
        <v>46227</v>
      </c>
      <c r="B42" t="s">
        <v>444</v>
      </c>
      <c r="C42" t="s" s="16">
        <v>445</v>
      </c>
      <c r="D42" t="s">
        <v>278</v>
      </c>
      <c r="E42" s="240">
        <v>1278.03</v>
      </c>
      <c r="F42" t="s">
        <v>381</v>
      </c>
      <c r="G42" t="s" s="5">
        <v>158</v>
      </c>
      <c r="H42" t="s">
        <v>237</v>
      </c>
      <c r="I42" t="s">
        <v>237</v>
      </c>
      <c r="J42" t="s">
        <v>238</v>
      </c>
      <c r="K42" t="s" s="4">
        <v>448</v>
      </c>
      <c r="L42" s="241">
        <v>0</v>
      </c>
      <c r="M42" s="242">
        <v>0</v>
      </c>
      <c r="N42" t="s">
        <v>452</v>
      </c>
    </row>
    <row r="43" spans="1:14" x14ac:dyDescent="0.3">
      <c r="A43" s="46"/>
      <c r="B43"/>
      <c r="C43" s="16"/>
      <c r="D43"/>
      <c r="E43" s="47"/>
      <c r="F43"/>
      <c r="G43" s="5">
        <f>IF(A43="","","Checking")</f>
      </c>
      <c r="H43">
        <f>IF(A43="","",IFERROR(XLOOKUP(D43,Setup!$E$15:$E$79,Setup!$F$15:$F$79),"Miscellaneous"))</f>
      </c>
      <c r="I43">
        <f>IF(A43="","",IFERROR(XLOOKUP(D43,Setup!$E$15:$E$79,Setup!$G$15:$G$79),"Uncategorized"))</f>
      </c>
      <c r="J43">
        <f>IF(A43="","",IF(OR(H43="Transfers",H43="Income",D43="Transfer",D43="Category Pending",F43="Pending"),"No","Yes"))</f>
      </c>
      <c r="K43" s="4">
        <f>IF(A43="","",TEXT(IF(DAY(A43)&gt;=Setup!$B$9,DATE(YEAR(A43),MONTH(A43)+1,1),DATE(YEAR(A43),MONTH(A43),1)),"mmmm yyyy"))</f>
      </c>
      <c r="L43" s="47">
        <f>IF(A43="",0,IF(AND(J43="Yes",E43&lt;0),-E43,0))</f>
      </c>
      <c r="M43" s="47">
        <f>IF(A43="",0,IF(AND(J43="Yes",E43&gt;0),E43,0))</f>
      </c>
      <c r="N43">
        <f>IF(A43="","",IF(D43="Category Pending","Needs categorization",IF(COUNTIFS($A$2:A43,A43,$B$2:B43,B43,$E$2:E43,E43)&gt;1,"Possible duplicate","")))</f>
      </c>
    </row>
    <row r="44" spans="1:14" x14ac:dyDescent="0.3">
      <c r="A44" s="46"/>
      <c r="B44"/>
      <c r="C44" s="16"/>
      <c r="D44"/>
      <c r="E44" s="47"/>
      <c r="F44"/>
      <c r="G44" s="5">
        <f>IF(A44="","","Checking")</f>
      </c>
      <c r="H44">
        <f>IF(A44="","",IFERROR(XLOOKUP(D44,Setup!$E$15:$E$79,Setup!$F$15:$F$79),"Miscellaneous"))</f>
      </c>
      <c r="I44">
        <f>IF(A44="","",IFERROR(XLOOKUP(D44,Setup!$E$15:$E$79,Setup!$G$15:$G$79),"Uncategorized"))</f>
      </c>
      <c r="J44">
        <f>IF(A44="","",IF(OR(H44="Transfers",H44="Income",D44="Transfer",D44="Category Pending",F44="Pending"),"No","Yes"))</f>
      </c>
      <c r="K44" s="4">
        <f>IF(A44="","",TEXT(IF(DAY(A44)&gt;=Setup!$B$9,DATE(YEAR(A44),MONTH(A44)+1,1),DATE(YEAR(A44),MONTH(A44),1)),"mmmm yyyy"))</f>
      </c>
      <c r="L44" s="47">
        <f>IF(A44="",0,IF(AND(J44="Yes",E44&lt;0),-E44,0))</f>
      </c>
      <c r="M44" s="47">
        <f>IF(A44="",0,IF(AND(J44="Yes",E44&gt;0),E44,0))</f>
      </c>
      <c r="N44">
        <f>IF(A44="","",IF(D44="Category Pending","Needs categorization",IF(COUNTIFS($A$2:A44,A44,$B$2:B44,B44,$E$2:E44,E44)&gt;1,"Possible duplicate","")))</f>
      </c>
    </row>
    <row r="45" spans="1:14" x14ac:dyDescent="0.3">
      <c r="A45" s="46"/>
      <c r="B45"/>
      <c r="C45" s="16"/>
      <c r="D45"/>
      <c r="E45" s="47"/>
      <c r="F45"/>
      <c r="G45" s="5">
        <f>IF(A45="","","Checking")</f>
      </c>
      <c r="H45">
        <f>IF(A45="","",IFERROR(XLOOKUP(D45,Setup!$E$15:$E$79,Setup!$F$15:$F$79),"Miscellaneous"))</f>
      </c>
      <c r="I45">
        <f>IF(A45="","",IFERROR(XLOOKUP(D45,Setup!$E$15:$E$79,Setup!$G$15:$G$79),"Uncategorized"))</f>
      </c>
      <c r="J45">
        <f>IF(A45="","",IF(OR(H45="Transfers",H45="Income",D45="Transfer",D45="Category Pending",F45="Pending"),"No","Yes"))</f>
      </c>
      <c r="K45" s="4">
        <f>IF(A45="","",TEXT(IF(DAY(A45)&gt;=Setup!$B$9,DATE(YEAR(A45),MONTH(A45)+1,1),DATE(YEAR(A45),MONTH(A45),1)),"mmmm yyyy"))</f>
      </c>
      <c r="L45" s="47">
        <f>IF(A45="",0,IF(AND(J45="Yes",E45&lt;0),-E45,0))</f>
      </c>
      <c r="M45" s="47">
        <f>IF(A45="",0,IF(AND(J45="Yes",E45&gt;0),E45,0))</f>
      </c>
      <c r="N45">
        <f>IF(A45="","",IF(D45="Category Pending","Needs categorization",IF(COUNTIFS($A$2:A45,A45,$B$2:B45,B45,$E$2:E45,E45)&gt;1,"Possible duplicate","")))</f>
      </c>
    </row>
    <row r="46" spans="1:14" x14ac:dyDescent="0.3">
      <c r="A46" s="46"/>
      <c r="B46"/>
      <c r="C46" s="16"/>
      <c r="D46"/>
      <c r="E46" s="47"/>
      <c r="F46"/>
      <c r="G46" s="5">
        <f>IF(A46="","","Checking")</f>
      </c>
      <c r="H46">
        <f>IF(A46="","",IFERROR(XLOOKUP(D46,Setup!$E$15:$E$79,Setup!$F$15:$F$79),"Miscellaneous"))</f>
      </c>
      <c r="I46">
        <f>IF(A46="","",IFERROR(XLOOKUP(D46,Setup!$E$15:$E$79,Setup!$G$15:$G$79),"Uncategorized"))</f>
      </c>
      <c r="J46">
        <f>IF(A46="","",IF(OR(H46="Transfers",H46="Income",D46="Transfer",D46="Category Pending",F46="Pending"),"No","Yes"))</f>
      </c>
      <c r="K46" s="4">
        <f>IF(A46="","",TEXT(IF(DAY(A46)&gt;=Setup!$B$9,DATE(YEAR(A46),MONTH(A46)+1,1),DATE(YEAR(A46),MONTH(A46),1)),"mmmm yyyy"))</f>
      </c>
      <c r="L46" s="47">
        <f>IF(A46="",0,IF(AND(J46="Yes",E46&lt;0),-E46,0))</f>
      </c>
      <c r="M46" s="47">
        <f>IF(A46="",0,IF(AND(J46="Yes",E46&gt;0),E46,0))</f>
      </c>
      <c r="N46">
        <f>IF(A46="","",IF(D46="Category Pending","Needs categorization",IF(COUNTIFS($A$2:A46,A46,$B$2:B46,B46,$E$2:E46,E46)&gt;1,"Possible duplicate","")))</f>
      </c>
    </row>
    <row r="47" spans="1:14" x14ac:dyDescent="0.3">
      <c r="A47" s="46"/>
      <c r="C47" s="16"/>
      <c r="E47" s="47"/>
      <c r="G47" s="5">
        <f>IF(A47="","","Checking")</f>
      </c>
      <c r="H47">
        <f>IF(A47="","",IFERROR(XLOOKUP(D47,Setup!$E$15:$E$79,Setup!$F$15:$F$79),"Miscellaneous"))</f>
      </c>
      <c r="I47">
        <f>IF(A47="","",IFERROR(XLOOKUP(D47,Setup!$E$15:$E$79,Setup!$G$15:$G$79),"Uncategorized"))</f>
      </c>
      <c r="J47">
        <f>IF(A47="","",IF(OR(H47="Transfers",H47="Income",D47="Transfer",D47="Category Pending",F47="Pending"),"No","Yes"))</f>
      </c>
      <c r="K47" s="4">
        <f>IF(A47="","",TEXT(IF(DAY(A47)&gt;=Setup!$B$9,DATE(YEAR(A47),MONTH(A47)+1,1),DATE(YEAR(A47),MONTH(A47),1)),"mmmm yyyy"))</f>
      </c>
      <c r="L47" s="47">
        <f>IF(A47="",0,IF(AND(J47="Yes",E47&lt;0),-E47,0))</f>
      </c>
      <c r="M47" s="47">
        <f>IF(A47="",0,IF(AND(J47="Yes",E47&gt;0),E47,0))</f>
      </c>
      <c r="N47">
        <f>IF(A47="","",IF(D47="Category Pending","Needs categorization",IF(COUNTIFS($A$2:A47,A47,$B$2:B47,B47,$E$2:E47,E47)&gt;1,"Possible duplicate","")))</f>
      </c>
    </row>
    <row r="48" spans="1:14" x14ac:dyDescent="0.3">
      <c r="A48" s="46"/>
      <c r="C48" s="16"/>
      <c r="E48" s="47"/>
      <c r="G48" s="5">
        <f>IF(A48="","","Checking")</f>
      </c>
      <c r="H48">
        <f>IF(A48="","",IFERROR(XLOOKUP(D48,Setup!$E$15:$E$79,Setup!$F$15:$F$79),"Miscellaneous"))</f>
      </c>
      <c r="I48">
        <f>IF(A48="","",IFERROR(XLOOKUP(D48,Setup!$E$15:$E$79,Setup!$G$15:$G$79),"Uncategorized"))</f>
      </c>
      <c r="J48">
        <f>IF(A48="","",IF(OR(H48="Transfers",H48="Income",D48="Transfer",D48="Category Pending",F48="Pending"),"No","Yes"))</f>
      </c>
      <c r="K48" s="4">
        <f>IF(A48="","",TEXT(IF(DAY(A48)&gt;=Setup!$B$9,DATE(YEAR(A48),MONTH(A48)+1,1),DATE(YEAR(A48),MONTH(A48),1)),"mmmm yyyy"))</f>
      </c>
      <c r="L48" s="47">
        <f>IF(A48="",0,IF(AND(J48="Yes",E48&lt;0),-E48,0))</f>
      </c>
      <c r="M48" s="47">
        <f>IF(A48="",0,IF(AND(J48="Yes",E48&gt;0),E48,0))</f>
      </c>
      <c r="N48">
        <f>IF(A48="","",IF(D48="Category Pending","Needs categorization",IF(COUNTIFS($A$2:A48,A48,$B$2:B48,B48,$E$2:E48,E48)&gt;1,"Possible duplicate","")))</f>
      </c>
    </row>
    <row r="49" spans="1:14" x14ac:dyDescent="0.3">
      <c r="A49" s="46"/>
      <c r="C49" s="16"/>
      <c r="E49" s="47"/>
      <c r="G49" s="5">
        <f>IF(A49="","","Checking")</f>
      </c>
      <c r="H49">
        <f>IF(A49="","",IFERROR(XLOOKUP(D49,Setup!$E$15:$E$79,Setup!$F$15:$F$79),"Miscellaneous"))</f>
      </c>
      <c r="I49">
        <f>IF(A49="","",IFERROR(XLOOKUP(D49,Setup!$E$15:$E$79,Setup!$G$15:$G$79),"Uncategorized"))</f>
      </c>
      <c r="J49">
        <f>IF(A49="","",IF(OR(H49="Transfers",H49="Income",D49="Transfer",D49="Category Pending",F49="Pending"),"No","Yes"))</f>
      </c>
      <c r="K49" s="4">
        <f>IF(A49="","",TEXT(IF(DAY(A49)&gt;=Setup!$B$9,DATE(YEAR(A49),MONTH(A49)+1,1),DATE(YEAR(A49),MONTH(A49),1)),"mmmm yyyy"))</f>
      </c>
      <c r="L49" s="47">
        <f>IF(A49="",0,IF(AND(J49="Yes",E49&lt;0),-E49,0))</f>
      </c>
      <c r="M49" s="47">
        <f>IF(A49="",0,IF(AND(J49="Yes",E49&gt;0),E49,0))</f>
      </c>
      <c r="N49">
        <f>IF(A49="","",IF(D49="Category Pending","Needs categorization",IF(COUNTIFS($A$2:A49,A49,$B$2:B49,B49,$E$2:E49,E49)&gt;1,"Possible duplicate","")))</f>
      </c>
    </row>
    <row r="50" spans="1:14" x14ac:dyDescent="0.3">
      <c r="A50" s="46"/>
      <c r="C50" s="16"/>
      <c r="E50" s="47"/>
      <c r="G50" s="5">
        <f>IF(A50="","","Checking")</f>
      </c>
      <c r="H50">
        <f>IF(A50="","",IFERROR(XLOOKUP(D50,Setup!$E$15:$E$79,Setup!$F$15:$F$79),"Miscellaneous"))</f>
      </c>
      <c r="I50">
        <f>IF(A50="","",IFERROR(XLOOKUP(D50,Setup!$E$15:$E$79,Setup!$G$15:$G$79),"Uncategorized"))</f>
      </c>
      <c r="J50">
        <f>IF(A50="","",IF(OR(H50="Transfers",H50="Income",D50="Transfer",D50="Category Pending",F50="Pending"),"No","Yes"))</f>
      </c>
      <c r="K50" s="4">
        <f>IF(A50="","",TEXT(IF(DAY(A50)&gt;=Setup!$B$9,DATE(YEAR(A50),MONTH(A50)+1,1),DATE(YEAR(A50),MONTH(A50),1)),"mmmm yyyy"))</f>
      </c>
      <c r="L50" s="47">
        <f>IF(A50="",0,IF(AND(J50="Yes",E50&lt;0),-E50,0))</f>
      </c>
      <c r="M50" s="47">
        <f>IF(A50="",0,IF(AND(J50="Yes",E50&gt;0),E50,0))</f>
      </c>
      <c r="N50">
        <f>IF(A50="","",IF(D50="Category Pending","Needs categorization",IF(COUNTIFS($A$2:A50,A50,$B$2:B50,B50,$E$2:E50,E50)&gt;1,"Possible duplicate","")))</f>
      </c>
    </row>
    <row r="51" spans="1:14" x14ac:dyDescent="0.3">
      <c r="A51" s="46"/>
      <c r="C51" s="16"/>
      <c r="E51" s="47"/>
      <c r="G51" s="5">
        <f>IF(A51="","","Checking")</f>
      </c>
      <c r="H51">
        <f>IF(A51="","",IFERROR(XLOOKUP(D51,Setup!$E$15:$E$79,Setup!$F$15:$F$79),"Miscellaneous"))</f>
      </c>
      <c r="I51">
        <f>IF(A51="","",IFERROR(XLOOKUP(D51,Setup!$E$15:$E$79,Setup!$G$15:$G$79),"Uncategorized"))</f>
      </c>
      <c r="J51">
        <f>IF(A51="","",IF(OR(H51="Transfers",H51="Income",D51="Transfer",D51="Category Pending",F51="Pending"),"No","Yes"))</f>
      </c>
      <c r="K51" s="4">
        <f>IF(A51="","",TEXT(IF(DAY(A51)&gt;=Setup!$B$9,DATE(YEAR(A51),MONTH(A51)+1,1),DATE(YEAR(A51),MONTH(A51),1)),"mmmm yyyy"))</f>
      </c>
      <c r="L51" s="47">
        <f>IF(A51="",0,IF(AND(J51="Yes",E51&lt;0),-E51,0))</f>
      </c>
      <c r="M51" s="47">
        <f>IF(A51="",0,IF(AND(J51="Yes",E51&gt;0),E51,0))</f>
      </c>
      <c r="N51">
        <f>IF(A51="","",IF(D51="Category Pending","Needs categorization",IF(COUNTIFS($A$2:A51,A51,$B$2:B51,B51,$E$2:E51,E51)&gt;1,"Possible duplicate","")))</f>
      </c>
    </row>
    <row r="52" spans="1:14" x14ac:dyDescent="0.3">
      <c r="A52" s="46"/>
      <c r="C52" s="16"/>
      <c r="E52" s="47"/>
      <c r="G52" s="5">
        <f>IF(A52="","","Checking")</f>
      </c>
      <c r="H52">
        <f>IF(A52="","",IFERROR(XLOOKUP(D52,Setup!$E$15:$E$79,Setup!$F$15:$F$79),"Miscellaneous"))</f>
      </c>
      <c r="I52">
        <f>IF(A52="","",IFERROR(XLOOKUP(D52,Setup!$E$15:$E$79,Setup!$G$15:$G$79),"Uncategorized"))</f>
      </c>
      <c r="J52">
        <f>IF(A52="","",IF(OR(H52="Transfers",H52="Income",D52="Transfer",D52="Category Pending",F52="Pending"),"No","Yes"))</f>
      </c>
      <c r="K52" s="4">
        <f>IF(A52="","",TEXT(IF(DAY(A52)&gt;=Setup!$B$9,DATE(YEAR(A52),MONTH(A52)+1,1),DATE(YEAR(A52),MONTH(A52),1)),"mmmm yyyy"))</f>
      </c>
      <c r="L52" s="47">
        <f>IF(A52="",0,IF(AND(J52="Yes",E52&lt;0),-E52,0))</f>
      </c>
      <c r="M52" s="47">
        <f>IF(A52="",0,IF(AND(J52="Yes",E52&gt;0),E52,0))</f>
      </c>
      <c r="N52">
        <f>IF(A52="","",IF(D52="Category Pending","Needs categorization",IF(COUNTIFS($A$2:A52,A52,$B$2:B52,B52,$E$2:E52,E52)&gt;1,"Possible duplicate","")))</f>
      </c>
    </row>
    <row r="53" spans="1:14" x14ac:dyDescent="0.3">
      <c r="A53"/>
      <c r="C53" s="16"/>
      <c r="G53" s="5">
        <f>IF(A53="","","Checking")</f>
      </c>
      <c r="H53">
        <f>IF(A53="","",IFERROR(XLOOKUP(D53,Setup!$E$15:$E$79,Setup!$F$15:$F$79),"Miscellaneous"))</f>
      </c>
      <c r="I53">
        <f>IF(A53="","",IFERROR(XLOOKUP(D53,Setup!$E$15:$E$79,Setup!$G$15:$G$79),"Uncategorized"))</f>
      </c>
      <c r="J53">
        <f>IF(A53="","",IF(OR(H53="Transfers",H53="Income",D53="Transfer",D53="Category Pending",F53="Pending"),"No","Yes"))</f>
      </c>
      <c r="K53" s="4">
        <f>IF(A53="","",TEXT(IF(DAY(A53)&gt;=Setup!$B$9,DATE(YEAR(A53),MONTH(A53)+1,1),DATE(YEAR(A53),MONTH(A53),1)),"mmmm yyyy"))</f>
      </c>
      <c r="L53" s="47">
        <f>IF(A53="",0,IF(AND(J53="Yes",E53&lt;0),-E53,0))</f>
      </c>
      <c r="M53" s="47">
        <f>IF(A53="",0,IF(AND(J53="Yes",E53&gt;0),E53,0))</f>
      </c>
      <c r="N53">
        <f>IF(A53="","",IF(D53="Category Pending","Needs categorization",IF(COUNTIFS($A$2:A53,A53,$B$2:B53,B53,$E$2:E53,E53)&gt;1,"Possible duplicate","")))</f>
      </c>
    </row>
    <row r="54" spans="1:14" x14ac:dyDescent="0.3">
      <c r="A54"/>
      <c r="C54" s="16"/>
      <c r="G54" s="5">
        <f>IF(A54="","","Checking")</f>
      </c>
      <c r="H54">
        <f>IF(A54="","",IFERROR(XLOOKUP(D54,Setup!$E$15:$E$79,Setup!$F$15:$F$79),"Miscellaneous"))</f>
      </c>
      <c r="I54">
        <f>IF(A54="","",IFERROR(XLOOKUP(D54,Setup!$E$15:$E$79,Setup!$G$15:$G$79),"Uncategorized"))</f>
      </c>
      <c r="J54">
        <f>IF(A54="","",IF(OR(H54="Transfers",H54="Income",D54="Transfer",D54="Category Pending",F54="Pending"),"No","Yes"))</f>
      </c>
      <c r="K54" s="4">
        <f>IF(A54="","",TEXT(IF(DAY(A54)&gt;=Setup!$B$9,DATE(YEAR(A54),MONTH(A54)+1,1),DATE(YEAR(A54),MONTH(A54),1)),"mmmm yyyy"))</f>
      </c>
      <c r="L54" s="47">
        <f>IF(A54="",0,IF(AND(J54="Yes",E54&lt;0),-E54,0))</f>
      </c>
      <c r="M54" s="47">
        <f>IF(A54="",0,IF(AND(J54="Yes",E54&gt;0),E54,0))</f>
      </c>
      <c r="N54">
        <f>IF(A54="","",IF(D54="Category Pending","Needs categorization",IF(COUNTIFS($A$2:A54,A54,$B$2:B54,B54,$E$2:E54,E54)&gt;1,"Possible duplicate","")))</f>
      </c>
    </row>
    <row r="55" spans="1:14" x14ac:dyDescent="0.3">
      <c r="A55"/>
      <c r="C55" s="16"/>
      <c r="G55" s="5">
        <f>IF(A55="","","Checking")</f>
      </c>
      <c r="H55">
        <f>IF(A55="","",IFERROR(XLOOKUP(D55,Setup!$E$15:$E$79,Setup!$F$15:$F$79),"Miscellaneous"))</f>
      </c>
      <c r="I55">
        <f>IF(A55="","",IFERROR(XLOOKUP(D55,Setup!$E$15:$E$79,Setup!$G$15:$G$79),"Uncategorized"))</f>
      </c>
      <c r="J55">
        <f>IF(A55="","",IF(OR(H55="Transfers",H55="Income",D55="Transfer",D55="Category Pending",F55="Pending"),"No","Yes"))</f>
      </c>
      <c r="K55" s="4">
        <f>IF(A55="","",TEXT(IF(DAY(A55)&gt;=Setup!$B$9,DATE(YEAR(A55),MONTH(A55)+1,1),DATE(YEAR(A55),MONTH(A55),1)),"mmmm yyyy"))</f>
      </c>
      <c r="L55" s="47">
        <f>IF(A55="",0,IF(AND(J55="Yes",E55&lt;0),-E55,0))</f>
      </c>
      <c r="M55" s="47">
        <f>IF(A55="",0,IF(AND(J55="Yes",E55&gt;0),E55,0))</f>
      </c>
      <c r="N55">
        <f>IF(A55="","",IF(D55="Category Pending","Needs categorization",IF(COUNTIFS($A$2:A55,A55,$B$2:B55,B55,$E$2:E55,E55)&gt;1,"Possible duplicate","")))</f>
      </c>
    </row>
    <row r="56" spans="1:14" x14ac:dyDescent="0.3">
      <c r="A56"/>
      <c r="C56" s="16"/>
      <c r="G56" s="5">
        <f>IF(A56="","","Checking")</f>
      </c>
      <c r="H56">
        <f>IF(A56="","",IFERROR(XLOOKUP(D56,Setup!$E$15:$E$79,Setup!$F$15:$F$79),"Miscellaneous"))</f>
      </c>
      <c r="I56">
        <f>IF(A56="","",IFERROR(XLOOKUP(D56,Setup!$E$15:$E$79,Setup!$G$15:$G$79),"Uncategorized"))</f>
      </c>
      <c r="J56">
        <f>IF(A56="","",IF(OR(H56="Transfers",H56="Income",D56="Transfer",D56="Category Pending",F56="Pending"),"No","Yes"))</f>
      </c>
      <c r="K56" s="4">
        <f>IF(A56="","",TEXT(IF(DAY(A56)&gt;=Setup!$B$9,DATE(YEAR(A56),MONTH(A56)+1,1),DATE(YEAR(A56),MONTH(A56),1)),"mmmm yyyy"))</f>
      </c>
      <c r="L56" s="47">
        <f>IF(A56="",0,IF(AND(J56="Yes",E56&lt;0),-E56,0))</f>
      </c>
      <c r="M56" s="47">
        <f>IF(A56="",0,IF(AND(J56="Yes",E56&gt;0),E56,0))</f>
      </c>
      <c r="N56">
        <f>IF(A56="","",IF(D56="Category Pending","Needs categorization",IF(COUNTIFS($A$2:A56,A56,$B$2:B56,B56,$E$2:E56,E56)&gt;1,"Possible duplicate","")))</f>
      </c>
    </row>
    <row r="57" spans="1:14" x14ac:dyDescent="0.3">
      <c r="A57"/>
      <c r="C57" s="16"/>
      <c r="G57" s="5">
        <f>IF(A57="","","Checking")</f>
      </c>
      <c r="H57">
        <f>IF(A57="","",IFERROR(XLOOKUP(D57,Setup!$E$15:$E$79,Setup!$F$15:$F$79),"Miscellaneous"))</f>
      </c>
      <c r="I57">
        <f>IF(A57="","",IFERROR(XLOOKUP(D57,Setup!$E$15:$E$79,Setup!$G$15:$G$79),"Uncategorized"))</f>
      </c>
      <c r="J57">
        <f>IF(A57="","",IF(OR(H57="Transfers",H57="Income",D57="Transfer",D57="Category Pending",F57="Pending"),"No","Yes"))</f>
      </c>
      <c r="K57" s="4">
        <f>IF(A57="","",TEXT(IF(DAY(A57)&gt;=Setup!$B$9,DATE(YEAR(A57),MONTH(A57)+1,1),DATE(YEAR(A57),MONTH(A57),1)),"mmmm yyyy"))</f>
      </c>
      <c r="L57" s="47">
        <f>IF(A57="",0,IF(AND(J57="Yes",E57&lt;0),-E57,0))</f>
      </c>
      <c r="M57" s="47">
        <f>IF(A57="",0,IF(AND(J57="Yes",E57&gt;0),E57,0))</f>
      </c>
      <c r="N57">
        <f>IF(A57="","",IF(D57="Category Pending","Needs categorization",IF(COUNTIFS($A$2:A57,A57,$B$2:B57,B57,$E$2:E57,E57)&gt;1,"Possible duplicate","")))</f>
      </c>
    </row>
    <row r="58" spans="1:14" x14ac:dyDescent="0.3">
      <c r="A58"/>
      <c r="C58" s="16"/>
      <c r="G58" s="5">
        <f>IF(A58="","","Checking")</f>
      </c>
      <c r="H58">
        <f>IF(A58="","",IFERROR(XLOOKUP(D58,Setup!$E$15:$E$79,Setup!$F$15:$F$79),"Miscellaneous"))</f>
      </c>
      <c r="I58">
        <f>IF(A58="","",IFERROR(XLOOKUP(D58,Setup!$E$15:$E$79,Setup!$G$15:$G$79),"Uncategorized"))</f>
      </c>
      <c r="J58">
        <f>IF(A58="","",IF(OR(H58="Transfers",H58="Income",D58="Transfer",D58="Category Pending",F58="Pending"),"No","Yes"))</f>
      </c>
      <c r="K58" s="4">
        <f>IF(A58="","",TEXT(IF(DAY(A58)&gt;=Setup!$B$9,DATE(YEAR(A58),MONTH(A58)+1,1),DATE(YEAR(A58),MONTH(A58),1)),"mmmm yyyy"))</f>
      </c>
      <c r="L58" s="47">
        <f>IF(A58="",0,IF(AND(J58="Yes",E58&lt;0),-E58,0))</f>
      </c>
      <c r="M58" s="47">
        <f>IF(A58="",0,IF(AND(J58="Yes",E58&gt;0),E58,0))</f>
      </c>
      <c r="N58">
        <f>IF(A58="","",IF(D58="Category Pending","Needs categorization",IF(COUNTIFS($A$2:A58,A58,$B$2:B58,B58,$E$2:E58,E58)&gt;1,"Possible duplicate","")))</f>
      </c>
    </row>
    <row r="59" spans="1:14" x14ac:dyDescent="0.3">
      <c r="A59"/>
      <c r="C59" s="16"/>
      <c r="G59" s="5">
        <f>IF(A59="","","Checking")</f>
      </c>
      <c r="H59">
        <f>IF(A59="","",IFERROR(XLOOKUP(D59,Setup!$E$15:$E$79,Setup!$F$15:$F$79),"Miscellaneous"))</f>
      </c>
      <c r="I59">
        <f>IF(A59="","",IFERROR(XLOOKUP(D59,Setup!$E$15:$E$79,Setup!$G$15:$G$79),"Uncategorized"))</f>
      </c>
      <c r="J59">
        <f>IF(A59="","",IF(OR(H59="Transfers",H59="Income",D59="Transfer",D59="Category Pending",F59="Pending"),"No","Yes"))</f>
      </c>
      <c r="K59" s="4">
        <f>IF(A59="","",TEXT(IF(DAY(A59)&gt;=Setup!$B$9,DATE(YEAR(A59),MONTH(A59)+1,1),DATE(YEAR(A59),MONTH(A59),1)),"mmmm yyyy"))</f>
      </c>
      <c r="L59" s="47">
        <f>IF(A59="",0,IF(AND(J59="Yes",E59&lt;0),-E59,0))</f>
      </c>
      <c r="M59" s="47">
        <f>IF(A59="",0,IF(AND(J59="Yes",E59&gt;0),E59,0))</f>
      </c>
      <c r="N59">
        <f>IF(A59="","",IF(D59="Category Pending","Needs categorization",IF(COUNTIFS($A$2:A59,A59,$B$2:B59,B59,$E$2:E59,E59)&gt;1,"Possible duplicate","")))</f>
      </c>
    </row>
    <row r="60" spans="1:14" x14ac:dyDescent="0.3">
      <c r="A60"/>
      <c r="C60" s="16"/>
      <c r="G60" s="5">
        <f>IF(A60="","","Checking")</f>
      </c>
      <c r="H60">
        <f>IF(A60="","",IFERROR(XLOOKUP(D60,Setup!$E$15:$E$79,Setup!$F$15:$F$79),"Miscellaneous"))</f>
      </c>
      <c r="I60">
        <f>IF(A60="","",IFERROR(XLOOKUP(D60,Setup!$E$15:$E$79,Setup!$G$15:$G$79),"Uncategorized"))</f>
      </c>
      <c r="J60">
        <f>IF(A60="","",IF(OR(H60="Transfers",H60="Income",D60="Transfer",D60="Category Pending",F60="Pending"),"No","Yes"))</f>
      </c>
      <c r="K60" s="4">
        <f>IF(A60="","",TEXT(IF(DAY(A60)&gt;=Setup!$B$9,DATE(YEAR(A60),MONTH(A60)+1,1),DATE(YEAR(A60),MONTH(A60),1)),"mmmm yyyy"))</f>
      </c>
      <c r="L60" s="47">
        <f>IF(A60="",0,IF(AND(J60="Yes",E60&lt;0),-E60,0))</f>
      </c>
      <c r="M60" s="47">
        <f>IF(A60="",0,IF(AND(J60="Yes",E60&gt;0),E60,0))</f>
      </c>
      <c r="N60">
        <f>IF(A60="","",IF(D60="Category Pending","Needs categorization",IF(COUNTIFS($A$2:A60,A60,$B$2:B60,B60,$E$2:E60,E60)&gt;1,"Possible duplicate","")))</f>
      </c>
    </row>
    <row r="61" spans="1:14" x14ac:dyDescent="0.3">
      <c r="A61"/>
      <c r="C61" s="16"/>
      <c r="G61" s="5">
        <f>IF(A61="","","Checking")</f>
      </c>
      <c r="H61">
        <f>IF(A61="","",IFERROR(XLOOKUP(D61,Setup!$E$15:$E$79,Setup!$F$15:$F$79),"Miscellaneous"))</f>
      </c>
      <c r="I61">
        <f>IF(A61="","",IFERROR(XLOOKUP(D61,Setup!$E$15:$E$79,Setup!$G$15:$G$79),"Uncategorized"))</f>
      </c>
      <c r="J61">
        <f>IF(A61="","",IF(OR(H61="Transfers",H61="Income",D61="Transfer",D61="Category Pending",F61="Pending"),"No","Yes"))</f>
      </c>
      <c r="K61" s="4">
        <f>IF(A61="","",TEXT(IF(DAY(A61)&gt;=Setup!$B$9,DATE(YEAR(A61),MONTH(A61)+1,1),DATE(YEAR(A61),MONTH(A61),1)),"mmmm yyyy"))</f>
      </c>
      <c r="L61" s="47">
        <f>IF(A61="",0,IF(AND(J61="Yes",E61&lt;0),-E61,0))</f>
      </c>
      <c r="M61" s="47">
        <f>IF(A61="",0,IF(AND(J61="Yes",E61&gt;0),E61,0))</f>
      </c>
      <c r="N61">
        <f>IF(A61="","",IF(D61="Category Pending","Needs categorization",IF(COUNTIFS($A$2:A61,A61,$B$2:B61,B61,$E$2:E61,E61)&gt;1,"Possible duplicate","")))</f>
      </c>
    </row>
    <row r="62" spans="1:14" x14ac:dyDescent="0.3">
      <c r="A62"/>
      <c r="C62" s="16"/>
      <c r="G62" s="5">
        <f>IF(A62="","","Checking")</f>
      </c>
      <c r="H62">
        <f>IF(A62="","",IFERROR(XLOOKUP(D62,Setup!$E$15:$E$79,Setup!$F$15:$F$79),"Miscellaneous"))</f>
      </c>
      <c r="I62">
        <f>IF(A62="","",IFERROR(XLOOKUP(D62,Setup!$E$15:$E$79,Setup!$G$15:$G$79),"Uncategorized"))</f>
      </c>
      <c r="J62">
        <f>IF(A62="","",IF(OR(H62="Transfers",H62="Income",D62="Transfer",D62="Category Pending",F62="Pending"),"No","Yes"))</f>
      </c>
      <c r="K62" s="4">
        <f>IF(A62="","",TEXT(IF(DAY(A62)&gt;=Setup!$B$9,DATE(YEAR(A62),MONTH(A62)+1,1),DATE(YEAR(A62),MONTH(A62),1)),"mmmm yyyy"))</f>
      </c>
      <c r="L62" s="47">
        <f>IF(A62="",0,IF(AND(J62="Yes",E62&lt;0),-E62,0))</f>
      </c>
      <c r="M62" s="47">
        <f>IF(A62="",0,IF(AND(J62="Yes",E62&gt;0),E62,0))</f>
      </c>
      <c r="N62">
        <f>IF(A62="","",IF(D62="Category Pending","Needs categorization",IF(COUNTIFS($A$2:A62,A62,$B$2:B62,B62,$E$2:E62,E62)&gt;1,"Possible duplicate","")))</f>
      </c>
    </row>
    <row r="63" spans="1:14" x14ac:dyDescent="0.3">
      <c r="A63"/>
      <c r="C63" s="16"/>
      <c r="G63" s="5">
        <f>IF(A63="","","Checking")</f>
      </c>
      <c r="H63">
        <f>IF(A63="","",IFERROR(XLOOKUP(D63,Setup!$E$15:$E$79,Setup!$F$15:$F$79),"Miscellaneous"))</f>
      </c>
      <c r="I63">
        <f>IF(A63="","",IFERROR(XLOOKUP(D63,Setup!$E$15:$E$79,Setup!$G$15:$G$79),"Uncategorized"))</f>
      </c>
      <c r="J63">
        <f>IF(A63="","",IF(OR(H63="Transfers",H63="Income",D63="Transfer",D63="Category Pending",F63="Pending"),"No","Yes"))</f>
      </c>
      <c r="K63" s="4">
        <f>IF(A63="","",TEXT(IF(DAY(A63)&gt;=Setup!$B$9,DATE(YEAR(A63),MONTH(A63)+1,1),DATE(YEAR(A63),MONTH(A63),1)),"mmmm yyyy"))</f>
      </c>
      <c r="L63" s="47">
        <f>IF(A63="",0,IF(AND(J63="Yes",E63&lt;0),-E63,0))</f>
      </c>
      <c r="M63" s="47">
        <f>IF(A63="",0,IF(AND(J63="Yes",E63&gt;0),E63,0))</f>
      </c>
      <c r="N63">
        <f>IF(A63="","",IF(D63="Category Pending","Needs categorization",IF(COUNTIFS($A$2:A63,A63,$B$2:B63,B63,$E$2:E63,E63)&gt;1,"Possible duplicate","")))</f>
      </c>
    </row>
    <row r="64" spans="1:14" x14ac:dyDescent="0.3">
      <c r="A64"/>
      <c r="C64" s="16"/>
      <c r="G64" s="5">
        <f>IF(A64="","","Checking")</f>
      </c>
      <c r="H64">
        <f>IF(A64="","",IFERROR(XLOOKUP(D64,Setup!$E$15:$E$79,Setup!$F$15:$F$79),"Miscellaneous"))</f>
      </c>
      <c r="I64">
        <f>IF(A64="","",IFERROR(XLOOKUP(D64,Setup!$E$15:$E$79,Setup!$G$15:$G$79),"Uncategorized"))</f>
      </c>
      <c r="J64">
        <f>IF(A64="","",IF(OR(H64="Transfers",H64="Income",D64="Transfer",D64="Category Pending",F64="Pending"),"No","Yes"))</f>
      </c>
      <c r="K64" s="4">
        <f>IF(A64="","",TEXT(IF(DAY(A64)&gt;=Setup!$B$9,DATE(YEAR(A64),MONTH(A64)+1,1),DATE(YEAR(A64),MONTH(A64),1)),"mmmm yyyy"))</f>
      </c>
      <c r="L64" s="47">
        <f>IF(A64="",0,IF(AND(J64="Yes",E64&lt;0),-E64,0))</f>
      </c>
      <c r="M64" s="47">
        <f>IF(A64="",0,IF(AND(J64="Yes",E64&gt;0),E64,0))</f>
      </c>
      <c r="N64">
        <f>IF(A64="","",IF(D64="Category Pending","Needs categorization",IF(COUNTIFS($A$2:A64,A64,$B$2:B64,B64,$E$2:E64,E64)&gt;1,"Possible duplicate","")))</f>
      </c>
    </row>
    <row r="65" spans="3:14" x14ac:dyDescent="0.3">
      <c r="A65"/>
      <c r="C65" s="16"/>
      <c r="G65" s="5">
        <f>IF(A65="","","Checking")</f>
      </c>
      <c r="H65">
        <f>IF(A65="","",IFERROR(XLOOKUP(D65,Setup!$E$15:$E$79,Setup!$F$15:$F$79),"Miscellaneous"))</f>
      </c>
      <c r="I65">
        <f>IF(A65="","",IFERROR(XLOOKUP(D65,Setup!$E$15:$E$79,Setup!$G$15:$G$79),"Uncategorized"))</f>
      </c>
      <c r="J65">
        <f>IF(A65="","",IF(OR(H65="Transfers",H65="Income",D65="Transfer",D65="Category Pending",F65="Pending"),"No","Yes"))</f>
      </c>
      <c r="K65" s="4">
        <f>IF(A65="","",TEXT(IF(DAY(A65)&gt;=Setup!$B$9,DATE(YEAR(A65),MONTH(A65)+1,1),DATE(YEAR(A65),MONTH(A65),1)),"mmmm yyyy"))</f>
      </c>
      <c r="L65" s="47">
        <f>IF(A65="",0,IF(AND(J65="Yes",E65&lt;0),-E65,0))</f>
      </c>
      <c r="M65" s="47">
        <f>IF(A65="",0,IF(AND(J65="Yes",E65&gt;0),E65,0))</f>
      </c>
      <c r="N65">
        <f>IF(A65="","",IF(D65="Category Pending","Needs categorization",IF(COUNTIFS($A$2:A65,A65,$B$2:B65,B65,$E$2:E65,E65)&gt;1,"Possible duplicate","")))</f>
      </c>
    </row>
    <row r="66" spans="3:14" x14ac:dyDescent="0.3">
      <c r="A66"/>
      <c r="C66" s="16"/>
      <c r="G66" s="5">
        <f>IF(A66="","","Checking")</f>
      </c>
      <c r="H66">
        <f>IF(A66="","",IFERROR(XLOOKUP(D66,Setup!$E$15:$E$79,Setup!$F$15:$F$79),"Miscellaneous"))</f>
      </c>
      <c r="I66">
        <f>IF(A66="","",IFERROR(XLOOKUP(D66,Setup!$E$15:$E$79,Setup!$G$15:$G$79),"Uncategorized"))</f>
      </c>
      <c r="J66">
        <f>IF(A66="","",IF(OR(H66="Transfers",H66="Income",D66="Transfer",D66="Category Pending",F66="Pending"),"No","Yes"))</f>
      </c>
      <c r="K66" s="4">
        <f>IF(A66="","",TEXT(IF(DAY(A66)&gt;=Setup!$B$9,DATE(YEAR(A66),MONTH(A66)+1,1),DATE(YEAR(A66),MONTH(A66),1)),"mmmm yyyy"))</f>
      </c>
      <c r="L66" s="47">
        <f>IF(A66="",0,IF(AND(J66="Yes",E66&lt;0),-E66,0))</f>
      </c>
      <c r="M66" s="47">
        <f>IF(A66="",0,IF(AND(J66="Yes",E66&gt;0),E66,0))</f>
      </c>
      <c r="N66">
        <f>IF(A66="","",IF(D66="Category Pending","Needs categorization",IF(COUNTIFS($A$2:A66,A66,$B$2:B66,B66,$E$2:E66,E66)&gt;1,"Possible duplicate","")))</f>
      </c>
    </row>
    <row r="67" spans="3:14" x14ac:dyDescent="0.3">
      <c r="A67"/>
      <c r="C67" s="16"/>
      <c r="G67" s="5">
        <f>IF(A67="","","Checking")</f>
      </c>
      <c r="H67">
        <f>IF(A67="","",IFERROR(XLOOKUP(D67,Setup!$E$15:$E$79,Setup!$F$15:$F$79),"Miscellaneous"))</f>
      </c>
      <c r="I67">
        <f>IF(A67="","",IFERROR(XLOOKUP(D67,Setup!$E$15:$E$79,Setup!$G$15:$G$79),"Uncategorized"))</f>
      </c>
      <c r="J67">
        <f>IF(A67="","",IF(OR(H67="Transfers",H67="Income",D67="Transfer",D67="Category Pending",F67="Pending"),"No","Yes"))</f>
      </c>
      <c r="K67" s="4">
        <f>IF(A67="","",TEXT(IF(DAY(A67)&gt;=Setup!$B$9,DATE(YEAR(A67),MONTH(A67)+1,1),DATE(YEAR(A67),MONTH(A67),1)),"mmmm yyyy"))</f>
      </c>
      <c r="L67" s="47">
        <f>IF(A67="",0,IF(AND(J67="Yes",E67&lt;0),-E67,0))</f>
      </c>
      <c r="M67" s="47">
        <f>IF(A67="",0,IF(AND(J67="Yes",E67&gt;0),E67,0))</f>
      </c>
      <c r="N67">
        <f>IF(A67="","",IF(D67="Category Pending","Needs categorization",IF(COUNTIFS($A$2:A67,A67,$B$2:B67,B67,$E$2:E67,E67)&gt;1,"Possible duplicate","")))</f>
      </c>
    </row>
    <row r="68" spans="3:14" x14ac:dyDescent="0.3">
      <c r="A68"/>
      <c r="C68" s="16"/>
      <c r="G68" s="5">
        <f>IF(A68="","","Checking")</f>
      </c>
      <c r="H68">
        <f>IF(A68="","",IFERROR(XLOOKUP(D68,Setup!$E$15:$E$79,Setup!$F$15:$F$79),"Miscellaneous"))</f>
      </c>
      <c r="I68">
        <f>IF(A68="","",IFERROR(XLOOKUP(D68,Setup!$E$15:$E$79,Setup!$G$15:$G$79),"Uncategorized"))</f>
      </c>
      <c r="J68">
        <f>IF(A68="","",IF(OR(H68="Transfers",H68="Income",D68="Transfer",D68="Category Pending",F68="Pending"),"No","Yes"))</f>
      </c>
      <c r="K68" s="4">
        <f>IF(A68="","",TEXT(IF(DAY(A68)&gt;=Setup!$B$9,DATE(YEAR(A68),MONTH(A68)+1,1),DATE(YEAR(A68),MONTH(A68),1)),"mmmm yyyy"))</f>
      </c>
      <c r="L68" s="47">
        <f>IF(A68="",0,IF(AND(J68="Yes",E68&lt;0),-E68,0))</f>
      </c>
      <c r="M68" s="47">
        <f>IF(A68="",0,IF(AND(J68="Yes",E68&gt;0),E68,0))</f>
      </c>
      <c r="N68">
        <f>IF(A68="","",IF(D68="Category Pending","Needs categorization",IF(COUNTIFS($A$2:A68,A68,$B$2:B68,B68,$E$2:E68,E68)&gt;1,"Possible duplicate","")))</f>
      </c>
    </row>
    <row r="69" spans="3:14" x14ac:dyDescent="0.3">
      <c r="A69"/>
      <c r="C69" s="16"/>
      <c r="G69" s="5">
        <f>IF(A69="","","Checking")</f>
      </c>
      <c r="H69">
        <f>IF(A69="","",IFERROR(XLOOKUP(D69,Setup!$E$15:$E$79,Setup!$F$15:$F$79),"Miscellaneous"))</f>
      </c>
      <c r="I69">
        <f>IF(A69="","",IFERROR(XLOOKUP(D69,Setup!$E$15:$E$79,Setup!$G$15:$G$79),"Uncategorized"))</f>
      </c>
      <c r="J69">
        <f>IF(A69="","",IF(OR(H69="Transfers",H69="Income",D69="Transfer",D69="Category Pending",F69="Pending"),"No","Yes"))</f>
      </c>
      <c r="K69" s="4">
        <f>IF(A69="","",TEXT(IF(DAY(A69)&gt;=Setup!$B$9,DATE(YEAR(A69),MONTH(A69)+1,1),DATE(YEAR(A69),MONTH(A69),1)),"mmmm yyyy"))</f>
      </c>
      <c r="L69" s="47">
        <f>IF(A69="",0,IF(AND(J69="Yes",E69&lt;0),-E69,0))</f>
      </c>
      <c r="M69" s="47">
        <f>IF(A69="",0,IF(AND(J69="Yes",E69&gt;0),E69,0))</f>
      </c>
      <c r="N69">
        <f>IF(A69="","",IF(D69="Category Pending","Needs categorization",IF(COUNTIFS($A$2:A69,A69,$B$2:B69,B69,$E$2:E69,E69)&gt;1,"Possible duplicate","")))</f>
      </c>
    </row>
    <row r="70" spans="3:14" x14ac:dyDescent="0.3">
      <c r="A70"/>
      <c r="C70" s="16"/>
      <c r="G70" s="5">
        <f>IF(A70="","","Checking")</f>
      </c>
      <c r="H70">
        <f>IF(A70="","",IFERROR(XLOOKUP(D70,Setup!$E$15:$E$79,Setup!$F$15:$F$79),"Miscellaneous"))</f>
      </c>
      <c r="I70">
        <f>IF(A70="","",IFERROR(XLOOKUP(D70,Setup!$E$15:$E$79,Setup!$G$15:$G$79),"Uncategorized"))</f>
      </c>
      <c r="J70">
        <f>IF(A70="","",IF(OR(H70="Transfers",H70="Income",D70="Transfer",D70="Category Pending",F70="Pending"),"No","Yes"))</f>
      </c>
      <c r="K70" s="4">
        <f>IF(A70="","",TEXT(IF(DAY(A70)&gt;=Setup!$B$9,DATE(YEAR(A70),MONTH(A70)+1,1),DATE(YEAR(A70),MONTH(A70),1)),"mmmm yyyy"))</f>
      </c>
      <c r="L70" s="47">
        <f>IF(A70="",0,IF(AND(J70="Yes",E70&lt;0),-E70,0))</f>
      </c>
      <c r="M70" s="47">
        <f>IF(A70="",0,IF(AND(J70="Yes",E70&gt;0),E70,0))</f>
      </c>
      <c r="N70">
        <f>IF(A70="","",IF(D70="Category Pending","Needs categorization",IF(COUNTIFS($A$2:A70,A70,$B$2:B70,B70,$E$2:E70,E70)&gt;1,"Possible duplicate","")))</f>
      </c>
    </row>
    <row r="71" spans="3:14" x14ac:dyDescent="0.3">
      <c r="A71"/>
      <c r="C71" s="16"/>
      <c r="G71" s="5">
        <f>IF(A71="","","Checking")</f>
      </c>
      <c r="H71">
        <f>IF(A71="","",IFERROR(XLOOKUP(D71,Setup!$E$15:$E$79,Setup!$F$15:$F$79),"Miscellaneous"))</f>
      </c>
      <c r="I71">
        <f>IF(A71="","",IFERROR(XLOOKUP(D71,Setup!$E$15:$E$79,Setup!$G$15:$G$79),"Uncategorized"))</f>
      </c>
      <c r="J71">
        <f>IF(A71="","",IF(OR(H71="Transfers",H71="Income",D71="Transfer",D71="Category Pending",F71="Pending"),"No","Yes"))</f>
      </c>
      <c r="K71" s="4">
        <f>IF(A71="","",TEXT(IF(DAY(A71)&gt;=Setup!$B$9,DATE(YEAR(A71),MONTH(A71)+1,1),DATE(YEAR(A71),MONTH(A71),1)),"mmmm yyyy"))</f>
      </c>
      <c r="L71" s="47">
        <f>IF(A71="",0,IF(AND(J71="Yes",E71&lt;0),-E71,0))</f>
      </c>
      <c r="M71" s="47">
        <f>IF(A71="",0,IF(AND(J71="Yes",E71&gt;0),E71,0))</f>
      </c>
      <c r="N71">
        <f>IF(A71="","",IF(D71="Category Pending","Needs categorization",IF(COUNTIFS($A$2:A71,A71,$B$2:B71,B71,$E$2:E71,E71)&gt;1,"Possible duplicate","")))</f>
      </c>
    </row>
    <row r="72" spans="3:14" x14ac:dyDescent="0.3">
      <c r="A72"/>
      <c r="C72" s="16"/>
      <c r="G72" s="5">
        <f>IF(A72="","","Checking")</f>
      </c>
      <c r="H72">
        <f>IF(A72="","",IFERROR(XLOOKUP(D72,Setup!$E$15:$E$79,Setup!$F$15:$F$79),"Miscellaneous"))</f>
      </c>
      <c r="I72">
        <f>IF(A72="","",IFERROR(XLOOKUP(D72,Setup!$E$15:$E$79,Setup!$G$15:$G$79),"Uncategorized"))</f>
      </c>
      <c r="J72">
        <f>IF(A72="","",IF(OR(H72="Transfers",H72="Income",D72="Transfer",D72="Category Pending",F72="Pending"),"No","Yes"))</f>
      </c>
      <c r="K72" s="4">
        <f>IF(A72="","",TEXT(IF(DAY(A72)&gt;=Setup!$B$9,DATE(YEAR(A72),MONTH(A72)+1,1),DATE(YEAR(A72),MONTH(A72),1)),"mmmm yyyy"))</f>
      </c>
      <c r="L72" s="47">
        <f>IF(A72="",0,IF(AND(J72="Yes",E72&lt;0),-E72,0))</f>
      </c>
      <c r="M72" s="47">
        <f>IF(A72="",0,IF(AND(J72="Yes",E72&gt;0),E72,0))</f>
      </c>
      <c r="N72">
        <f>IF(A72="","",IF(D72="Category Pending","Needs categorization",IF(COUNTIFS($A$2:A72,A72,$B$2:B72,B72,$E$2:E72,E72)&gt;1,"Possible duplicate","")))</f>
      </c>
    </row>
    <row r="73" spans="3:14" x14ac:dyDescent="0.3">
      <c r="A73"/>
      <c r="C73" s="16"/>
      <c r="G73" s="5">
        <f>IF(A73="","","Checking")</f>
      </c>
      <c r="H73">
        <f>IF(A73="","",IFERROR(XLOOKUP(D73,Setup!$E$15:$E$79,Setup!$F$15:$F$79),"Miscellaneous"))</f>
      </c>
      <c r="I73">
        <f>IF(A73="","",IFERROR(XLOOKUP(D73,Setup!$E$15:$E$79,Setup!$G$15:$G$79),"Uncategorized"))</f>
      </c>
      <c r="J73">
        <f>IF(A73="","",IF(OR(H73="Transfers",H73="Income",D73="Transfer",D73="Category Pending",F73="Pending"),"No","Yes"))</f>
      </c>
      <c r="K73" s="4">
        <f>IF(A73="","",TEXT(IF(DAY(A73)&gt;=Setup!$B$9,DATE(YEAR(A73),MONTH(A73)+1,1),DATE(YEAR(A73),MONTH(A73),1)),"mmmm yyyy"))</f>
      </c>
      <c r="L73" s="47">
        <f>IF(A73="",0,IF(AND(J73="Yes",E73&lt;0),-E73,0))</f>
      </c>
      <c r="M73" s="47">
        <f>IF(A73="",0,IF(AND(J73="Yes",E73&gt;0),E73,0))</f>
      </c>
      <c r="N73">
        <f>IF(A73="","",IF(D73="Category Pending","Needs categorization",IF(COUNTIFS($A$2:A73,A73,$B$2:B73,B73,$E$2:E73,E73)&gt;1,"Possible duplicate","")))</f>
      </c>
    </row>
    <row r="74" spans="3:14" x14ac:dyDescent="0.3">
      <c r="A74"/>
      <c r="C74" s="16"/>
      <c r="G74" s="5">
        <f>IF(A74="","","Checking")</f>
      </c>
      <c r="H74">
        <f>IF(A74="","",IFERROR(XLOOKUP(D74,Setup!$E$15:$E$79,Setup!$F$15:$F$79),"Miscellaneous"))</f>
      </c>
      <c r="I74">
        <f>IF(A74="","",IFERROR(XLOOKUP(D74,Setup!$E$15:$E$79,Setup!$G$15:$G$79),"Uncategorized"))</f>
      </c>
      <c r="J74">
        <f>IF(A74="","",IF(OR(H74="Transfers",H74="Income",D74="Transfer",D74="Category Pending",F74="Pending"),"No","Yes"))</f>
      </c>
      <c r="K74" s="4">
        <f>IF(A74="","",TEXT(IF(DAY(A74)&gt;=Setup!$B$9,DATE(YEAR(A74),MONTH(A74)+1,1),DATE(YEAR(A74),MONTH(A74),1)),"mmmm yyyy"))</f>
      </c>
      <c r="L74" s="47">
        <f>IF(A74="",0,IF(AND(J74="Yes",E74&lt;0),-E74,0))</f>
      </c>
      <c r="M74" s="47">
        <f>IF(A74="",0,IF(AND(J74="Yes",E74&gt;0),E74,0))</f>
      </c>
      <c r="N74">
        <f>IF(A74="","",IF(D74="Category Pending","Needs categorization",IF(COUNTIFS($A$2:A74,A74,$B$2:B74,B74,$E$2:E74,E74)&gt;1,"Possible duplicate","")))</f>
      </c>
    </row>
    <row r="75" spans="3:14" x14ac:dyDescent="0.3">
      <c r="A75"/>
      <c r="C75" s="16"/>
      <c r="G75" s="5">
        <f>IF(A75="","","Checking")</f>
      </c>
      <c r="H75">
        <f>IF(A75="","",IFERROR(XLOOKUP(D75,Setup!$E$15:$E$79,Setup!$F$15:$F$79),"Miscellaneous"))</f>
      </c>
      <c r="I75">
        <f>IF(A75="","",IFERROR(XLOOKUP(D75,Setup!$E$15:$E$79,Setup!$G$15:$G$79),"Uncategorized"))</f>
      </c>
      <c r="J75">
        <f>IF(A75="","",IF(OR(H75="Transfers",H75="Income",D75="Transfer",D75="Category Pending",F75="Pending"),"No","Yes"))</f>
      </c>
      <c r="K75" s="4">
        <f>IF(A75="","",TEXT(IF(DAY(A75)&gt;=Setup!$B$9,DATE(YEAR(A75),MONTH(A75)+1,1),DATE(YEAR(A75),MONTH(A75),1)),"mmmm yyyy"))</f>
      </c>
      <c r="L75" s="47">
        <f>IF(A75="",0,IF(AND(J75="Yes",E75&lt;0),-E75,0))</f>
      </c>
      <c r="M75" s="47">
        <f>IF(A75="",0,IF(AND(J75="Yes",E75&gt;0),E75,0))</f>
      </c>
      <c r="N75">
        <f>IF(A75="","",IF(D75="Category Pending","Needs categorization",IF(COUNTIFS($A$2:A75,A75,$B$2:B75,B75,$E$2:E75,E75)&gt;1,"Possible duplicate","")))</f>
      </c>
    </row>
    <row r="76" spans="3:14" x14ac:dyDescent="0.3">
      <c r="A76"/>
      <c r="C76" s="16"/>
      <c r="G76" s="5">
        <f>IF(A76="","","Checking")</f>
      </c>
      <c r="H76">
        <f>IF(A76="","",IFERROR(XLOOKUP(D76,Setup!$E$15:$E$79,Setup!$F$15:$F$79),"Miscellaneous"))</f>
      </c>
      <c r="I76">
        <f>IF(A76="","",IFERROR(XLOOKUP(D76,Setup!$E$15:$E$79,Setup!$G$15:$G$79),"Uncategorized"))</f>
      </c>
      <c r="J76">
        <f>IF(A76="","",IF(OR(H76="Transfers",H76="Income",D76="Transfer",D76="Category Pending",F76="Pending"),"No","Yes"))</f>
      </c>
      <c r="K76" s="4">
        <f>IF(A76="","",TEXT(IF(DAY(A76)&gt;=Setup!$B$9,DATE(YEAR(A76),MONTH(A76)+1,1),DATE(YEAR(A76),MONTH(A76),1)),"mmmm yyyy"))</f>
      </c>
      <c r="L76" s="47">
        <f>IF(A76="",0,IF(AND(J76="Yes",E76&lt;0),-E76,0))</f>
      </c>
      <c r="M76" s="47">
        <f>IF(A76="",0,IF(AND(J76="Yes",E76&gt;0),E76,0))</f>
      </c>
      <c r="N76">
        <f>IF(A76="","",IF(D76="Category Pending","Needs categorization",IF(COUNTIFS($A$2:A76,A76,$B$2:B76,B76,$E$2:E76,E76)&gt;1,"Possible duplicate","")))</f>
      </c>
    </row>
    <row r="77" spans="3:14" x14ac:dyDescent="0.3">
      <c r="A77"/>
      <c r="C77" s="16"/>
      <c r="G77" s="5">
        <f>IF(A77="","","Checking")</f>
      </c>
      <c r="H77">
        <f>IF(A77="","",IFERROR(XLOOKUP(D77,Setup!$E$15:$E$79,Setup!$F$15:$F$79),"Miscellaneous"))</f>
      </c>
      <c r="I77">
        <f>IF(A77="","",IFERROR(XLOOKUP(D77,Setup!$E$15:$E$79,Setup!$G$15:$G$79),"Uncategorized"))</f>
      </c>
      <c r="J77">
        <f>IF(A77="","",IF(OR(H77="Transfers",H77="Income",D77="Transfer",D77="Category Pending",F77="Pending"),"No","Yes"))</f>
      </c>
      <c r="K77" s="4">
        <f>IF(A77="","",TEXT(IF(DAY(A77)&gt;=Setup!$B$9,DATE(YEAR(A77),MONTH(A77)+1,1),DATE(YEAR(A77),MONTH(A77),1)),"mmmm yyyy"))</f>
      </c>
      <c r="L77" s="47">
        <f>IF(A77="",0,IF(AND(J77="Yes",E77&lt;0),-E77,0))</f>
      </c>
      <c r="M77" s="47">
        <f>IF(A77="",0,IF(AND(J77="Yes",E77&gt;0),E77,0))</f>
      </c>
      <c r="N77">
        <f>IF(A77="","",IF(D77="Category Pending","Needs categorization",IF(COUNTIFS($A$2:A77,A77,$B$2:B77,B77,$E$2:E77,E77)&gt;1,"Possible duplicate","")))</f>
      </c>
    </row>
    <row r="78" spans="3:14" x14ac:dyDescent="0.3">
      <c r="A78"/>
      <c r="C78" s="16"/>
      <c r="G78" s="5">
        <f>IF(A78="","","Checking")</f>
      </c>
      <c r="H78">
        <f>IF(A78="","",IFERROR(XLOOKUP(D78,Setup!$E$15:$E$79,Setup!$F$15:$F$79),"Miscellaneous"))</f>
      </c>
      <c r="I78">
        <f>IF(A78="","",IFERROR(XLOOKUP(D78,Setup!$E$15:$E$79,Setup!$G$15:$G$79),"Uncategorized"))</f>
      </c>
      <c r="J78">
        <f>IF(A78="","",IF(OR(H78="Transfers",H78="Income",D78="Transfer",D78="Category Pending",F78="Pending"),"No","Yes"))</f>
      </c>
      <c r="K78" s="4">
        <f>IF(A78="","",TEXT(IF(DAY(A78)&gt;=Setup!$B$9,DATE(YEAR(A78),MONTH(A78)+1,1),DATE(YEAR(A78),MONTH(A78),1)),"mmmm yyyy"))</f>
      </c>
      <c r="L78" s="47">
        <f>IF(A78="",0,IF(AND(J78="Yes",E78&lt;0),-E78,0))</f>
      </c>
      <c r="M78" s="47">
        <f>IF(A78="",0,IF(AND(J78="Yes",E78&gt;0),E78,0))</f>
      </c>
      <c r="N78">
        <f>IF(A78="","",IF(D78="Category Pending","Needs categorization",IF(COUNTIFS($A$2:A78,A78,$B$2:B78,B78,$E$2:E78,E78)&gt;1,"Possible duplicate","")))</f>
      </c>
    </row>
    <row r="79" spans="3:14" x14ac:dyDescent="0.3">
      <c r="A79"/>
      <c r="C79" s="16"/>
      <c r="G79" s="5">
        <f>IF(A79="","","Checking")</f>
      </c>
      <c r="H79">
        <f>IF(A79="","",IFERROR(XLOOKUP(D79,Setup!$E$15:$E$79,Setup!$F$15:$F$79),"Miscellaneous"))</f>
      </c>
      <c r="I79">
        <f>IF(A79="","",IFERROR(XLOOKUP(D79,Setup!$E$15:$E$79,Setup!$G$15:$G$79),"Uncategorized"))</f>
      </c>
      <c r="J79">
        <f>IF(A79="","",IF(OR(H79="Transfers",H79="Income",D79="Transfer",D79="Category Pending",F79="Pending"),"No","Yes"))</f>
      </c>
      <c r="K79" s="4">
        <f>IF(A79="","",TEXT(IF(DAY(A79)&gt;=Setup!$B$9,DATE(YEAR(A79),MONTH(A79)+1,1),DATE(YEAR(A79),MONTH(A79),1)),"mmmm yyyy"))</f>
      </c>
      <c r="L79" s="47">
        <f>IF(A79="",0,IF(AND(J79="Yes",E79&lt;0),-E79,0))</f>
      </c>
      <c r="M79" s="47">
        <f>IF(A79="",0,IF(AND(J79="Yes",E79&gt;0),E79,0))</f>
      </c>
      <c r="N79">
        <f>IF(A79="","",IF(D79="Category Pending","Needs categorization",IF(COUNTIFS($A$2:A79,A79,$B$2:B79,B79,$E$2:E79,E79)&gt;1,"Possible duplicate","")))</f>
      </c>
    </row>
    <row r="80" spans="3:14" x14ac:dyDescent="0.3">
      <c r="A80"/>
      <c r="C80" s="16"/>
      <c r="G80" s="5">
        <f>IF(A80="","","Checking")</f>
      </c>
      <c r="H80">
        <f>IF(A80="","",IFERROR(XLOOKUP(D80,Setup!$E$15:$E$79,Setup!$F$15:$F$79),"Miscellaneous"))</f>
      </c>
      <c r="I80">
        <f>IF(A80="","",IFERROR(XLOOKUP(D80,Setup!$E$15:$E$79,Setup!$G$15:$G$79),"Uncategorized"))</f>
      </c>
      <c r="J80">
        <f>IF(A80="","",IF(OR(H80="Transfers",H80="Income",D80="Transfer",D80="Category Pending",F80="Pending"),"No","Yes"))</f>
      </c>
      <c r="K80" s="4">
        <f>IF(A80="","",TEXT(IF(DAY(A80)&gt;=Setup!$B$9,DATE(YEAR(A80),MONTH(A80)+1,1),DATE(YEAR(A80),MONTH(A80),1)),"mmmm yyyy"))</f>
      </c>
      <c r="L80" s="47">
        <f>IF(A80="",0,IF(AND(J80="Yes",E80&lt;0),-E80,0))</f>
      </c>
      <c r="M80" s="47">
        <f>IF(A80="",0,IF(AND(J80="Yes",E80&gt;0),E80,0))</f>
      </c>
      <c r="N80">
        <f>IF(A80="","",IF(D80="Category Pending","Needs categorization",IF(COUNTIFS($A$2:A80,A80,$B$2:B80,B80,$E$2:E80,E80)&gt;1,"Possible duplicate","")))</f>
      </c>
    </row>
    <row r="81" spans="3:14" x14ac:dyDescent="0.3">
      <c r="A81"/>
      <c r="C81" s="16"/>
      <c r="G81" s="5">
        <f>IF(A81="","","Checking")</f>
      </c>
      <c r="H81">
        <f>IF(A81="","",IFERROR(XLOOKUP(D81,Setup!$E$15:$E$79,Setup!$F$15:$F$79),"Miscellaneous"))</f>
      </c>
      <c r="I81">
        <f>IF(A81="","",IFERROR(XLOOKUP(D81,Setup!$E$15:$E$79,Setup!$G$15:$G$79),"Uncategorized"))</f>
      </c>
      <c r="J81">
        <f>IF(A81="","",IF(OR(H81="Transfers",H81="Income",D81="Transfer",D81="Category Pending",F81="Pending"),"No","Yes"))</f>
      </c>
      <c r="K81" s="4">
        <f>IF(A81="","",TEXT(IF(DAY(A81)&gt;=Setup!$B$9,DATE(YEAR(A81),MONTH(A81)+1,1),DATE(YEAR(A81),MONTH(A81),1)),"mmmm yyyy"))</f>
      </c>
      <c r="L81" s="47">
        <f>IF(A81="",0,IF(AND(J81="Yes",E81&lt;0),-E81,0))</f>
      </c>
      <c r="M81" s="47">
        <f>IF(A81="",0,IF(AND(J81="Yes",E81&gt;0),E81,0))</f>
      </c>
      <c r="N81">
        <f>IF(A81="","",IF(D81="Category Pending","Needs categorization",IF(COUNTIFS($A$2:A81,A81,$B$2:B81,B81,$E$2:E81,E81)&gt;1,"Possible duplicate","")))</f>
      </c>
    </row>
    <row r="82" spans="3:14" x14ac:dyDescent="0.3">
      <c r="A82"/>
      <c r="C82" s="16"/>
      <c r="G82" s="5">
        <f>IF(A82="","","Checking")</f>
      </c>
      <c r="H82">
        <f>IF(A82="","",IFERROR(XLOOKUP(D82,Setup!$E$15:$E$79,Setup!$F$15:$F$79),"Miscellaneous"))</f>
      </c>
      <c r="I82">
        <f>IF(A82="","",IFERROR(XLOOKUP(D82,Setup!$E$15:$E$79,Setup!$G$15:$G$79),"Uncategorized"))</f>
      </c>
      <c r="J82">
        <f>IF(A82="","",IF(OR(H82="Transfers",H82="Income",D82="Transfer",D82="Category Pending",F82="Pending"),"No","Yes"))</f>
      </c>
      <c r="K82" s="4">
        <f>IF(A82="","",TEXT(IF(DAY(A82)&gt;=Setup!$B$9,DATE(YEAR(A82),MONTH(A82)+1,1),DATE(YEAR(A82),MONTH(A82),1)),"mmmm yyyy"))</f>
      </c>
      <c r="L82" s="47">
        <f>IF(A82="",0,IF(AND(J82="Yes",E82&lt;0),-E82,0))</f>
      </c>
      <c r="M82" s="47">
        <f>IF(A82="",0,IF(AND(J82="Yes",E82&gt;0),E82,0))</f>
      </c>
      <c r="N82">
        <f>IF(A82="","",IF(D82="Category Pending","Needs categorization",IF(COUNTIFS($A$2:A82,A82,$B$2:B82,B82,$E$2:E82,E82)&gt;1,"Possible duplicate","")))</f>
      </c>
    </row>
    <row r="83" spans="3:14" x14ac:dyDescent="0.3">
      <c r="A83"/>
      <c r="C83" s="16"/>
      <c r="G83" s="5">
        <f>IF(A83="","","Checking")</f>
      </c>
      <c r="H83">
        <f>IF(A83="","",IFERROR(XLOOKUP(D83,Setup!$E$15:$E$79,Setup!$F$15:$F$79),"Miscellaneous"))</f>
      </c>
      <c r="I83">
        <f>IF(A83="","",IFERROR(XLOOKUP(D83,Setup!$E$15:$E$79,Setup!$G$15:$G$79),"Uncategorized"))</f>
      </c>
      <c r="J83">
        <f>IF(A83="","",IF(OR(H83="Transfers",H83="Income",D83="Transfer",D83="Category Pending",F83="Pending"),"No","Yes"))</f>
      </c>
      <c r="K83" s="4">
        <f>IF(A83="","",TEXT(IF(DAY(A83)&gt;=Setup!$B$9,DATE(YEAR(A83),MONTH(A83)+1,1),DATE(YEAR(A83),MONTH(A83),1)),"mmmm yyyy"))</f>
      </c>
      <c r="L83" s="47">
        <f>IF(A83="",0,IF(AND(J83="Yes",E83&lt;0),-E83,0))</f>
      </c>
      <c r="M83" s="47">
        <f>IF(A83="",0,IF(AND(J83="Yes",E83&gt;0),E83,0))</f>
      </c>
      <c r="N83">
        <f>IF(A83="","",IF(D83="Category Pending","Needs categorization",IF(COUNTIFS($A$2:A83,A83,$B$2:B83,B83,$E$2:E83,E83)&gt;1,"Possible duplicate","")))</f>
      </c>
    </row>
    <row r="84" spans="3:14" x14ac:dyDescent="0.3">
      <c r="A84"/>
      <c r="C84" s="16"/>
      <c r="G84" s="5">
        <f>IF(A84="","","Checking")</f>
      </c>
      <c r="H84">
        <f>IF(A84="","",IFERROR(XLOOKUP(D84,Setup!$E$15:$E$79,Setup!$F$15:$F$79),"Miscellaneous"))</f>
      </c>
      <c r="I84">
        <f>IF(A84="","",IFERROR(XLOOKUP(D84,Setup!$E$15:$E$79,Setup!$G$15:$G$79),"Uncategorized"))</f>
      </c>
      <c r="J84">
        <f>IF(A84="","",IF(OR(H84="Transfers",H84="Income",D84="Transfer",D84="Category Pending",F84="Pending"),"No","Yes"))</f>
      </c>
      <c r="K84" s="4">
        <f>IF(A84="","",TEXT(IF(DAY(A84)&gt;=Setup!$B$9,DATE(YEAR(A84),MONTH(A84)+1,1),DATE(YEAR(A84),MONTH(A84),1)),"mmmm yyyy"))</f>
      </c>
      <c r="L84" s="47">
        <f>IF(A84="",0,IF(AND(J84="Yes",E84&lt;0),-E84,0))</f>
      </c>
      <c r="M84" s="47">
        <f>IF(A84="",0,IF(AND(J84="Yes",E84&gt;0),E84,0))</f>
      </c>
      <c r="N84">
        <f>IF(A84="","",IF(D84="Category Pending","Needs categorization",IF(COUNTIFS($A$2:A84,A84,$B$2:B84,B84,$E$2:E84,E84)&gt;1,"Possible duplicate","")))</f>
      </c>
    </row>
    <row r="85" spans="3:14" x14ac:dyDescent="0.3">
      <c r="A85"/>
      <c r="C85" s="16"/>
      <c r="G85" s="5">
        <f>IF(A85="","","Checking")</f>
      </c>
      <c r="H85">
        <f>IF(A85="","",IFERROR(XLOOKUP(D85,Setup!$E$15:$E$79,Setup!$F$15:$F$79),"Miscellaneous"))</f>
      </c>
      <c r="I85">
        <f>IF(A85="","",IFERROR(XLOOKUP(D85,Setup!$E$15:$E$79,Setup!$G$15:$G$79),"Uncategorized"))</f>
      </c>
      <c r="J85">
        <f>IF(A85="","",IF(OR(H85="Transfers",H85="Income",D85="Transfer",D85="Category Pending",F85="Pending"),"No","Yes"))</f>
      </c>
      <c r="K85" s="4">
        <f>IF(A85="","",TEXT(IF(DAY(A85)&gt;=Setup!$B$9,DATE(YEAR(A85),MONTH(A85)+1,1),DATE(YEAR(A85),MONTH(A85),1)),"mmmm yyyy"))</f>
      </c>
      <c r="L85" s="47">
        <f>IF(A85="",0,IF(AND(J85="Yes",E85&lt;0),-E85,0))</f>
      </c>
      <c r="M85" s="47">
        <f>IF(A85="",0,IF(AND(J85="Yes",E85&gt;0),E85,0))</f>
      </c>
      <c r="N85">
        <f>IF(A85="","",IF(D85="Category Pending","Needs categorization",IF(COUNTIFS($A$2:A85,A85,$B$2:B85,B85,$E$2:E85,E85)&gt;1,"Possible duplicate","")))</f>
      </c>
    </row>
    <row r="86" spans="3:14" x14ac:dyDescent="0.3">
      <c r="A86"/>
      <c r="C86" s="16"/>
      <c r="G86" s="5">
        <f>IF(A86="","","Checking")</f>
      </c>
      <c r="H86">
        <f>IF(A86="","",IFERROR(XLOOKUP(D86,Setup!$E$15:$E$79,Setup!$F$15:$F$79),"Miscellaneous"))</f>
      </c>
      <c r="I86">
        <f>IF(A86="","",IFERROR(XLOOKUP(D86,Setup!$E$15:$E$79,Setup!$G$15:$G$79),"Uncategorized"))</f>
      </c>
      <c r="J86">
        <f>IF(A86="","",IF(OR(H86="Transfers",H86="Income",D86="Transfer",D86="Category Pending",F86="Pending"),"No","Yes"))</f>
      </c>
      <c r="K86" s="4">
        <f>IF(A86="","",TEXT(IF(DAY(A86)&gt;=Setup!$B$9,DATE(YEAR(A86),MONTH(A86)+1,1),DATE(YEAR(A86),MONTH(A86),1)),"mmmm yyyy"))</f>
      </c>
      <c r="L86" s="47">
        <f>IF(A86="",0,IF(AND(J86="Yes",E86&lt;0),-E86,0))</f>
      </c>
      <c r="M86" s="47">
        <f>IF(A86="",0,IF(AND(J86="Yes",E86&gt;0),E86,0))</f>
      </c>
      <c r="N86">
        <f>IF(A86="","",IF(D86="Category Pending","Needs categorization",IF(COUNTIFS($A$2:A86,A86,$B$2:B86,B86,$E$2:E86,E86)&gt;1,"Possible duplicate","")))</f>
      </c>
    </row>
    <row r="87" spans="3:14" x14ac:dyDescent="0.3">
      <c r="A87"/>
      <c r="C87" s="16"/>
      <c r="G87" s="5">
        <f>IF(A87="","","Checking")</f>
      </c>
      <c r="H87">
        <f>IF(A87="","",IFERROR(XLOOKUP(D87,Setup!$E$15:$E$79,Setup!$F$15:$F$79),"Miscellaneous"))</f>
      </c>
      <c r="I87">
        <f>IF(A87="","",IFERROR(XLOOKUP(D87,Setup!$E$15:$E$79,Setup!$G$15:$G$79),"Uncategorized"))</f>
      </c>
      <c r="J87">
        <f>IF(A87="","",IF(OR(H87="Transfers",H87="Income",D87="Transfer",D87="Category Pending",F87="Pending"),"No","Yes"))</f>
      </c>
      <c r="K87" s="4">
        <f>IF(A87="","",TEXT(IF(DAY(A87)&gt;=Setup!$B$9,DATE(YEAR(A87),MONTH(A87)+1,1),DATE(YEAR(A87),MONTH(A87),1)),"mmmm yyyy"))</f>
      </c>
      <c r="L87" s="47">
        <f>IF(A87="",0,IF(AND(J87="Yes",E87&lt;0),-E87,0))</f>
      </c>
      <c r="M87" s="47">
        <f>IF(A87="",0,IF(AND(J87="Yes",E87&gt;0),E87,0))</f>
      </c>
      <c r="N87">
        <f>IF(A87="","",IF(D87="Category Pending","Needs categorization",IF(COUNTIFS($A$2:A87,A87,$B$2:B87,B87,$E$2:E87,E87)&gt;1,"Possible duplicate","")))</f>
      </c>
    </row>
    <row r="88" spans="3:14" x14ac:dyDescent="0.3">
      <c r="A88"/>
      <c r="C88" s="16"/>
      <c r="G88" s="5">
        <f>IF(A88="","","Checking")</f>
      </c>
      <c r="H88">
        <f>IF(A88="","",IFERROR(XLOOKUP(D88,Setup!$E$15:$E$79,Setup!$F$15:$F$79),"Miscellaneous"))</f>
      </c>
      <c r="I88">
        <f>IF(A88="","",IFERROR(XLOOKUP(D88,Setup!$E$15:$E$79,Setup!$G$15:$G$79),"Uncategorized"))</f>
      </c>
      <c r="J88">
        <f>IF(A88="","",IF(OR(H88="Transfers",H88="Income",D88="Transfer",D88="Category Pending",F88="Pending"),"No","Yes"))</f>
      </c>
      <c r="K88" s="4">
        <f>IF(A88="","",TEXT(IF(DAY(A88)&gt;=Setup!$B$9,DATE(YEAR(A88),MONTH(A88)+1,1),DATE(YEAR(A88),MONTH(A88),1)),"mmmm yyyy"))</f>
      </c>
      <c r="L88" s="47">
        <f>IF(A88="",0,IF(AND(J88="Yes",E88&lt;0),-E88,0))</f>
      </c>
      <c r="M88" s="47">
        <f>IF(A88="",0,IF(AND(J88="Yes",E88&gt;0),E88,0))</f>
      </c>
      <c r="N88">
        <f>IF(A88="","",IF(D88="Category Pending","Needs categorization",IF(COUNTIFS($A$2:A88,A88,$B$2:B88,B88,$E$2:E88,E88)&gt;1,"Possible duplicate","")))</f>
      </c>
    </row>
    <row r="89" spans="3:14" x14ac:dyDescent="0.3">
      <c r="A89"/>
      <c r="C89" s="16"/>
      <c r="G89" s="5">
        <f>IF(A89="","","Checking")</f>
      </c>
      <c r="H89">
        <f>IF(A89="","",IFERROR(XLOOKUP(D89,Setup!$E$15:$E$79,Setup!$F$15:$F$79),"Miscellaneous"))</f>
      </c>
      <c r="I89">
        <f>IF(A89="","",IFERROR(XLOOKUP(D89,Setup!$E$15:$E$79,Setup!$G$15:$G$79),"Uncategorized"))</f>
      </c>
      <c r="J89">
        <f>IF(A89="","",IF(OR(H89="Transfers",H89="Income",D89="Transfer",D89="Category Pending",F89="Pending"),"No","Yes"))</f>
      </c>
      <c r="K89" s="4">
        <f>IF(A89="","",TEXT(IF(DAY(A89)&gt;=Setup!$B$9,DATE(YEAR(A89),MONTH(A89)+1,1),DATE(YEAR(A89),MONTH(A89),1)),"mmmm yyyy"))</f>
      </c>
      <c r="L89" s="47">
        <f>IF(A89="",0,IF(AND(J89="Yes",E89&lt;0),-E89,0))</f>
      </c>
      <c r="M89" s="47">
        <f>IF(A89="",0,IF(AND(J89="Yes",E89&gt;0),E89,0))</f>
      </c>
      <c r="N89">
        <f>IF(A89="","",IF(D89="Category Pending","Needs categorization",IF(COUNTIFS($A$2:A89,A89,$B$2:B89,B89,$E$2:E89,E89)&gt;1,"Possible duplicate","")))</f>
      </c>
    </row>
    <row r="90" spans="3:14" x14ac:dyDescent="0.3">
      <c r="A90"/>
      <c r="C90" s="16"/>
      <c r="G90" s="5">
        <f>IF(A90="","","Checking")</f>
      </c>
      <c r="H90">
        <f>IF(A90="","",IFERROR(XLOOKUP(D90,Setup!$E$15:$E$79,Setup!$F$15:$F$79),"Miscellaneous"))</f>
      </c>
      <c r="I90">
        <f>IF(A90="","",IFERROR(XLOOKUP(D90,Setup!$E$15:$E$79,Setup!$G$15:$G$79),"Uncategorized"))</f>
      </c>
      <c r="J90">
        <f>IF(A90="","",IF(OR(H90="Transfers",H90="Income",D90="Transfer",D90="Category Pending",F90="Pending"),"No","Yes"))</f>
      </c>
      <c r="K90" s="4">
        <f>IF(A90="","",TEXT(IF(DAY(A90)&gt;=Setup!$B$9,DATE(YEAR(A90),MONTH(A90)+1,1),DATE(YEAR(A90),MONTH(A90),1)),"mmmm yyyy"))</f>
      </c>
      <c r="L90" s="47">
        <f>IF(A90="",0,IF(AND(J90="Yes",E90&lt;0),-E90,0))</f>
      </c>
      <c r="M90" s="47">
        <f>IF(A90="",0,IF(AND(J90="Yes",E90&gt;0),E90,0))</f>
      </c>
      <c r="N90">
        <f>IF(A90="","",IF(D90="Category Pending","Needs categorization",IF(COUNTIFS($A$2:A90,A90,$B$2:B90,B90,$E$2:E90,E90)&gt;1,"Possible duplicate","")))</f>
      </c>
    </row>
    <row r="91" spans="3:14" x14ac:dyDescent="0.3">
      <c r="A91"/>
      <c r="C91" s="16"/>
      <c r="G91" s="5">
        <f>IF(A91="","","Checking")</f>
      </c>
      <c r="H91">
        <f>IF(A91="","",IFERROR(XLOOKUP(D91,Setup!$E$15:$E$79,Setup!$F$15:$F$79),"Miscellaneous"))</f>
      </c>
      <c r="I91">
        <f>IF(A91="","",IFERROR(XLOOKUP(D91,Setup!$E$15:$E$79,Setup!$G$15:$G$79),"Uncategorized"))</f>
      </c>
      <c r="J91">
        <f>IF(A91="","",IF(OR(H91="Transfers",H91="Income",D91="Transfer",D91="Category Pending",F91="Pending"),"No","Yes"))</f>
      </c>
      <c r="K91" s="4">
        <f>IF(A91="","",TEXT(IF(DAY(A91)&gt;=Setup!$B$9,DATE(YEAR(A91),MONTH(A91)+1,1),DATE(YEAR(A91),MONTH(A91),1)),"mmmm yyyy"))</f>
      </c>
      <c r="L91" s="47">
        <f>IF(A91="",0,IF(AND(J91="Yes",E91&lt;0),-E91,0))</f>
      </c>
      <c r="M91" s="47">
        <f>IF(A91="",0,IF(AND(J91="Yes",E91&gt;0),E91,0))</f>
      </c>
      <c r="N91">
        <f>IF(A91="","",IF(D91="Category Pending","Needs categorization",IF(COUNTIFS($A$2:A91,A91,$B$2:B91,B91,$E$2:E91,E91)&gt;1,"Possible duplicate","")))</f>
      </c>
    </row>
    <row r="92" spans="3:14" x14ac:dyDescent="0.3">
      <c r="A92"/>
      <c r="C92" s="16"/>
      <c r="G92" s="5">
        <f>IF(A92="","","Checking")</f>
      </c>
      <c r="H92">
        <f>IF(A92="","",IFERROR(XLOOKUP(D92,Setup!$E$15:$E$79,Setup!$F$15:$F$79),"Miscellaneous"))</f>
      </c>
      <c r="I92">
        <f>IF(A92="","",IFERROR(XLOOKUP(D92,Setup!$E$15:$E$79,Setup!$G$15:$G$79),"Uncategorized"))</f>
      </c>
      <c r="J92">
        <f>IF(A92="","",IF(OR(H92="Transfers",H92="Income",D92="Transfer",D92="Category Pending",F92="Pending"),"No","Yes"))</f>
      </c>
      <c r="K92" s="4">
        <f>IF(A92="","",TEXT(IF(DAY(A92)&gt;=Setup!$B$9,DATE(YEAR(A92),MONTH(A92)+1,1),DATE(YEAR(A92),MONTH(A92),1)),"mmmm yyyy"))</f>
      </c>
      <c r="L92" s="47">
        <f>IF(A92="",0,IF(AND(J92="Yes",E92&lt;0),-E92,0))</f>
      </c>
      <c r="M92" s="47">
        <f>IF(A92="",0,IF(AND(J92="Yes",E92&gt;0),E92,0))</f>
      </c>
      <c r="N92">
        <f>IF(A92="","",IF(D92="Category Pending","Needs categorization",IF(COUNTIFS($A$2:A92,A92,$B$2:B92,B92,$E$2:E92,E92)&gt;1,"Possible duplicate","")))</f>
      </c>
    </row>
    <row r="93" spans="3:14" x14ac:dyDescent="0.3">
      <c r="A93"/>
      <c r="C93" s="16"/>
      <c r="G93" s="5">
        <f>IF(A93="","","Checking")</f>
      </c>
      <c r="H93">
        <f>IF(A93="","",IFERROR(XLOOKUP(D93,Setup!$E$15:$E$79,Setup!$F$15:$F$79),"Miscellaneous"))</f>
      </c>
      <c r="I93">
        <f>IF(A93="","",IFERROR(XLOOKUP(D93,Setup!$E$15:$E$79,Setup!$G$15:$G$79),"Uncategorized"))</f>
      </c>
      <c r="J93">
        <f>IF(A93="","",IF(OR(H93="Transfers",H93="Income",D93="Transfer",D93="Category Pending",F93="Pending"),"No","Yes"))</f>
      </c>
      <c r="K93" s="4">
        <f>IF(A93="","",TEXT(IF(DAY(A93)&gt;=Setup!$B$9,DATE(YEAR(A93),MONTH(A93)+1,1),DATE(YEAR(A93),MONTH(A93),1)),"mmmm yyyy"))</f>
      </c>
      <c r="L93" s="47">
        <f>IF(A93="",0,IF(AND(J93="Yes",E93&lt;0),-E93,0))</f>
      </c>
      <c r="M93" s="47">
        <f>IF(A93="",0,IF(AND(J93="Yes",E93&gt;0),E93,0))</f>
      </c>
      <c r="N93">
        <f>IF(A93="","",IF(D93="Category Pending","Needs categorization",IF(COUNTIFS($A$2:A93,A93,$B$2:B93,B93,$E$2:E93,E93)&gt;1,"Possible duplicate","")))</f>
      </c>
    </row>
    <row r="94" spans="3:14" x14ac:dyDescent="0.3">
      <c r="A94"/>
      <c r="C94" s="16"/>
      <c r="G94" s="5">
        <f>IF(A94="","","Checking")</f>
      </c>
      <c r="H94">
        <f>IF(A94="","",IFERROR(XLOOKUP(D94,Setup!$E$15:$E$79,Setup!$F$15:$F$79),"Miscellaneous"))</f>
      </c>
      <c r="I94">
        <f>IF(A94="","",IFERROR(XLOOKUP(D94,Setup!$E$15:$E$79,Setup!$G$15:$G$79),"Uncategorized"))</f>
      </c>
      <c r="J94">
        <f>IF(A94="","",IF(OR(H94="Transfers",H94="Income",D94="Transfer",D94="Category Pending",F94="Pending"),"No","Yes"))</f>
      </c>
      <c r="K94" s="4">
        <f>IF(A94="","",TEXT(IF(DAY(A94)&gt;=Setup!$B$9,DATE(YEAR(A94),MONTH(A94)+1,1),DATE(YEAR(A94),MONTH(A94),1)),"mmmm yyyy"))</f>
      </c>
      <c r="L94" s="47">
        <f>IF(A94="",0,IF(AND(J94="Yes",E94&lt;0),-E94,0))</f>
      </c>
      <c r="M94" s="47">
        <f>IF(A94="",0,IF(AND(J94="Yes",E94&gt;0),E94,0))</f>
      </c>
      <c r="N94">
        <f>IF(A94="","",IF(D94="Category Pending","Needs categorization",IF(COUNTIFS($A$2:A94,A94,$B$2:B94,B94,$E$2:E94,E94)&gt;1,"Possible duplicate","")))</f>
      </c>
    </row>
    <row r="95" spans="3:14" x14ac:dyDescent="0.3">
      <c r="A95"/>
      <c r="C95" s="16"/>
      <c r="G95" s="5">
        <f>IF(A95="","","Checking")</f>
      </c>
      <c r="H95">
        <f>IF(A95="","",IFERROR(XLOOKUP(D95,Setup!$E$15:$E$79,Setup!$F$15:$F$79),"Miscellaneous"))</f>
      </c>
      <c r="I95">
        <f>IF(A95="","",IFERROR(XLOOKUP(D95,Setup!$E$15:$E$79,Setup!$G$15:$G$79),"Uncategorized"))</f>
      </c>
      <c r="J95">
        <f>IF(A95="","",IF(OR(H95="Transfers",H95="Income",D95="Transfer",D95="Category Pending",F95="Pending"),"No","Yes"))</f>
      </c>
      <c r="K95" s="4">
        <f>IF(A95="","",TEXT(IF(DAY(A95)&gt;=Setup!$B$9,DATE(YEAR(A95),MONTH(A95)+1,1),DATE(YEAR(A95),MONTH(A95),1)),"mmmm yyyy"))</f>
      </c>
      <c r="L95" s="47">
        <f>IF(A95="",0,IF(AND(J95="Yes",E95&lt;0),-E95,0))</f>
      </c>
      <c r="M95" s="47">
        <f>IF(A95="",0,IF(AND(J95="Yes",E95&gt;0),E95,0))</f>
      </c>
      <c r="N95">
        <f>IF(A95="","",IF(D95="Category Pending","Needs categorization",IF(COUNTIFS($A$2:A95,A95,$B$2:B95,B95,$E$2:E95,E95)&gt;1,"Possible duplicate","")))</f>
      </c>
    </row>
    <row r="96" spans="3:14" x14ac:dyDescent="0.3">
      <c r="A96"/>
      <c r="C96" s="16"/>
      <c r="G96" s="5">
        <f>IF(A96="","","Checking")</f>
      </c>
      <c r="H96">
        <f>IF(A96="","",IFERROR(XLOOKUP(D96,Setup!$E$15:$E$79,Setup!$F$15:$F$79),"Miscellaneous"))</f>
      </c>
      <c r="I96">
        <f>IF(A96="","",IFERROR(XLOOKUP(D96,Setup!$E$15:$E$79,Setup!$G$15:$G$79),"Uncategorized"))</f>
      </c>
      <c r="J96">
        <f>IF(A96="","",IF(OR(H96="Transfers",H96="Income",D96="Transfer",D96="Category Pending",F96="Pending"),"No","Yes"))</f>
      </c>
      <c r="K96" s="4">
        <f>IF(A96="","",TEXT(IF(DAY(A96)&gt;=Setup!$B$9,DATE(YEAR(A96),MONTH(A96)+1,1),DATE(YEAR(A96),MONTH(A96),1)),"mmmm yyyy"))</f>
      </c>
      <c r="L96" s="47">
        <f>IF(A96="",0,IF(AND(J96="Yes",E96&lt;0),-E96,0))</f>
      </c>
      <c r="M96" s="47">
        <f>IF(A96="",0,IF(AND(J96="Yes",E96&gt;0),E96,0))</f>
      </c>
      <c r="N96">
        <f>IF(A96="","",IF(D96="Category Pending","Needs categorization",IF(COUNTIFS($A$2:A96,A96,$B$2:B96,B96,$E$2:E96,E96)&gt;1,"Possible duplicate","")))</f>
      </c>
    </row>
    <row r="97" spans="3:14" x14ac:dyDescent="0.3">
      <c r="A97"/>
      <c r="C97" s="16"/>
      <c r="G97" s="5">
        <f>IF(A97="","","Checking")</f>
      </c>
      <c r="H97">
        <f>IF(A97="","",IFERROR(XLOOKUP(D97,Setup!$E$15:$E$79,Setup!$F$15:$F$79),"Miscellaneous"))</f>
      </c>
      <c r="I97">
        <f>IF(A97="","",IFERROR(XLOOKUP(D97,Setup!$E$15:$E$79,Setup!$G$15:$G$79),"Uncategorized"))</f>
      </c>
      <c r="J97">
        <f>IF(A97="","",IF(OR(H97="Transfers",H97="Income",D97="Transfer",D97="Category Pending",F97="Pending"),"No","Yes"))</f>
      </c>
      <c r="K97" s="4">
        <f>IF(A97="","",TEXT(IF(DAY(A97)&gt;=Setup!$B$9,DATE(YEAR(A97),MONTH(A97)+1,1),DATE(YEAR(A97),MONTH(A97),1)),"mmmm yyyy"))</f>
      </c>
      <c r="L97" s="47">
        <f>IF(A97="",0,IF(AND(J97="Yes",E97&lt;0),-E97,0))</f>
      </c>
      <c r="M97" s="47">
        <f>IF(A97="",0,IF(AND(J97="Yes",E97&gt;0),E97,0))</f>
      </c>
      <c r="N97">
        <f>IF(A97="","",IF(D97="Category Pending","Needs categorization",IF(COUNTIFS($A$2:A97,A97,$B$2:B97,B97,$E$2:E97,E97)&gt;1,"Possible duplicate","")))</f>
      </c>
    </row>
    <row r="98" spans="3:14" x14ac:dyDescent="0.3">
      <c r="A98"/>
      <c r="C98" s="16"/>
      <c r="G98" s="5">
        <f>IF(A98="","","Checking")</f>
      </c>
      <c r="H98">
        <f>IF(A98="","",IFERROR(XLOOKUP(D98,Setup!$E$15:$E$79,Setup!$F$15:$F$79),"Miscellaneous"))</f>
      </c>
      <c r="I98">
        <f>IF(A98="","",IFERROR(XLOOKUP(D98,Setup!$E$15:$E$79,Setup!$G$15:$G$79),"Uncategorized"))</f>
      </c>
      <c r="J98">
        <f>IF(A98="","",IF(OR(H98="Transfers",H98="Income",D98="Transfer",D98="Category Pending",F98="Pending"),"No","Yes"))</f>
      </c>
      <c r="K98" s="4">
        <f>IF(A98="","",TEXT(IF(DAY(A98)&gt;=Setup!$B$9,DATE(YEAR(A98),MONTH(A98)+1,1),DATE(YEAR(A98),MONTH(A98),1)),"mmmm yyyy"))</f>
      </c>
      <c r="L98" s="47">
        <f>IF(A98="",0,IF(AND(J98="Yes",E98&lt;0),-E98,0))</f>
      </c>
      <c r="M98" s="47">
        <f>IF(A98="",0,IF(AND(J98="Yes",E98&gt;0),E98,0))</f>
      </c>
      <c r="N98">
        <f>IF(A98="","",IF(D98="Category Pending","Needs categorization",IF(COUNTIFS($A$2:A98,A98,$B$2:B98,B98,$E$2:E98,E98)&gt;1,"Possible duplicate","")))</f>
      </c>
    </row>
    <row r="99" spans="3:14" x14ac:dyDescent="0.3">
      <c r="A99"/>
      <c r="C99" s="16"/>
      <c r="G99" s="5">
        <f>IF(A99="","","Checking")</f>
      </c>
      <c r="H99">
        <f>IF(A99="","",IFERROR(XLOOKUP(D99,Setup!$E$15:$E$79,Setup!$F$15:$F$79),"Miscellaneous"))</f>
      </c>
      <c r="I99">
        <f>IF(A99="","",IFERROR(XLOOKUP(D99,Setup!$E$15:$E$79,Setup!$G$15:$G$79),"Uncategorized"))</f>
      </c>
      <c r="J99">
        <f>IF(A99="","",IF(OR(H99="Transfers",H99="Income",D99="Transfer",D99="Category Pending",F99="Pending"),"No","Yes"))</f>
      </c>
      <c r="K99" s="4">
        <f>IF(A99="","",TEXT(IF(DAY(A99)&gt;=Setup!$B$9,DATE(YEAR(A99),MONTH(A99)+1,1),DATE(YEAR(A99),MONTH(A99),1)),"mmmm yyyy"))</f>
      </c>
      <c r="L99" s="47">
        <f>IF(A99="",0,IF(AND(J99="Yes",E99&lt;0),-E99,0))</f>
      </c>
      <c r="M99" s="47">
        <f>IF(A99="",0,IF(AND(J99="Yes",E99&gt;0),E99,0))</f>
      </c>
      <c r="N99">
        <f>IF(A99="","",IF(D99="Category Pending","Needs categorization",IF(COUNTIFS($A$2:A99,A99,$B$2:B99,B99,$E$2:E99,E99)&gt;1,"Possible duplicate","")))</f>
      </c>
    </row>
    <row r="100" spans="3:14" x14ac:dyDescent="0.3">
      <c r="A100"/>
      <c r="C100" s="16"/>
      <c r="G100" s="5">
        <f>IF(A100="","","Checking")</f>
      </c>
      <c r="H100">
        <f>IF(A100="","",IFERROR(XLOOKUP(D100,Setup!$E$15:$E$79,Setup!$F$15:$F$79),"Miscellaneous"))</f>
      </c>
      <c r="I100">
        <f>IF(A100="","",IFERROR(XLOOKUP(D100,Setup!$E$15:$E$79,Setup!$G$15:$G$79),"Uncategorized"))</f>
      </c>
      <c r="J100">
        <f>IF(A100="","",IF(OR(H100="Transfers",H100="Income",D100="Transfer",D100="Category Pending",F100="Pending"),"No","Yes"))</f>
      </c>
      <c r="K100" s="4">
        <f>IF(A100="","",TEXT(IF(DAY(A100)&gt;=Setup!$B$9,DATE(YEAR(A100),MONTH(A100)+1,1),DATE(YEAR(A100),MONTH(A100),1)),"mmmm yyyy"))</f>
      </c>
      <c r="L100" s="47">
        <f>IF(A100="",0,IF(AND(J100="Yes",E100&lt;0),-E100,0))</f>
      </c>
      <c r="M100" s="47">
        <f>IF(A100="",0,IF(AND(J100="Yes",E100&gt;0),E100,0))</f>
      </c>
      <c r="N100">
        <f>IF(A100="","",IF(D100="Category Pending","Needs categorization",IF(COUNTIFS($A$2:A100,A100,$B$2:B100,B100,$E$2:E100,E100)&gt;1,"Possible duplicate","")))</f>
      </c>
    </row>
    <row r="101" spans="3:14" x14ac:dyDescent="0.3">
      <c r="A101"/>
      <c r="C101" s="16"/>
      <c r="G101" s="5">
        <f>IF(A101="","","Checking")</f>
      </c>
      <c r="H101">
        <f>IF(A101="","",IFERROR(XLOOKUP(D101,Setup!$E$15:$E$79,Setup!$F$15:$F$79),"Miscellaneous"))</f>
      </c>
      <c r="I101">
        <f>IF(A101="","",IFERROR(XLOOKUP(D101,Setup!$E$15:$E$79,Setup!$G$15:$G$79),"Uncategorized"))</f>
      </c>
      <c r="J101">
        <f>IF(A101="","",IF(OR(H101="Transfers",H101="Income",D101="Transfer",D101="Category Pending",F101="Pending"),"No","Yes"))</f>
      </c>
      <c r="K101" s="4">
        <f>IF(A101="","",TEXT(IF(DAY(A101)&gt;=Setup!$B$9,DATE(YEAR(A101),MONTH(A101)+1,1),DATE(YEAR(A101),MONTH(A101),1)),"mmmm yyyy"))</f>
      </c>
      <c r="L101" s="47">
        <f>IF(A101="",0,IF(AND(J101="Yes",E101&lt;0),-E101,0))</f>
      </c>
      <c r="M101" s="47">
        <f>IF(A101="",0,IF(AND(J101="Yes",E101&gt;0),E101,0))</f>
      </c>
      <c r="N101">
        <f>IF(A101="","",IF(D101="Category Pending","Needs categorization",IF(COUNTIFS($A$2:A101,A101,$B$2:B101,B101,$E$2:E101,E101)&gt;1,"Possible duplicate","")))</f>
      </c>
    </row>
    <row r="102" spans="3:14" x14ac:dyDescent="0.3">
      <c r="A102"/>
      <c r="C102" s="16"/>
      <c r="G102" s="5">
        <f>IF(A102="","","Checking")</f>
      </c>
      <c r="H102">
        <f>IF(A102="","",IFERROR(XLOOKUP(D102,Setup!$E$15:$E$79,Setup!$F$15:$F$79),"Miscellaneous"))</f>
      </c>
      <c r="I102">
        <f>IF(A102="","",IFERROR(XLOOKUP(D102,Setup!$E$15:$E$79,Setup!$G$15:$G$79),"Uncategorized"))</f>
      </c>
      <c r="J102">
        <f>IF(A102="","",IF(OR(H102="Transfers",H102="Income",D102="Transfer",D102="Category Pending",F102="Pending"),"No","Yes"))</f>
      </c>
      <c r="K102" s="4">
        <f>IF(A102="","",TEXT(IF(DAY(A102)&gt;=Setup!$B$9,DATE(YEAR(A102),MONTH(A102)+1,1),DATE(YEAR(A102),MONTH(A102),1)),"mmmm yyyy"))</f>
      </c>
      <c r="L102" s="47">
        <f>IF(A102="",0,IF(AND(J102="Yes",E102&lt;0),-E102,0))</f>
      </c>
      <c r="M102" s="47">
        <f>IF(A102="",0,IF(AND(J102="Yes",E102&gt;0),E102,0))</f>
      </c>
      <c r="N102">
        <f>IF(A102="","",IF(D102="Category Pending","Needs categorization",IF(COUNTIFS($A$2:A102,A102,$B$2:B102,B102,$E$2:E102,E102)&gt;1,"Possible duplicate","")))</f>
      </c>
    </row>
    <row r="103" spans="3:14" x14ac:dyDescent="0.3">
      <c r="A103"/>
      <c r="C103" s="16"/>
      <c r="G103" s="5">
        <f>IF(A103="","","Checking")</f>
      </c>
      <c r="H103">
        <f>IF(A103="","",IFERROR(XLOOKUP(D103,Setup!$E$15:$E$79,Setup!$F$15:$F$79),"Miscellaneous"))</f>
      </c>
      <c r="I103">
        <f>IF(A103="","",IFERROR(XLOOKUP(D103,Setup!$E$15:$E$79,Setup!$G$15:$G$79),"Uncategorized"))</f>
      </c>
      <c r="J103">
        <f>IF(A103="","",IF(OR(H103="Transfers",H103="Income",D103="Transfer",D103="Category Pending",F103="Pending"),"No","Yes"))</f>
      </c>
      <c r="K103" s="4">
        <f>IF(A103="","",TEXT(IF(DAY(A103)&gt;=Setup!$B$9,DATE(YEAR(A103),MONTH(A103)+1,1),DATE(YEAR(A103),MONTH(A103),1)),"mmmm yyyy"))</f>
      </c>
      <c r="L103" s="47">
        <f>IF(A103="",0,IF(AND(J103="Yes",E103&lt;0),-E103,0))</f>
      </c>
      <c r="M103" s="47">
        <f>IF(A103="",0,IF(AND(J103="Yes",E103&gt;0),E103,0))</f>
      </c>
      <c r="N103">
        <f>IF(A103="","",IF(D103="Category Pending","Needs categorization",IF(COUNTIFS($A$2:A103,A103,$B$2:B103,B103,$E$2:E103,E103)&gt;1,"Possible duplicate","")))</f>
      </c>
    </row>
    <row r="104" spans="3:14" x14ac:dyDescent="0.3">
      <c r="A104"/>
      <c r="C104" s="16"/>
      <c r="G104" s="5">
        <f>IF(A104="","","Checking")</f>
      </c>
      <c r="H104">
        <f>IF(A104="","",IFERROR(XLOOKUP(D104,Setup!$E$15:$E$79,Setup!$F$15:$F$79),"Miscellaneous"))</f>
      </c>
      <c r="I104">
        <f>IF(A104="","",IFERROR(XLOOKUP(D104,Setup!$E$15:$E$79,Setup!$G$15:$G$79),"Uncategorized"))</f>
      </c>
      <c r="J104">
        <f>IF(A104="","",IF(OR(H104="Transfers",H104="Income",D104="Transfer",D104="Category Pending",F104="Pending"),"No","Yes"))</f>
      </c>
      <c r="K104" s="4">
        <f>IF(A104="","",TEXT(IF(DAY(A104)&gt;=Setup!$B$9,DATE(YEAR(A104),MONTH(A104)+1,1),DATE(YEAR(A104),MONTH(A104),1)),"mmmm yyyy"))</f>
      </c>
      <c r="L104" s="47">
        <f>IF(A104="",0,IF(AND(J104="Yes",E104&lt;0),-E104,0))</f>
      </c>
      <c r="M104" s="47">
        <f>IF(A104="",0,IF(AND(J104="Yes",E104&gt;0),E104,0))</f>
      </c>
      <c r="N104">
        <f>IF(A104="","",IF(D104="Category Pending","Needs categorization",IF(COUNTIFS($A$2:A104,A104,$B$2:B104,B104,$E$2:E104,E104)&gt;1,"Possible duplicate","")))</f>
      </c>
    </row>
    <row r="105" spans="3:14" x14ac:dyDescent="0.3">
      <c r="A105"/>
      <c r="C105" s="16"/>
      <c r="G105" s="5">
        <f>IF(A105="","","Checking")</f>
      </c>
      <c r="H105">
        <f>IF(A105="","",IFERROR(XLOOKUP(D105,Setup!$E$15:$E$79,Setup!$F$15:$F$79),"Miscellaneous"))</f>
      </c>
      <c r="I105">
        <f>IF(A105="","",IFERROR(XLOOKUP(D105,Setup!$E$15:$E$79,Setup!$G$15:$G$79),"Uncategorized"))</f>
      </c>
      <c r="J105">
        <f>IF(A105="","",IF(OR(H105="Transfers",H105="Income",D105="Transfer",D105="Category Pending",F105="Pending"),"No","Yes"))</f>
      </c>
      <c r="K105" s="4">
        <f>IF(A105="","",TEXT(IF(DAY(A105)&gt;=Setup!$B$9,DATE(YEAR(A105),MONTH(A105)+1,1),DATE(YEAR(A105),MONTH(A105),1)),"mmmm yyyy"))</f>
      </c>
      <c r="L105" s="47">
        <f>IF(A105="",0,IF(AND(J105="Yes",E105&lt;0),-E105,0))</f>
      </c>
      <c r="M105" s="47">
        <f>IF(A105="",0,IF(AND(J105="Yes",E105&gt;0),E105,0))</f>
      </c>
      <c r="N105">
        <f>IF(A105="","",IF(D105="Category Pending","Needs categorization",IF(COUNTIFS($A$2:A105,A105,$B$2:B105,B105,$E$2:E105,E105)&gt;1,"Possible duplicate","")))</f>
      </c>
    </row>
    <row r="106" spans="3:14" x14ac:dyDescent="0.3">
      <c r="A106"/>
      <c r="C106" s="16"/>
      <c r="G106" s="5">
        <f>IF(A106="","","Checking")</f>
      </c>
      <c r="H106">
        <f>IF(A106="","",IFERROR(XLOOKUP(D106,Setup!$E$15:$E$79,Setup!$F$15:$F$79),"Miscellaneous"))</f>
      </c>
      <c r="I106">
        <f>IF(A106="","",IFERROR(XLOOKUP(D106,Setup!$E$15:$E$79,Setup!$G$15:$G$79),"Uncategorized"))</f>
      </c>
      <c r="J106">
        <f>IF(A106="","",IF(OR(H106="Transfers",H106="Income",D106="Transfer",D106="Category Pending",F106="Pending"),"No","Yes"))</f>
      </c>
      <c r="K106" s="4">
        <f>IF(A106="","",TEXT(IF(DAY(A106)&gt;=Setup!$B$9,DATE(YEAR(A106),MONTH(A106)+1,1),DATE(YEAR(A106),MONTH(A106),1)),"mmmm yyyy"))</f>
      </c>
      <c r="L106" s="47">
        <f>IF(A106="",0,IF(AND(J106="Yes",E106&lt;0),-E106,0))</f>
      </c>
      <c r="M106" s="47">
        <f>IF(A106="",0,IF(AND(J106="Yes",E106&gt;0),E106,0))</f>
      </c>
      <c r="N106">
        <f>IF(A106="","",IF(D106="Category Pending","Needs categorization",IF(COUNTIFS($A$2:A106,A106,$B$2:B106,B106,$E$2:E106,E106)&gt;1,"Possible duplicate","")))</f>
      </c>
    </row>
    <row r="107" spans="3:14" x14ac:dyDescent="0.3">
      <c r="A107"/>
      <c r="C107" s="16"/>
      <c r="G107" s="5">
        <f>IF(A107="","","Checking")</f>
      </c>
      <c r="H107">
        <f>IF(A107="","",IFERROR(XLOOKUP(D107,Setup!$E$15:$E$79,Setup!$F$15:$F$79),"Miscellaneous"))</f>
      </c>
      <c r="I107">
        <f>IF(A107="","",IFERROR(XLOOKUP(D107,Setup!$E$15:$E$79,Setup!$G$15:$G$79),"Uncategorized"))</f>
      </c>
      <c r="J107">
        <f>IF(A107="","",IF(OR(H107="Transfers",H107="Income",D107="Transfer",D107="Category Pending",F107="Pending"),"No","Yes"))</f>
      </c>
      <c r="K107" s="4">
        <f>IF(A107="","",TEXT(IF(DAY(A107)&gt;=Setup!$B$9,DATE(YEAR(A107),MONTH(A107)+1,1),DATE(YEAR(A107),MONTH(A107),1)),"mmmm yyyy"))</f>
      </c>
      <c r="L107" s="47">
        <f>IF(A107="",0,IF(AND(J107="Yes",E107&lt;0),-E107,0))</f>
      </c>
      <c r="M107" s="47">
        <f>IF(A107="",0,IF(AND(J107="Yes",E107&gt;0),E107,0))</f>
      </c>
      <c r="N107">
        <f>IF(A107="","",IF(D107="Category Pending","Needs categorization",IF(COUNTIFS($A$2:A107,A107,$B$2:B107,B107,$E$2:E107,E107)&gt;1,"Possible duplicate","")))</f>
      </c>
    </row>
    <row r="108" spans="3:14" x14ac:dyDescent="0.3">
      <c r="A108"/>
      <c r="C108" s="16"/>
      <c r="G108" s="5">
        <f>IF(A108="","","Checking")</f>
      </c>
      <c r="H108">
        <f>IF(A108="","",IFERROR(XLOOKUP(D108,Setup!$E$15:$E$79,Setup!$F$15:$F$79),"Miscellaneous"))</f>
      </c>
      <c r="I108">
        <f>IF(A108="","",IFERROR(XLOOKUP(D108,Setup!$E$15:$E$79,Setup!$G$15:$G$79),"Uncategorized"))</f>
      </c>
      <c r="J108">
        <f>IF(A108="","",IF(OR(H108="Transfers",H108="Income",D108="Transfer",D108="Category Pending",F108="Pending"),"No","Yes"))</f>
      </c>
      <c r="K108" s="4">
        <f>IF(A108="","",TEXT(IF(DAY(A108)&gt;=Setup!$B$9,DATE(YEAR(A108),MONTH(A108)+1,1),DATE(YEAR(A108),MONTH(A108),1)),"mmmm yyyy"))</f>
      </c>
      <c r="L108" s="47">
        <f>IF(A108="",0,IF(AND(J108="Yes",E108&lt;0),-E108,0))</f>
      </c>
      <c r="M108" s="47">
        <f>IF(A108="",0,IF(AND(J108="Yes",E108&gt;0),E108,0))</f>
      </c>
      <c r="N108">
        <f>IF(A108="","",IF(D108="Category Pending","Needs categorization",IF(COUNTIFS($A$2:A108,A108,$B$2:B108,B108,$E$2:E108,E108)&gt;1,"Possible duplicate","")))</f>
      </c>
    </row>
    <row r="109" spans="3:14" x14ac:dyDescent="0.3">
      <c r="A109"/>
      <c r="C109" s="16"/>
      <c r="G109" s="5">
        <f>IF(A109="","","Checking")</f>
      </c>
      <c r="H109">
        <f>IF(A109="","",IFERROR(XLOOKUP(D109,Setup!$E$15:$E$79,Setup!$F$15:$F$79),"Miscellaneous"))</f>
      </c>
      <c r="I109">
        <f>IF(A109="","",IFERROR(XLOOKUP(D109,Setup!$E$15:$E$79,Setup!$G$15:$G$79),"Uncategorized"))</f>
      </c>
      <c r="J109">
        <f>IF(A109="","",IF(OR(H109="Transfers",H109="Income",D109="Transfer",D109="Category Pending",F109="Pending"),"No","Yes"))</f>
      </c>
      <c r="K109" s="4">
        <f>IF(A109="","",TEXT(IF(DAY(A109)&gt;=Setup!$B$9,DATE(YEAR(A109),MONTH(A109)+1,1),DATE(YEAR(A109),MONTH(A109),1)),"mmmm yyyy"))</f>
      </c>
      <c r="L109" s="47">
        <f>IF(A109="",0,IF(AND(J109="Yes",E109&lt;0),-E109,0))</f>
      </c>
      <c r="M109" s="47">
        <f>IF(A109="",0,IF(AND(J109="Yes",E109&gt;0),E109,0))</f>
      </c>
      <c r="N109">
        <f>IF(A109="","",IF(D109="Category Pending","Needs categorization",IF(COUNTIFS($A$2:A109,A109,$B$2:B109,B109,$E$2:E109,E109)&gt;1,"Possible duplicate","")))</f>
      </c>
    </row>
    <row r="110" spans="3:14" x14ac:dyDescent="0.3">
      <c r="A110"/>
      <c r="C110" s="16"/>
      <c r="G110" s="5">
        <f>IF(A110="","","Checking")</f>
      </c>
      <c r="H110">
        <f>IF(A110="","",IFERROR(XLOOKUP(D110,Setup!$E$15:$E$79,Setup!$F$15:$F$79),"Miscellaneous"))</f>
      </c>
      <c r="I110">
        <f>IF(A110="","",IFERROR(XLOOKUP(D110,Setup!$E$15:$E$79,Setup!$G$15:$G$79),"Uncategorized"))</f>
      </c>
      <c r="J110">
        <f>IF(A110="","",IF(OR(H110="Transfers",H110="Income",D110="Transfer",D110="Category Pending",F110="Pending"),"No","Yes"))</f>
      </c>
      <c r="K110" s="4">
        <f>IF(A110="","",TEXT(IF(DAY(A110)&gt;=Setup!$B$9,DATE(YEAR(A110),MONTH(A110)+1,1),DATE(YEAR(A110),MONTH(A110),1)),"mmmm yyyy"))</f>
      </c>
      <c r="L110" s="47">
        <f>IF(A110="",0,IF(AND(J110="Yes",E110&lt;0),-E110,0))</f>
      </c>
      <c r="M110" s="47">
        <f>IF(A110="",0,IF(AND(J110="Yes",E110&gt;0),E110,0))</f>
      </c>
      <c r="N110">
        <f>IF(A110="","",IF(D110="Category Pending","Needs categorization",IF(COUNTIFS($A$2:A110,A110,$B$2:B110,B110,$E$2:E110,E110)&gt;1,"Possible duplicate","")))</f>
      </c>
    </row>
    <row r="111" spans="3:14" x14ac:dyDescent="0.3">
      <c r="A111"/>
      <c r="C111" s="16"/>
      <c r="G111" s="5">
        <f>IF(A111="","","Checking")</f>
      </c>
      <c r="H111">
        <f>IF(A111="","",IFERROR(XLOOKUP(D111,Setup!$E$15:$E$79,Setup!$F$15:$F$79),"Miscellaneous"))</f>
      </c>
      <c r="I111">
        <f>IF(A111="","",IFERROR(XLOOKUP(D111,Setup!$E$15:$E$79,Setup!$G$15:$G$79),"Uncategorized"))</f>
      </c>
      <c r="J111">
        <f>IF(A111="","",IF(OR(H111="Transfers",H111="Income",D111="Transfer",D111="Category Pending",F111="Pending"),"No","Yes"))</f>
      </c>
      <c r="K111" s="4">
        <f>IF(A111="","",TEXT(IF(DAY(A111)&gt;=Setup!$B$9,DATE(YEAR(A111),MONTH(A111)+1,1),DATE(YEAR(A111),MONTH(A111),1)),"mmmm yyyy"))</f>
      </c>
      <c r="L111" s="47">
        <f>IF(A111="",0,IF(AND(J111="Yes",E111&lt;0),-E111,0))</f>
      </c>
      <c r="M111" s="47">
        <f>IF(A111="",0,IF(AND(J111="Yes",E111&gt;0),E111,0))</f>
      </c>
      <c r="N111">
        <f>IF(A111="","",IF(D111="Category Pending","Needs categorization",IF(COUNTIFS($A$2:A111,A111,$B$2:B111,B111,$E$2:E111,E111)&gt;1,"Possible duplicate","")))</f>
      </c>
    </row>
    <row r="112" spans="3:14" x14ac:dyDescent="0.3">
      <c r="A112"/>
      <c r="C112" s="16"/>
      <c r="G112" s="5">
        <f>IF(A112="","","Checking")</f>
      </c>
      <c r="H112">
        <f>IF(A112="","",IFERROR(XLOOKUP(D112,Setup!$E$15:$E$79,Setup!$F$15:$F$79),"Miscellaneous"))</f>
      </c>
      <c r="I112">
        <f>IF(A112="","",IFERROR(XLOOKUP(D112,Setup!$E$15:$E$79,Setup!$G$15:$G$79),"Uncategorized"))</f>
      </c>
      <c r="J112">
        <f>IF(A112="","",IF(OR(H112="Transfers",H112="Income",D112="Transfer",D112="Category Pending",F112="Pending"),"No","Yes"))</f>
      </c>
      <c r="K112" s="4">
        <f>IF(A112="","",TEXT(IF(DAY(A112)&gt;=Setup!$B$9,DATE(YEAR(A112),MONTH(A112)+1,1),DATE(YEAR(A112),MONTH(A112),1)),"mmmm yyyy"))</f>
      </c>
      <c r="L112" s="47">
        <f>IF(A112="",0,IF(AND(J112="Yes",E112&lt;0),-E112,0))</f>
      </c>
      <c r="M112" s="47">
        <f>IF(A112="",0,IF(AND(J112="Yes",E112&gt;0),E112,0))</f>
      </c>
      <c r="N112">
        <f>IF(A112="","",IF(D112="Category Pending","Needs categorization",IF(COUNTIFS($A$2:A112,A112,$B$2:B112,B112,$E$2:E112,E112)&gt;1,"Possible duplicate","")))</f>
      </c>
    </row>
    <row r="113" spans="3:14" x14ac:dyDescent="0.3">
      <c r="A113"/>
      <c r="C113" s="16"/>
      <c r="G113" s="5">
        <f>IF(A113="","","Checking")</f>
      </c>
      <c r="H113">
        <f>IF(A113="","",IFERROR(XLOOKUP(D113,Setup!$E$15:$E$79,Setup!$F$15:$F$79),"Miscellaneous"))</f>
      </c>
      <c r="I113">
        <f>IF(A113="","",IFERROR(XLOOKUP(D113,Setup!$E$15:$E$79,Setup!$G$15:$G$79),"Uncategorized"))</f>
      </c>
      <c r="J113">
        <f>IF(A113="","",IF(OR(H113="Transfers",H113="Income",D113="Transfer",D113="Category Pending",F113="Pending"),"No","Yes"))</f>
      </c>
      <c r="K113" s="4">
        <f>IF(A113="","",TEXT(IF(DAY(A113)&gt;=Setup!$B$9,DATE(YEAR(A113),MONTH(A113)+1,1),DATE(YEAR(A113),MONTH(A113),1)),"mmmm yyyy"))</f>
      </c>
      <c r="L113" s="47">
        <f>IF(A113="",0,IF(AND(J113="Yes",E113&lt;0),-E113,0))</f>
      </c>
      <c r="M113" s="47">
        <f>IF(A113="",0,IF(AND(J113="Yes",E113&gt;0),E113,0))</f>
      </c>
      <c r="N113">
        <f>IF(A113="","",IF(D113="Category Pending","Needs categorization",IF(COUNTIFS($A$2:A113,A113,$B$2:B113,B113,$E$2:E113,E113)&gt;1,"Possible duplicate","")))</f>
      </c>
    </row>
    <row r="114" spans="3:14" x14ac:dyDescent="0.3">
      <c r="A114"/>
      <c r="C114" s="16"/>
      <c r="G114" s="5">
        <f>IF(A114="","","Checking")</f>
      </c>
      <c r="H114">
        <f>IF(A114="","",IFERROR(XLOOKUP(D114,Setup!$E$15:$E$79,Setup!$F$15:$F$79),"Miscellaneous"))</f>
      </c>
      <c r="I114">
        <f>IF(A114="","",IFERROR(XLOOKUP(D114,Setup!$E$15:$E$79,Setup!$G$15:$G$79),"Uncategorized"))</f>
      </c>
      <c r="J114">
        <f>IF(A114="","",IF(OR(H114="Transfers",H114="Income",D114="Transfer",D114="Category Pending",F114="Pending"),"No","Yes"))</f>
      </c>
      <c r="K114" s="4">
        <f>IF(A114="","",TEXT(IF(DAY(A114)&gt;=Setup!$B$9,DATE(YEAR(A114),MONTH(A114)+1,1),DATE(YEAR(A114),MONTH(A114),1)),"mmmm yyyy"))</f>
      </c>
      <c r="L114" s="47">
        <f>IF(A114="",0,IF(AND(J114="Yes",E114&lt;0),-E114,0))</f>
      </c>
      <c r="M114" s="47">
        <f>IF(A114="",0,IF(AND(J114="Yes",E114&gt;0),E114,0))</f>
      </c>
      <c r="N114">
        <f>IF(A114="","",IF(D114="Category Pending","Needs categorization",IF(COUNTIFS($A$2:A114,A114,$B$2:B114,B114,$E$2:E114,E114)&gt;1,"Possible duplicate","")))</f>
      </c>
    </row>
    <row r="115" spans="3:14" x14ac:dyDescent="0.3">
      <c r="A115"/>
      <c r="C115" s="16"/>
      <c r="G115" s="5">
        <f>IF(A115="","","Checking")</f>
      </c>
      <c r="H115">
        <f>IF(A115="","",IFERROR(XLOOKUP(D115,Setup!$E$15:$E$79,Setup!$F$15:$F$79),"Miscellaneous"))</f>
      </c>
      <c r="I115">
        <f>IF(A115="","",IFERROR(XLOOKUP(D115,Setup!$E$15:$E$79,Setup!$G$15:$G$79),"Uncategorized"))</f>
      </c>
      <c r="J115">
        <f>IF(A115="","",IF(OR(H115="Transfers",H115="Income",D115="Transfer",D115="Category Pending",F115="Pending"),"No","Yes"))</f>
      </c>
      <c r="K115" s="4">
        <f>IF(A115="","",TEXT(IF(DAY(A115)&gt;=Setup!$B$9,DATE(YEAR(A115),MONTH(A115)+1,1),DATE(YEAR(A115),MONTH(A115),1)),"mmmm yyyy"))</f>
      </c>
      <c r="L115" s="47">
        <f>IF(A115="",0,IF(AND(J115="Yes",E115&lt;0),-E115,0))</f>
      </c>
      <c r="M115" s="47">
        <f>IF(A115="",0,IF(AND(J115="Yes",E115&gt;0),E115,0))</f>
      </c>
      <c r="N115">
        <f>IF(A115="","",IF(D115="Category Pending","Needs categorization",IF(COUNTIFS($A$2:A115,A115,$B$2:B115,B115,$E$2:E115,E115)&gt;1,"Possible duplicate","")))</f>
      </c>
    </row>
    <row r="116" spans="3:14" x14ac:dyDescent="0.3">
      <c r="A116"/>
      <c r="C116" s="16"/>
      <c r="G116" s="5">
        <f>IF(A116="","","Checking")</f>
      </c>
      <c r="H116">
        <f>IF(A116="","",IFERROR(XLOOKUP(D116,Setup!$E$15:$E$79,Setup!$F$15:$F$79),"Miscellaneous"))</f>
      </c>
      <c r="I116">
        <f>IF(A116="","",IFERROR(XLOOKUP(D116,Setup!$E$15:$E$79,Setup!$G$15:$G$79),"Uncategorized"))</f>
      </c>
      <c r="J116">
        <f>IF(A116="","",IF(OR(H116="Transfers",H116="Income",D116="Transfer",D116="Category Pending",F116="Pending"),"No","Yes"))</f>
      </c>
      <c r="K116" s="4">
        <f>IF(A116="","",TEXT(IF(DAY(A116)&gt;=Setup!$B$9,DATE(YEAR(A116),MONTH(A116)+1,1),DATE(YEAR(A116),MONTH(A116),1)),"mmmm yyyy"))</f>
      </c>
      <c r="L116" s="47">
        <f>IF(A116="",0,IF(AND(J116="Yes",E116&lt;0),-E116,0))</f>
      </c>
      <c r="M116" s="47">
        <f>IF(A116="",0,IF(AND(J116="Yes",E116&gt;0),E116,0))</f>
      </c>
      <c r="N116">
        <f>IF(A116="","",IF(D116="Category Pending","Needs categorization",IF(COUNTIFS($A$2:A116,A116,$B$2:B116,B116,$E$2:E116,E116)&gt;1,"Possible duplicate","")))</f>
      </c>
    </row>
    <row r="117" spans="3:14" x14ac:dyDescent="0.3">
      <c r="A117"/>
      <c r="C117" s="16"/>
      <c r="G117" s="5">
        <f>IF(A117="","","Checking")</f>
      </c>
      <c r="H117">
        <f>IF(A117="","",IFERROR(XLOOKUP(D117,Setup!$E$15:$E$79,Setup!$F$15:$F$79),"Miscellaneous"))</f>
      </c>
      <c r="I117">
        <f>IF(A117="","",IFERROR(XLOOKUP(D117,Setup!$E$15:$E$79,Setup!$G$15:$G$79),"Uncategorized"))</f>
      </c>
      <c r="J117">
        <f>IF(A117="","",IF(OR(H117="Transfers",H117="Income",D117="Transfer",D117="Category Pending",F117="Pending"),"No","Yes"))</f>
      </c>
      <c r="K117" s="4">
        <f>IF(A117="","",TEXT(IF(DAY(A117)&gt;=Setup!$B$9,DATE(YEAR(A117),MONTH(A117)+1,1),DATE(YEAR(A117),MONTH(A117),1)),"mmmm yyyy"))</f>
      </c>
      <c r="L117" s="47">
        <f>IF(A117="",0,IF(AND(J117="Yes",E117&lt;0),-E117,0))</f>
      </c>
      <c r="M117" s="47">
        <f>IF(A117="",0,IF(AND(J117="Yes",E117&gt;0),E117,0))</f>
      </c>
      <c r="N117">
        <f>IF(A117="","",IF(D117="Category Pending","Needs categorization",IF(COUNTIFS($A$2:A117,A117,$B$2:B117,B117,$E$2:E117,E117)&gt;1,"Possible duplicate","")))</f>
      </c>
    </row>
    <row r="118" spans="3:14" x14ac:dyDescent="0.3">
      <c r="A118"/>
      <c r="C118" s="16"/>
      <c r="G118" s="5">
        <f>IF(A118="","","Checking")</f>
      </c>
      <c r="H118">
        <f>IF(A118="","",IFERROR(XLOOKUP(D118,Setup!$E$15:$E$79,Setup!$F$15:$F$79),"Miscellaneous"))</f>
      </c>
      <c r="I118">
        <f>IF(A118="","",IFERROR(XLOOKUP(D118,Setup!$E$15:$E$79,Setup!$G$15:$G$79),"Uncategorized"))</f>
      </c>
      <c r="J118">
        <f>IF(A118="","",IF(OR(H118="Transfers",H118="Income",D118="Transfer",D118="Category Pending",F118="Pending"),"No","Yes"))</f>
      </c>
      <c r="K118" s="4">
        <f>IF(A118="","",TEXT(IF(DAY(A118)&gt;=Setup!$B$9,DATE(YEAR(A118),MONTH(A118)+1,1),DATE(YEAR(A118),MONTH(A118),1)),"mmmm yyyy"))</f>
      </c>
      <c r="L118" s="47">
        <f>IF(A118="",0,IF(AND(J118="Yes",E118&lt;0),-E118,0))</f>
      </c>
      <c r="M118" s="47">
        <f>IF(A118="",0,IF(AND(J118="Yes",E118&gt;0),E118,0))</f>
      </c>
      <c r="N118">
        <f>IF(A118="","",IF(D118="Category Pending","Needs categorization",IF(COUNTIFS($A$2:A118,A118,$B$2:B118,B118,$E$2:E118,E118)&gt;1,"Possible duplicate","")))</f>
      </c>
    </row>
    <row r="119" spans="3:14" x14ac:dyDescent="0.3">
      <c r="A119"/>
      <c r="C119" s="16"/>
      <c r="G119" s="5">
        <f>IF(A119="","","Checking")</f>
      </c>
      <c r="H119">
        <f>IF(A119="","",IFERROR(XLOOKUP(D119,Setup!$E$15:$E$79,Setup!$F$15:$F$79),"Miscellaneous"))</f>
      </c>
      <c r="I119">
        <f>IF(A119="","",IFERROR(XLOOKUP(D119,Setup!$E$15:$E$79,Setup!$G$15:$G$79),"Uncategorized"))</f>
      </c>
      <c r="J119">
        <f>IF(A119="","",IF(OR(H119="Transfers",H119="Income",D119="Transfer",D119="Category Pending",F119="Pending"),"No","Yes"))</f>
      </c>
      <c r="K119" s="4">
        <f>IF(A119="","",TEXT(IF(DAY(A119)&gt;=Setup!$B$9,DATE(YEAR(A119),MONTH(A119)+1,1),DATE(YEAR(A119),MONTH(A119),1)),"mmmm yyyy"))</f>
      </c>
      <c r="L119" s="47">
        <f>IF(A119="",0,IF(AND(J119="Yes",E119&lt;0),-E119,0))</f>
      </c>
      <c r="M119" s="47">
        <f>IF(A119="",0,IF(AND(J119="Yes",E119&gt;0),E119,0))</f>
      </c>
      <c r="N119">
        <f>IF(A119="","",IF(D119="Category Pending","Needs categorization",IF(COUNTIFS($A$2:A119,A119,$B$2:B119,B119,$E$2:E119,E119)&gt;1,"Possible duplicate","")))</f>
      </c>
    </row>
    <row r="120" spans="3:14" x14ac:dyDescent="0.3">
      <c r="A120"/>
      <c r="C120" s="16"/>
      <c r="G120" s="5">
        <f>IF(A120="","","Checking")</f>
      </c>
      <c r="H120">
        <f>IF(A120="","",IFERROR(XLOOKUP(D120,Setup!$E$15:$E$79,Setup!$F$15:$F$79),"Miscellaneous"))</f>
      </c>
      <c r="I120">
        <f>IF(A120="","",IFERROR(XLOOKUP(D120,Setup!$E$15:$E$79,Setup!$G$15:$G$79),"Uncategorized"))</f>
      </c>
      <c r="J120">
        <f>IF(A120="","",IF(OR(H120="Transfers",H120="Income",D120="Transfer",D120="Category Pending",F120="Pending"),"No","Yes"))</f>
      </c>
      <c r="K120" s="4">
        <f>IF(A120="","",TEXT(IF(DAY(A120)&gt;=Setup!$B$9,DATE(YEAR(A120),MONTH(A120)+1,1),DATE(YEAR(A120),MONTH(A120),1)),"mmmm yyyy"))</f>
      </c>
      <c r="L120" s="47">
        <f>IF(A120="",0,IF(AND(J120="Yes",E120&lt;0),-E120,0))</f>
      </c>
      <c r="M120" s="47">
        <f>IF(A120="",0,IF(AND(J120="Yes",E120&gt;0),E120,0))</f>
      </c>
      <c r="N120">
        <f>IF(A120="","",IF(D120="Category Pending","Needs categorization",IF(COUNTIFS($A$2:A120,A120,$B$2:B120,B120,$E$2:E120,E120)&gt;1,"Possible duplicate","")))</f>
      </c>
    </row>
    <row r="121" spans="3:14" x14ac:dyDescent="0.3">
      <c r="A121"/>
      <c r="C121" s="16"/>
      <c r="G121" s="5">
        <f>IF(A121="","","Checking")</f>
      </c>
      <c r="H121">
        <f>IF(A121="","",IFERROR(XLOOKUP(D121,Setup!$E$15:$E$79,Setup!$F$15:$F$79),"Miscellaneous"))</f>
      </c>
      <c r="I121">
        <f>IF(A121="","",IFERROR(XLOOKUP(D121,Setup!$E$15:$E$79,Setup!$G$15:$G$79),"Uncategorized"))</f>
      </c>
      <c r="J121">
        <f>IF(A121="","",IF(OR(H121="Transfers",H121="Income",D121="Transfer",D121="Category Pending",F121="Pending"),"No","Yes"))</f>
      </c>
      <c r="K121" s="4">
        <f>IF(A121="","",TEXT(IF(DAY(A121)&gt;=Setup!$B$9,DATE(YEAR(A121),MONTH(A121)+1,1),DATE(YEAR(A121),MONTH(A121),1)),"mmmm yyyy"))</f>
      </c>
      <c r="L121" s="47">
        <f>IF(A121="",0,IF(AND(J121="Yes",E121&lt;0),-E121,0))</f>
      </c>
      <c r="M121" s="47">
        <f>IF(A121="",0,IF(AND(J121="Yes",E121&gt;0),E121,0))</f>
      </c>
      <c r="N121">
        <f>IF(A121="","",IF(D121="Category Pending","Needs categorization",IF(COUNTIFS($A$2:A121,A121,$B$2:B121,B121,$E$2:E121,E121)&gt;1,"Possible duplicate","")))</f>
      </c>
    </row>
    <row r="122" spans="3:14" x14ac:dyDescent="0.3">
      <c r="A122"/>
      <c r="C122" s="16"/>
      <c r="G122" s="5">
        <f>IF(A122="","","Checking")</f>
      </c>
      <c r="H122">
        <f>IF(A122="","",IFERROR(XLOOKUP(D122,Setup!$E$15:$E$79,Setup!$F$15:$F$79),"Miscellaneous"))</f>
      </c>
      <c r="I122">
        <f>IF(A122="","",IFERROR(XLOOKUP(D122,Setup!$E$15:$E$79,Setup!$G$15:$G$79),"Uncategorized"))</f>
      </c>
      <c r="J122">
        <f>IF(A122="","",IF(OR(H122="Transfers",H122="Income",D122="Transfer",D122="Category Pending",F122="Pending"),"No","Yes"))</f>
      </c>
      <c r="K122" s="4">
        <f>IF(A122="","",TEXT(IF(DAY(A122)&gt;=Setup!$B$9,DATE(YEAR(A122),MONTH(A122)+1,1),DATE(YEAR(A122),MONTH(A122),1)),"mmmm yyyy"))</f>
      </c>
      <c r="L122" s="47">
        <f>IF(A122="",0,IF(AND(J122="Yes",E122&lt;0),-E122,0))</f>
      </c>
      <c r="M122" s="47">
        <f>IF(A122="",0,IF(AND(J122="Yes",E122&gt;0),E122,0))</f>
      </c>
      <c r="N122">
        <f>IF(A122="","",IF(D122="Category Pending","Needs categorization",IF(COUNTIFS($A$2:A122,A122,$B$2:B122,B122,$E$2:E122,E122)&gt;1,"Possible duplicate","")))</f>
      </c>
    </row>
    <row r="123" spans="3:14" x14ac:dyDescent="0.3">
      <c r="A123"/>
      <c r="C123" s="16"/>
      <c r="G123" s="5">
        <f>IF(A123="","","Checking")</f>
      </c>
      <c r="H123">
        <f>IF(A123="","",IFERROR(XLOOKUP(D123,Setup!$E$15:$E$79,Setup!$F$15:$F$79),"Miscellaneous"))</f>
      </c>
      <c r="I123">
        <f>IF(A123="","",IFERROR(XLOOKUP(D123,Setup!$E$15:$E$79,Setup!$G$15:$G$79),"Uncategorized"))</f>
      </c>
      <c r="J123">
        <f>IF(A123="","",IF(OR(H123="Transfers",H123="Income",D123="Transfer",D123="Category Pending",F123="Pending"),"No","Yes"))</f>
      </c>
      <c r="K123" s="4">
        <f>IF(A123="","",TEXT(IF(DAY(A123)&gt;=Setup!$B$9,DATE(YEAR(A123),MONTH(A123)+1,1),DATE(YEAR(A123),MONTH(A123),1)),"mmmm yyyy"))</f>
      </c>
      <c r="L123" s="47">
        <f>IF(A123="",0,IF(AND(J123="Yes",E123&lt;0),-E123,0))</f>
      </c>
      <c r="M123" s="47">
        <f>IF(A123="",0,IF(AND(J123="Yes",E123&gt;0),E123,0))</f>
      </c>
      <c r="N123">
        <f>IF(A123="","",IF(D123="Category Pending","Needs categorization",IF(COUNTIFS($A$2:A123,A123,$B$2:B123,B123,$E$2:E123,E123)&gt;1,"Possible duplicate","")))</f>
      </c>
    </row>
    <row r="124" spans="3:14" x14ac:dyDescent="0.3">
      <c r="A124"/>
      <c r="C124" s="16"/>
      <c r="G124" s="5">
        <f>IF(A124="","","Checking")</f>
      </c>
      <c r="H124">
        <f>IF(A124="","",IFERROR(XLOOKUP(D124,Setup!$E$15:$E$79,Setup!$F$15:$F$79),"Miscellaneous"))</f>
      </c>
      <c r="I124">
        <f>IF(A124="","",IFERROR(XLOOKUP(D124,Setup!$E$15:$E$79,Setup!$G$15:$G$79),"Uncategorized"))</f>
      </c>
      <c r="J124">
        <f>IF(A124="","",IF(OR(H124="Transfers",H124="Income",D124="Transfer",D124="Category Pending",F124="Pending"),"No","Yes"))</f>
      </c>
      <c r="K124" s="4">
        <f>IF(A124="","",TEXT(IF(DAY(A124)&gt;=Setup!$B$9,DATE(YEAR(A124),MONTH(A124)+1,1),DATE(YEAR(A124),MONTH(A124),1)),"mmmm yyyy"))</f>
      </c>
      <c r="L124" s="47">
        <f>IF(A124="",0,IF(AND(J124="Yes",E124&lt;0),-E124,0))</f>
      </c>
      <c r="M124" s="47">
        <f>IF(A124="",0,IF(AND(J124="Yes",E124&gt;0),E124,0))</f>
      </c>
      <c r="N124">
        <f>IF(A124="","",IF(D124="Category Pending","Needs categorization",IF(COUNTIFS($A$2:A124,A124,$B$2:B124,B124,$E$2:E124,E124)&gt;1,"Possible duplicate","")))</f>
      </c>
    </row>
    <row r="125" spans="3:14" x14ac:dyDescent="0.3">
      <c r="A125"/>
      <c r="C125" s="16"/>
      <c r="G125" s="5">
        <f>IF(A125="","","Checking")</f>
      </c>
      <c r="H125">
        <f>IF(A125="","",IFERROR(XLOOKUP(D125,Setup!$E$15:$E$79,Setup!$F$15:$F$79),"Miscellaneous"))</f>
      </c>
      <c r="I125">
        <f>IF(A125="","",IFERROR(XLOOKUP(D125,Setup!$E$15:$E$79,Setup!$G$15:$G$79),"Uncategorized"))</f>
      </c>
      <c r="J125">
        <f>IF(A125="","",IF(OR(H125="Transfers",H125="Income",D125="Transfer",D125="Category Pending",F125="Pending"),"No","Yes"))</f>
      </c>
      <c r="K125" s="4">
        <f>IF(A125="","",TEXT(IF(DAY(A125)&gt;=Setup!$B$9,DATE(YEAR(A125),MONTH(A125)+1,1),DATE(YEAR(A125),MONTH(A125),1)),"mmmm yyyy"))</f>
      </c>
      <c r="L125" s="47">
        <f>IF(A125="",0,IF(AND(J125="Yes",E125&lt;0),-E125,0))</f>
      </c>
      <c r="M125" s="47">
        <f>IF(A125="",0,IF(AND(J125="Yes",E125&gt;0),E125,0))</f>
      </c>
      <c r="N125">
        <f>IF(A125="","",IF(D125="Category Pending","Needs categorization",IF(COUNTIFS($A$2:A125,A125,$B$2:B125,B125,$E$2:E125,E125)&gt;1,"Possible duplicate","")))</f>
      </c>
    </row>
    <row r="126" spans="3:14" x14ac:dyDescent="0.3">
      <c r="A126"/>
      <c r="C126" s="16"/>
      <c r="G126" s="5">
        <f>IF(A126="","","Checking")</f>
      </c>
      <c r="H126">
        <f>IF(A126="","",IFERROR(XLOOKUP(D126,Setup!$E$15:$E$79,Setup!$F$15:$F$79),"Miscellaneous"))</f>
      </c>
      <c r="I126">
        <f>IF(A126="","",IFERROR(XLOOKUP(D126,Setup!$E$15:$E$79,Setup!$G$15:$G$79),"Uncategorized"))</f>
      </c>
      <c r="J126">
        <f>IF(A126="","",IF(OR(H126="Transfers",H126="Income",D126="Transfer",D126="Category Pending",F126="Pending"),"No","Yes"))</f>
      </c>
      <c r="K126" s="4">
        <f>IF(A126="","",TEXT(IF(DAY(A126)&gt;=Setup!$B$9,DATE(YEAR(A126),MONTH(A126)+1,1),DATE(YEAR(A126),MONTH(A126),1)),"mmmm yyyy"))</f>
      </c>
      <c r="L126" s="47">
        <f>IF(A126="",0,IF(AND(J126="Yes",E126&lt;0),-E126,0))</f>
      </c>
      <c r="M126" s="47">
        <f>IF(A126="",0,IF(AND(J126="Yes",E126&gt;0),E126,0))</f>
      </c>
      <c r="N126">
        <f>IF(A126="","",IF(D126="Category Pending","Needs categorization",IF(COUNTIFS($A$2:A126,A126,$B$2:B126,B126,$E$2:E126,E126)&gt;1,"Possible duplicate","")))</f>
      </c>
    </row>
    <row r="127" spans="3:14" x14ac:dyDescent="0.3">
      <c r="A127"/>
      <c r="C127" s="16"/>
      <c r="G127" s="5">
        <f>IF(A127="","","Checking")</f>
      </c>
      <c r="H127">
        <f>IF(A127="","",IFERROR(XLOOKUP(D127,Setup!$E$15:$E$79,Setup!$F$15:$F$79),"Miscellaneous"))</f>
      </c>
      <c r="I127">
        <f>IF(A127="","",IFERROR(XLOOKUP(D127,Setup!$E$15:$E$79,Setup!$G$15:$G$79),"Uncategorized"))</f>
      </c>
      <c r="J127">
        <f>IF(A127="","",IF(OR(H127="Transfers",H127="Income",D127="Transfer",D127="Category Pending",F127="Pending"),"No","Yes"))</f>
      </c>
      <c r="K127" s="4">
        <f>IF(A127="","",TEXT(IF(DAY(A127)&gt;=Setup!$B$9,DATE(YEAR(A127),MONTH(A127)+1,1),DATE(YEAR(A127),MONTH(A127),1)),"mmmm yyyy"))</f>
      </c>
      <c r="L127" s="47">
        <f>IF(A127="",0,IF(AND(J127="Yes",E127&lt;0),-E127,0))</f>
      </c>
      <c r="M127" s="47">
        <f>IF(A127="",0,IF(AND(J127="Yes",E127&gt;0),E127,0))</f>
      </c>
      <c r="N127">
        <f>IF(A127="","",IF(D127="Category Pending","Needs categorization",IF(COUNTIFS($A$2:A127,A127,$B$2:B127,B127,$E$2:E127,E127)&gt;1,"Possible duplicate","")))</f>
      </c>
    </row>
    <row r="128" spans="3:14" x14ac:dyDescent="0.3">
      <c r="A128"/>
      <c r="C128" s="16"/>
      <c r="G128" s="5">
        <f>IF(A128="","","Checking")</f>
      </c>
      <c r="H128">
        <f>IF(A128="","",IFERROR(XLOOKUP(D128,Setup!$E$15:$E$79,Setup!$F$15:$F$79),"Miscellaneous"))</f>
      </c>
      <c r="I128">
        <f>IF(A128="","",IFERROR(XLOOKUP(D128,Setup!$E$15:$E$79,Setup!$G$15:$G$79),"Uncategorized"))</f>
      </c>
      <c r="J128">
        <f>IF(A128="","",IF(OR(H128="Transfers",H128="Income",D128="Transfer",D128="Category Pending",F128="Pending"),"No","Yes"))</f>
      </c>
      <c r="K128" s="4">
        <f>IF(A128="","",TEXT(IF(DAY(A128)&gt;=Setup!$B$9,DATE(YEAR(A128),MONTH(A128)+1,1),DATE(YEAR(A128),MONTH(A128),1)),"mmmm yyyy"))</f>
      </c>
      <c r="L128" s="47">
        <f>IF(A128="",0,IF(AND(J128="Yes",E128&lt;0),-E128,0))</f>
      </c>
      <c r="M128" s="47">
        <f>IF(A128="",0,IF(AND(J128="Yes",E128&gt;0),E128,0))</f>
      </c>
      <c r="N128">
        <f>IF(A128="","",IF(D128="Category Pending","Needs categorization",IF(COUNTIFS($A$2:A128,A128,$B$2:B128,B128,$E$2:E128,E128)&gt;1,"Possible duplicate","")))</f>
      </c>
    </row>
    <row r="129" spans="3:14" x14ac:dyDescent="0.3">
      <c r="A129"/>
      <c r="C129" s="16"/>
      <c r="G129" s="5">
        <f>IF(A129="","","Checking")</f>
      </c>
      <c r="H129">
        <f>IF(A129="","",IFERROR(XLOOKUP(D129,Setup!$E$15:$E$79,Setup!$F$15:$F$79),"Miscellaneous"))</f>
      </c>
      <c r="I129">
        <f>IF(A129="","",IFERROR(XLOOKUP(D129,Setup!$E$15:$E$79,Setup!$G$15:$G$79),"Uncategorized"))</f>
      </c>
      <c r="J129">
        <f>IF(A129="","",IF(OR(H129="Transfers",H129="Income",D129="Transfer",D129="Category Pending",F129="Pending"),"No","Yes"))</f>
      </c>
      <c r="K129" s="4">
        <f>IF(A129="","",TEXT(IF(DAY(A129)&gt;=Setup!$B$9,DATE(YEAR(A129),MONTH(A129)+1,1),DATE(YEAR(A129),MONTH(A129),1)),"mmmm yyyy"))</f>
      </c>
      <c r="L129" s="47">
        <f>IF(A129="",0,IF(AND(J129="Yes",E129&lt;0),-E129,0))</f>
      </c>
      <c r="M129" s="47">
        <f>IF(A129="",0,IF(AND(J129="Yes",E129&gt;0),E129,0))</f>
      </c>
      <c r="N129">
        <f>IF(A129="","",IF(D129="Category Pending","Needs categorization",IF(COUNTIFS($A$2:A129,A129,$B$2:B129,B129,$E$2:E129,E129)&gt;1,"Possible duplicate","")))</f>
      </c>
    </row>
    <row r="130" spans="3:14" x14ac:dyDescent="0.3">
      <c r="A130"/>
      <c r="C130" s="16"/>
      <c r="G130" s="5">
        <f>IF(A130="","","Checking")</f>
      </c>
      <c r="H130">
        <f>IF(A130="","",IFERROR(XLOOKUP(D130,Setup!$E$15:$E$79,Setup!$F$15:$F$79),"Miscellaneous"))</f>
      </c>
      <c r="I130">
        <f>IF(A130="","",IFERROR(XLOOKUP(D130,Setup!$E$15:$E$79,Setup!$G$15:$G$79),"Uncategorized"))</f>
      </c>
      <c r="J130">
        <f>IF(A130="","",IF(OR(H130="Transfers",H130="Income",D130="Transfer",D130="Category Pending",F130="Pending"),"No","Yes"))</f>
      </c>
      <c r="K130" s="4">
        <f>IF(A130="","",TEXT(IF(DAY(A130)&gt;=Setup!$B$9,DATE(YEAR(A130),MONTH(A130)+1,1),DATE(YEAR(A130),MONTH(A130),1)),"mmmm yyyy"))</f>
      </c>
      <c r="L130" s="47">
        <f>IF(A130="",0,IF(AND(J130="Yes",E130&lt;0),-E130,0))</f>
      </c>
      <c r="M130" s="47">
        <f>IF(A130="",0,IF(AND(J130="Yes",E130&gt;0),E130,0))</f>
      </c>
      <c r="N130">
        <f>IF(A130="","",IF(D130="Category Pending","Needs categorization",IF(COUNTIFS($A$2:A130,A130,$B$2:B130,B130,$E$2:E130,E130)&gt;1,"Possible duplicate","")))</f>
      </c>
    </row>
    <row r="131" spans="3:14" x14ac:dyDescent="0.3">
      <c r="A131"/>
      <c r="C131" s="16"/>
      <c r="G131" s="5">
        <f>IF(A131="","","Checking")</f>
      </c>
      <c r="H131">
        <f>IF(A131="","",IFERROR(XLOOKUP(D131,Setup!$E$15:$E$79,Setup!$F$15:$F$79),"Miscellaneous"))</f>
      </c>
      <c r="I131">
        <f>IF(A131="","",IFERROR(XLOOKUP(D131,Setup!$E$15:$E$79,Setup!$G$15:$G$79),"Uncategorized"))</f>
      </c>
      <c r="J131">
        <f>IF(A131="","",IF(OR(H131="Transfers",H131="Income",D131="Transfer",D131="Category Pending",F131="Pending"),"No","Yes"))</f>
      </c>
      <c r="K131" s="4">
        <f>IF(A131="","",TEXT(IF(DAY(A131)&gt;=Setup!$B$9,DATE(YEAR(A131),MONTH(A131)+1,1),DATE(YEAR(A131),MONTH(A131),1)),"mmmm yyyy"))</f>
      </c>
      <c r="L131" s="47">
        <f>IF(A131="",0,IF(AND(J131="Yes",E131&lt;0),-E131,0))</f>
      </c>
      <c r="M131" s="47">
        <f>IF(A131="",0,IF(AND(J131="Yes",E131&gt;0),E131,0))</f>
      </c>
      <c r="N131">
        <f>IF(A131="","",IF(D131="Category Pending","Needs categorization",IF(COUNTIFS($A$2:A131,A131,$B$2:B131,B131,$E$2:E131,E131)&gt;1,"Possible duplicate","")))</f>
      </c>
    </row>
    <row r="132" spans="3:14" x14ac:dyDescent="0.3">
      <c r="A132"/>
      <c r="C132" s="16"/>
      <c r="G132" s="5">
        <f>IF(A132="","","Checking")</f>
      </c>
      <c r="H132">
        <f>IF(A132="","",IFERROR(XLOOKUP(D132,Setup!$E$15:$E$79,Setup!$F$15:$F$79),"Miscellaneous"))</f>
      </c>
      <c r="I132">
        <f>IF(A132="","",IFERROR(XLOOKUP(D132,Setup!$E$15:$E$79,Setup!$G$15:$G$79),"Uncategorized"))</f>
      </c>
      <c r="J132">
        <f>IF(A132="","",IF(OR(H132="Transfers",H132="Income",D132="Transfer",D132="Category Pending",F132="Pending"),"No","Yes"))</f>
      </c>
      <c r="K132" s="4">
        <f>IF(A132="","",TEXT(IF(DAY(A132)&gt;=Setup!$B$9,DATE(YEAR(A132),MONTH(A132)+1,1),DATE(YEAR(A132),MONTH(A132),1)),"mmmm yyyy"))</f>
      </c>
      <c r="L132" s="47">
        <f>IF(A132="",0,IF(AND(J132="Yes",E132&lt;0),-E132,0))</f>
      </c>
      <c r="M132" s="47">
        <f>IF(A132="",0,IF(AND(J132="Yes",E132&gt;0),E132,0))</f>
      </c>
      <c r="N132">
        <f>IF(A132="","",IF(D132="Category Pending","Needs categorization",IF(COUNTIFS($A$2:A132,A132,$B$2:B132,B132,$E$2:E132,E132)&gt;1,"Possible duplicate","")))</f>
      </c>
    </row>
    <row r="133" spans="3:14" x14ac:dyDescent="0.3">
      <c r="A133"/>
      <c r="C133" s="16"/>
      <c r="G133" s="5">
        <f>IF(A133="","","Checking")</f>
      </c>
      <c r="H133">
        <f>IF(A133="","",IFERROR(XLOOKUP(D133,Setup!$E$15:$E$79,Setup!$F$15:$F$79),"Miscellaneous"))</f>
      </c>
      <c r="I133">
        <f>IF(A133="","",IFERROR(XLOOKUP(D133,Setup!$E$15:$E$79,Setup!$G$15:$G$79),"Uncategorized"))</f>
      </c>
      <c r="J133">
        <f>IF(A133="","",IF(OR(H133="Transfers",H133="Income",D133="Transfer",D133="Category Pending",F133="Pending"),"No","Yes"))</f>
      </c>
      <c r="K133" s="4">
        <f>IF(A133="","",TEXT(IF(DAY(A133)&gt;=Setup!$B$9,DATE(YEAR(A133),MONTH(A133)+1,1),DATE(YEAR(A133),MONTH(A133),1)),"mmmm yyyy"))</f>
      </c>
      <c r="L133" s="47">
        <f>IF(A133="",0,IF(AND(J133="Yes",E133&lt;0),-E133,0))</f>
      </c>
      <c r="M133" s="47">
        <f>IF(A133="",0,IF(AND(J133="Yes",E133&gt;0),E133,0))</f>
      </c>
      <c r="N133">
        <f>IF(A133="","",IF(D133="Category Pending","Needs categorization",IF(COUNTIFS($A$2:A133,A133,$B$2:B133,B133,$E$2:E133,E133)&gt;1,"Possible duplicate","")))</f>
      </c>
    </row>
    <row r="134" spans="3:14" x14ac:dyDescent="0.3">
      <c r="A134"/>
      <c r="C134" s="16"/>
      <c r="G134" s="5">
        <f>IF(A134="","","Checking")</f>
      </c>
      <c r="H134">
        <f>IF(A134="","",IFERROR(XLOOKUP(D134,Setup!$E$15:$E$79,Setup!$F$15:$F$79),"Miscellaneous"))</f>
      </c>
      <c r="I134">
        <f>IF(A134="","",IFERROR(XLOOKUP(D134,Setup!$E$15:$E$79,Setup!$G$15:$G$79),"Uncategorized"))</f>
      </c>
      <c r="J134">
        <f>IF(A134="","",IF(OR(H134="Transfers",H134="Income",D134="Transfer",D134="Category Pending",F134="Pending"),"No","Yes"))</f>
      </c>
      <c r="K134" s="4">
        <f>IF(A134="","",TEXT(IF(DAY(A134)&gt;=Setup!$B$9,DATE(YEAR(A134),MONTH(A134)+1,1),DATE(YEAR(A134),MONTH(A134),1)),"mmmm yyyy"))</f>
      </c>
      <c r="L134" s="47">
        <f>IF(A134="",0,IF(AND(J134="Yes",E134&lt;0),-E134,0))</f>
      </c>
      <c r="M134" s="47">
        <f>IF(A134="",0,IF(AND(J134="Yes",E134&gt;0),E134,0))</f>
      </c>
      <c r="N134">
        <f>IF(A134="","",IF(D134="Category Pending","Needs categorization",IF(COUNTIFS($A$2:A134,A134,$B$2:B134,B134,$E$2:E134,E134)&gt;1,"Possible duplicate","")))</f>
      </c>
    </row>
    <row r="135" spans="3:14" x14ac:dyDescent="0.3">
      <c r="A135"/>
      <c r="C135" s="16"/>
      <c r="G135" s="5">
        <f>IF(A135="","","Checking")</f>
      </c>
      <c r="H135">
        <f>IF(A135="","",IFERROR(XLOOKUP(D135,Setup!$E$15:$E$79,Setup!$F$15:$F$79),"Miscellaneous"))</f>
      </c>
      <c r="I135">
        <f>IF(A135="","",IFERROR(XLOOKUP(D135,Setup!$E$15:$E$79,Setup!$G$15:$G$79),"Uncategorized"))</f>
      </c>
      <c r="J135">
        <f>IF(A135="","",IF(OR(H135="Transfers",H135="Income",D135="Transfer",D135="Category Pending",F135="Pending"),"No","Yes"))</f>
      </c>
      <c r="K135" s="4">
        <f>IF(A135="","",TEXT(IF(DAY(A135)&gt;=Setup!$B$9,DATE(YEAR(A135),MONTH(A135)+1,1),DATE(YEAR(A135),MONTH(A135),1)),"mmmm yyyy"))</f>
      </c>
      <c r="L135" s="47">
        <f>IF(A135="",0,IF(AND(J135="Yes",E135&lt;0),-E135,0))</f>
      </c>
      <c r="M135" s="47">
        <f>IF(A135="",0,IF(AND(J135="Yes",E135&gt;0),E135,0))</f>
      </c>
      <c r="N135">
        <f>IF(A135="","",IF(D135="Category Pending","Needs categorization",IF(COUNTIFS($A$2:A135,A135,$B$2:B135,B135,$E$2:E135,E135)&gt;1,"Possible duplicate","")))</f>
      </c>
    </row>
    <row r="136" spans="3:14" x14ac:dyDescent="0.3">
      <c r="A136"/>
      <c r="C136" s="16"/>
      <c r="G136" s="5">
        <f>IF(A136="","","Checking")</f>
      </c>
      <c r="H136">
        <f>IF(A136="","",IFERROR(XLOOKUP(D136,Setup!$E$15:$E$79,Setup!$F$15:$F$79),"Miscellaneous"))</f>
      </c>
      <c r="I136">
        <f>IF(A136="","",IFERROR(XLOOKUP(D136,Setup!$E$15:$E$79,Setup!$G$15:$G$79),"Uncategorized"))</f>
      </c>
      <c r="J136">
        <f>IF(A136="","",IF(OR(H136="Transfers",H136="Income",D136="Transfer",D136="Category Pending",F136="Pending"),"No","Yes"))</f>
      </c>
      <c r="K136" s="4">
        <f>IF(A136="","",TEXT(IF(DAY(A136)&gt;=Setup!$B$9,DATE(YEAR(A136),MONTH(A136)+1,1),DATE(YEAR(A136),MONTH(A136),1)),"mmmm yyyy"))</f>
      </c>
      <c r="L136" s="47">
        <f>IF(A136="",0,IF(AND(J136="Yes",E136&lt;0),-E136,0))</f>
      </c>
      <c r="M136" s="47">
        <f>IF(A136="",0,IF(AND(J136="Yes",E136&gt;0),E136,0))</f>
      </c>
      <c r="N136">
        <f>IF(A136="","",IF(D136="Category Pending","Needs categorization",IF(COUNTIFS($A$2:A136,A136,$B$2:B136,B136,$E$2:E136,E136)&gt;1,"Possible duplicate","")))</f>
      </c>
    </row>
    <row r="137" spans="3:14" x14ac:dyDescent="0.3">
      <c r="A137"/>
      <c r="C137" s="16"/>
      <c r="G137" s="5">
        <f>IF(A137="","","Checking")</f>
      </c>
      <c r="H137">
        <f>IF(A137="","",IFERROR(XLOOKUP(D137,Setup!$E$15:$E$79,Setup!$F$15:$F$79),"Miscellaneous"))</f>
      </c>
      <c r="I137">
        <f>IF(A137="","",IFERROR(XLOOKUP(D137,Setup!$E$15:$E$79,Setup!$G$15:$G$79),"Uncategorized"))</f>
      </c>
      <c r="J137">
        <f>IF(A137="","",IF(OR(H137="Transfers",H137="Income",D137="Transfer",D137="Category Pending",F137="Pending"),"No","Yes"))</f>
      </c>
      <c r="K137" s="4">
        <f>IF(A137="","",TEXT(IF(DAY(A137)&gt;=Setup!$B$9,DATE(YEAR(A137),MONTH(A137)+1,1),DATE(YEAR(A137),MONTH(A137),1)),"mmmm yyyy"))</f>
      </c>
      <c r="L137" s="47">
        <f>IF(A137="",0,IF(AND(J137="Yes",E137&lt;0),-E137,0))</f>
      </c>
      <c r="M137" s="47">
        <f>IF(A137="",0,IF(AND(J137="Yes",E137&gt;0),E137,0))</f>
      </c>
      <c r="N137">
        <f>IF(A137="","",IF(D137="Category Pending","Needs categorization",IF(COUNTIFS($A$2:A137,A137,$B$2:B137,B137,$E$2:E137,E137)&gt;1,"Possible duplicate","")))</f>
      </c>
    </row>
    <row r="138" spans="3:14" x14ac:dyDescent="0.3">
      <c r="A138"/>
      <c r="C138" s="16"/>
      <c r="G138" s="5">
        <f>IF(A138="","","Checking")</f>
      </c>
      <c r="H138">
        <f>IF(A138="","",IFERROR(XLOOKUP(D138,Setup!$E$15:$E$79,Setup!$F$15:$F$79),"Miscellaneous"))</f>
      </c>
      <c r="I138">
        <f>IF(A138="","",IFERROR(XLOOKUP(D138,Setup!$E$15:$E$79,Setup!$G$15:$G$79),"Uncategorized"))</f>
      </c>
      <c r="J138">
        <f>IF(A138="","",IF(OR(H138="Transfers",H138="Income",D138="Transfer",D138="Category Pending",F138="Pending"),"No","Yes"))</f>
      </c>
      <c r="K138" s="4">
        <f>IF(A138="","",TEXT(IF(DAY(A138)&gt;=Setup!$B$9,DATE(YEAR(A138),MONTH(A138)+1,1),DATE(YEAR(A138),MONTH(A138),1)),"mmmm yyyy"))</f>
      </c>
      <c r="L138" s="47">
        <f>IF(A138="",0,IF(AND(J138="Yes",E138&lt;0),-E138,0))</f>
      </c>
      <c r="M138" s="47">
        <f>IF(A138="",0,IF(AND(J138="Yes",E138&gt;0),E138,0))</f>
      </c>
      <c r="N138">
        <f>IF(A138="","",IF(D138="Category Pending","Needs categorization",IF(COUNTIFS($A$2:A138,A138,$B$2:B138,B138,$E$2:E138,E138)&gt;1,"Possible duplicate","")))</f>
      </c>
    </row>
    <row r="139" spans="3:14" x14ac:dyDescent="0.3">
      <c r="A139"/>
      <c r="C139" s="16"/>
      <c r="G139" s="5">
        <f>IF(A139="","","Checking")</f>
      </c>
      <c r="H139">
        <f>IF(A139="","",IFERROR(XLOOKUP(D139,Setup!$E$15:$E$79,Setup!$F$15:$F$79),"Miscellaneous"))</f>
      </c>
      <c r="I139">
        <f>IF(A139="","",IFERROR(XLOOKUP(D139,Setup!$E$15:$E$79,Setup!$G$15:$G$79),"Uncategorized"))</f>
      </c>
      <c r="J139">
        <f>IF(A139="","",IF(OR(H139="Transfers",H139="Income",D139="Transfer",D139="Category Pending",F139="Pending"),"No","Yes"))</f>
      </c>
      <c r="K139" s="4">
        <f>IF(A139="","",TEXT(IF(DAY(A139)&gt;=Setup!$B$9,DATE(YEAR(A139),MONTH(A139)+1,1),DATE(YEAR(A139),MONTH(A139),1)),"mmmm yyyy"))</f>
      </c>
      <c r="L139" s="47">
        <f>IF(A139="",0,IF(AND(J139="Yes",E139&lt;0),-E139,0))</f>
      </c>
      <c r="M139" s="47">
        <f>IF(A139="",0,IF(AND(J139="Yes",E139&gt;0),E139,0))</f>
      </c>
      <c r="N139">
        <f>IF(A139="","",IF(D139="Category Pending","Needs categorization",IF(COUNTIFS($A$2:A139,A139,$B$2:B139,B139,$E$2:E139,E139)&gt;1,"Possible duplicate","")))</f>
      </c>
    </row>
    <row r="140" spans="3:14" x14ac:dyDescent="0.3">
      <c r="A140"/>
      <c r="C140" s="16"/>
      <c r="G140" s="5">
        <f>IF(A140="","","Checking")</f>
      </c>
      <c r="H140">
        <f>IF(A140="","",IFERROR(XLOOKUP(D140,Setup!$E$15:$E$79,Setup!$F$15:$F$79),"Miscellaneous"))</f>
      </c>
      <c r="I140">
        <f>IF(A140="","",IFERROR(XLOOKUP(D140,Setup!$E$15:$E$79,Setup!$G$15:$G$79),"Uncategorized"))</f>
      </c>
      <c r="J140">
        <f>IF(A140="","",IF(OR(H140="Transfers",H140="Income",D140="Transfer",D140="Category Pending",F140="Pending"),"No","Yes"))</f>
      </c>
      <c r="K140" s="4">
        <f>IF(A140="","",TEXT(IF(DAY(A140)&gt;=Setup!$B$9,DATE(YEAR(A140),MONTH(A140)+1,1),DATE(YEAR(A140),MONTH(A140),1)),"mmmm yyyy"))</f>
      </c>
      <c r="L140" s="47">
        <f>IF(A140="",0,IF(AND(J140="Yes",E140&lt;0),-E140,0))</f>
      </c>
      <c r="M140" s="47">
        <f>IF(A140="",0,IF(AND(J140="Yes",E140&gt;0),E140,0))</f>
      </c>
      <c r="N140">
        <f>IF(A140="","",IF(D140="Category Pending","Needs categorization",IF(COUNTIFS($A$2:A140,A140,$B$2:B140,B140,$E$2:E140,E140)&gt;1,"Possible duplicate","")))</f>
      </c>
    </row>
    <row r="141" spans="3:14" x14ac:dyDescent="0.3">
      <c r="A141"/>
      <c r="C141" s="16"/>
      <c r="G141" s="5">
        <f>IF(A141="","","Checking")</f>
      </c>
      <c r="H141">
        <f>IF(A141="","",IFERROR(XLOOKUP(D141,Setup!$E$15:$E$79,Setup!$F$15:$F$79),"Miscellaneous"))</f>
      </c>
      <c r="I141">
        <f>IF(A141="","",IFERROR(XLOOKUP(D141,Setup!$E$15:$E$79,Setup!$G$15:$G$79),"Uncategorized"))</f>
      </c>
      <c r="J141">
        <f>IF(A141="","",IF(OR(H141="Transfers",H141="Income",D141="Transfer",D141="Category Pending",F141="Pending"),"No","Yes"))</f>
      </c>
      <c r="K141" s="4">
        <f>IF(A141="","",TEXT(IF(DAY(A141)&gt;=Setup!$B$9,DATE(YEAR(A141),MONTH(A141)+1,1),DATE(YEAR(A141),MONTH(A141),1)),"mmmm yyyy"))</f>
      </c>
      <c r="L141" s="47">
        <f>IF(A141="",0,IF(AND(J141="Yes",E141&lt;0),-E141,0))</f>
      </c>
      <c r="M141" s="47">
        <f>IF(A141="",0,IF(AND(J141="Yes",E141&gt;0),E141,0))</f>
      </c>
      <c r="N141">
        <f>IF(A141="","",IF(D141="Category Pending","Needs categorization",IF(COUNTIFS($A$2:A141,A141,$B$2:B141,B141,$E$2:E141,E141)&gt;1,"Possible duplicate","")))</f>
      </c>
    </row>
    <row r="142" spans="3:14" x14ac:dyDescent="0.3">
      <c r="A142"/>
      <c r="C142" s="16"/>
      <c r="G142" s="5">
        <f>IF(A142="","","Checking")</f>
      </c>
      <c r="H142">
        <f>IF(A142="","",IFERROR(XLOOKUP(D142,Setup!$E$15:$E$79,Setup!$F$15:$F$79),"Miscellaneous"))</f>
      </c>
      <c r="I142">
        <f>IF(A142="","",IFERROR(XLOOKUP(D142,Setup!$E$15:$E$79,Setup!$G$15:$G$79),"Uncategorized"))</f>
      </c>
      <c r="J142">
        <f>IF(A142="","",IF(OR(H142="Transfers",H142="Income",D142="Transfer",D142="Category Pending",F142="Pending"),"No","Yes"))</f>
      </c>
      <c r="K142" s="4">
        <f>IF(A142="","",TEXT(IF(DAY(A142)&gt;=Setup!$B$9,DATE(YEAR(A142),MONTH(A142)+1,1),DATE(YEAR(A142),MONTH(A142),1)),"mmmm yyyy"))</f>
      </c>
      <c r="L142" s="47">
        <f>IF(A142="",0,IF(AND(J142="Yes",E142&lt;0),-E142,0))</f>
      </c>
      <c r="M142" s="47">
        <f>IF(A142="",0,IF(AND(J142="Yes",E142&gt;0),E142,0))</f>
      </c>
      <c r="N142">
        <f>IF(A142="","",IF(D142="Category Pending","Needs categorization",IF(COUNTIFS($A$2:A142,A142,$B$2:B142,B142,$E$2:E142,E142)&gt;1,"Possible duplicate","")))</f>
      </c>
    </row>
    <row r="143" spans="3:14" x14ac:dyDescent="0.3">
      <c r="A143"/>
      <c r="C143" s="16"/>
      <c r="G143" s="5">
        <f>IF(A143="","","Checking")</f>
      </c>
      <c r="H143">
        <f>IF(A143="","",IFERROR(XLOOKUP(D143,Setup!$E$15:$E$79,Setup!$F$15:$F$79),"Miscellaneous"))</f>
      </c>
      <c r="I143">
        <f>IF(A143="","",IFERROR(XLOOKUP(D143,Setup!$E$15:$E$79,Setup!$G$15:$G$79),"Uncategorized"))</f>
      </c>
      <c r="J143">
        <f>IF(A143="","",IF(OR(H143="Transfers",H143="Income",D143="Transfer",D143="Category Pending",F143="Pending"),"No","Yes"))</f>
      </c>
      <c r="K143" s="4">
        <f>IF(A143="","",TEXT(IF(DAY(A143)&gt;=Setup!$B$9,DATE(YEAR(A143),MONTH(A143)+1,1),DATE(YEAR(A143),MONTH(A143),1)),"mmmm yyyy"))</f>
      </c>
      <c r="L143" s="47">
        <f>IF(A143="",0,IF(AND(J143="Yes",E143&lt;0),-E143,0))</f>
      </c>
      <c r="M143" s="47">
        <f>IF(A143="",0,IF(AND(J143="Yes",E143&gt;0),E143,0))</f>
      </c>
      <c r="N143">
        <f>IF(A143="","",IF(D143="Category Pending","Needs categorization",IF(COUNTIFS($A$2:A143,A143,$B$2:B143,B143,$E$2:E143,E143)&gt;1,"Possible duplicate","")))</f>
      </c>
    </row>
    <row r="144" spans="3:14" x14ac:dyDescent="0.3">
      <c r="A144"/>
      <c r="C144" s="16"/>
      <c r="G144" s="5">
        <f>IF(A144="","","Checking")</f>
      </c>
      <c r="H144">
        <f>IF(A144="","",IFERROR(XLOOKUP(D144,Setup!$E$15:$E$79,Setup!$F$15:$F$79),"Miscellaneous"))</f>
      </c>
      <c r="I144">
        <f>IF(A144="","",IFERROR(XLOOKUP(D144,Setup!$E$15:$E$79,Setup!$G$15:$G$79),"Uncategorized"))</f>
      </c>
      <c r="J144">
        <f>IF(A144="","",IF(OR(H144="Transfers",H144="Income",D144="Transfer",D144="Category Pending",F144="Pending"),"No","Yes"))</f>
      </c>
      <c r="K144" s="4">
        <f>IF(A144="","",TEXT(IF(DAY(A144)&gt;=Setup!$B$9,DATE(YEAR(A144),MONTH(A144)+1,1),DATE(YEAR(A144),MONTH(A144),1)),"mmmm yyyy"))</f>
      </c>
      <c r="L144" s="47">
        <f>IF(A144="",0,IF(AND(J144="Yes",E144&lt;0),-E144,0))</f>
      </c>
      <c r="M144" s="47">
        <f>IF(A144="",0,IF(AND(J144="Yes",E144&gt;0),E144,0))</f>
      </c>
      <c r="N144">
        <f>IF(A144="","",IF(D144="Category Pending","Needs categorization",IF(COUNTIFS($A$2:A144,A144,$B$2:B144,B144,$E$2:E144,E144)&gt;1,"Possible duplicate","")))</f>
      </c>
    </row>
    <row r="145" spans="3:14" x14ac:dyDescent="0.3">
      <c r="A145"/>
      <c r="C145" s="16"/>
      <c r="G145" s="5">
        <f>IF(A145="","","Checking")</f>
      </c>
      <c r="H145">
        <f>IF(A145="","",IFERROR(XLOOKUP(D145,Setup!$E$15:$E$79,Setup!$F$15:$F$79),"Miscellaneous"))</f>
      </c>
      <c r="I145">
        <f>IF(A145="","",IFERROR(XLOOKUP(D145,Setup!$E$15:$E$79,Setup!$G$15:$G$79),"Uncategorized"))</f>
      </c>
      <c r="J145">
        <f>IF(A145="","",IF(OR(H145="Transfers",H145="Income",D145="Transfer",D145="Category Pending",F145="Pending"),"No","Yes"))</f>
      </c>
      <c r="K145" s="4">
        <f>IF(A145="","",TEXT(IF(DAY(A145)&gt;=Setup!$B$9,DATE(YEAR(A145),MONTH(A145)+1,1),DATE(YEAR(A145),MONTH(A145),1)),"mmmm yyyy"))</f>
      </c>
      <c r="L145" s="47">
        <f>IF(A145="",0,IF(AND(J145="Yes",E145&lt;0),-E145,0))</f>
      </c>
      <c r="M145" s="47">
        <f>IF(A145="",0,IF(AND(J145="Yes",E145&gt;0),E145,0))</f>
      </c>
      <c r="N145">
        <f>IF(A145="","",IF(D145="Category Pending","Needs categorization",IF(COUNTIFS($A$2:A145,A145,$B$2:B145,B145,$E$2:E145,E145)&gt;1,"Possible duplicate","")))</f>
      </c>
    </row>
    <row r="146" spans="3:14" x14ac:dyDescent="0.3">
      <c r="A146"/>
      <c r="C146" s="16"/>
      <c r="G146" s="5">
        <f>IF(A146="","","Checking")</f>
      </c>
      <c r="H146">
        <f>IF(A146="","",IFERROR(XLOOKUP(D146,Setup!$E$15:$E$79,Setup!$F$15:$F$79),"Miscellaneous"))</f>
      </c>
      <c r="I146">
        <f>IF(A146="","",IFERROR(XLOOKUP(D146,Setup!$E$15:$E$79,Setup!$G$15:$G$79),"Uncategorized"))</f>
      </c>
      <c r="J146">
        <f>IF(A146="","",IF(OR(H146="Transfers",H146="Income",D146="Transfer",D146="Category Pending",F146="Pending"),"No","Yes"))</f>
      </c>
      <c r="K146" s="4">
        <f>IF(A146="","",TEXT(IF(DAY(A146)&gt;=Setup!$B$9,DATE(YEAR(A146),MONTH(A146)+1,1),DATE(YEAR(A146),MONTH(A146),1)),"mmmm yyyy"))</f>
      </c>
      <c r="L146" s="47">
        <f>IF(A146="",0,IF(AND(J146="Yes",E146&lt;0),-E146,0))</f>
      </c>
      <c r="M146" s="47">
        <f>IF(A146="",0,IF(AND(J146="Yes",E146&gt;0),E146,0))</f>
      </c>
      <c r="N146">
        <f>IF(A146="","",IF(D146="Category Pending","Needs categorization",IF(COUNTIFS($A$2:A146,A146,$B$2:B146,B146,$E$2:E146,E146)&gt;1,"Possible duplicate","")))</f>
      </c>
    </row>
    <row r="147" spans="3:14" x14ac:dyDescent="0.3">
      <c r="A147"/>
      <c r="C147" s="16"/>
      <c r="G147" s="5">
        <f>IF(A147="","","Checking")</f>
      </c>
      <c r="H147">
        <f>IF(A147="","",IFERROR(XLOOKUP(D147,Setup!$E$15:$E$79,Setup!$F$15:$F$79),"Miscellaneous"))</f>
      </c>
      <c r="I147">
        <f>IF(A147="","",IFERROR(XLOOKUP(D147,Setup!$E$15:$E$79,Setup!$G$15:$G$79),"Uncategorized"))</f>
      </c>
      <c r="J147">
        <f>IF(A147="","",IF(OR(H147="Transfers",H147="Income",D147="Transfer",D147="Category Pending",F147="Pending"),"No","Yes"))</f>
      </c>
      <c r="K147" s="4">
        <f>IF(A147="","",TEXT(IF(DAY(A147)&gt;=Setup!$B$9,DATE(YEAR(A147),MONTH(A147)+1,1),DATE(YEAR(A147),MONTH(A147),1)),"mmmm yyyy"))</f>
      </c>
      <c r="L147" s="47">
        <f>IF(A147="",0,IF(AND(J147="Yes",E147&lt;0),-E147,0))</f>
      </c>
      <c r="M147" s="47">
        <f>IF(A147="",0,IF(AND(J147="Yes",E147&gt;0),E147,0))</f>
      </c>
      <c r="N147">
        <f>IF(A147="","",IF(D147="Category Pending","Needs categorization",IF(COUNTIFS($A$2:A147,A147,$B$2:B147,B147,$E$2:E147,E147)&gt;1,"Possible duplicate","")))</f>
      </c>
    </row>
    <row r="148" spans="3:14" x14ac:dyDescent="0.3">
      <c r="A148"/>
      <c r="C148" s="16"/>
      <c r="G148" s="5">
        <f>IF(A148="","","Checking")</f>
      </c>
      <c r="H148">
        <f>IF(A148="","",IFERROR(XLOOKUP(D148,Setup!$E$15:$E$79,Setup!$F$15:$F$79),"Miscellaneous"))</f>
      </c>
      <c r="I148">
        <f>IF(A148="","",IFERROR(XLOOKUP(D148,Setup!$E$15:$E$79,Setup!$G$15:$G$79),"Uncategorized"))</f>
      </c>
      <c r="J148">
        <f>IF(A148="","",IF(OR(H148="Transfers",H148="Income",D148="Transfer",D148="Category Pending",F148="Pending"),"No","Yes"))</f>
      </c>
      <c r="K148" s="4">
        <f>IF(A148="","",TEXT(IF(DAY(A148)&gt;=Setup!$B$9,DATE(YEAR(A148),MONTH(A148)+1,1),DATE(YEAR(A148),MONTH(A148),1)),"mmmm yyyy"))</f>
      </c>
      <c r="L148" s="47">
        <f>IF(A148="",0,IF(AND(J148="Yes",E148&lt;0),-E148,0))</f>
      </c>
      <c r="M148" s="47">
        <f>IF(A148="",0,IF(AND(J148="Yes",E148&gt;0),E148,0))</f>
      </c>
      <c r="N148">
        <f>IF(A148="","",IF(D148="Category Pending","Needs categorization",IF(COUNTIFS($A$2:A148,A148,$B$2:B148,B148,$E$2:E148,E148)&gt;1,"Possible duplicate","")))</f>
      </c>
    </row>
    <row r="149" spans="3:14" x14ac:dyDescent="0.3">
      <c r="A149"/>
      <c r="C149" s="16"/>
      <c r="G149" s="5">
        <f>IF(A149="","","Checking")</f>
      </c>
      <c r="H149">
        <f>IF(A149="","",IFERROR(XLOOKUP(D149,Setup!$E$15:$E$79,Setup!$F$15:$F$79),"Miscellaneous"))</f>
      </c>
      <c r="I149">
        <f>IF(A149="","",IFERROR(XLOOKUP(D149,Setup!$E$15:$E$79,Setup!$G$15:$G$79),"Uncategorized"))</f>
      </c>
      <c r="J149">
        <f>IF(A149="","",IF(OR(H149="Transfers",H149="Income",D149="Transfer",D149="Category Pending",F149="Pending"),"No","Yes"))</f>
      </c>
      <c r="K149" s="4">
        <f>IF(A149="","",TEXT(IF(DAY(A149)&gt;=Setup!$B$9,DATE(YEAR(A149),MONTH(A149)+1,1),DATE(YEAR(A149),MONTH(A149),1)),"mmmm yyyy"))</f>
      </c>
      <c r="L149" s="47">
        <f>IF(A149="",0,IF(AND(J149="Yes",E149&lt;0),-E149,0))</f>
      </c>
      <c r="M149" s="47">
        <f>IF(A149="",0,IF(AND(J149="Yes",E149&gt;0),E149,0))</f>
      </c>
      <c r="N149">
        <f>IF(A149="","",IF(D149="Category Pending","Needs categorization",IF(COUNTIFS($A$2:A149,A149,$B$2:B149,B149,$E$2:E149,E149)&gt;1,"Possible duplicate","")))</f>
      </c>
    </row>
    <row r="150" spans="3:14" x14ac:dyDescent="0.3">
      <c r="A150"/>
      <c r="C150" s="16"/>
      <c r="G150" s="5">
        <f>IF(A150="","","Checking")</f>
      </c>
      <c r="H150">
        <f>IF(A150="","",IFERROR(XLOOKUP(D150,Setup!$E$15:$E$79,Setup!$F$15:$F$79),"Miscellaneous"))</f>
      </c>
      <c r="I150">
        <f>IF(A150="","",IFERROR(XLOOKUP(D150,Setup!$E$15:$E$79,Setup!$G$15:$G$79),"Uncategorized"))</f>
      </c>
      <c r="J150">
        <f>IF(A150="","",IF(OR(H150="Transfers",H150="Income",D150="Transfer",D150="Category Pending",F150="Pending"),"No","Yes"))</f>
      </c>
      <c r="K150" s="4">
        <f>IF(A150="","",TEXT(IF(DAY(A150)&gt;=Setup!$B$9,DATE(YEAR(A150),MONTH(A150)+1,1),DATE(YEAR(A150),MONTH(A150),1)),"mmmm yyyy"))</f>
      </c>
      <c r="L150" s="47">
        <f>IF(A150="",0,IF(AND(J150="Yes",E150&lt;0),-E150,0))</f>
      </c>
      <c r="M150" s="47">
        <f>IF(A150="",0,IF(AND(J150="Yes",E150&gt;0),E150,0))</f>
      </c>
      <c r="N150">
        <f>IF(A150="","",IF(D150="Category Pending","Needs categorization",IF(COUNTIFS($A$2:A150,A150,$B$2:B150,B150,$E$2:E150,E150)&gt;1,"Possible duplicate","")))</f>
      </c>
    </row>
    <row r="151" spans="3:14" x14ac:dyDescent="0.3">
      <c r="A151"/>
      <c r="C151" s="16"/>
      <c r="G151" s="5">
        <f>IF(A151="","","Checking")</f>
      </c>
      <c r="H151">
        <f>IF(A151="","",IFERROR(XLOOKUP(D151,Setup!$E$15:$E$79,Setup!$F$15:$F$79),"Miscellaneous"))</f>
      </c>
      <c r="I151">
        <f>IF(A151="","",IFERROR(XLOOKUP(D151,Setup!$E$15:$E$79,Setup!$G$15:$G$79),"Uncategorized"))</f>
      </c>
      <c r="J151">
        <f>IF(A151="","",IF(OR(H151="Transfers",H151="Income",D151="Transfer",D151="Category Pending",F151="Pending"),"No","Yes"))</f>
      </c>
      <c r="K151" s="4">
        <f>IF(A151="","",TEXT(IF(DAY(A151)&gt;=Setup!$B$9,DATE(YEAR(A151),MONTH(A151)+1,1),DATE(YEAR(A151),MONTH(A151),1)),"mmmm yyyy"))</f>
      </c>
      <c r="L151" s="47">
        <f>IF(A151="",0,IF(AND(J151="Yes",E151&lt;0),-E151,0))</f>
      </c>
      <c r="M151" s="47">
        <f>IF(A151="",0,IF(AND(J151="Yes",E151&gt;0),E151,0))</f>
      </c>
      <c r="N151">
        <f>IF(A151="","",IF(D151="Category Pending","Needs categorization",IF(COUNTIFS($A$2:A151,A151,$B$2:B151,B151,$E$2:E151,E151)&gt;1,"Possible duplicate","")))</f>
      </c>
    </row>
    <row r="152" spans="3:14" x14ac:dyDescent="0.3">
      <c r="A152"/>
      <c r="C152" s="16"/>
      <c r="G152" s="5">
        <f>IF(A152="","","Checking")</f>
      </c>
      <c r="H152">
        <f>IF(A152="","",IFERROR(XLOOKUP(D152,Setup!$E$15:$E$79,Setup!$F$15:$F$79),"Miscellaneous"))</f>
      </c>
      <c r="I152">
        <f>IF(A152="","",IFERROR(XLOOKUP(D152,Setup!$E$15:$E$79,Setup!$G$15:$G$79),"Uncategorized"))</f>
      </c>
      <c r="J152">
        <f>IF(A152="","",IF(OR(H152="Transfers",H152="Income",D152="Transfer",D152="Category Pending",F152="Pending"),"No","Yes"))</f>
      </c>
      <c r="K152" s="4">
        <f>IF(A152="","",TEXT(IF(DAY(A152)&gt;=Setup!$B$9,DATE(YEAR(A152),MONTH(A152)+1,1),DATE(YEAR(A152),MONTH(A152),1)),"mmmm yyyy"))</f>
      </c>
      <c r="L152" s="47">
        <f>IF(A152="",0,IF(AND(J152="Yes",E152&lt;0),-E152,0))</f>
      </c>
      <c r="M152" s="47">
        <f>IF(A152="",0,IF(AND(J152="Yes",E152&gt;0),E152,0))</f>
      </c>
      <c r="N152">
        <f>IF(A152="","",IF(D152="Category Pending","Needs categorization",IF(COUNTIFS($A$2:A152,A152,$B$2:B152,B152,$E$2:E152,E152)&gt;1,"Possible duplicate","")))</f>
      </c>
    </row>
    <row r="153" spans="3:14" x14ac:dyDescent="0.3">
      <c r="A153"/>
      <c r="C153" s="16"/>
      <c r="G153" s="5">
        <f>IF(A153="","","Checking")</f>
      </c>
      <c r="H153">
        <f>IF(A153="","",IFERROR(XLOOKUP(D153,Setup!$E$15:$E$79,Setup!$F$15:$F$79),"Miscellaneous"))</f>
      </c>
      <c r="I153">
        <f>IF(A153="","",IFERROR(XLOOKUP(D153,Setup!$E$15:$E$79,Setup!$G$15:$G$79),"Uncategorized"))</f>
      </c>
      <c r="J153">
        <f>IF(A153="","",IF(OR(H153="Transfers",H153="Income",D153="Transfer",D153="Category Pending",F153="Pending"),"No","Yes"))</f>
      </c>
      <c r="K153" s="4">
        <f>IF(A153="","",TEXT(IF(DAY(A153)&gt;=Setup!$B$9,DATE(YEAR(A153),MONTH(A153)+1,1),DATE(YEAR(A153),MONTH(A153),1)),"mmmm yyyy"))</f>
      </c>
      <c r="L153" s="47">
        <f>IF(A153="",0,IF(AND(J153="Yes",E153&lt;0),-E153,0))</f>
      </c>
      <c r="M153" s="47">
        <f>IF(A153="",0,IF(AND(J153="Yes",E153&gt;0),E153,0))</f>
      </c>
      <c r="N153">
        <f>IF(A153="","",IF(D153="Category Pending","Needs categorization",IF(COUNTIFS($A$2:A153,A153,$B$2:B153,B153,$E$2:E153,E153)&gt;1,"Possible duplicate","")))</f>
      </c>
    </row>
    <row r="154" spans="3:14" x14ac:dyDescent="0.3">
      <c r="A154"/>
      <c r="C154" s="16"/>
      <c r="G154" s="5">
        <f>IF(A154="","","Checking")</f>
      </c>
      <c r="H154">
        <f>IF(A154="","",IFERROR(XLOOKUP(D154,Setup!$E$15:$E$79,Setup!$F$15:$F$79),"Miscellaneous"))</f>
      </c>
      <c r="I154">
        <f>IF(A154="","",IFERROR(XLOOKUP(D154,Setup!$E$15:$E$79,Setup!$G$15:$G$79),"Uncategorized"))</f>
      </c>
      <c r="J154">
        <f>IF(A154="","",IF(OR(H154="Transfers",H154="Income",D154="Transfer",D154="Category Pending",F154="Pending"),"No","Yes"))</f>
      </c>
      <c r="K154" s="4">
        <f>IF(A154="","",TEXT(IF(DAY(A154)&gt;=Setup!$B$9,DATE(YEAR(A154),MONTH(A154)+1,1),DATE(YEAR(A154),MONTH(A154),1)),"mmmm yyyy"))</f>
      </c>
      <c r="L154" s="47">
        <f>IF(A154="",0,IF(AND(J154="Yes",E154&lt;0),-E154,0))</f>
      </c>
      <c r="M154" s="47">
        <f>IF(A154="",0,IF(AND(J154="Yes",E154&gt;0),E154,0))</f>
      </c>
      <c r="N154">
        <f>IF(A154="","",IF(D154="Category Pending","Needs categorization",IF(COUNTIFS($A$2:A154,A154,$B$2:B154,B154,$E$2:E154,E154)&gt;1,"Possible duplicate","")))</f>
      </c>
    </row>
    <row r="155" spans="3:14" x14ac:dyDescent="0.3">
      <c r="A155"/>
      <c r="C155" s="16"/>
      <c r="G155" s="5">
        <f>IF(A155="","","Checking")</f>
      </c>
      <c r="H155">
        <f>IF(A155="","",IFERROR(XLOOKUP(D155,Setup!$E$15:$E$79,Setup!$F$15:$F$79),"Miscellaneous"))</f>
      </c>
      <c r="I155">
        <f>IF(A155="","",IFERROR(XLOOKUP(D155,Setup!$E$15:$E$79,Setup!$G$15:$G$79),"Uncategorized"))</f>
      </c>
      <c r="J155">
        <f>IF(A155="","",IF(OR(H155="Transfers",H155="Income",D155="Transfer",D155="Category Pending",F155="Pending"),"No","Yes"))</f>
      </c>
      <c r="K155" s="4">
        <f>IF(A155="","",TEXT(IF(DAY(A155)&gt;=Setup!$B$9,DATE(YEAR(A155),MONTH(A155)+1,1),DATE(YEAR(A155),MONTH(A155),1)),"mmmm yyyy"))</f>
      </c>
      <c r="L155" s="47">
        <f>IF(A155="",0,IF(AND(J155="Yes",E155&lt;0),-E155,0))</f>
      </c>
      <c r="M155" s="47">
        <f>IF(A155="",0,IF(AND(J155="Yes",E155&gt;0),E155,0))</f>
      </c>
      <c r="N155">
        <f>IF(A155="","",IF(D155="Category Pending","Needs categorization",IF(COUNTIFS($A$2:A155,A155,$B$2:B155,B155,$E$2:E155,E155)&gt;1,"Possible duplicate","")))</f>
      </c>
    </row>
    <row r="156" spans="3:14" x14ac:dyDescent="0.3">
      <c r="A156"/>
      <c r="C156" s="16"/>
      <c r="G156" s="5">
        <f>IF(A156="","","Checking")</f>
      </c>
      <c r="H156">
        <f>IF(A156="","",IFERROR(XLOOKUP(D156,Setup!$E$15:$E$79,Setup!$F$15:$F$79),"Miscellaneous"))</f>
      </c>
      <c r="I156">
        <f>IF(A156="","",IFERROR(XLOOKUP(D156,Setup!$E$15:$E$79,Setup!$G$15:$G$79),"Uncategorized"))</f>
      </c>
      <c r="J156">
        <f>IF(A156="","",IF(OR(H156="Transfers",H156="Income",D156="Transfer",D156="Category Pending",F156="Pending"),"No","Yes"))</f>
      </c>
      <c r="K156" s="4">
        <f>IF(A156="","",TEXT(IF(DAY(A156)&gt;=Setup!$B$9,DATE(YEAR(A156),MONTH(A156)+1,1),DATE(YEAR(A156),MONTH(A156),1)),"mmmm yyyy"))</f>
      </c>
      <c r="L156" s="47">
        <f>IF(A156="",0,IF(AND(J156="Yes",E156&lt;0),-E156,0))</f>
      </c>
      <c r="M156" s="47">
        <f>IF(A156="",0,IF(AND(J156="Yes",E156&gt;0),E156,0))</f>
      </c>
      <c r="N156">
        <f>IF(A156="","",IF(D156="Category Pending","Needs categorization",IF(COUNTIFS($A$2:A156,A156,$B$2:B156,B156,$E$2:E156,E156)&gt;1,"Possible duplicate","")))</f>
      </c>
    </row>
    <row r="157" spans="3:14" x14ac:dyDescent="0.3">
      <c r="A157"/>
      <c r="C157" s="16"/>
      <c r="G157" s="5">
        <f>IF(A157="","","Checking")</f>
      </c>
      <c r="H157">
        <f>IF(A157="","",IFERROR(XLOOKUP(D157,Setup!$E$15:$E$79,Setup!$F$15:$F$79),"Miscellaneous"))</f>
      </c>
      <c r="I157">
        <f>IF(A157="","",IFERROR(XLOOKUP(D157,Setup!$E$15:$E$79,Setup!$G$15:$G$79),"Uncategorized"))</f>
      </c>
      <c r="J157">
        <f>IF(A157="","",IF(OR(H157="Transfers",H157="Income",D157="Transfer",D157="Category Pending",F157="Pending"),"No","Yes"))</f>
      </c>
      <c r="K157" s="4">
        <f>IF(A157="","",TEXT(IF(DAY(A157)&gt;=Setup!$B$9,DATE(YEAR(A157),MONTH(A157)+1,1),DATE(YEAR(A157),MONTH(A157),1)),"mmmm yyyy"))</f>
      </c>
      <c r="L157" s="47">
        <f>IF(A157="",0,IF(AND(J157="Yes",E157&lt;0),-E157,0))</f>
      </c>
      <c r="M157" s="47">
        <f>IF(A157="",0,IF(AND(J157="Yes",E157&gt;0),E157,0))</f>
      </c>
      <c r="N157">
        <f>IF(A157="","",IF(D157="Category Pending","Needs categorization",IF(COUNTIFS($A$2:A157,A157,$B$2:B157,B157,$E$2:E157,E157)&gt;1,"Possible duplicate","")))</f>
      </c>
    </row>
    <row r="158" spans="3:14" x14ac:dyDescent="0.3">
      <c r="A158"/>
      <c r="C158" s="16"/>
      <c r="G158" s="5">
        <f>IF(A158="","","Checking")</f>
      </c>
      <c r="H158">
        <f>IF(A158="","",IFERROR(XLOOKUP(D158,Setup!$E$15:$E$79,Setup!$F$15:$F$79),"Miscellaneous"))</f>
      </c>
      <c r="I158">
        <f>IF(A158="","",IFERROR(XLOOKUP(D158,Setup!$E$15:$E$79,Setup!$G$15:$G$79),"Uncategorized"))</f>
      </c>
      <c r="J158">
        <f>IF(A158="","",IF(OR(H158="Transfers",H158="Income",D158="Transfer",D158="Category Pending",F158="Pending"),"No","Yes"))</f>
      </c>
      <c r="K158" s="4">
        <f>IF(A158="","",TEXT(IF(DAY(A158)&gt;=Setup!$B$9,DATE(YEAR(A158),MONTH(A158)+1,1),DATE(YEAR(A158),MONTH(A158),1)),"mmmm yyyy"))</f>
      </c>
      <c r="L158" s="47">
        <f>IF(A158="",0,IF(AND(J158="Yes",E158&lt;0),-E158,0))</f>
      </c>
      <c r="M158" s="47">
        <f>IF(A158="",0,IF(AND(J158="Yes",E158&gt;0),E158,0))</f>
      </c>
      <c r="N158">
        <f>IF(A158="","",IF(D158="Category Pending","Needs categorization",IF(COUNTIFS($A$2:A158,A158,$B$2:B158,B158,$E$2:E158,E158)&gt;1,"Possible duplicate","")))</f>
      </c>
    </row>
    <row r="159" spans="3:14" x14ac:dyDescent="0.3">
      <c r="A159"/>
      <c r="C159" s="16"/>
      <c r="G159" s="5">
        <f>IF(A159="","","Checking")</f>
      </c>
      <c r="H159">
        <f>IF(A159="","",IFERROR(XLOOKUP(D159,Setup!$E$15:$E$79,Setup!$F$15:$F$79),"Miscellaneous"))</f>
      </c>
      <c r="I159">
        <f>IF(A159="","",IFERROR(XLOOKUP(D159,Setup!$E$15:$E$79,Setup!$G$15:$G$79),"Uncategorized"))</f>
      </c>
      <c r="J159">
        <f>IF(A159="","",IF(OR(H159="Transfers",H159="Income",D159="Transfer",D159="Category Pending",F159="Pending"),"No","Yes"))</f>
      </c>
      <c r="K159" s="4">
        <f>IF(A159="","",TEXT(IF(DAY(A159)&gt;=Setup!$B$9,DATE(YEAR(A159),MONTH(A159)+1,1),DATE(YEAR(A159),MONTH(A159),1)),"mmmm yyyy"))</f>
      </c>
      <c r="L159" s="47">
        <f>IF(A159="",0,IF(AND(J159="Yes",E159&lt;0),-E159,0))</f>
      </c>
      <c r="M159" s="47">
        <f>IF(A159="",0,IF(AND(J159="Yes",E159&gt;0),E159,0))</f>
      </c>
      <c r="N159">
        <f>IF(A159="","",IF(D159="Category Pending","Needs categorization",IF(COUNTIFS($A$2:A159,A159,$B$2:B159,B159,$E$2:E159,E159)&gt;1,"Possible duplicate","")))</f>
      </c>
    </row>
    <row r="160" spans="3:14" x14ac:dyDescent="0.3">
      <c r="A160"/>
      <c r="C160" s="16"/>
      <c r="G160" s="5">
        <f>IF(A160="","","Checking")</f>
      </c>
      <c r="H160">
        <f>IF(A160="","",IFERROR(XLOOKUP(D160,Setup!$E$15:$E$79,Setup!$F$15:$F$79),"Miscellaneous"))</f>
      </c>
      <c r="I160">
        <f>IF(A160="","",IFERROR(XLOOKUP(D160,Setup!$E$15:$E$79,Setup!$G$15:$G$79),"Uncategorized"))</f>
      </c>
      <c r="J160">
        <f>IF(A160="","",IF(OR(H160="Transfers",H160="Income",D160="Transfer",D160="Category Pending",F160="Pending"),"No","Yes"))</f>
      </c>
      <c r="K160" s="4">
        <f>IF(A160="","",TEXT(IF(DAY(A160)&gt;=Setup!$B$9,DATE(YEAR(A160),MONTH(A160)+1,1),DATE(YEAR(A160),MONTH(A160),1)),"mmmm yyyy"))</f>
      </c>
      <c r="L160" s="47">
        <f>IF(A160="",0,IF(AND(J160="Yes",E160&lt;0),-E160,0))</f>
      </c>
      <c r="M160" s="47">
        <f>IF(A160="",0,IF(AND(J160="Yes",E160&gt;0),E160,0))</f>
      </c>
      <c r="N160">
        <f>IF(A160="","",IF(D160="Category Pending","Needs categorization",IF(COUNTIFS($A$2:A160,A160,$B$2:B160,B160,$E$2:E160,E160)&gt;1,"Possible duplicate","")))</f>
      </c>
    </row>
    <row r="161" spans="3:14" x14ac:dyDescent="0.3">
      <c r="A161"/>
      <c r="C161" s="16"/>
      <c r="G161" s="5">
        <f>IF(A161="","","Checking")</f>
      </c>
      <c r="H161">
        <f>IF(A161="","",IFERROR(XLOOKUP(D161,Setup!$E$15:$E$79,Setup!$F$15:$F$79),"Miscellaneous"))</f>
      </c>
      <c r="I161">
        <f>IF(A161="","",IFERROR(XLOOKUP(D161,Setup!$E$15:$E$79,Setup!$G$15:$G$79),"Uncategorized"))</f>
      </c>
      <c r="J161">
        <f>IF(A161="","",IF(OR(H161="Transfers",H161="Income",D161="Transfer",D161="Category Pending",F161="Pending"),"No","Yes"))</f>
      </c>
      <c r="K161" s="4">
        <f>IF(A161="","",TEXT(IF(DAY(A161)&gt;=Setup!$B$9,DATE(YEAR(A161),MONTH(A161)+1,1),DATE(YEAR(A161),MONTH(A161),1)),"mmmm yyyy"))</f>
      </c>
      <c r="L161" s="47">
        <f>IF(A161="",0,IF(AND(J161="Yes",E161&lt;0),-E161,0))</f>
      </c>
      <c r="M161" s="47">
        <f>IF(A161="",0,IF(AND(J161="Yes",E161&gt;0),E161,0))</f>
      </c>
      <c r="N161">
        <f>IF(A161="","",IF(D161="Category Pending","Needs categorization",IF(COUNTIFS($A$2:A161,A161,$B$2:B161,B161,$E$2:E161,E161)&gt;1,"Possible duplicate","")))</f>
      </c>
    </row>
    <row r="162" spans="3:14" x14ac:dyDescent="0.3">
      <c r="A162"/>
      <c r="C162" s="16"/>
      <c r="G162" s="5">
        <f>IF(A162="","","Checking")</f>
      </c>
      <c r="H162">
        <f>IF(A162="","",IFERROR(XLOOKUP(D162,Setup!$E$15:$E$79,Setup!$F$15:$F$79),"Miscellaneous"))</f>
      </c>
      <c r="I162">
        <f>IF(A162="","",IFERROR(XLOOKUP(D162,Setup!$E$15:$E$79,Setup!$G$15:$G$79),"Uncategorized"))</f>
      </c>
      <c r="J162">
        <f>IF(A162="","",IF(OR(H162="Transfers",H162="Income",D162="Transfer",D162="Category Pending",F162="Pending"),"No","Yes"))</f>
      </c>
      <c r="K162" s="4">
        <f>IF(A162="","",TEXT(IF(DAY(A162)&gt;=Setup!$B$9,DATE(YEAR(A162),MONTH(A162)+1,1),DATE(YEAR(A162),MONTH(A162),1)),"mmmm yyyy"))</f>
      </c>
      <c r="L162" s="47">
        <f>IF(A162="",0,IF(AND(J162="Yes",E162&lt;0),-E162,0))</f>
      </c>
      <c r="M162" s="47">
        <f>IF(A162="",0,IF(AND(J162="Yes",E162&gt;0),E162,0))</f>
      </c>
      <c r="N162">
        <f>IF(A162="","",IF(D162="Category Pending","Needs categorization",IF(COUNTIFS($A$2:A162,A162,$B$2:B162,B162,$E$2:E162,E162)&gt;1,"Possible duplicate","")))</f>
      </c>
    </row>
    <row r="163" spans="3:14" x14ac:dyDescent="0.3">
      <c r="A163"/>
      <c r="C163" s="16"/>
      <c r="G163" s="5">
        <f>IF(A163="","","Checking")</f>
      </c>
      <c r="H163">
        <f>IF(A163="","",IFERROR(XLOOKUP(D163,Setup!$E$15:$E$79,Setup!$F$15:$F$79),"Miscellaneous"))</f>
      </c>
      <c r="I163">
        <f>IF(A163="","",IFERROR(XLOOKUP(D163,Setup!$E$15:$E$79,Setup!$G$15:$G$79),"Uncategorized"))</f>
      </c>
      <c r="J163">
        <f>IF(A163="","",IF(OR(H163="Transfers",H163="Income",D163="Transfer",D163="Category Pending",F163="Pending"),"No","Yes"))</f>
      </c>
      <c r="K163" s="4">
        <f>IF(A163="","",TEXT(IF(DAY(A163)&gt;=Setup!$B$9,DATE(YEAR(A163),MONTH(A163)+1,1),DATE(YEAR(A163),MONTH(A163),1)),"mmmm yyyy"))</f>
      </c>
      <c r="L163" s="47">
        <f>IF(A163="",0,IF(AND(J163="Yes",E163&lt;0),-E163,0))</f>
      </c>
      <c r="M163" s="47">
        <f>IF(A163="",0,IF(AND(J163="Yes",E163&gt;0),E163,0))</f>
      </c>
      <c r="N163">
        <f>IF(A163="","",IF(D163="Category Pending","Needs categorization",IF(COUNTIFS($A$2:A163,A163,$B$2:B163,B163,$E$2:E163,E163)&gt;1,"Possible duplicate","")))</f>
      </c>
    </row>
    <row r="164" spans="3:14" x14ac:dyDescent="0.3">
      <c r="A164"/>
      <c r="C164" s="16"/>
      <c r="G164" s="5">
        <f>IF(A164="","","Checking")</f>
      </c>
      <c r="H164">
        <f>IF(A164="","",IFERROR(XLOOKUP(D164,Setup!$E$15:$E$79,Setup!$F$15:$F$79),"Miscellaneous"))</f>
      </c>
      <c r="I164">
        <f>IF(A164="","",IFERROR(XLOOKUP(D164,Setup!$E$15:$E$79,Setup!$G$15:$G$79),"Uncategorized"))</f>
      </c>
      <c r="J164">
        <f>IF(A164="","",IF(OR(H164="Transfers",H164="Income",D164="Transfer",D164="Category Pending",F164="Pending"),"No","Yes"))</f>
      </c>
      <c r="K164" s="4">
        <f>IF(A164="","",TEXT(IF(DAY(A164)&gt;=Setup!$B$9,DATE(YEAR(A164),MONTH(A164)+1,1),DATE(YEAR(A164),MONTH(A164),1)),"mmmm yyyy"))</f>
      </c>
      <c r="L164" s="47">
        <f>IF(A164="",0,IF(AND(J164="Yes",E164&lt;0),-E164,0))</f>
      </c>
      <c r="M164" s="47">
        <f>IF(A164="",0,IF(AND(J164="Yes",E164&gt;0),E164,0))</f>
      </c>
      <c r="N164">
        <f>IF(A164="","",IF(D164="Category Pending","Needs categorization",IF(COUNTIFS($A$2:A164,A164,$B$2:B164,B164,$E$2:E164,E164)&gt;1,"Possible duplicate","")))</f>
      </c>
    </row>
    <row r="165" spans="3:14" x14ac:dyDescent="0.3">
      <c r="A165"/>
      <c r="C165" s="16"/>
      <c r="G165" s="5">
        <f>IF(A165="","","Checking")</f>
      </c>
      <c r="H165">
        <f>IF(A165="","",IFERROR(XLOOKUP(D165,Setup!$E$15:$E$79,Setup!$F$15:$F$79),"Miscellaneous"))</f>
      </c>
      <c r="I165">
        <f>IF(A165="","",IFERROR(XLOOKUP(D165,Setup!$E$15:$E$79,Setup!$G$15:$G$79),"Uncategorized"))</f>
      </c>
      <c r="J165">
        <f>IF(A165="","",IF(OR(H165="Transfers",H165="Income",D165="Transfer",D165="Category Pending",F165="Pending"),"No","Yes"))</f>
      </c>
      <c r="K165" s="4">
        <f>IF(A165="","",TEXT(IF(DAY(A165)&gt;=Setup!$B$9,DATE(YEAR(A165),MONTH(A165)+1,1),DATE(YEAR(A165),MONTH(A165),1)),"mmmm yyyy"))</f>
      </c>
      <c r="L165" s="47">
        <f>IF(A165="",0,IF(AND(J165="Yes",E165&lt;0),-E165,0))</f>
      </c>
      <c r="M165" s="47">
        <f>IF(A165="",0,IF(AND(J165="Yes",E165&gt;0),E165,0))</f>
      </c>
      <c r="N165">
        <f>IF(A165="","",IF(D165="Category Pending","Needs categorization",IF(COUNTIFS($A$2:A165,A165,$B$2:B165,B165,$E$2:E165,E165)&gt;1,"Possible duplicate","")))</f>
      </c>
    </row>
    <row r="166" spans="3:14" x14ac:dyDescent="0.3">
      <c r="A166"/>
      <c r="C166" s="16"/>
      <c r="G166" s="5">
        <f>IF(A166="","","Checking")</f>
      </c>
      <c r="H166">
        <f>IF(A166="","",IFERROR(XLOOKUP(D166,Setup!$E$15:$E$79,Setup!$F$15:$F$79),"Miscellaneous"))</f>
      </c>
      <c r="I166">
        <f>IF(A166="","",IFERROR(XLOOKUP(D166,Setup!$E$15:$E$79,Setup!$G$15:$G$79),"Uncategorized"))</f>
      </c>
      <c r="J166">
        <f>IF(A166="","",IF(OR(H166="Transfers",H166="Income",D166="Transfer",D166="Category Pending",F166="Pending"),"No","Yes"))</f>
      </c>
      <c r="K166" s="4">
        <f>IF(A166="","",TEXT(IF(DAY(A166)&gt;=Setup!$B$9,DATE(YEAR(A166),MONTH(A166)+1,1),DATE(YEAR(A166),MONTH(A166),1)),"mmmm yyyy"))</f>
      </c>
      <c r="L166" s="47">
        <f>IF(A166="",0,IF(AND(J166="Yes",E166&lt;0),-E166,0))</f>
      </c>
      <c r="M166" s="47">
        <f>IF(A166="",0,IF(AND(J166="Yes",E166&gt;0),E166,0))</f>
      </c>
      <c r="N166">
        <f>IF(A166="","",IF(D166="Category Pending","Needs categorization",IF(COUNTIFS($A$2:A166,A166,$B$2:B166,B166,$E$2:E166,E166)&gt;1,"Possible duplicate","")))</f>
      </c>
    </row>
    <row r="167" spans="3:14" x14ac:dyDescent="0.3">
      <c r="A167"/>
      <c r="C167" s="16"/>
      <c r="G167" s="5">
        <f>IF(A167="","","Checking")</f>
      </c>
      <c r="H167">
        <f>IF(A167="","",IFERROR(XLOOKUP(D167,Setup!$E$15:$E$79,Setup!$F$15:$F$79),"Miscellaneous"))</f>
      </c>
      <c r="I167">
        <f>IF(A167="","",IFERROR(XLOOKUP(D167,Setup!$E$15:$E$79,Setup!$G$15:$G$79),"Uncategorized"))</f>
      </c>
      <c r="J167">
        <f>IF(A167="","",IF(OR(H167="Transfers",H167="Income",D167="Transfer",D167="Category Pending",F167="Pending"),"No","Yes"))</f>
      </c>
      <c r="K167" s="4">
        <f>IF(A167="","",TEXT(IF(DAY(A167)&gt;=Setup!$B$9,DATE(YEAR(A167),MONTH(A167)+1,1),DATE(YEAR(A167),MONTH(A167),1)),"mmmm yyyy"))</f>
      </c>
      <c r="L167" s="47">
        <f>IF(A167="",0,IF(AND(J167="Yes",E167&lt;0),-E167,0))</f>
      </c>
      <c r="M167" s="47">
        <f>IF(A167="",0,IF(AND(J167="Yes",E167&gt;0),E167,0))</f>
      </c>
      <c r="N167">
        <f>IF(A167="","",IF(D167="Category Pending","Needs categorization",IF(COUNTIFS($A$2:A167,A167,$B$2:B167,B167,$E$2:E167,E167)&gt;1,"Possible duplicate","")))</f>
      </c>
    </row>
    <row r="168" spans="3:14" x14ac:dyDescent="0.3">
      <c r="A168"/>
      <c r="C168" s="16"/>
      <c r="G168" s="5">
        <f>IF(A168="","","Checking")</f>
      </c>
      <c r="H168">
        <f>IF(A168="","",IFERROR(XLOOKUP(D168,Setup!$E$15:$E$79,Setup!$F$15:$F$79),"Miscellaneous"))</f>
      </c>
      <c r="I168">
        <f>IF(A168="","",IFERROR(XLOOKUP(D168,Setup!$E$15:$E$79,Setup!$G$15:$G$79),"Uncategorized"))</f>
      </c>
      <c r="J168">
        <f>IF(A168="","",IF(OR(H168="Transfers",H168="Income",D168="Transfer",D168="Category Pending",F168="Pending"),"No","Yes"))</f>
      </c>
      <c r="K168" s="4">
        <f>IF(A168="","",TEXT(IF(DAY(A168)&gt;=Setup!$B$9,DATE(YEAR(A168),MONTH(A168)+1,1),DATE(YEAR(A168),MONTH(A168),1)),"mmmm yyyy"))</f>
      </c>
      <c r="L168" s="47">
        <f>IF(A168="",0,IF(AND(J168="Yes",E168&lt;0),-E168,0))</f>
      </c>
      <c r="M168" s="47">
        <f>IF(A168="",0,IF(AND(J168="Yes",E168&gt;0),E168,0))</f>
      </c>
      <c r="N168">
        <f>IF(A168="","",IF(D168="Category Pending","Needs categorization",IF(COUNTIFS($A$2:A168,A168,$B$2:B168,B168,$E$2:E168,E168)&gt;1,"Possible duplicate","")))</f>
      </c>
    </row>
    <row r="169" spans="3:14" x14ac:dyDescent="0.3">
      <c r="A169"/>
      <c r="C169" s="16"/>
      <c r="G169" s="5">
        <f>IF(A169="","","Checking")</f>
      </c>
      <c r="H169">
        <f>IF(A169="","",IFERROR(XLOOKUP(D169,Setup!$E$15:$E$79,Setup!$F$15:$F$79),"Miscellaneous"))</f>
      </c>
      <c r="I169">
        <f>IF(A169="","",IFERROR(XLOOKUP(D169,Setup!$E$15:$E$79,Setup!$G$15:$G$79),"Uncategorized"))</f>
      </c>
      <c r="J169">
        <f>IF(A169="","",IF(OR(H169="Transfers",H169="Income",D169="Transfer",D169="Category Pending",F169="Pending"),"No","Yes"))</f>
      </c>
      <c r="K169" s="4">
        <f>IF(A169="","",TEXT(IF(DAY(A169)&gt;=Setup!$B$9,DATE(YEAR(A169),MONTH(A169)+1,1),DATE(YEAR(A169),MONTH(A169),1)),"mmmm yyyy"))</f>
      </c>
      <c r="L169" s="47">
        <f>IF(A169="",0,IF(AND(J169="Yes",E169&lt;0),-E169,0))</f>
      </c>
      <c r="M169" s="47">
        <f>IF(A169="",0,IF(AND(J169="Yes",E169&gt;0),E169,0))</f>
      </c>
      <c r="N169">
        <f>IF(A169="","",IF(D169="Category Pending","Needs categorization",IF(COUNTIFS($A$2:A169,A169,$B$2:B169,B169,$E$2:E169,E169)&gt;1,"Possible duplicate","")))</f>
      </c>
    </row>
    <row r="170" spans="3:14" x14ac:dyDescent="0.3">
      <c r="A170"/>
      <c r="C170" s="16"/>
      <c r="G170" s="5">
        <f>IF(A170="","","Checking")</f>
      </c>
      <c r="H170">
        <f>IF(A170="","",IFERROR(XLOOKUP(D170,Setup!$E$15:$E$79,Setup!$F$15:$F$79),"Miscellaneous"))</f>
      </c>
      <c r="I170">
        <f>IF(A170="","",IFERROR(XLOOKUP(D170,Setup!$E$15:$E$79,Setup!$G$15:$G$79),"Uncategorized"))</f>
      </c>
      <c r="J170">
        <f>IF(A170="","",IF(OR(H170="Transfers",H170="Income",D170="Transfer",D170="Category Pending",F170="Pending"),"No","Yes"))</f>
      </c>
      <c r="K170" s="4">
        <f>IF(A170="","",TEXT(IF(DAY(A170)&gt;=Setup!$B$9,DATE(YEAR(A170),MONTH(A170)+1,1),DATE(YEAR(A170),MONTH(A170),1)),"mmmm yyyy"))</f>
      </c>
      <c r="L170" s="47">
        <f>IF(A170="",0,IF(AND(J170="Yes",E170&lt;0),-E170,0))</f>
      </c>
      <c r="M170" s="47">
        <f>IF(A170="",0,IF(AND(J170="Yes",E170&gt;0),E170,0))</f>
      </c>
      <c r="N170">
        <f>IF(A170="","",IF(D170="Category Pending","Needs categorization",IF(COUNTIFS($A$2:A170,A170,$B$2:B170,B170,$E$2:E170,E170)&gt;1,"Possible duplicate","")))</f>
      </c>
    </row>
    <row r="171" spans="3:14" x14ac:dyDescent="0.3">
      <c r="A171"/>
      <c r="C171" s="16"/>
      <c r="G171" s="5">
        <f>IF(A171="","","Checking")</f>
      </c>
      <c r="H171">
        <f>IF(A171="","",IFERROR(XLOOKUP(D171,Setup!$E$15:$E$79,Setup!$F$15:$F$79),"Miscellaneous"))</f>
      </c>
      <c r="I171">
        <f>IF(A171="","",IFERROR(XLOOKUP(D171,Setup!$E$15:$E$79,Setup!$G$15:$G$79),"Uncategorized"))</f>
      </c>
      <c r="J171">
        <f>IF(A171="","",IF(OR(H171="Transfers",H171="Income",D171="Transfer",D171="Category Pending",F171="Pending"),"No","Yes"))</f>
      </c>
      <c r="K171" s="4">
        <f>IF(A171="","",TEXT(IF(DAY(A171)&gt;=Setup!$B$9,DATE(YEAR(A171),MONTH(A171)+1,1),DATE(YEAR(A171),MONTH(A171),1)),"mmmm yyyy"))</f>
      </c>
      <c r="L171" s="47">
        <f>IF(A171="",0,IF(AND(J171="Yes",E171&lt;0),-E171,0))</f>
      </c>
      <c r="M171" s="47">
        <f>IF(A171="",0,IF(AND(J171="Yes",E171&gt;0),E171,0))</f>
      </c>
      <c r="N171">
        <f>IF(A171="","",IF(D171="Category Pending","Needs categorization",IF(COUNTIFS($A$2:A171,A171,$B$2:B171,B171,$E$2:E171,E171)&gt;1,"Possible duplicate","")))</f>
      </c>
    </row>
    <row r="172" spans="3:14" x14ac:dyDescent="0.3">
      <c r="A172"/>
      <c r="C172" s="16"/>
      <c r="G172" s="5">
        <f>IF(A172="","","Checking")</f>
      </c>
      <c r="H172">
        <f>IF(A172="","",IFERROR(XLOOKUP(D172,Setup!$E$15:$E$79,Setup!$F$15:$F$79),"Miscellaneous"))</f>
      </c>
      <c r="I172">
        <f>IF(A172="","",IFERROR(XLOOKUP(D172,Setup!$E$15:$E$79,Setup!$G$15:$G$79),"Uncategorized"))</f>
      </c>
      <c r="J172">
        <f>IF(A172="","",IF(OR(H172="Transfers",H172="Income",D172="Transfer",D172="Category Pending",F172="Pending"),"No","Yes"))</f>
      </c>
      <c r="K172" s="4">
        <f>IF(A172="","",TEXT(IF(DAY(A172)&gt;=Setup!$B$9,DATE(YEAR(A172),MONTH(A172)+1,1),DATE(YEAR(A172),MONTH(A172),1)),"mmmm yyyy"))</f>
      </c>
      <c r="L172" s="47">
        <f>IF(A172="",0,IF(AND(J172="Yes",E172&lt;0),-E172,0))</f>
      </c>
      <c r="M172" s="47">
        <f>IF(A172="",0,IF(AND(J172="Yes",E172&gt;0),E172,0))</f>
      </c>
      <c r="N172">
        <f>IF(A172="","",IF(D172="Category Pending","Needs categorization",IF(COUNTIFS($A$2:A172,A172,$B$2:B172,B172,$E$2:E172,E172)&gt;1,"Possible duplicate","")))</f>
      </c>
    </row>
    <row r="173" spans="3:14" x14ac:dyDescent="0.3">
      <c r="A173"/>
      <c r="C173" s="16"/>
      <c r="G173" s="5">
        <f>IF(A173="","","Checking")</f>
      </c>
      <c r="H173">
        <f>IF(A173="","",IFERROR(XLOOKUP(D173,Setup!$E$15:$E$79,Setup!$F$15:$F$79),"Miscellaneous"))</f>
      </c>
      <c r="I173">
        <f>IF(A173="","",IFERROR(XLOOKUP(D173,Setup!$E$15:$E$79,Setup!$G$15:$G$79),"Uncategorized"))</f>
      </c>
      <c r="J173">
        <f>IF(A173="","",IF(OR(H173="Transfers",H173="Income",D173="Transfer",D173="Category Pending",F173="Pending"),"No","Yes"))</f>
      </c>
      <c r="K173" s="4">
        <f>IF(A173="","",TEXT(IF(DAY(A173)&gt;=Setup!$B$9,DATE(YEAR(A173),MONTH(A173)+1,1),DATE(YEAR(A173),MONTH(A173),1)),"mmmm yyyy"))</f>
      </c>
      <c r="L173" s="47">
        <f>IF(A173="",0,IF(AND(J173="Yes",E173&lt;0),-E173,0))</f>
      </c>
      <c r="M173" s="47">
        <f>IF(A173="",0,IF(AND(J173="Yes",E173&gt;0),E173,0))</f>
      </c>
      <c r="N173">
        <f>IF(A173="","",IF(D173="Category Pending","Needs categorization",IF(COUNTIFS($A$2:A173,A173,$B$2:B173,B173,$E$2:E173,E173)&gt;1,"Possible duplicate","")))</f>
      </c>
    </row>
    <row r="174" spans="3:14" x14ac:dyDescent="0.3">
      <c r="A174"/>
      <c r="C174" s="16"/>
      <c r="G174" s="5">
        <f>IF(A174="","","Checking")</f>
      </c>
      <c r="H174">
        <f>IF(A174="","",IFERROR(XLOOKUP(D174,Setup!$E$15:$E$79,Setup!$F$15:$F$79),"Miscellaneous"))</f>
      </c>
      <c r="I174">
        <f>IF(A174="","",IFERROR(XLOOKUP(D174,Setup!$E$15:$E$79,Setup!$G$15:$G$79),"Uncategorized"))</f>
      </c>
      <c r="J174">
        <f>IF(A174="","",IF(OR(H174="Transfers",H174="Income",D174="Transfer",D174="Category Pending",F174="Pending"),"No","Yes"))</f>
      </c>
      <c r="K174" s="4">
        <f>IF(A174="","",TEXT(IF(DAY(A174)&gt;=Setup!$B$9,DATE(YEAR(A174),MONTH(A174)+1,1),DATE(YEAR(A174),MONTH(A174),1)),"mmmm yyyy"))</f>
      </c>
      <c r="L174" s="47">
        <f>IF(A174="",0,IF(AND(J174="Yes",E174&lt;0),-E174,0))</f>
      </c>
      <c r="M174" s="47">
        <f>IF(A174="",0,IF(AND(J174="Yes",E174&gt;0),E174,0))</f>
      </c>
      <c r="N174">
        <f>IF(A174="","",IF(D174="Category Pending","Needs categorization",IF(COUNTIFS($A$2:A174,A174,$B$2:B174,B174,$E$2:E174,E174)&gt;1,"Possible duplicate","")))</f>
      </c>
    </row>
    <row r="175" spans="3:14" x14ac:dyDescent="0.3">
      <c r="A175"/>
      <c r="C175" s="16"/>
      <c r="G175" s="5">
        <f>IF(A175="","","Checking")</f>
      </c>
      <c r="H175">
        <f>IF(A175="","",IFERROR(XLOOKUP(D175,Setup!$E$15:$E$79,Setup!$F$15:$F$79),"Miscellaneous"))</f>
      </c>
      <c r="I175">
        <f>IF(A175="","",IFERROR(XLOOKUP(D175,Setup!$E$15:$E$79,Setup!$G$15:$G$79),"Uncategorized"))</f>
      </c>
      <c r="J175">
        <f>IF(A175="","",IF(OR(H175="Transfers",H175="Income",D175="Transfer",D175="Category Pending",F175="Pending"),"No","Yes"))</f>
      </c>
      <c r="K175" s="4">
        <f>IF(A175="","",TEXT(IF(DAY(A175)&gt;=Setup!$B$9,DATE(YEAR(A175),MONTH(A175)+1,1),DATE(YEAR(A175),MONTH(A175),1)),"mmmm yyyy"))</f>
      </c>
      <c r="L175" s="47">
        <f>IF(A175="",0,IF(AND(J175="Yes",E175&lt;0),-E175,0))</f>
      </c>
      <c r="M175" s="47">
        <f>IF(A175="",0,IF(AND(J175="Yes",E175&gt;0),E175,0))</f>
      </c>
      <c r="N175">
        <f>IF(A175="","",IF(D175="Category Pending","Needs categorization",IF(COUNTIFS($A$2:A175,A175,$B$2:B175,B175,$E$2:E175,E175)&gt;1,"Possible duplicate","")))</f>
      </c>
    </row>
    <row r="176" spans="3:14" x14ac:dyDescent="0.3">
      <c r="A176"/>
      <c r="C176" s="16"/>
      <c r="G176" s="5">
        <f>IF(A176="","","Checking")</f>
      </c>
      <c r="H176">
        <f>IF(A176="","",IFERROR(XLOOKUP(D176,Setup!$E$15:$E$79,Setup!$F$15:$F$79),"Miscellaneous"))</f>
      </c>
      <c r="I176">
        <f>IF(A176="","",IFERROR(XLOOKUP(D176,Setup!$E$15:$E$79,Setup!$G$15:$G$79),"Uncategorized"))</f>
      </c>
      <c r="J176">
        <f>IF(A176="","",IF(OR(H176="Transfers",H176="Income",D176="Transfer",D176="Category Pending",F176="Pending"),"No","Yes"))</f>
      </c>
      <c r="K176" s="4">
        <f>IF(A176="","",TEXT(IF(DAY(A176)&gt;=Setup!$B$9,DATE(YEAR(A176),MONTH(A176)+1,1),DATE(YEAR(A176),MONTH(A176),1)),"mmmm yyyy"))</f>
      </c>
      <c r="L176" s="47">
        <f>IF(A176="",0,IF(AND(J176="Yes",E176&lt;0),-E176,0))</f>
      </c>
      <c r="M176" s="47">
        <f>IF(A176="",0,IF(AND(J176="Yes",E176&gt;0),E176,0))</f>
      </c>
      <c r="N176">
        <f>IF(A176="","",IF(D176="Category Pending","Needs categorization",IF(COUNTIFS($A$2:A176,A176,$B$2:B176,B176,$E$2:E176,E176)&gt;1,"Possible duplicate","")))</f>
      </c>
    </row>
    <row r="177" spans="3:14" x14ac:dyDescent="0.3">
      <c r="A177"/>
      <c r="C177" s="16"/>
      <c r="G177" s="5">
        <f>IF(A177="","","Checking")</f>
      </c>
      <c r="H177">
        <f>IF(A177="","",IFERROR(XLOOKUP(D177,Setup!$E$15:$E$79,Setup!$F$15:$F$79),"Miscellaneous"))</f>
      </c>
      <c r="I177">
        <f>IF(A177="","",IFERROR(XLOOKUP(D177,Setup!$E$15:$E$79,Setup!$G$15:$G$79),"Uncategorized"))</f>
      </c>
      <c r="J177">
        <f>IF(A177="","",IF(OR(H177="Transfers",H177="Income",D177="Transfer",D177="Category Pending",F177="Pending"),"No","Yes"))</f>
      </c>
      <c r="K177" s="4">
        <f>IF(A177="","",TEXT(IF(DAY(A177)&gt;=Setup!$B$9,DATE(YEAR(A177),MONTH(A177)+1,1),DATE(YEAR(A177),MONTH(A177),1)),"mmmm yyyy"))</f>
      </c>
      <c r="L177" s="47">
        <f>IF(A177="",0,IF(AND(J177="Yes",E177&lt;0),-E177,0))</f>
      </c>
      <c r="M177" s="47">
        <f>IF(A177="",0,IF(AND(J177="Yes",E177&gt;0),E177,0))</f>
      </c>
      <c r="N177">
        <f>IF(A177="","",IF(D177="Category Pending","Needs categorization",IF(COUNTIFS($A$2:A177,A177,$B$2:B177,B177,$E$2:E177,E177)&gt;1,"Possible duplicate","")))</f>
      </c>
    </row>
    <row r="178" spans="3:14" x14ac:dyDescent="0.3">
      <c r="A178"/>
      <c r="C178" s="16"/>
      <c r="G178" s="5">
        <f>IF(A178="","","Checking")</f>
      </c>
      <c r="H178">
        <f>IF(A178="","",IFERROR(XLOOKUP(D178,Setup!$E$15:$E$79,Setup!$F$15:$F$79),"Miscellaneous"))</f>
      </c>
      <c r="I178">
        <f>IF(A178="","",IFERROR(XLOOKUP(D178,Setup!$E$15:$E$79,Setup!$G$15:$G$79),"Uncategorized"))</f>
      </c>
      <c r="J178">
        <f>IF(A178="","",IF(OR(H178="Transfers",H178="Income",D178="Transfer",D178="Category Pending",F178="Pending"),"No","Yes"))</f>
      </c>
      <c r="K178" s="4">
        <f>IF(A178="","",TEXT(IF(DAY(A178)&gt;=Setup!$B$9,DATE(YEAR(A178),MONTH(A178)+1,1),DATE(YEAR(A178),MONTH(A178),1)),"mmmm yyyy"))</f>
      </c>
      <c r="L178" s="47">
        <f>IF(A178="",0,IF(AND(J178="Yes",E178&lt;0),-E178,0))</f>
      </c>
      <c r="M178" s="47">
        <f>IF(A178="",0,IF(AND(J178="Yes",E178&gt;0),E178,0))</f>
      </c>
      <c r="N178">
        <f>IF(A178="","",IF(D178="Category Pending","Needs categorization",IF(COUNTIFS($A$2:A178,A178,$B$2:B178,B178,$E$2:E178,E178)&gt;1,"Possible duplicate","")))</f>
      </c>
    </row>
    <row r="179" spans="3:14" x14ac:dyDescent="0.3">
      <c r="A179"/>
      <c r="C179" s="16"/>
      <c r="G179" s="5">
        <f>IF(A179="","","Checking")</f>
      </c>
      <c r="H179">
        <f>IF(A179="","",IFERROR(XLOOKUP(D179,Setup!$E$15:$E$79,Setup!$F$15:$F$79),"Miscellaneous"))</f>
      </c>
      <c r="I179">
        <f>IF(A179="","",IFERROR(XLOOKUP(D179,Setup!$E$15:$E$79,Setup!$G$15:$G$79),"Uncategorized"))</f>
      </c>
      <c r="J179">
        <f>IF(A179="","",IF(OR(H179="Transfers",H179="Income",D179="Transfer",D179="Category Pending",F179="Pending"),"No","Yes"))</f>
      </c>
      <c r="K179" s="4">
        <f>IF(A179="","",TEXT(IF(DAY(A179)&gt;=Setup!$B$9,DATE(YEAR(A179),MONTH(A179)+1,1),DATE(YEAR(A179),MONTH(A179),1)),"mmmm yyyy"))</f>
      </c>
      <c r="L179" s="47">
        <f>IF(A179="",0,IF(AND(J179="Yes",E179&lt;0),-E179,0))</f>
      </c>
      <c r="M179" s="47">
        <f>IF(A179="",0,IF(AND(J179="Yes",E179&gt;0),E179,0))</f>
      </c>
      <c r="N179">
        <f>IF(A179="","",IF(D179="Category Pending","Needs categorization",IF(COUNTIFS($A$2:A179,A179,$B$2:B179,B179,$E$2:E179,E179)&gt;1,"Possible duplicate","")))</f>
      </c>
    </row>
    <row r="180" spans="3:14" x14ac:dyDescent="0.3">
      <c r="A180"/>
      <c r="C180" s="16"/>
      <c r="G180" s="5">
        <f>IF(A180="","","Checking")</f>
      </c>
      <c r="H180">
        <f>IF(A180="","",IFERROR(XLOOKUP(D180,Setup!$E$15:$E$79,Setup!$F$15:$F$79),"Miscellaneous"))</f>
      </c>
      <c r="I180">
        <f>IF(A180="","",IFERROR(XLOOKUP(D180,Setup!$E$15:$E$79,Setup!$G$15:$G$79),"Uncategorized"))</f>
      </c>
      <c r="J180">
        <f>IF(A180="","",IF(OR(H180="Transfers",H180="Income",D180="Transfer",D180="Category Pending",F180="Pending"),"No","Yes"))</f>
      </c>
      <c r="K180" s="4">
        <f>IF(A180="","",TEXT(IF(DAY(A180)&gt;=Setup!$B$9,DATE(YEAR(A180),MONTH(A180)+1,1),DATE(YEAR(A180),MONTH(A180),1)),"mmmm yyyy"))</f>
      </c>
      <c r="L180" s="47">
        <f>IF(A180="",0,IF(AND(J180="Yes",E180&lt;0),-E180,0))</f>
      </c>
      <c r="M180" s="47">
        <f>IF(A180="",0,IF(AND(J180="Yes",E180&gt;0),E180,0))</f>
      </c>
      <c r="N180">
        <f>IF(A180="","",IF(D180="Category Pending","Needs categorization",IF(COUNTIFS($A$2:A180,A180,$B$2:B180,B180,$E$2:E180,E180)&gt;1,"Possible duplicate","")))</f>
      </c>
    </row>
    <row r="181" spans="3:14" x14ac:dyDescent="0.3">
      <c r="A181"/>
      <c r="C181" s="16"/>
      <c r="G181" s="5">
        <f>IF(A181="","","Checking")</f>
      </c>
      <c r="H181">
        <f>IF(A181="","",IFERROR(XLOOKUP(D181,Setup!$E$15:$E$79,Setup!$F$15:$F$79),"Miscellaneous"))</f>
      </c>
      <c r="I181">
        <f>IF(A181="","",IFERROR(XLOOKUP(D181,Setup!$E$15:$E$79,Setup!$G$15:$G$79),"Uncategorized"))</f>
      </c>
      <c r="J181">
        <f>IF(A181="","",IF(OR(H181="Transfers",H181="Income",D181="Transfer",D181="Category Pending",F181="Pending"),"No","Yes"))</f>
      </c>
      <c r="K181" s="4">
        <f>IF(A181="","",TEXT(IF(DAY(A181)&gt;=Setup!$B$9,DATE(YEAR(A181),MONTH(A181)+1,1),DATE(YEAR(A181),MONTH(A181),1)),"mmmm yyyy"))</f>
      </c>
      <c r="L181" s="47">
        <f>IF(A181="",0,IF(AND(J181="Yes",E181&lt;0),-E181,0))</f>
      </c>
      <c r="M181" s="47">
        <f>IF(A181="",0,IF(AND(J181="Yes",E181&gt;0),E181,0))</f>
      </c>
      <c r="N181">
        <f>IF(A181="","",IF(D181="Category Pending","Needs categorization",IF(COUNTIFS($A$2:A181,A181,$B$2:B181,B181,$E$2:E181,E181)&gt;1,"Possible duplicate","")))</f>
      </c>
    </row>
    <row r="182" spans="3:14" x14ac:dyDescent="0.3">
      <c r="A182"/>
      <c r="C182" s="16"/>
      <c r="G182" s="5">
        <f>IF(A182="","","Checking")</f>
      </c>
      <c r="H182">
        <f>IF(A182="","",IFERROR(XLOOKUP(D182,Setup!$E$15:$E$79,Setup!$F$15:$F$79),"Miscellaneous"))</f>
      </c>
      <c r="I182">
        <f>IF(A182="","",IFERROR(XLOOKUP(D182,Setup!$E$15:$E$79,Setup!$G$15:$G$79),"Uncategorized"))</f>
      </c>
      <c r="J182">
        <f>IF(A182="","",IF(OR(H182="Transfers",H182="Income",D182="Transfer",D182="Category Pending",F182="Pending"),"No","Yes"))</f>
      </c>
      <c r="K182" s="4">
        <f>IF(A182="","",TEXT(IF(DAY(A182)&gt;=Setup!$B$9,DATE(YEAR(A182),MONTH(A182)+1,1),DATE(YEAR(A182),MONTH(A182),1)),"mmmm yyyy"))</f>
      </c>
      <c r="L182" s="47">
        <f>IF(A182="",0,IF(AND(J182="Yes",E182&lt;0),-E182,0))</f>
      </c>
      <c r="M182" s="47">
        <f>IF(A182="",0,IF(AND(J182="Yes",E182&gt;0),E182,0))</f>
      </c>
      <c r="N182">
        <f>IF(A182="","",IF(D182="Category Pending","Needs categorization",IF(COUNTIFS($A$2:A182,A182,$B$2:B182,B182,$E$2:E182,E182)&gt;1,"Possible duplicate","")))</f>
      </c>
    </row>
    <row r="183" spans="3:14" x14ac:dyDescent="0.3">
      <c r="A183"/>
      <c r="C183" s="16"/>
      <c r="G183" s="5">
        <f>IF(A183="","","Checking")</f>
      </c>
      <c r="H183">
        <f>IF(A183="","",IFERROR(XLOOKUP(D183,Setup!$E$15:$E$79,Setup!$F$15:$F$79),"Miscellaneous"))</f>
      </c>
      <c r="I183">
        <f>IF(A183="","",IFERROR(XLOOKUP(D183,Setup!$E$15:$E$79,Setup!$G$15:$G$79),"Uncategorized"))</f>
      </c>
      <c r="J183">
        <f>IF(A183="","",IF(OR(H183="Transfers",H183="Income",D183="Transfer",D183="Category Pending",F183="Pending"),"No","Yes"))</f>
      </c>
      <c r="K183" s="4">
        <f>IF(A183="","",TEXT(IF(DAY(A183)&gt;=Setup!$B$9,DATE(YEAR(A183),MONTH(A183)+1,1),DATE(YEAR(A183),MONTH(A183),1)),"mmmm yyyy"))</f>
      </c>
      <c r="L183" s="47">
        <f>IF(A183="",0,IF(AND(J183="Yes",E183&lt;0),-E183,0))</f>
      </c>
      <c r="M183" s="47">
        <f>IF(A183="",0,IF(AND(J183="Yes",E183&gt;0),E183,0))</f>
      </c>
      <c r="N183">
        <f>IF(A183="","",IF(D183="Category Pending","Needs categorization",IF(COUNTIFS($A$2:A183,A183,$B$2:B183,B183,$E$2:E183,E183)&gt;1,"Possible duplicate","")))</f>
      </c>
    </row>
    <row r="184" spans="3:14" x14ac:dyDescent="0.3">
      <c r="A184"/>
      <c r="C184" s="16"/>
      <c r="G184" s="5">
        <f>IF(A184="","","Checking")</f>
      </c>
      <c r="H184">
        <f>IF(A184="","",IFERROR(XLOOKUP(D184,Setup!$E$15:$E$79,Setup!$F$15:$F$79),"Miscellaneous"))</f>
      </c>
      <c r="I184">
        <f>IF(A184="","",IFERROR(XLOOKUP(D184,Setup!$E$15:$E$79,Setup!$G$15:$G$79),"Uncategorized"))</f>
      </c>
      <c r="J184">
        <f>IF(A184="","",IF(OR(H184="Transfers",H184="Income",D184="Transfer",D184="Category Pending",F184="Pending"),"No","Yes"))</f>
      </c>
      <c r="K184" s="4">
        <f>IF(A184="","",TEXT(IF(DAY(A184)&gt;=Setup!$B$9,DATE(YEAR(A184),MONTH(A184)+1,1),DATE(YEAR(A184),MONTH(A184),1)),"mmmm yyyy"))</f>
      </c>
      <c r="L184" s="47">
        <f>IF(A184="",0,IF(AND(J184="Yes",E184&lt;0),-E184,0))</f>
      </c>
      <c r="M184" s="47">
        <f>IF(A184="",0,IF(AND(J184="Yes",E184&gt;0),E184,0))</f>
      </c>
      <c r="N184">
        <f>IF(A184="","",IF(D184="Category Pending","Needs categorization",IF(COUNTIFS($A$2:A184,A184,$B$2:B184,B184,$E$2:E184,E184)&gt;1,"Possible duplicate","")))</f>
      </c>
    </row>
    <row r="185" spans="3:14" x14ac:dyDescent="0.3">
      <c r="A185"/>
      <c r="C185" s="16"/>
      <c r="G185" s="5">
        <f>IF(A185="","","Checking")</f>
      </c>
      <c r="H185">
        <f>IF(A185="","",IFERROR(XLOOKUP(D185,Setup!$E$15:$E$79,Setup!$F$15:$F$79),"Miscellaneous"))</f>
      </c>
      <c r="I185">
        <f>IF(A185="","",IFERROR(XLOOKUP(D185,Setup!$E$15:$E$79,Setup!$G$15:$G$79),"Uncategorized"))</f>
      </c>
      <c r="J185">
        <f>IF(A185="","",IF(OR(H185="Transfers",H185="Income",D185="Transfer",D185="Category Pending",F185="Pending"),"No","Yes"))</f>
      </c>
      <c r="K185" s="4">
        <f>IF(A185="","",TEXT(IF(DAY(A185)&gt;=Setup!$B$9,DATE(YEAR(A185),MONTH(A185)+1,1),DATE(YEAR(A185),MONTH(A185),1)),"mmmm yyyy"))</f>
      </c>
      <c r="L185" s="47">
        <f>IF(A185="",0,IF(AND(J185="Yes",E185&lt;0),-E185,0))</f>
      </c>
      <c r="M185" s="47">
        <f>IF(A185="",0,IF(AND(J185="Yes",E185&gt;0),E185,0))</f>
      </c>
      <c r="N185">
        <f>IF(A185="","",IF(D185="Category Pending","Needs categorization",IF(COUNTIFS($A$2:A185,A185,$B$2:B185,B185,$E$2:E185,E185)&gt;1,"Possible duplicate","")))</f>
      </c>
    </row>
    <row r="186" spans="3:14" x14ac:dyDescent="0.3">
      <c r="A186"/>
      <c r="C186" s="16"/>
      <c r="G186" s="5">
        <f>IF(A186="","","Checking")</f>
      </c>
      <c r="H186">
        <f>IF(A186="","",IFERROR(XLOOKUP(D186,Setup!$E$15:$E$79,Setup!$F$15:$F$79),"Miscellaneous"))</f>
      </c>
      <c r="I186">
        <f>IF(A186="","",IFERROR(XLOOKUP(D186,Setup!$E$15:$E$79,Setup!$G$15:$G$79),"Uncategorized"))</f>
      </c>
      <c r="J186">
        <f>IF(A186="","",IF(OR(H186="Transfers",H186="Income",D186="Transfer",D186="Category Pending",F186="Pending"),"No","Yes"))</f>
      </c>
      <c r="K186" s="4">
        <f>IF(A186="","",TEXT(IF(DAY(A186)&gt;=Setup!$B$9,DATE(YEAR(A186),MONTH(A186)+1,1),DATE(YEAR(A186),MONTH(A186),1)),"mmmm yyyy"))</f>
      </c>
      <c r="L186" s="47">
        <f>IF(A186="",0,IF(AND(J186="Yes",E186&lt;0),-E186,0))</f>
      </c>
      <c r="M186" s="47">
        <f>IF(A186="",0,IF(AND(J186="Yes",E186&gt;0),E186,0))</f>
      </c>
      <c r="N186">
        <f>IF(A186="","",IF(D186="Category Pending","Needs categorization",IF(COUNTIFS($A$2:A186,A186,$B$2:B186,B186,$E$2:E186,E186)&gt;1,"Possible duplicate","")))</f>
      </c>
    </row>
    <row r="187" spans="3:14" x14ac:dyDescent="0.3">
      <c r="A187"/>
      <c r="C187" s="16"/>
      <c r="G187" s="5">
        <f>IF(A187="","","Checking")</f>
      </c>
      <c r="H187">
        <f>IF(A187="","",IFERROR(XLOOKUP(D187,Setup!$E$15:$E$79,Setup!$F$15:$F$79),"Miscellaneous"))</f>
      </c>
      <c r="I187">
        <f>IF(A187="","",IFERROR(XLOOKUP(D187,Setup!$E$15:$E$79,Setup!$G$15:$G$79),"Uncategorized"))</f>
      </c>
      <c r="J187">
        <f>IF(A187="","",IF(OR(H187="Transfers",H187="Income",D187="Transfer",D187="Category Pending",F187="Pending"),"No","Yes"))</f>
      </c>
      <c r="K187" s="4">
        <f>IF(A187="","",TEXT(IF(DAY(A187)&gt;=Setup!$B$9,DATE(YEAR(A187),MONTH(A187)+1,1),DATE(YEAR(A187),MONTH(A187),1)),"mmmm yyyy"))</f>
      </c>
      <c r="L187" s="47">
        <f>IF(A187="",0,IF(AND(J187="Yes",E187&lt;0),-E187,0))</f>
      </c>
      <c r="M187" s="47">
        <f>IF(A187="",0,IF(AND(J187="Yes",E187&gt;0),E187,0))</f>
      </c>
      <c r="N187">
        <f>IF(A187="","",IF(D187="Category Pending","Needs categorization",IF(COUNTIFS($A$2:A187,A187,$B$2:B187,B187,$E$2:E187,E187)&gt;1,"Possible duplicate","")))</f>
      </c>
    </row>
    <row r="188" spans="3:14" x14ac:dyDescent="0.3">
      <c r="A188"/>
      <c r="C188" s="16"/>
      <c r="G188" s="5">
        <f>IF(A188="","","Checking")</f>
      </c>
      <c r="H188">
        <f>IF(A188="","",IFERROR(XLOOKUP(D188,Setup!$E$15:$E$79,Setup!$F$15:$F$79),"Miscellaneous"))</f>
      </c>
      <c r="I188">
        <f>IF(A188="","",IFERROR(XLOOKUP(D188,Setup!$E$15:$E$79,Setup!$G$15:$G$79),"Uncategorized"))</f>
      </c>
      <c r="J188">
        <f>IF(A188="","",IF(OR(H188="Transfers",H188="Income",D188="Transfer",D188="Category Pending",F188="Pending"),"No","Yes"))</f>
      </c>
      <c r="K188" s="4">
        <f>IF(A188="","",TEXT(IF(DAY(A188)&gt;=Setup!$B$9,DATE(YEAR(A188),MONTH(A188)+1,1),DATE(YEAR(A188),MONTH(A188),1)),"mmmm yyyy"))</f>
      </c>
      <c r="L188" s="47">
        <f>IF(A188="",0,IF(AND(J188="Yes",E188&lt;0),-E188,0))</f>
      </c>
      <c r="M188" s="47">
        <f>IF(A188="",0,IF(AND(J188="Yes",E188&gt;0),E188,0))</f>
      </c>
      <c r="N188">
        <f>IF(A188="","",IF(D188="Category Pending","Needs categorization",IF(COUNTIFS($A$2:A188,A188,$B$2:B188,B188,$E$2:E188,E188)&gt;1,"Possible duplicate","")))</f>
      </c>
    </row>
    <row r="189" spans="3:14" x14ac:dyDescent="0.3">
      <c r="A189"/>
      <c r="C189" s="16"/>
      <c r="G189" s="5">
        <f>IF(A189="","","Checking")</f>
      </c>
      <c r="H189">
        <f>IF(A189="","",IFERROR(XLOOKUP(D189,Setup!$E$15:$E$79,Setup!$F$15:$F$79),"Miscellaneous"))</f>
      </c>
      <c r="I189">
        <f>IF(A189="","",IFERROR(XLOOKUP(D189,Setup!$E$15:$E$79,Setup!$G$15:$G$79),"Uncategorized"))</f>
      </c>
      <c r="J189">
        <f>IF(A189="","",IF(OR(H189="Transfers",H189="Income",D189="Transfer",D189="Category Pending",F189="Pending"),"No","Yes"))</f>
      </c>
      <c r="K189" s="4">
        <f>IF(A189="","",TEXT(IF(DAY(A189)&gt;=Setup!$B$9,DATE(YEAR(A189),MONTH(A189)+1,1),DATE(YEAR(A189),MONTH(A189),1)),"mmmm yyyy"))</f>
      </c>
      <c r="L189" s="47">
        <f>IF(A189="",0,IF(AND(J189="Yes",E189&lt;0),-E189,0))</f>
      </c>
      <c r="M189" s="47">
        <f>IF(A189="",0,IF(AND(J189="Yes",E189&gt;0),E189,0))</f>
      </c>
      <c r="N189">
        <f>IF(A189="","",IF(D189="Category Pending","Needs categorization",IF(COUNTIFS($A$2:A189,A189,$B$2:B189,B189,$E$2:E189,E189)&gt;1,"Possible duplicate","")))</f>
      </c>
    </row>
    <row r="190" spans="3:14" x14ac:dyDescent="0.3">
      <c r="A190"/>
      <c r="C190" s="16"/>
      <c r="G190" s="5">
        <f>IF(A190="","","Checking")</f>
      </c>
      <c r="H190">
        <f>IF(A190="","",IFERROR(XLOOKUP(D190,Setup!$E$15:$E$79,Setup!$F$15:$F$79),"Miscellaneous"))</f>
      </c>
      <c r="I190">
        <f>IF(A190="","",IFERROR(XLOOKUP(D190,Setup!$E$15:$E$79,Setup!$G$15:$G$79),"Uncategorized"))</f>
      </c>
      <c r="J190">
        <f>IF(A190="","",IF(OR(H190="Transfers",H190="Income",D190="Transfer",D190="Category Pending",F190="Pending"),"No","Yes"))</f>
      </c>
      <c r="K190" s="4">
        <f>IF(A190="","",TEXT(IF(DAY(A190)&gt;=Setup!$B$9,DATE(YEAR(A190),MONTH(A190)+1,1),DATE(YEAR(A190),MONTH(A190),1)),"mmmm yyyy"))</f>
      </c>
      <c r="L190" s="47">
        <f>IF(A190="",0,IF(AND(J190="Yes",E190&lt;0),-E190,0))</f>
      </c>
      <c r="M190" s="47">
        <f>IF(A190="",0,IF(AND(J190="Yes",E190&gt;0),E190,0))</f>
      </c>
      <c r="N190">
        <f>IF(A190="","",IF(D190="Category Pending","Needs categorization",IF(COUNTIFS($A$2:A190,A190,$B$2:B190,B190,$E$2:E190,E190)&gt;1,"Possible duplicate","")))</f>
      </c>
    </row>
    <row r="191" spans="3:14" x14ac:dyDescent="0.3">
      <c r="A191"/>
      <c r="C191" s="16"/>
      <c r="G191" s="5">
        <f>IF(A191="","","Checking")</f>
      </c>
      <c r="H191">
        <f>IF(A191="","",IFERROR(XLOOKUP(D191,Setup!$E$15:$E$79,Setup!$F$15:$F$79),"Miscellaneous"))</f>
      </c>
      <c r="I191">
        <f>IF(A191="","",IFERROR(XLOOKUP(D191,Setup!$E$15:$E$79,Setup!$G$15:$G$79),"Uncategorized"))</f>
      </c>
      <c r="J191">
        <f>IF(A191="","",IF(OR(H191="Transfers",H191="Income",D191="Transfer",D191="Category Pending",F191="Pending"),"No","Yes"))</f>
      </c>
      <c r="K191" s="4">
        <f>IF(A191="","",TEXT(IF(DAY(A191)&gt;=Setup!$B$9,DATE(YEAR(A191),MONTH(A191)+1,1),DATE(YEAR(A191),MONTH(A191),1)),"mmmm yyyy"))</f>
      </c>
      <c r="L191" s="47">
        <f>IF(A191="",0,IF(AND(J191="Yes",E191&lt;0),-E191,0))</f>
      </c>
      <c r="M191" s="47">
        <f>IF(A191="",0,IF(AND(J191="Yes",E191&gt;0),E191,0))</f>
      </c>
      <c r="N191">
        <f>IF(A191="","",IF(D191="Category Pending","Needs categorization",IF(COUNTIFS($A$2:A191,A191,$B$2:B191,B191,$E$2:E191,E191)&gt;1,"Possible duplicate","")))</f>
      </c>
    </row>
    <row r="192" spans="3:14" x14ac:dyDescent="0.3">
      <c r="A192"/>
      <c r="C192" s="16"/>
      <c r="G192" s="5">
        <f>IF(A192="","","Checking")</f>
      </c>
      <c r="H192">
        <f>IF(A192="","",IFERROR(XLOOKUP(D192,Setup!$E$15:$E$79,Setup!$F$15:$F$79),"Miscellaneous"))</f>
      </c>
      <c r="I192">
        <f>IF(A192="","",IFERROR(XLOOKUP(D192,Setup!$E$15:$E$79,Setup!$G$15:$G$79),"Uncategorized"))</f>
      </c>
      <c r="J192">
        <f>IF(A192="","",IF(OR(H192="Transfers",H192="Income",D192="Transfer",D192="Category Pending",F192="Pending"),"No","Yes"))</f>
      </c>
      <c r="K192" s="4">
        <f>IF(A192="","",TEXT(IF(DAY(A192)&gt;=Setup!$B$9,DATE(YEAR(A192),MONTH(A192)+1,1),DATE(YEAR(A192),MONTH(A192),1)),"mmmm yyyy"))</f>
      </c>
      <c r="L192" s="47">
        <f>IF(A192="",0,IF(AND(J192="Yes",E192&lt;0),-E192,0))</f>
      </c>
      <c r="M192" s="47">
        <f>IF(A192="",0,IF(AND(J192="Yes",E192&gt;0),E192,0))</f>
      </c>
      <c r="N192">
        <f>IF(A192="","",IF(D192="Category Pending","Needs categorization",IF(COUNTIFS($A$2:A192,A192,$B$2:B192,B192,$E$2:E192,E192)&gt;1,"Possible duplicate","")))</f>
      </c>
    </row>
    <row r="193" spans="3:14" x14ac:dyDescent="0.3">
      <c r="A193"/>
      <c r="C193" s="16"/>
      <c r="G193" s="5">
        <f>IF(A193="","","Checking")</f>
      </c>
      <c r="H193">
        <f>IF(A193="","",IFERROR(XLOOKUP(D193,Setup!$E$15:$E$79,Setup!$F$15:$F$79),"Miscellaneous"))</f>
      </c>
      <c r="I193">
        <f>IF(A193="","",IFERROR(XLOOKUP(D193,Setup!$E$15:$E$79,Setup!$G$15:$G$79),"Uncategorized"))</f>
      </c>
      <c r="J193">
        <f>IF(A193="","",IF(OR(H193="Transfers",H193="Income",D193="Transfer",D193="Category Pending",F193="Pending"),"No","Yes"))</f>
      </c>
      <c r="K193" s="4">
        <f>IF(A193="","",TEXT(IF(DAY(A193)&gt;=Setup!$B$9,DATE(YEAR(A193),MONTH(A193)+1,1),DATE(YEAR(A193),MONTH(A193),1)),"mmmm yyyy"))</f>
      </c>
      <c r="L193" s="47">
        <f>IF(A193="",0,IF(AND(J193="Yes",E193&lt;0),-E193,0))</f>
      </c>
      <c r="M193" s="47">
        <f>IF(A193="",0,IF(AND(J193="Yes",E193&gt;0),E193,0))</f>
      </c>
      <c r="N193">
        <f>IF(A193="","",IF(D193="Category Pending","Needs categorization",IF(COUNTIFS($A$2:A193,A193,$B$2:B193,B193,$E$2:E193,E193)&gt;1,"Possible duplicate","")))</f>
      </c>
    </row>
    <row r="194" spans="3:14" x14ac:dyDescent="0.3">
      <c r="A194"/>
      <c r="C194" s="16"/>
      <c r="G194" s="5">
        <f>IF(A194="","","Checking")</f>
      </c>
      <c r="H194">
        <f>IF(A194="","",IFERROR(XLOOKUP(D194,Setup!$E$15:$E$79,Setup!$F$15:$F$79),"Miscellaneous"))</f>
      </c>
      <c r="I194">
        <f>IF(A194="","",IFERROR(XLOOKUP(D194,Setup!$E$15:$E$79,Setup!$G$15:$G$79),"Uncategorized"))</f>
      </c>
      <c r="J194">
        <f>IF(A194="","",IF(OR(H194="Transfers",H194="Income",D194="Transfer",D194="Category Pending",F194="Pending"),"No","Yes"))</f>
      </c>
      <c r="K194" s="4">
        <f>IF(A194="","",TEXT(IF(DAY(A194)&gt;=Setup!$B$9,DATE(YEAR(A194),MONTH(A194)+1,1),DATE(YEAR(A194),MONTH(A194),1)),"mmmm yyyy"))</f>
      </c>
      <c r="L194" s="47">
        <f>IF(A194="",0,IF(AND(J194="Yes",E194&lt;0),-E194,0))</f>
      </c>
      <c r="M194" s="47">
        <f>IF(A194="",0,IF(AND(J194="Yes",E194&gt;0),E194,0))</f>
      </c>
      <c r="N194">
        <f>IF(A194="","",IF(D194="Category Pending","Needs categorization",IF(COUNTIFS($A$2:A194,A194,$B$2:B194,B194,$E$2:E194,E194)&gt;1,"Possible duplicate","")))</f>
      </c>
    </row>
    <row r="195" spans="3:14" x14ac:dyDescent="0.3">
      <c r="A195"/>
      <c r="C195" s="16"/>
      <c r="G195" s="5">
        <f>IF(A195="","","Checking")</f>
      </c>
      <c r="H195">
        <f>IF(A195="","",IFERROR(XLOOKUP(D195,Setup!$E$15:$E$79,Setup!$F$15:$F$79),"Miscellaneous"))</f>
      </c>
      <c r="I195">
        <f>IF(A195="","",IFERROR(XLOOKUP(D195,Setup!$E$15:$E$79,Setup!$G$15:$G$79),"Uncategorized"))</f>
      </c>
      <c r="J195">
        <f>IF(A195="","",IF(OR(H195="Transfers",H195="Income",D195="Transfer",D195="Category Pending",F195="Pending"),"No","Yes"))</f>
      </c>
      <c r="K195" s="4">
        <f>IF(A195="","",TEXT(IF(DAY(A195)&gt;=Setup!$B$9,DATE(YEAR(A195),MONTH(A195)+1,1),DATE(YEAR(A195),MONTH(A195),1)),"mmmm yyyy"))</f>
      </c>
      <c r="L195" s="47">
        <f>IF(A195="",0,IF(AND(J195="Yes",E195&lt;0),-E195,0))</f>
      </c>
      <c r="M195" s="47">
        <f>IF(A195="",0,IF(AND(J195="Yes",E195&gt;0),E195,0))</f>
      </c>
      <c r="N195">
        <f>IF(A195="","",IF(D195="Category Pending","Needs categorization",IF(COUNTIFS($A$2:A195,A195,$B$2:B195,B195,$E$2:E195,E195)&gt;1,"Possible duplicate","")))</f>
      </c>
    </row>
    <row r="196" spans="3:14" x14ac:dyDescent="0.3">
      <c r="A196"/>
      <c r="C196" s="16"/>
      <c r="G196" s="5">
        <f>IF(A196="","","Checking")</f>
      </c>
      <c r="H196">
        <f>IF(A196="","",IFERROR(XLOOKUP(D196,Setup!$E$15:$E$79,Setup!$F$15:$F$79),"Miscellaneous"))</f>
      </c>
      <c r="I196">
        <f>IF(A196="","",IFERROR(XLOOKUP(D196,Setup!$E$15:$E$79,Setup!$G$15:$G$79),"Uncategorized"))</f>
      </c>
      <c r="J196">
        <f>IF(A196="","",IF(OR(H196="Transfers",H196="Income",D196="Transfer",D196="Category Pending",F196="Pending"),"No","Yes"))</f>
      </c>
      <c r="K196" s="4">
        <f>IF(A196="","",TEXT(IF(DAY(A196)&gt;=Setup!$B$9,DATE(YEAR(A196),MONTH(A196)+1,1),DATE(YEAR(A196),MONTH(A196),1)),"mmmm yyyy"))</f>
      </c>
      <c r="L196" s="47">
        <f>IF(A196="",0,IF(AND(J196="Yes",E196&lt;0),-E196,0))</f>
      </c>
      <c r="M196" s="47">
        <f>IF(A196="",0,IF(AND(J196="Yes",E196&gt;0),E196,0))</f>
      </c>
      <c r="N196">
        <f>IF(A196="","",IF(D196="Category Pending","Needs categorization",IF(COUNTIFS($A$2:A196,A196,$B$2:B196,B196,$E$2:E196,E196)&gt;1,"Possible duplicate","")))</f>
      </c>
    </row>
    <row r="197" spans="3:14" x14ac:dyDescent="0.3">
      <c r="A197"/>
      <c r="C197" s="16"/>
      <c r="G197" s="5">
        <f>IF(A197="","","Checking")</f>
      </c>
      <c r="H197">
        <f>IF(A197="","",IFERROR(XLOOKUP(D197,Setup!$E$15:$E$79,Setup!$F$15:$F$79),"Miscellaneous"))</f>
      </c>
      <c r="I197">
        <f>IF(A197="","",IFERROR(XLOOKUP(D197,Setup!$E$15:$E$79,Setup!$G$15:$G$79),"Uncategorized"))</f>
      </c>
      <c r="J197">
        <f>IF(A197="","",IF(OR(H197="Transfers",H197="Income",D197="Transfer",D197="Category Pending",F197="Pending"),"No","Yes"))</f>
      </c>
      <c r="K197" s="4">
        <f>IF(A197="","",TEXT(IF(DAY(A197)&gt;=Setup!$B$9,DATE(YEAR(A197),MONTH(A197)+1,1),DATE(YEAR(A197),MONTH(A197),1)),"mmmm yyyy"))</f>
      </c>
      <c r="L197" s="47">
        <f>IF(A197="",0,IF(AND(J197="Yes",E197&lt;0),-E197,0))</f>
      </c>
      <c r="M197" s="47">
        <f>IF(A197="",0,IF(AND(J197="Yes",E197&gt;0),E197,0))</f>
      </c>
      <c r="N197">
        <f>IF(A197="","",IF(D197="Category Pending","Needs categorization",IF(COUNTIFS($A$2:A197,A197,$B$2:B197,B197,$E$2:E197,E197)&gt;1,"Possible duplicate","")))</f>
      </c>
    </row>
    <row r="198" spans="3:14" x14ac:dyDescent="0.3">
      <c r="A198"/>
      <c r="C198" s="16"/>
      <c r="G198" s="5">
        <f>IF(A198="","","Checking")</f>
      </c>
      <c r="H198">
        <f>IF(A198="","",IFERROR(XLOOKUP(D198,Setup!$E$15:$E$79,Setup!$F$15:$F$79),"Miscellaneous"))</f>
      </c>
      <c r="I198">
        <f>IF(A198="","",IFERROR(XLOOKUP(D198,Setup!$E$15:$E$79,Setup!$G$15:$G$79),"Uncategorized"))</f>
      </c>
      <c r="J198">
        <f>IF(A198="","",IF(OR(H198="Transfers",H198="Income",D198="Transfer",D198="Category Pending",F198="Pending"),"No","Yes"))</f>
      </c>
      <c r="K198" s="4">
        <f>IF(A198="","",TEXT(IF(DAY(A198)&gt;=Setup!$B$9,DATE(YEAR(A198),MONTH(A198)+1,1),DATE(YEAR(A198),MONTH(A198),1)),"mmmm yyyy"))</f>
      </c>
      <c r="L198" s="47">
        <f>IF(A198="",0,IF(AND(J198="Yes",E198&lt;0),-E198,0))</f>
      </c>
      <c r="M198" s="47">
        <f>IF(A198="",0,IF(AND(J198="Yes",E198&gt;0),E198,0))</f>
      </c>
      <c r="N198">
        <f>IF(A198="","",IF(D198="Category Pending","Needs categorization",IF(COUNTIFS($A$2:A198,A198,$B$2:B198,B198,$E$2:E198,E198)&gt;1,"Possible duplicate","")))</f>
      </c>
    </row>
    <row r="199" spans="3:14" x14ac:dyDescent="0.3">
      <c r="A199"/>
      <c r="C199" s="16"/>
      <c r="G199" s="5">
        <f>IF(A199="","","Checking")</f>
      </c>
      <c r="H199">
        <f>IF(A199="","",IFERROR(XLOOKUP(D199,Setup!$E$15:$E$79,Setup!$F$15:$F$79),"Miscellaneous"))</f>
      </c>
      <c r="I199">
        <f>IF(A199="","",IFERROR(XLOOKUP(D199,Setup!$E$15:$E$79,Setup!$G$15:$G$79),"Uncategorized"))</f>
      </c>
      <c r="J199">
        <f>IF(A199="","",IF(OR(H199="Transfers",H199="Income",D199="Transfer",D199="Category Pending",F199="Pending"),"No","Yes"))</f>
      </c>
      <c r="K199" s="4">
        <f>IF(A199="","",TEXT(IF(DAY(A199)&gt;=Setup!$B$9,DATE(YEAR(A199),MONTH(A199)+1,1),DATE(YEAR(A199),MONTH(A199),1)),"mmmm yyyy"))</f>
      </c>
      <c r="L199" s="47">
        <f>IF(A199="",0,IF(AND(J199="Yes",E199&lt;0),-E199,0))</f>
      </c>
      <c r="M199" s="47">
        <f>IF(A199="",0,IF(AND(J199="Yes",E199&gt;0),E199,0))</f>
      </c>
      <c r="N199">
        <f>IF(A199="","",IF(D199="Category Pending","Needs categorization",IF(COUNTIFS($A$2:A199,A199,$B$2:B199,B199,$E$2:E199,E199)&gt;1,"Possible duplicate","")))</f>
      </c>
    </row>
    <row r="200" spans="3:14" x14ac:dyDescent="0.3">
      <c r="A200"/>
      <c r="C200" s="16"/>
      <c r="G200" s="5">
        <f>IF(A200="","","Checking")</f>
      </c>
      <c r="H200">
        <f>IF(A200="","",IFERROR(XLOOKUP(D200,Setup!$E$15:$E$79,Setup!$F$15:$F$79),"Miscellaneous"))</f>
      </c>
      <c r="I200">
        <f>IF(A200="","",IFERROR(XLOOKUP(D200,Setup!$E$15:$E$79,Setup!$G$15:$G$79),"Uncategorized"))</f>
      </c>
      <c r="J200">
        <f>IF(A200="","",IF(OR(H200="Transfers",H200="Income",D200="Transfer",D200="Category Pending",F200="Pending"),"No","Yes"))</f>
      </c>
      <c r="K200" s="4">
        <f>IF(A200="","",TEXT(IF(DAY(A200)&gt;=Setup!$B$9,DATE(YEAR(A200),MONTH(A200)+1,1),DATE(YEAR(A200),MONTH(A200),1)),"mmmm yyyy"))</f>
      </c>
      <c r="L200" s="47">
        <f>IF(A200="",0,IF(AND(J200="Yes",E200&lt;0),-E200,0))</f>
      </c>
      <c r="M200" s="47">
        <f>IF(A200="",0,IF(AND(J200="Yes",E200&gt;0),E200,0))</f>
      </c>
      <c r="N200">
        <f>IF(A200="","",IF(D200="Category Pending","Needs categorization",IF(COUNTIFS($A$2:A200,A200,$B$2:B200,B200,$E$2:E200,E200)&gt;1,"Possible duplicate","")))</f>
      </c>
    </row>
    <row r="201" spans="3:14" x14ac:dyDescent="0.3">
      <c r="A201"/>
      <c r="C201" s="16"/>
      <c r="G201" s="5">
        <f>IF(A201="","","Checking")</f>
      </c>
      <c r="H201">
        <f>IF(A201="","",IFERROR(XLOOKUP(D201,Setup!$E$15:$E$79,Setup!$F$15:$F$79),"Miscellaneous"))</f>
      </c>
      <c r="I201">
        <f>IF(A201="","",IFERROR(XLOOKUP(D201,Setup!$E$15:$E$79,Setup!$G$15:$G$79),"Uncategorized"))</f>
      </c>
      <c r="J201">
        <f>IF(A201="","",IF(OR(H201="Transfers",H201="Income",D201="Transfer",D201="Category Pending",F201="Pending"),"No","Yes"))</f>
      </c>
      <c r="K201" s="4">
        <f>IF(A201="","",TEXT(IF(DAY(A201)&gt;=Setup!$B$9,DATE(YEAR(A201),MONTH(A201)+1,1),DATE(YEAR(A201),MONTH(A201),1)),"mmmm yyyy"))</f>
      </c>
      <c r="L201" s="47">
        <f>IF(A201="",0,IF(AND(J201="Yes",E201&lt;0),-E201,0))</f>
      </c>
      <c r="M201" s="47">
        <f>IF(A201="",0,IF(AND(J201="Yes",E201&gt;0),E201,0))</f>
      </c>
      <c r="N201">
        <f>IF(A201="","",IF(D201="Category Pending","Needs categorization",IF(COUNTIFS($A$2:A201,A201,$B$2:B201,B201,$E$2:E201,E201)&gt;1,"Possible duplicate","")))</f>
      </c>
    </row>
    <row r="202" spans="3:14" x14ac:dyDescent="0.3">
      <c r="A202"/>
      <c r="C202" s="16"/>
      <c r="G202" s="5">
        <f>IF(A202="","","Checking")</f>
      </c>
      <c r="H202">
        <f>IF(A202="","",IFERROR(XLOOKUP(D202,Setup!$E$15:$E$79,Setup!$F$15:$F$79),"Miscellaneous"))</f>
      </c>
      <c r="I202">
        <f>IF(A202="","",IFERROR(XLOOKUP(D202,Setup!$E$15:$E$79,Setup!$G$15:$G$79),"Uncategorized"))</f>
      </c>
      <c r="J202">
        <f>IF(A202="","",IF(OR(H202="Transfers",H202="Income",D202="Transfer",D202="Category Pending",F202="Pending"),"No","Yes"))</f>
      </c>
      <c r="K202" s="4">
        <f>IF(A202="","",TEXT(IF(DAY(A202)&gt;=Setup!$B$9,DATE(YEAR(A202),MONTH(A202)+1,1),DATE(YEAR(A202),MONTH(A202),1)),"mmmm yyyy"))</f>
      </c>
      <c r="L202" s="47">
        <f>IF(A202="",0,IF(AND(J202="Yes",E202&lt;0),-E202,0))</f>
      </c>
      <c r="M202" s="47">
        <f>IF(A202="",0,IF(AND(J202="Yes",E202&gt;0),E202,0))</f>
      </c>
      <c r="N202">
        <f>IF(A202="","",IF(D202="Category Pending","Needs categorization",IF(COUNTIFS($A$2:A202,A202,$B$2:B202,B202,$E$2:E202,E202)&gt;1,"Possible duplicate","")))</f>
      </c>
    </row>
    <row r="203" spans="3:14" x14ac:dyDescent="0.3">
      <c r="A203"/>
      <c r="C203" s="16"/>
      <c r="G203" s="5">
        <f>IF(A203="","","Checking")</f>
      </c>
      <c r="H203">
        <f>IF(A203="","",IFERROR(XLOOKUP(D203,Setup!$E$15:$E$79,Setup!$F$15:$F$79),"Miscellaneous"))</f>
      </c>
      <c r="I203">
        <f>IF(A203="","",IFERROR(XLOOKUP(D203,Setup!$E$15:$E$79,Setup!$G$15:$G$79),"Uncategorized"))</f>
      </c>
      <c r="J203">
        <f>IF(A203="","",IF(OR(H203="Transfers",H203="Income",D203="Transfer",D203="Category Pending",F203="Pending"),"No","Yes"))</f>
      </c>
      <c r="K203" s="4">
        <f>IF(A203="","",TEXT(IF(DAY(A203)&gt;=Setup!$B$9,DATE(YEAR(A203),MONTH(A203)+1,1),DATE(YEAR(A203),MONTH(A203),1)),"mmmm yyyy"))</f>
      </c>
      <c r="L203" s="47">
        <f>IF(A203="",0,IF(AND(J203="Yes",E203&lt;0),-E203,0))</f>
      </c>
      <c r="M203" s="47">
        <f>IF(A203="",0,IF(AND(J203="Yes",E203&gt;0),E203,0))</f>
      </c>
      <c r="N203">
        <f>IF(A203="","",IF(D203="Category Pending","Needs categorization",IF(COUNTIFS($A$2:A203,A203,$B$2:B203,B203,$E$2:E203,E203)&gt;1,"Possible duplicate","")))</f>
      </c>
    </row>
    <row r="204" spans="3:14" x14ac:dyDescent="0.3">
      <c r="A204"/>
      <c r="C204" s="16"/>
      <c r="G204" s="5">
        <f>IF(A204="","","Checking")</f>
      </c>
      <c r="H204">
        <f>IF(A204="","",IFERROR(XLOOKUP(D204,Setup!$E$15:$E$79,Setup!$F$15:$F$79),"Miscellaneous"))</f>
      </c>
      <c r="I204">
        <f>IF(A204="","",IFERROR(XLOOKUP(D204,Setup!$E$15:$E$79,Setup!$G$15:$G$79),"Uncategorized"))</f>
      </c>
      <c r="J204">
        <f>IF(A204="","",IF(OR(H204="Transfers",H204="Income",D204="Transfer",D204="Category Pending",F204="Pending"),"No","Yes"))</f>
      </c>
      <c r="K204" s="4">
        <f>IF(A204="","",TEXT(IF(DAY(A204)&gt;=Setup!$B$9,DATE(YEAR(A204),MONTH(A204)+1,1),DATE(YEAR(A204),MONTH(A204),1)),"mmmm yyyy"))</f>
      </c>
      <c r="L204" s="47">
        <f>IF(A204="",0,IF(AND(J204="Yes",E204&lt;0),-E204,0))</f>
      </c>
      <c r="M204" s="47">
        <f>IF(A204="",0,IF(AND(J204="Yes",E204&gt;0),E204,0))</f>
      </c>
      <c r="N204">
        <f>IF(A204="","",IF(D204="Category Pending","Needs categorization",IF(COUNTIFS($A$2:A204,A204,$B$2:B204,B204,$E$2:E204,E204)&gt;1,"Possible duplicate","")))</f>
      </c>
    </row>
    <row r="205" spans="3:14" x14ac:dyDescent="0.3">
      <c r="A205"/>
      <c r="C205" s="16"/>
      <c r="G205" s="5">
        <f>IF(A205="","","Checking")</f>
      </c>
      <c r="H205">
        <f>IF(A205="","",IFERROR(XLOOKUP(D205,Setup!$E$15:$E$79,Setup!$F$15:$F$79),"Miscellaneous"))</f>
      </c>
      <c r="I205">
        <f>IF(A205="","",IFERROR(XLOOKUP(D205,Setup!$E$15:$E$79,Setup!$G$15:$G$79),"Uncategorized"))</f>
      </c>
      <c r="J205">
        <f>IF(A205="","",IF(OR(H205="Transfers",H205="Income",D205="Transfer",D205="Category Pending",F205="Pending"),"No","Yes"))</f>
      </c>
      <c r="K205" s="4">
        <f>IF(A205="","",TEXT(IF(DAY(A205)&gt;=Setup!$B$9,DATE(YEAR(A205),MONTH(A205)+1,1),DATE(YEAR(A205),MONTH(A205),1)),"mmmm yyyy"))</f>
      </c>
      <c r="L205" s="47">
        <f>IF(A205="",0,IF(AND(J205="Yes",E205&lt;0),-E205,0))</f>
      </c>
      <c r="M205" s="47">
        <f>IF(A205="",0,IF(AND(J205="Yes",E205&gt;0),E205,0))</f>
      </c>
      <c r="N205">
        <f>IF(A205="","",IF(D205="Category Pending","Needs categorization",IF(COUNTIFS($A$2:A205,A205,$B$2:B205,B205,$E$2:E205,E205)&gt;1,"Possible duplicate","")))</f>
      </c>
    </row>
    <row r="206" spans="3:14" x14ac:dyDescent="0.3">
      <c r="A206"/>
      <c r="C206" s="16"/>
      <c r="G206" s="5">
        <f>IF(A206="","","Checking")</f>
      </c>
      <c r="H206">
        <f>IF(A206="","",IFERROR(XLOOKUP(D206,Setup!$E$15:$E$79,Setup!$F$15:$F$79),"Miscellaneous"))</f>
      </c>
      <c r="I206">
        <f>IF(A206="","",IFERROR(XLOOKUP(D206,Setup!$E$15:$E$79,Setup!$G$15:$G$79),"Uncategorized"))</f>
      </c>
      <c r="J206">
        <f>IF(A206="","",IF(OR(H206="Transfers",H206="Income",D206="Transfer",D206="Category Pending",F206="Pending"),"No","Yes"))</f>
      </c>
      <c r="K206" s="4">
        <f>IF(A206="","",TEXT(IF(DAY(A206)&gt;=Setup!$B$9,DATE(YEAR(A206),MONTH(A206)+1,1),DATE(YEAR(A206),MONTH(A206),1)),"mmmm yyyy"))</f>
      </c>
      <c r="L206" s="47">
        <f>IF(A206="",0,IF(AND(J206="Yes",E206&lt;0),-E206,0))</f>
      </c>
      <c r="M206" s="47">
        <f>IF(A206="",0,IF(AND(J206="Yes",E206&gt;0),E206,0))</f>
      </c>
      <c r="N206">
        <f>IF(A206="","",IF(D206="Category Pending","Needs categorization",IF(COUNTIFS($A$2:A206,A206,$B$2:B206,B206,$E$2:E206,E206)&gt;1,"Possible duplicate","")))</f>
      </c>
    </row>
    <row r="207" spans="3:14" x14ac:dyDescent="0.3">
      <c r="A207"/>
      <c r="C207" s="16"/>
      <c r="G207" s="5">
        <f>IF(A207="","","Checking")</f>
      </c>
      <c r="H207">
        <f>IF(A207="","",IFERROR(XLOOKUP(D207,Setup!$E$15:$E$79,Setup!$F$15:$F$79),"Miscellaneous"))</f>
      </c>
      <c r="I207">
        <f>IF(A207="","",IFERROR(XLOOKUP(D207,Setup!$E$15:$E$79,Setup!$G$15:$G$79),"Uncategorized"))</f>
      </c>
      <c r="J207">
        <f>IF(A207="","",IF(OR(H207="Transfers",H207="Income",D207="Transfer",D207="Category Pending",F207="Pending"),"No","Yes"))</f>
      </c>
      <c r="K207" s="4">
        <f>IF(A207="","",TEXT(IF(DAY(A207)&gt;=Setup!$B$9,DATE(YEAR(A207),MONTH(A207)+1,1),DATE(YEAR(A207),MONTH(A207),1)),"mmmm yyyy"))</f>
      </c>
      <c r="L207" s="47">
        <f>IF(A207="",0,IF(AND(J207="Yes",E207&lt;0),-E207,0))</f>
      </c>
      <c r="M207" s="47">
        <f>IF(A207="",0,IF(AND(J207="Yes",E207&gt;0),E207,0))</f>
      </c>
      <c r="N207">
        <f>IF(A207="","",IF(D207="Category Pending","Needs categorization",IF(COUNTIFS($A$2:A207,A207,$B$2:B207,B207,$E$2:E207,E207)&gt;1,"Possible duplicate","")))</f>
      </c>
    </row>
    <row r="208" spans="3:14" x14ac:dyDescent="0.3">
      <c r="A208"/>
      <c r="C208" s="16"/>
      <c r="G208" s="5">
        <f>IF(A208="","","Checking")</f>
      </c>
      <c r="H208">
        <f>IF(A208="","",IFERROR(XLOOKUP(D208,Setup!$E$15:$E$79,Setup!$F$15:$F$79),"Miscellaneous"))</f>
      </c>
      <c r="I208">
        <f>IF(A208="","",IFERROR(XLOOKUP(D208,Setup!$E$15:$E$79,Setup!$G$15:$G$79),"Uncategorized"))</f>
      </c>
      <c r="J208">
        <f>IF(A208="","",IF(OR(H208="Transfers",H208="Income",D208="Transfer",D208="Category Pending",F208="Pending"),"No","Yes"))</f>
      </c>
      <c r="K208" s="4">
        <f>IF(A208="","",TEXT(IF(DAY(A208)&gt;=Setup!$B$9,DATE(YEAR(A208),MONTH(A208)+1,1),DATE(YEAR(A208),MONTH(A208),1)),"mmmm yyyy"))</f>
      </c>
      <c r="L208" s="47">
        <f>IF(A208="",0,IF(AND(J208="Yes",E208&lt;0),-E208,0))</f>
      </c>
      <c r="M208" s="47">
        <f>IF(A208="",0,IF(AND(J208="Yes",E208&gt;0),E208,0))</f>
      </c>
      <c r="N208">
        <f>IF(A208="","",IF(D208="Category Pending","Needs categorization",IF(COUNTIFS($A$2:A208,A208,$B$2:B208,B208,$E$2:E208,E208)&gt;1,"Possible duplicate","")))</f>
      </c>
    </row>
    <row r="209" spans="3:14" x14ac:dyDescent="0.3">
      <c r="A209"/>
      <c r="C209" s="16"/>
      <c r="G209" s="5">
        <f>IF(A209="","","Checking")</f>
      </c>
      <c r="H209">
        <f>IF(A209="","",IFERROR(XLOOKUP(D209,Setup!$E$15:$E$79,Setup!$F$15:$F$79),"Miscellaneous"))</f>
      </c>
      <c r="I209">
        <f>IF(A209="","",IFERROR(XLOOKUP(D209,Setup!$E$15:$E$79,Setup!$G$15:$G$79),"Uncategorized"))</f>
      </c>
      <c r="J209">
        <f>IF(A209="","",IF(OR(H209="Transfers",H209="Income",D209="Transfer",D209="Category Pending",F209="Pending"),"No","Yes"))</f>
      </c>
      <c r="K209" s="4">
        <f>IF(A209="","",TEXT(IF(DAY(A209)&gt;=Setup!$B$9,DATE(YEAR(A209),MONTH(A209)+1,1),DATE(YEAR(A209),MONTH(A209),1)),"mmmm yyyy"))</f>
      </c>
      <c r="L209" s="47">
        <f>IF(A209="",0,IF(AND(J209="Yes",E209&lt;0),-E209,0))</f>
      </c>
      <c r="M209" s="47">
        <f>IF(A209="",0,IF(AND(J209="Yes",E209&gt;0),E209,0))</f>
      </c>
      <c r="N209">
        <f>IF(A209="","",IF(D209="Category Pending","Needs categorization",IF(COUNTIFS($A$2:A209,A209,$B$2:B209,B209,$E$2:E209,E209)&gt;1,"Possible duplicate","")))</f>
      </c>
    </row>
    <row r="210" spans="3:14" x14ac:dyDescent="0.3">
      <c r="A210"/>
      <c r="C210" s="16"/>
      <c r="G210" s="5">
        <f>IF(A210="","","Checking")</f>
      </c>
      <c r="H210">
        <f>IF(A210="","",IFERROR(XLOOKUP(D210,Setup!$E$15:$E$79,Setup!$F$15:$F$79),"Miscellaneous"))</f>
      </c>
      <c r="I210">
        <f>IF(A210="","",IFERROR(XLOOKUP(D210,Setup!$E$15:$E$79,Setup!$G$15:$G$79),"Uncategorized"))</f>
      </c>
      <c r="J210">
        <f>IF(A210="","",IF(OR(H210="Transfers",H210="Income",D210="Transfer",D210="Category Pending",F210="Pending"),"No","Yes"))</f>
      </c>
      <c r="K210" s="4">
        <f>IF(A210="","",TEXT(IF(DAY(A210)&gt;=Setup!$B$9,DATE(YEAR(A210),MONTH(A210)+1,1),DATE(YEAR(A210),MONTH(A210),1)),"mmmm yyyy"))</f>
      </c>
      <c r="L210" s="47">
        <f>IF(A210="",0,IF(AND(J210="Yes",E210&lt;0),-E210,0))</f>
      </c>
      <c r="M210" s="47">
        <f>IF(A210="",0,IF(AND(J210="Yes",E210&gt;0),E210,0))</f>
      </c>
      <c r="N210">
        <f>IF(A210="","",IF(D210="Category Pending","Needs categorization",IF(COUNTIFS($A$2:A210,A210,$B$2:B210,B210,$E$2:E210,E210)&gt;1,"Possible duplicate","")))</f>
      </c>
    </row>
    <row r="211" spans="3:14" x14ac:dyDescent="0.3">
      <c r="A211"/>
      <c r="C211" s="16"/>
      <c r="G211" s="5">
        <f>IF(A211="","","Checking")</f>
      </c>
      <c r="H211">
        <f>IF(A211="","",IFERROR(XLOOKUP(D211,Setup!$E$15:$E$79,Setup!$F$15:$F$79),"Miscellaneous"))</f>
      </c>
      <c r="I211">
        <f>IF(A211="","",IFERROR(XLOOKUP(D211,Setup!$E$15:$E$79,Setup!$G$15:$G$79),"Uncategorized"))</f>
      </c>
      <c r="J211">
        <f>IF(A211="","",IF(OR(H211="Transfers",H211="Income",D211="Transfer",D211="Category Pending",F211="Pending"),"No","Yes"))</f>
      </c>
      <c r="K211" s="4">
        <f>IF(A211="","",TEXT(IF(DAY(A211)&gt;=Setup!$B$9,DATE(YEAR(A211),MONTH(A211)+1,1),DATE(YEAR(A211),MONTH(A211),1)),"mmmm yyyy"))</f>
      </c>
      <c r="L211" s="47">
        <f>IF(A211="",0,IF(AND(J211="Yes",E211&lt;0),-E211,0))</f>
      </c>
      <c r="M211" s="47">
        <f>IF(A211="",0,IF(AND(J211="Yes",E211&gt;0),E211,0))</f>
      </c>
      <c r="N211">
        <f>IF(A211="","",IF(D211="Category Pending","Needs categorization",IF(COUNTIFS($A$2:A211,A211,$B$2:B211,B211,$E$2:E211,E211)&gt;1,"Possible duplicate","")))</f>
      </c>
    </row>
    <row r="212" spans="3:14" x14ac:dyDescent="0.3">
      <c r="A212"/>
      <c r="C212" s="16"/>
      <c r="G212" s="5">
        <f>IF(A212="","","Checking")</f>
      </c>
      <c r="H212">
        <f>IF(A212="","",IFERROR(XLOOKUP(D212,Setup!$E$15:$E$79,Setup!$F$15:$F$79),"Miscellaneous"))</f>
      </c>
      <c r="I212">
        <f>IF(A212="","",IFERROR(XLOOKUP(D212,Setup!$E$15:$E$79,Setup!$G$15:$G$79),"Uncategorized"))</f>
      </c>
      <c r="J212">
        <f>IF(A212="","",IF(OR(H212="Transfers",H212="Income",D212="Transfer",D212="Category Pending",F212="Pending"),"No","Yes"))</f>
      </c>
      <c r="K212" s="4">
        <f>IF(A212="","",TEXT(IF(DAY(A212)&gt;=Setup!$B$9,DATE(YEAR(A212),MONTH(A212)+1,1),DATE(YEAR(A212),MONTH(A212),1)),"mmmm yyyy"))</f>
      </c>
      <c r="L212" s="47">
        <f>IF(A212="",0,IF(AND(J212="Yes",E212&lt;0),-E212,0))</f>
      </c>
      <c r="M212" s="47">
        <f>IF(A212="",0,IF(AND(J212="Yes",E212&gt;0),E212,0))</f>
      </c>
      <c r="N212">
        <f>IF(A212="","",IF(D212="Category Pending","Needs categorization",IF(COUNTIFS($A$2:A212,A212,$B$2:B212,B212,$E$2:E212,E212)&gt;1,"Possible duplicate","")))</f>
      </c>
    </row>
    <row r="213" spans="3:14" x14ac:dyDescent="0.3">
      <c r="A213"/>
      <c r="C213" s="16"/>
      <c r="G213" s="5">
        <f>IF(A213="","","Checking")</f>
      </c>
      <c r="H213">
        <f>IF(A213="","",IFERROR(XLOOKUP(D213,Setup!$E$15:$E$79,Setup!$F$15:$F$79),"Miscellaneous"))</f>
      </c>
      <c r="I213">
        <f>IF(A213="","",IFERROR(XLOOKUP(D213,Setup!$E$15:$E$79,Setup!$G$15:$G$79),"Uncategorized"))</f>
      </c>
      <c r="J213">
        <f>IF(A213="","",IF(OR(H213="Transfers",H213="Income",D213="Transfer",D213="Category Pending",F213="Pending"),"No","Yes"))</f>
      </c>
      <c r="K213" s="4">
        <f>IF(A213="","",TEXT(IF(DAY(A213)&gt;=Setup!$B$9,DATE(YEAR(A213),MONTH(A213)+1,1),DATE(YEAR(A213),MONTH(A213),1)),"mmmm yyyy"))</f>
      </c>
      <c r="L213" s="47">
        <f>IF(A213="",0,IF(AND(J213="Yes",E213&lt;0),-E213,0))</f>
      </c>
      <c r="M213" s="47">
        <f>IF(A213="",0,IF(AND(J213="Yes",E213&gt;0),E213,0))</f>
      </c>
      <c r="N213">
        <f>IF(A213="","",IF(D213="Category Pending","Needs categorization",IF(COUNTIFS($A$2:A213,A213,$B$2:B213,B213,$E$2:E213,E213)&gt;1,"Possible duplicate","")))</f>
      </c>
    </row>
    <row r="214" spans="3:14" x14ac:dyDescent="0.3">
      <c r="A214"/>
      <c r="C214" s="16"/>
      <c r="G214" s="5">
        <f>IF(A214="","","Checking")</f>
      </c>
      <c r="H214">
        <f>IF(A214="","",IFERROR(XLOOKUP(D214,Setup!$E$15:$E$79,Setup!$F$15:$F$79),"Miscellaneous"))</f>
      </c>
      <c r="I214">
        <f>IF(A214="","",IFERROR(XLOOKUP(D214,Setup!$E$15:$E$79,Setup!$G$15:$G$79),"Uncategorized"))</f>
      </c>
      <c r="J214">
        <f>IF(A214="","",IF(OR(H214="Transfers",H214="Income",D214="Transfer",D214="Category Pending",F214="Pending"),"No","Yes"))</f>
      </c>
      <c r="K214" s="4">
        <f>IF(A214="","",TEXT(IF(DAY(A214)&gt;=Setup!$B$9,DATE(YEAR(A214),MONTH(A214)+1,1),DATE(YEAR(A214),MONTH(A214),1)),"mmmm yyyy"))</f>
      </c>
      <c r="L214" s="47">
        <f>IF(A214="",0,IF(AND(J214="Yes",E214&lt;0),-E214,0))</f>
      </c>
      <c r="M214" s="47">
        <f>IF(A214="",0,IF(AND(J214="Yes",E214&gt;0),E214,0))</f>
      </c>
      <c r="N214">
        <f>IF(A214="","",IF(D214="Category Pending","Needs categorization",IF(COUNTIFS($A$2:A214,A214,$B$2:B214,B214,$E$2:E214,E214)&gt;1,"Possible duplicate","")))</f>
      </c>
    </row>
    <row r="215" spans="3:14" x14ac:dyDescent="0.3">
      <c r="A215"/>
      <c r="C215" s="16"/>
      <c r="G215" s="5">
        <f>IF(A215="","","Checking")</f>
      </c>
      <c r="H215">
        <f>IF(A215="","",IFERROR(XLOOKUP(D215,Setup!$E$15:$E$79,Setup!$F$15:$F$79),"Miscellaneous"))</f>
      </c>
      <c r="I215">
        <f>IF(A215="","",IFERROR(XLOOKUP(D215,Setup!$E$15:$E$79,Setup!$G$15:$G$79),"Uncategorized"))</f>
      </c>
      <c r="J215">
        <f>IF(A215="","",IF(OR(H215="Transfers",H215="Income",D215="Transfer",D215="Category Pending",F215="Pending"),"No","Yes"))</f>
      </c>
      <c r="K215" s="4">
        <f>IF(A215="","",TEXT(IF(DAY(A215)&gt;=Setup!$B$9,DATE(YEAR(A215),MONTH(A215)+1,1),DATE(YEAR(A215),MONTH(A215),1)),"mmmm yyyy"))</f>
      </c>
      <c r="L215" s="47">
        <f>IF(A215="",0,IF(AND(J215="Yes",E215&lt;0),-E215,0))</f>
      </c>
      <c r="M215" s="47">
        <f>IF(A215="",0,IF(AND(J215="Yes",E215&gt;0),E215,0))</f>
      </c>
      <c r="N215">
        <f>IF(A215="","",IF(D215="Category Pending","Needs categorization",IF(COUNTIFS($A$2:A215,A215,$B$2:B215,B215,$E$2:E215,E215)&gt;1,"Possible duplicate","")))</f>
      </c>
    </row>
    <row r="216" spans="3:14" x14ac:dyDescent="0.3">
      <c r="A216"/>
      <c r="C216" s="16"/>
      <c r="G216" s="5">
        <f>IF(A216="","","Checking")</f>
      </c>
      <c r="H216">
        <f>IF(A216="","",IFERROR(XLOOKUP(D216,Setup!$E$15:$E$79,Setup!$F$15:$F$79),"Miscellaneous"))</f>
      </c>
      <c r="I216">
        <f>IF(A216="","",IFERROR(XLOOKUP(D216,Setup!$E$15:$E$79,Setup!$G$15:$G$79),"Uncategorized"))</f>
      </c>
      <c r="J216">
        <f>IF(A216="","",IF(OR(H216="Transfers",H216="Income",D216="Transfer",D216="Category Pending",F216="Pending"),"No","Yes"))</f>
      </c>
      <c r="K216" s="4">
        <f>IF(A216="","",TEXT(IF(DAY(A216)&gt;=Setup!$B$9,DATE(YEAR(A216),MONTH(A216)+1,1),DATE(YEAR(A216),MONTH(A216),1)),"mmmm yyyy"))</f>
      </c>
      <c r="L216" s="47">
        <f>IF(A216="",0,IF(AND(J216="Yes",E216&lt;0),-E216,0))</f>
      </c>
      <c r="M216" s="47">
        <f>IF(A216="",0,IF(AND(J216="Yes",E216&gt;0),E216,0))</f>
      </c>
      <c r="N216">
        <f>IF(A216="","",IF(D216="Category Pending","Needs categorization",IF(COUNTIFS($A$2:A216,A216,$B$2:B216,B216,$E$2:E216,E216)&gt;1,"Possible duplicate","")))</f>
      </c>
    </row>
    <row r="217" spans="3:14" x14ac:dyDescent="0.3">
      <c r="A217"/>
      <c r="C217" s="16"/>
      <c r="G217" s="5">
        <f>IF(A217="","","Checking")</f>
      </c>
      <c r="H217">
        <f>IF(A217="","",IFERROR(XLOOKUP(D217,Setup!$E$15:$E$79,Setup!$F$15:$F$79),"Miscellaneous"))</f>
      </c>
      <c r="I217">
        <f>IF(A217="","",IFERROR(XLOOKUP(D217,Setup!$E$15:$E$79,Setup!$G$15:$G$79),"Uncategorized"))</f>
      </c>
      <c r="J217">
        <f>IF(A217="","",IF(OR(H217="Transfers",H217="Income",D217="Transfer",D217="Category Pending",F217="Pending"),"No","Yes"))</f>
      </c>
      <c r="K217" s="4">
        <f>IF(A217="","",TEXT(IF(DAY(A217)&gt;=Setup!$B$9,DATE(YEAR(A217),MONTH(A217)+1,1),DATE(YEAR(A217),MONTH(A217),1)),"mmmm yyyy"))</f>
      </c>
      <c r="L217" s="47">
        <f>IF(A217="",0,IF(AND(J217="Yes",E217&lt;0),-E217,0))</f>
      </c>
      <c r="M217" s="47">
        <f>IF(A217="",0,IF(AND(J217="Yes",E217&gt;0),E217,0))</f>
      </c>
      <c r="N217">
        <f>IF(A217="","",IF(D217="Category Pending","Needs categorization",IF(COUNTIFS($A$2:A217,A217,$B$2:B217,B217,$E$2:E217,E217)&gt;1,"Possible duplicate","")))</f>
      </c>
    </row>
    <row r="218" spans="3:14" x14ac:dyDescent="0.3">
      <c r="A218"/>
      <c r="C218" s="16"/>
      <c r="G218" s="5">
        <f>IF(A218="","","Checking")</f>
      </c>
      <c r="H218">
        <f>IF(A218="","",IFERROR(XLOOKUP(D218,Setup!$E$15:$E$79,Setup!$F$15:$F$79),"Miscellaneous"))</f>
      </c>
      <c r="I218">
        <f>IF(A218="","",IFERROR(XLOOKUP(D218,Setup!$E$15:$E$79,Setup!$G$15:$G$79),"Uncategorized"))</f>
      </c>
      <c r="J218">
        <f>IF(A218="","",IF(OR(H218="Transfers",H218="Income",D218="Transfer",D218="Category Pending",F218="Pending"),"No","Yes"))</f>
      </c>
      <c r="K218" s="4">
        <f>IF(A218="","",TEXT(IF(DAY(A218)&gt;=Setup!$B$9,DATE(YEAR(A218),MONTH(A218)+1,1),DATE(YEAR(A218),MONTH(A218),1)),"mmmm yyyy"))</f>
      </c>
      <c r="L218" s="47">
        <f>IF(A218="",0,IF(AND(J218="Yes",E218&lt;0),-E218,0))</f>
      </c>
      <c r="M218" s="47">
        <f>IF(A218="",0,IF(AND(J218="Yes",E218&gt;0),E218,0))</f>
      </c>
      <c r="N218">
        <f>IF(A218="","",IF(D218="Category Pending","Needs categorization",IF(COUNTIFS($A$2:A218,A218,$B$2:B218,B218,$E$2:E218,E218)&gt;1,"Possible duplicate","")))</f>
      </c>
    </row>
    <row r="219" spans="3:14" x14ac:dyDescent="0.3">
      <c r="A219"/>
      <c r="C219" s="16"/>
      <c r="G219" s="5">
        <f>IF(A219="","","Checking")</f>
      </c>
      <c r="H219">
        <f>IF(A219="","",IFERROR(XLOOKUP(D219,Setup!$E$15:$E$79,Setup!$F$15:$F$79),"Miscellaneous"))</f>
      </c>
      <c r="I219">
        <f>IF(A219="","",IFERROR(XLOOKUP(D219,Setup!$E$15:$E$79,Setup!$G$15:$G$79),"Uncategorized"))</f>
      </c>
      <c r="J219">
        <f>IF(A219="","",IF(OR(H219="Transfers",H219="Income",D219="Transfer",D219="Category Pending",F219="Pending"),"No","Yes"))</f>
      </c>
      <c r="K219" s="4">
        <f>IF(A219="","",TEXT(IF(DAY(A219)&gt;=Setup!$B$9,DATE(YEAR(A219),MONTH(A219)+1,1),DATE(YEAR(A219),MONTH(A219),1)),"mmmm yyyy"))</f>
      </c>
      <c r="L219" s="47">
        <f>IF(A219="",0,IF(AND(J219="Yes",E219&lt;0),-E219,0))</f>
      </c>
      <c r="M219" s="47">
        <f>IF(A219="",0,IF(AND(J219="Yes",E219&gt;0),E219,0))</f>
      </c>
      <c r="N219">
        <f>IF(A219="","",IF(D219="Category Pending","Needs categorization",IF(COUNTIFS($A$2:A219,A219,$B$2:B219,B219,$E$2:E219,E219)&gt;1,"Possible duplicate","")))</f>
      </c>
    </row>
    <row r="220" spans="3:14" x14ac:dyDescent="0.3">
      <c r="A220"/>
      <c r="C220" s="16"/>
      <c r="G220" s="5">
        <f>IF(A220="","","Checking")</f>
      </c>
      <c r="H220">
        <f>IF(A220="","",IFERROR(XLOOKUP(D220,Setup!$E$15:$E$79,Setup!$F$15:$F$79),"Miscellaneous"))</f>
      </c>
      <c r="I220">
        <f>IF(A220="","",IFERROR(XLOOKUP(D220,Setup!$E$15:$E$79,Setup!$G$15:$G$79),"Uncategorized"))</f>
      </c>
      <c r="J220">
        <f>IF(A220="","",IF(OR(H220="Transfers",H220="Income",D220="Transfer",D220="Category Pending",F220="Pending"),"No","Yes"))</f>
      </c>
      <c r="K220" s="4">
        <f>IF(A220="","",TEXT(IF(DAY(A220)&gt;=Setup!$B$9,DATE(YEAR(A220),MONTH(A220)+1,1),DATE(YEAR(A220),MONTH(A220),1)),"mmmm yyyy"))</f>
      </c>
      <c r="L220" s="47">
        <f>IF(A220="",0,IF(AND(J220="Yes",E220&lt;0),-E220,0))</f>
      </c>
      <c r="M220" s="47">
        <f>IF(A220="",0,IF(AND(J220="Yes",E220&gt;0),E220,0))</f>
      </c>
      <c r="N220">
        <f>IF(A220="","",IF(D220="Category Pending","Needs categorization",IF(COUNTIFS($A$2:A220,A220,$B$2:B220,B220,$E$2:E220,E220)&gt;1,"Possible duplicate","")))</f>
      </c>
    </row>
    <row r="221" spans="3:14" x14ac:dyDescent="0.3">
      <c r="A221"/>
      <c r="C221" s="16"/>
      <c r="G221" s="5">
        <f>IF(A221="","","Checking")</f>
      </c>
      <c r="H221">
        <f>IF(A221="","",IFERROR(XLOOKUP(D221,Setup!$E$15:$E$79,Setup!$F$15:$F$79),"Miscellaneous"))</f>
      </c>
      <c r="I221">
        <f>IF(A221="","",IFERROR(XLOOKUP(D221,Setup!$E$15:$E$79,Setup!$G$15:$G$79),"Uncategorized"))</f>
      </c>
      <c r="J221">
        <f>IF(A221="","",IF(OR(H221="Transfers",H221="Income",D221="Transfer",D221="Category Pending",F221="Pending"),"No","Yes"))</f>
      </c>
      <c r="K221" s="4">
        <f>IF(A221="","",TEXT(IF(DAY(A221)&gt;=Setup!$B$9,DATE(YEAR(A221),MONTH(A221)+1,1),DATE(YEAR(A221),MONTH(A221),1)),"mmmm yyyy"))</f>
      </c>
      <c r="L221" s="47">
        <f>IF(A221="",0,IF(AND(J221="Yes",E221&lt;0),-E221,0))</f>
      </c>
      <c r="M221" s="47">
        <f>IF(A221="",0,IF(AND(J221="Yes",E221&gt;0),E221,0))</f>
      </c>
      <c r="N221">
        <f>IF(A221="","",IF(D221="Category Pending","Needs categorization",IF(COUNTIFS($A$2:A221,A221,$B$2:B221,B221,$E$2:E221,E221)&gt;1,"Possible duplicate","")))</f>
      </c>
    </row>
    <row r="222" spans="3:14" x14ac:dyDescent="0.3">
      <c r="A222"/>
      <c r="C222" s="16"/>
      <c r="G222" s="5">
        <f>IF(A222="","","Checking")</f>
      </c>
      <c r="H222">
        <f>IF(A222="","",IFERROR(XLOOKUP(D222,Setup!$E$15:$E$79,Setup!$F$15:$F$79),"Miscellaneous"))</f>
      </c>
      <c r="I222">
        <f>IF(A222="","",IFERROR(XLOOKUP(D222,Setup!$E$15:$E$79,Setup!$G$15:$G$79),"Uncategorized"))</f>
      </c>
      <c r="J222">
        <f>IF(A222="","",IF(OR(H222="Transfers",H222="Income",D222="Transfer",D222="Category Pending",F222="Pending"),"No","Yes"))</f>
      </c>
      <c r="K222" s="4">
        <f>IF(A222="","",TEXT(IF(DAY(A222)&gt;=Setup!$B$9,DATE(YEAR(A222),MONTH(A222)+1,1),DATE(YEAR(A222),MONTH(A222),1)),"mmmm yyyy"))</f>
      </c>
      <c r="L222" s="47">
        <f>IF(A222="",0,IF(AND(J222="Yes",E222&lt;0),-E222,0))</f>
      </c>
      <c r="M222" s="47">
        <f>IF(A222="",0,IF(AND(J222="Yes",E222&gt;0),E222,0))</f>
      </c>
      <c r="N222">
        <f>IF(A222="","",IF(D222="Category Pending","Needs categorization",IF(COUNTIFS($A$2:A222,A222,$B$2:B222,B222,$E$2:E222,E222)&gt;1,"Possible duplicate","")))</f>
      </c>
    </row>
    <row r="223" spans="3:14" x14ac:dyDescent="0.3">
      <c r="A223"/>
      <c r="C223" s="16"/>
      <c r="G223" s="5">
        <f>IF(A223="","","Checking")</f>
      </c>
      <c r="H223">
        <f>IF(A223="","",IFERROR(XLOOKUP(D223,Setup!$E$15:$E$79,Setup!$F$15:$F$79),"Miscellaneous"))</f>
      </c>
      <c r="I223">
        <f>IF(A223="","",IFERROR(XLOOKUP(D223,Setup!$E$15:$E$79,Setup!$G$15:$G$79),"Uncategorized"))</f>
      </c>
      <c r="J223">
        <f>IF(A223="","",IF(OR(H223="Transfers",H223="Income",D223="Transfer",D223="Category Pending",F223="Pending"),"No","Yes"))</f>
      </c>
      <c r="K223" s="4">
        <f>IF(A223="","",TEXT(IF(DAY(A223)&gt;=Setup!$B$9,DATE(YEAR(A223),MONTH(A223)+1,1),DATE(YEAR(A223),MONTH(A223),1)),"mmmm yyyy"))</f>
      </c>
      <c r="L223" s="47">
        <f>IF(A223="",0,IF(AND(J223="Yes",E223&lt;0),-E223,0))</f>
      </c>
      <c r="M223" s="47">
        <f>IF(A223="",0,IF(AND(J223="Yes",E223&gt;0),E223,0))</f>
      </c>
      <c r="N223">
        <f>IF(A223="","",IF(D223="Category Pending","Needs categorization",IF(COUNTIFS($A$2:A223,A223,$B$2:B223,B223,$E$2:E223,E223)&gt;1,"Possible duplicate","")))</f>
      </c>
    </row>
    <row r="224" spans="3:14" x14ac:dyDescent="0.3">
      <c r="A224"/>
      <c r="C224" s="16"/>
      <c r="G224" s="5">
        <f>IF(A224="","","Checking")</f>
      </c>
      <c r="H224">
        <f>IF(A224="","",IFERROR(XLOOKUP(D224,Setup!$E$15:$E$79,Setup!$F$15:$F$79),"Miscellaneous"))</f>
      </c>
      <c r="I224">
        <f>IF(A224="","",IFERROR(XLOOKUP(D224,Setup!$E$15:$E$79,Setup!$G$15:$G$79),"Uncategorized"))</f>
      </c>
      <c r="J224">
        <f>IF(A224="","",IF(OR(H224="Transfers",H224="Income",D224="Transfer",D224="Category Pending",F224="Pending"),"No","Yes"))</f>
      </c>
      <c r="K224" s="4">
        <f>IF(A224="","",TEXT(IF(DAY(A224)&gt;=Setup!$B$9,DATE(YEAR(A224),MONTH(A224)+1,1),DATE(YEAR(A224),MONTH(A224),1)),"mmmm yyyy"))</f>
      </c>
      <c r="L224" s="47">
        <f>IF(A224="",0,IF(AND(J224="Yes",E224&lt;0),-E224,0))</f>
      </c>
      <c r="M224" s="47">
        <f>IF(A224="",0,IF(AND(J224="Yes",E224&gt;0),E224,0))</f>
      </c>
      <c r="N224">
        <f>IF(A224="","",IF(D224="Category Pending","Needs categorization",IF(COUNTIFS($A$2:A224,A224,$B$2:B224,B224,$E$2:E224,E224)&gt;1,"Possible duplicate","")))</f>
      </c>
    </row>
    <row r="225" spans="3:14" x14ac:dyDescent="0.3">
      <c r="A225"/>
      <c r="C225" s="16"/>
      <c r="G225" s="5">
        <f>IF(A225="","","Checking")</f>
      </c>
      <c r="H225">
        <f>IF(A225="","",IFERROR(XLOOKUP(D225,Setup!$E$15:$E$79,Setup!$F$15:$F$79),"Miscellaneous"))</f>
      </c>
      <c r="I225">
        <f>IF(A225="","",IFERROR(XLOOKUP(D225,Setup!$E$15:$E$79,Setup!$G$15:$G$79),"Uncategorized"))</f>
      </c>
      <c r="J225">
        <f>IF(A225="","",IF(OR(H225="Transfers",H225="Income",D225="Transfer",D225="Category Pending",F225="Pending"),"No","Yes"))</f>
      </c>
      <c r="K225" s="4">
        <f>IF(A225="","",TEXT(IF(DAY(A225)&gt;=Setup!$B$9,DATE(YEAR(A225),MONTH(A225)+1,1),DATE(YEAR(A225),MONTH(A225),1)),"mmmm yyyy"))</f>
      </c>
      <c r="L225" s="47">
        <f>IF(A225="",0,IF(AND(J225="Yes",E225&lt;0),-E225,0))</f>
      </c>
      <c r="M225" s="47">
        <f>IF(A225="",0,IF(AND(J225="Yes",E225&gt;0),E225,0))</f>
      </c>
      <c r="N225">
        <f>IF(A225="","",IF(D225="Category Pending","Needs categorization",IF(COUNTIFS($A$2:A225,A225,$B$2:B225,B225,$E$2:E225,E225)&gt;1,"Possible duplicate","")))</f>
      </c>
    </row>
    <row r="226" spans="3:14" x14ac:dyDescent="0.3">
      <c r="A226"/>
      <c r="C226" s="16"/>
      <c r="G226" s="5">
        <f>IF(A226="","","Checking")</f>
      </c>
      <c r="H226">
        <f>IF(A226="","",IFERROR(XLOOKUP(D226,Setup!$E$15:$E$79,Setup!$F$15:$F$79),"Miscellaneous"))</f>
      </c>
      <c r="I226">
        <f>IF(A226="","",IFERROR(XLOOKUP(D226,Setup!$E$15:$E$79,Setup!$G$15:$G$79),"Uncategorized"))</f>
      </c>
      <c r="J226">
        <f>IF(A226="","",IF(OR(H226="Transfers",H226="Income",D226="Transfer",D226="Category Pending",F226="Pending"),"No","Yes"))</f>
      </c>
      <c r="K226" s="4">
        <f>IF(A226="","",TEXT(IF(DAY(A226)&gt;=Setup!$B$9,DATE(YEAR(A226),MONTH(A226)+1,1),DATE(YEAR(A226),MONTH(A226),1)),"mmmm yyyy"))</f>
      </c>
      <c r="L226" s="47">
        <f>IF(A226="",0,IF(AND(J226="Yes",E226&lt;0),-E226,0))</f>
      </c>
      <c r="M226" s="47">
        <f>IF(A226="",0,IF(AND(J226="Yes",E226&gt;0),E226,0))</f>
      </c>
      <c r="N226">
        <f>IF(A226="","",IF(D226="Category Pending","Needs categorization",IF(COUNTIFS($A$2:A226,A226,$B$2:B226,B226,$E$2:E226,E226)&gt;1,"Possible duplicate","")))</f>
      </c>
    </row>
    <row r="227" spans="3:14" x14ac:dyDescent="0.3">
      <c r="A227"/>
      <c r="C227" s="16"/>
      <c r="G227" s="5">
        <f>IF(A227="","","Checking")</f>
      </c>
      <c r="H227">
        <f>IF(A227="","",IFERROR(XLOOKUP(D227,Setup!$E$15:$E$79,Setup!$F$15:$F$79),"Miscellaneous"))</f>
      </c>
      <c r="I227">
        <f>IF(A227="","",IFERROR(XLOOKUP(D227,Setup!$E$15:$E$79,Setup!$G$15:$G$79),"Uncategorized"))</f>
      </c>
      <c r="J227">
        <f>IF(A227="","",IF(OR(H227="Transfers",H227="Income",D227="Transfer",D227="Category Pending",F227="Pending"),"No","Yes"))</f>
      </c>
      <c r="K227" s="4">
        <f>IF(A227="","",TEXT(IF(DAY(A227)&gt;=Setup!$B$9,DATE(YEAR(A227),MONTH(A227)+1,1),DATE(YEAR(A227),MONTH(A227),1)),"mmmm yyyy"))</f>
      </c>
      <c r="L227" s="47">
        <f>IF(A227="",0,IF(AND(J227="Yes",E227&lt;0),-E227,0))</f>
      </c>
      <c r="M227" s="47">
        <f>IF(A227="",0,IF(AND(J227="Yes",E227&gt;0),E227,0))</f>
      </c>
      <c r="N227">
        <f>IF(A227="","",IF(D227="Category Pending","Needs categorization",IF(COUNTIFS($A$2:A227,A227,$B$2:B227,B227,$E$2:E227,E227)&gt;1,"Possible duplicate","")))</f>
      </c>
    </row>
    <row r="228" spans="3:14" x14ac:dyDescent="0.3">
      <c r="A228"/>
      <c r="C228" s="16"/>
      <c r="G228" s="5">
        <f>IF(A228="","","Checking")</f>
      </c>
      <c r="H228">
        <f>IF(A228="","",IFERROR(XLOOKUP(D228,Setup!$E$15:$E$79,Setup!$F$15:$F$79),"Miscellaneous"))</f>
      </c>
      <c r="I228">
        <f>IF(A228="","",IFERROR(XLOOKUP(D228,Setup!$E$15:$E$79,Setup!$G$15:$G$79),"Uncategorized"))</f>
      </c>
      <c r="J228">
        <f>IF(A228="","",IF(OR(H228="Transfers",H228="Income",D228="Transfer",D228="Category Pending",F228="Pending"),"No","Yes"))</f>
      </c>
      <c r="K228" s="4">
        <f>IF(A228="","",TEXT(IF(DAY(A228)&gt;=Setup!$B$9,DATE(YEAR(A228),MONTH(A228)+1,1),DATE(YEAR(A228),MONTH(A228),1)),"mmmm yyyy"))</f>
      </c>
      <c r="L228" s="47">
        <f>IF(A228="",0,IF(AND(J228="Yes",E228&lt;0),-E228,0))</f>
      </c>
      <c r="M228" s="47">
        <f>IF(A228="",0,IF(AND(J228="Yes",E228&gt;0),E228,0))</f>
      </c>
      <c r="N228">
        <f>IF(A228="","",IF(D228="Category Pending","Needs categorization",IF(COUNTIFS($A$2:A228,A228,$B$2:B228,B228,$E$2:E228,E228)&gt;1,"Possible duplicate","")))</f>
      </c>
    </row>
    <row r="229" spans="3:14" x14ac:dyDescent="0.3">
      <c r="A229"/>
      <c r="C229" s="16"/>
      <c r="G229" s="5">
        <f>IF(A229="","","Checking")</f>
      </c>
      <c r="H229">
        <f>IF(A229="","",IFERROR(XLOOKUP(D229,Setup!$E$15:$E$79,Setup!$F$15:$F$79),"Miscellaneous"))</f>
      </c>
      <c r="I229">
        <f>IF(A229="","",IFERROR(XLOOKUP(D229,Setup!$E$15:$E$79,Setup!$G$15:$G$79),"Uncategorized"))</f>
      </c>
      <c r="J229">
        <f>IF(A229="","",IF(OR(H229="Transfers",H229="Income",D229="Transfer",D229="Category Pending",F229="Pending"),"No","Yes"))</f>
      </c>
      <c r="K229" s="4">
        <f>IF(A229="","",TEXT(IF(DAY(A229)&gt;=Setup!$B$9,DATE(YEAR(A229),MONTH(A229)+1,1),DATE(YEAR(A229),MONTH(A229),1)),"mmmm yyyy"))</f>
      </c>
      <c r="L229" s="47">
        <f>IF(A229="",0,IF(AND(J229="Yes",E229&lt;0),-E229,0))</f>
      </c>
      <c r="M229" s="47">
        <f>IF(A229="",0,IF(AND(J229="Yes",E229&gt;0),E229,0))</f>
      </c>
      <c r="N229">
        <f>IF(A229="","",IF(D229="Category Pending","Needs categorization",IF(COUNTIFS($A$2:A229,A229,$B$2:B229,B229,$E$2:E229,E229)&gt;1,"Possible duplicate","")))</f>
      </c>
    </row>
    <row r="230" spans="3:14" x14ac:dyDescent="0.3">
      <c r="A230"/>
      <c r="C230" s="16"/>
      <c r="G230" s="5">
        <f>IF(A230="","","Checking")</f>
      </c>
      <c r="H230">
        <f>IF(A230="","",IFERROR(XLOOKUP(D230,Setup!$E$15:$E$79,Setup!$F$15:$F$79),"Miscellaneous"))</f>
      </c>
      <c r="I230">
        <f>IF(A230="","",IFERROR(XLOOKUP(D230,Setup!$E$15:$E$79,Setup!$G$15:$G$79),"Uncategorized"))</f>
      </c>
      <c r="J230">
        <f>IF(A230="","",IF(OR(H230="Transfers",H230="Income",D230="Transfer",D230="Category Pending",F230="Pending"),"No","Yes"))</f>
      </c>
      <c r="K230" s="4">
        <f>IF(A230="","",TEXT(IF(DAY(A230)&gt;=Setup!$B$9,DATE(YEAR(A230),MONTH(A230)+1,1),DATE(YEAR(A230),MONTH(A230),1)),"mmmm yyyy"))</f>
      </c>
      <c r="L230" s="47">
        <f>IF(A230="",0,IF(AND(J230="Yes",E230&lt;0),-E230,0))</f>
      </c>
      <c r="M230" s="47">
        <f>IF(A230="",0,IF(AND(J230="Yes",E230&gt;0),E230,0))</f>
      </c>
      <c r="N230">
        <f>IF(A230="","",IF(D230="Category Pending","Needs categorization",IF(COUNTIFS($A$2:A230,A230,$B$2:B230,B230,$E$2:E230,E230)&gt;1,"Possible duplicate","")))</f>
      </c>
    </row>
    <row r="231" spans="3:14" x14ac:dyDescent="0.3">
      <c r="A231"/>
      <c r="C231" s="16"/>
      <c r="G231" s="5">
        <f>IF(A231="","","Checking")</f>
      </c>
      <c r="H231">
        <f>IF(A231="","",IFERROR(XLOOKUP(D231,Setup!$E$15:$E$79,Setup!$F$15:$F$79),"Miscellaneous"))</f>
      </c>
      <c r="I231">
        <f>IF(A231="","",IFERROR(XLOOKUP(D231,Setup!$E$15:$E$79,Setup!$G$15:$G$79),"Uncategorized"))</f>
      </c>
      <c r="J231">
        <f>IF(A231="","",IF(OR(H231="Transfers",H231="Income",D231="Transfer",D231="Category Pending",F231="Pending"),"No","Yes"))</f>
      </c>
      <c r="K231" s="4">
        <f>IF(A231="","",TEXT(IF(DAY(A231)&gt;=Setup!$B$9,DATE(YEAR(A231),MONTH(A231)+1,1),DATE(YEAR(A231),MONTH(A231),1)),"mmmm yyyy"))</f>
      </c>
      <c r="L231" s="47">
        <f>IF(A231="",0,IF(AND(J231="Yes",E231&lt;0),-E231,0))</f>
      </c>
      <c r="M231" s="47">
        <f>IF(A231="",0,IF(AND(J231="Yes",E231&gt;0),E231,0))</f>
      </c>
      <c r="N231">
        <f>IF(A231="","",IF(D231="Category Pending","Needs categorization",IF(COUNTIFS($A$2:A231,A231,$B$2:B231,B231,$E$2:E231,E231)&gt;1,"Possible duplicate","")))</f>
      </c>
    </row>
    <row r="232" spans="3:14" x14ac:dyDescent="0.3">
      <c r="A232"/>
      <c r="C232" s="16"/>
      <c r="G232" s="5">
        <f>IF(A232="","","Checking")</f>
      </c>
      <c r="H232">
        <f>IF(A232="","",IFERROR(XLOOKUP(D232,Setup!$E$15:$E$79,Setup!$F$15:$F$79),"Miscellaneous"))</f>
      </c>
      <c r="I232">
        <f>IF(A232="","",IFERROR(XLOOKUP(D232,Setup!$E$15:$E$79,Setup!$G$15:$G$79),"Uncategorized"))</f>
      </c>
      <c r="J232">
        <f>IF(A232="","",IF(OR(H232="Transfers",H232="Income",D232="Transfer",D232="Category Pending",F232="Pending"),"No","Yes"))</f>
      </c>
      <c r="K232" s="4">
        <f>IF(A232="","",TEXT(IF(DAY(A232)&gt;=Setup!$B$9,DATE(YEAR(A232),MONTH(A232)+1,1),DATE(YEAR(A232),MONTH(A232),1)),"mmmm yyyy"))</f>
      </c>
      <c r="L232" s="47">
        <f>IF(A232="",0,IF(AND(J232="Yes",E232&lt;0),-E232,0))</f>
      </c>
      <c r="M232" s="47">
        <f>IF(A232="",0,IF(AND(J232="Yes",E232&gt;0),E232,0))</f>
      </c>
      <c r="N232">
        <f>IF(A232="","",IF(D232="Category Pending","Needs categorization",IF(COUNTIFS($A$2:A232,A232,$B$2:B232,B232,$E$2:E232,E232)&gt;1,"Possible duplicate","")))</f>
      </c>
    </row>
    <row r="233" spans="3:14" x14ac:dyDescent="0.3">
      <c r="A233"/>
      <c r="C233" s="16"/>
      <c r="G233" s="5">
        <f>IF(A233="","","Checking")</f>
      </c>
      <c r="H233">
        <f>IF(A233="","",IFERROR(XLOOKUP(D233,Setup!$E$15:$E$79,Setup!$F$15:$F$79),"Miscellaneous"))</f>
      </c>
      <c r="I233">
        <f>IF(A233="","",IFERROR(XLOOKUP(D233,Setup!$E$15:$E$79,Setup!$G$15:$G$79),"Uncategorized"))</f>
      </c>
      <c r="J233">
        <f>IF(A233="","",IF(OR(H233="Transfers",H233="Income",D233="Transfer",D233="Category Pending",F233="Pending"),"No","Yes"))</f>
      </c>
      <c r="K233" s="4">
        <f>IF(A233="","",TEXT(IF(DAY(A233)&gt;=Setup!$B$9,DATE(YEAR(A233),MONTH(A233)+1,1),DATE(YEAR(A233),MONTH(A233),1)),"mmmm yyyy"))</f>
      </c>
      <c r="L233" s="47">
        <f>IF(A233="",0,IF(AND(J233="Yes",E233&lt;0),-E233,0))</f>
      </c>
      <c r="M233" s="47">
        <f>IF(A233="",0,IF(AND(J233="Yes",E233&gt;0),E233,0))</f>
      </c>
      <c r="N233">
        <f>IF(A233="","",IF(D233="Category Pending","Needs categorization",IF(COUNTIFS($A$2:A233,A233,$B$2:B233,B233,$E$2:E233,E233)&gt;1,"Possible duplicate","")))</f>
      </c>
    </row>
    <row r="234" spans="3:14" x14ac:dyDescent="0.3">
      <c r="A234"/>
      <c r="C234" s="16"/>
      <c r="G234" s="5">
        <f>IF(A234="","","Checking")</f>
      </c>
      <c r="H234">
        <f>IF(A234="","",IFERROR(XLOOKUP(D234,Setup!$E$15:$E$79,Setup!$F$15:$F$79),"Miscellaneous"))</f>
      </c>
      <c r="I234">
        <f>IF(A234="","",IFERROR(XLOOKUP(D234,Setup!$E$15:$E$79,Setup!$G$15:$G$79),"Uncategorized"))</f>
      </c>
      <c r="J234">
        <f>IF(A234="","",IF(OR(H234="Transfers",H234="Income",D234="Transfer",D234="Category Pending",F234="Pending"),"No","Yes"))</f>
      </c>
      <c r="K234" s="4">
        <f>IF(A234="","",TEXT(IF(DAY(A234)&gt;=Setup!$B$9,DATE(YEAR(A234),MONTH(A234)+1,1),DATE(YEAR(A234),MONTH(A234),1)),"mmmm yyyy"))</f>
      </c>
      <c r="L234" s="47">
        <f>IF(A234="",0,IF(AND(J234="Yes",E234&lt;0),-E234,0))</f>
      </c>
      <c r="M234" s="47">
        <f>IF(A234="",0,IF(AND(J234="Yes",E234&gt;0),E234,0))</f>
      </c>
      <c r="N234">
        <f>IF(A234="","",IF(D234="Category Pending","Needs categorization",IF(COUNTIFS($A$2:A234,A234,$B$2:B234,B234,$E$2:E234,E234)&gt;1,"Possible duplicate","")))</f>
      </c>
    </row>
    <row r="235" spans="3:14" x14ac:dyDescent="0.3">
      <c r="A235"/>
      <c r="C235" s="16"/>
      <c r="G235" s="5">
        <f>IF(A235="","","Checking")</f>
      </c>
      <c r="H235">
        <f>IF(A235="","",IFERROR(XLOOKUP(D235,Setup!$E$15:$E$79,Setup!$F$15:$F$79),"Miscellaneous"))</f>
      </c>
      <c r="I235">
        <f>IF(A235="","",IFERROR(XLOOKUP(D235,Setup!$E$15:$E$79,Setup!$G$15:$G$79),"Uncategorized"))</f>
      </c>
      <c r="J235">
        <f>IF(A235="","",IF(OR(H235="Transfers",H235="Income",D235="Transfer",D235="Category Pending",F235="Pending"),"No","Yes"))</f>
      </c>
      <c r="K235" s="4">
        <f>IF(A235="","",TEXT(IF(DAY(A235)&gt;=Setup!$B$9,DATE(YEAR(A235),MONTH(A235)+1,1),DATE(YEAR(A235),MONTH(A235),1)),"mmmm yyyy"))</f>
      </c>
      <c r="L235" s="47">
        <f>IF(A235="",0,IF(AND(J235="Yes",E235&lt;0),-E235,0))</f>
      </c>
      <c r="M235" s="47">
        <f>IF(A235="",0,IF(AND(J235="Yes",E235&gt;0),E235,0))</f>
      </c>
      <c r="N235">
        <f>IF(A235="","",IF(D235="Category Pending","Needs categorization",IF(COUNTIFS($A$2:A235,A235,$B$2:B235,B235,$E$2:E235,E235)&gt;1,"Possible duplicate","")))</f>
      </c>
    </row>
    <row r="236" spans="3:14" x14ac:dyDescent="0.3">
      <c r="A236"/>
      <c r="C236" s="16"/>
      <c r="G236" s="5">
        <f>IF(A236="","","Checking")</f>
      </c>
      <c r="H236">
        <f>IF(A236="","",IFERROR(XLOOKUP(D236,Setup!$E$15:$E$79,Setup!$F$15:$F$79),"Miscellaneous"))</f>
      </c>
      <c r="I236">
        <f>IF(A236="","",IFERROR(XLOOKUP(D236,Setup!$E$15:$E$79,Setup!$G$15:$G$79),"Uncategorized"))</f>
      </c>
      <c r="J236">
        <f>IF(A236="","",IF(OR(H236="Transfers",H236="Income",D236="Transfer",D236="Category Pending",F236="Pending"),"No","Yes"))</f>
      </c>
      <c r="K236" s="4">
        <f>IF(A236="","",TEXT(IF(DAY(A236)&gt;=Setup!$B$9,DATE(YEAR(A236),MONTH(A236)+1,1),DATE(YEAR(A236),MONTH(A236),1)),"mmmm yyyy"))</f>
      </c>
      <c r="L236" s="47">
        <f>IF(A236="",0,IF(AND(J236="Yes",E236&lt;0),-E236,0))</f>
      </c>
      <c r="M236" s="47">
        <f>IF(A236="",0,IF(AND(J236="Yes",E236&gt;0),E236,0))</f>
      </c>
      <c r="N236">
        <f>IF(A236="","",IF(D236="Category Pending","Needs categorization",IF(COUNTIFS($A$2:A236,A236,$B$2:B236,B236,$E$2:E236,E236)&gt;1,"Possible duplicate","")))</f>
      </c>
    </row>
    <row r="237" spans="3:14" x14ac:dyDescent="0.3">
      <c r="A237"/>
      <c r="C237" s="16"/>
      <c r="G237" s="5">
        <f>IF(A237="","","Checking")</f>
      </c>
      <c r="H237">
        <f>IF(A237="","",IFERROR(XLOOKUP(D237,Setup!$E$15:$E$79,Setup!$F$15:$F$79),"Miscellaneous"))</f>
      </c>
      <c r="I237">
        <f>IF(A237="","",IFERROR(XLOOKUP(D237,Setup!$E$15:$E$79,Setup!$G$15:$G$79),"Uncategorized"))</f>
      </c>
      <c r="J237">
        <f>IF(A237="","",IF(OR(H237="Transfers",H237="Income",D237="Transfer",D237="Category Pending",F237="Pending"),"No","Yes"))</f>
      </c>
      <c r="K237" s="4">
        <f>IF(A237="","",TEXT(IF(DAY(A237)&gt;=Setup!$B$9,DATE(YEAR(A237),MONTH(A237)+1,1),DATE(YEAR(A237),MONTH(A237),1)),"mmmm yyyy"))</f>
      </c>
      <c r="L237" s="47">
        <f>IF(A237="",0,IF(AND(J237="Yes",E237&lt;0),-E237,0))</f>
      </c>
      <c r="M237" s="47">
        <f>IF(A237="",0,IF(AND(J237="Yes",E237&gt;0),E237,0))</f>
      </c>
      <c r="N237">
        <f>IF(A237="","",IF(D237="Category Pending","Needs categorization",IF(COUNTIFS($A$2:A237,A237,$B$2:B237,B237,$E$2:E237,E237)&gt;1,"Possible duplicate","")))</f>
      </c>
    </row>
    <row r="238" spans="3:14" x14ac:dyDescent="0.3">
      <c r="A238"/>
      <c r="C238" s="16"/>
      <c r="G238" s="5">
        <f>IF(A238="","","Checking")</f>
      </c>
      <c r="H238">
        <f>IF(A238="","",IFERROR(XLOOKUP(D238,Setup!$E$15:$E$79,Setup!$F$15:$F$79),"Miscellaneous"))</f>
      </c>
      <c r="I238">
        <f>IF(A238="","",IFERROR(XLOOKUP(D238,Setup!$E$15:$E$79,Setup!$G$15:$G$79),"Uncategorized"))</f>
      </c>
      <c r="J238">
        <f>IF(A238="","",IF(OR(H238="Transfers",H238="Income",D238="Transfer",D238="Category Pending",F238="Pending"),"No","Yes"))</f>
      </c>
      <c r="K238" s="4">
        <f>IF(A238="","",TEXT(IF(DAY(A238)&gt;=Setup!$B$9,DATE(YEAR(A238),MONTH(A238)+1,1),DATE(YEAR(A238),MONTH(A238),1)),"mmmm yyyy"))</f>
      </c>
      <c r="L238" s="47">
        <f>IF(A238="",0,IF(AND(J238="Yes",E238&lt;0),-E238,0))</f>
      </c>
      <c r="M238" s="47">
        <f>IF(A238="",0,IF(AND(J238="Yes",E238&gt;0),E238,0))</f>
      </c>
      <c r="N238">
        <f>IF(A238="","",IF(D238="Category Pending","Needs categorization",IF(COUNTIFS($A$2:A238,A238,$B$2:B238,B238,$E$2:E238,E238)&gt;1,"Possible duplicate","")))</f>
      </c>
    </row>
    <row r="239" spans="3:14" x14ac:dyDescent="0.3">
      <c r="A239"/>
      <c r="C239" s="16"/>
      <c r="G239" s="5">
        <f>IF(A239="","","Checking")</f>
      </c>
      <c r="H239">
        <f>IF(A239="","",IFERROR(XLOOKUP(D239,Setup!$E$15:$E$79,Setup!$F$15:$F$79),"Miscellaneous"))</f>
      </c>
      <c r="I239">
        <f>IF(A239="","",IFERROR(XLOOKUP(D239,Setup!$E$15:$E$79,Setup!$G$15:$G$79),"Uncategorized"))</f>
      </c>
      <c r="J239">
        <f>IF(A239="","",IF(OR(H239="Transfers",H239="Income",D239="Transfer",D239="Category Pending",F239="Pending"),"No","Yes"))</f>
      </c>
      <c r="K239" s="4">
        <f>IF(A239="","",TEXT(IF(DAY(A239)&gt;=Setup!$B$9,DATE(YEAR(A239),MONTH(A239)+1,1),DATE(YEAR(A239),MONTH(A239),1)),"mmmm yyyy"))</f>
      </c>
      <c r="L239" s="47">
        <f>IF(A239="",0,IF(AND(J239="Yes",E239&lt;0),-E239,0))</f>
      </c>
      <c r="M239" s="47">
        <f>IF(A239="",0,IF(AND(J239="Yes",E239&gt;0),E239,0))</f>
      </c>
      <c r="N239">
        <f>IF(A239="","",IF(D239="Category Pending","Needs categorization",IF(COUNTIFS($A$2:A239,A239,$B$2:B239,B239,$E$2:E239,E239)&gt;1,"Possible duplicate","")))</f>
      </c>
    </row>
    <row r="240" spans="3:14" x14ac:dyDescent="0.3">
      <c r="A240"/>
      <c r="C240" s="16"/>
      <c r="G240" s="5">
        <f>IF(A240="","","Checking")</f>
      </c>
      <c r="H240">
        <f>IF(A240="","",IFERROR(XLOOKUP(D240,Setup!$E$15:$E$79,Setup!$F$15:$F$79),"Miscellaneous"))</f>
      </c>
      <c r="I240">
        <f>IF(A240="","",IFERROR(XLOOKUP(D240,Setup!$E$15:$E$79,Setup!$G$15:$G$79),"Uncategorized"))</f>
      </c>
      <c r="J240">
        <f>IF(A240="","",IF(OR(H240="Transfers",H240="Income",D240="Transfer",D240="Category Pending",F240="Pending"),"No","Yes"))</f>
      </c>
      <c r="K240" s="4">
        <f>IF(A240="","",TEXT(IF(DAY(A240)&gt;=Setup!$B$9,DATE(YEAR(A240),MONTH(A240)+1,1),DATE(YEAR(A240),MONTH(A240),1)),"mmmm yyyy"))</f>
      </c>
      <c r="L240" s="47">
        <f>IF(A240="",0,IF(AND(J240="Yes",E240&lt;0),-E240,0))</f>
      </c>
      <c r="M240" s="47">
        <f>IF(A240="",0,IF(AND(J240="Yes",E240&gt;0),E240,0))</f>
      </c>
      <c r="N240">
        <f>IF(A240="","",IF(D240="Category Pending","Needs categorization",IF(COUNTIFS($A$2:A240,A240,$B$2:B240,B240,$E$2:E240,E240)&gt;1,"Possible duplicate","")))</f>
      </c>
    </row>
    <row r="241" spans="3:14" x14ac:dyDescent="0.3">
      <c r="A241"/>
      <c r="C241" s="16"/>
      <c r="G241" s="5">
        <f>IF(A241="","","Checking")</f>
      </c>
      <c r="H241">
        <f>IF(A241="","",IFERROR(XLOOKUP(D241,Setup!$E$15:$E$79,Setup!$F$15:$F$79),"Miscellaneous"))</f>
      </c>
      <c r="I241">
        <f>IF(A241="","",IFERROR(XLOOKUP(D241,Setup!$E$15:$E$79,Setup!$G$15:$G$79),"Uncategorized"))</f>
      </c>
      <c r="J241">
        <f>IF(A241="","",IF(OR(H241="Transfers",H241="Income",D241="Transfer",D241="Category Pending",F241="Pending"),"No","Yes"))</f>
      </c>
      <c r="K241" s="4">
        <f>IF(A241="","",TEXT(IF(DAY(A241)&gt;=Setup!$B$9,DATE(YEAR(A241),MONTH(A241)+1,1),DATE(YEAR(A241),MONTH(A241),1)),"mmmm yyyy"))</f>
      </c>
      <c r="L241" s="47">
        <f>IF(A241="",0,IF(AND(J241="Yes",E241&lt;0),-E241,0))</f>
      </c>
      <c r="M241" s="47">
        <f>IF(A241="",0,IF(AND(J241="Yes",E241&gt;0),E241,0))</f>
      </c>
      <c r="N241">
        <f>IF(A241="","",IF(D241="Category Pending","Needs categorization",IF(COUNTIFS($A$2:A241,A241,$B$2:B241,B241,$E$2:E241,E241)&gt;1,"Possible duplicate","")))</f>
      </c>
    </row>
    <row r="242" spans="3:14" x14ac:dyDescent="0.3">
      <c r="A242"/>
      <c r="C242" s="16"/>
      <c r="G242" s="5">
        <f>IF(A242="","","Checking")</f>
      </c>
      <c r="H242">
        <f>IF(A242="","",IFERROR(XLOOKUP(D242,Setup!$E$15:$E$79,Setup!$F$15:$F$79),"Miscellaneous"))</f>
      </c>
      <c r="I242">
        <f>IF(A242="","",IFERROR(XLOOKUP(D242,Setup!$E$15:$E$79,Setup!$G$15:$G$79),"Uncategorized"))</f>
      </c>
      <c r="J242">
        <f>IF(A242="","",IF(OR(H242="Transfers",H242="Income",D242="Transfer",D242="Category Pending",F242="Pending"),"No","Yes"))</f>
      </c>
      <c r="K242" s="4">
        <f>IF(A242="","",TEXT(IF(DAY(A242)&gt;=Setup!$B$9,DATE(YEAR(A242),MONTH(A242)+1,1),DATE(YEAR(A242),MONTH(A242),1)),"mmmm yyyy"))</f>
      </c>
      <c r="L242" s="47">
        <f>IF(A242="",0,IF(AND(J242="Yes",E242&lt;0),-E242,0))</f>
      </c>
      <c r="M242" s="47">
        <f>IF(A242="",0,IF(AND(J242="Yes",E242&gt;0),E242,0))</f>
      </c>
      <c r="N242">
        <f>IF(A242="","",IF(D242="Category Pending","Needs categorization",IF(COUNTIFS($A$2:A242,A242,$B$2:B242,B242,$E$2:E242,E242)&gt;1,"Possible duplicate","")))</f>
      </c>
    </row>
    <row r="243" spans="3:14" x14ac:dyDescent="0.3">
      <c r="A243"/>
      <c r="C243" s="16"/>
      <c r="G243" s="5">
        <f>IF(A243="","","Checking")</f>
      </c>
      <c r="H243">
        <f>IF(A243="","",IFERROR(XLOOKUP(D243,Setup!$E$15:$E$79,Setup!$F$15:$F$79),"Miscellaneous"))</f>
      </c>
      <c r="I243">
        <f>IF(A243="","",IFERROR(XLOOKUP(D243,Setup!$E$15:$E$79,Setup!$G$15:$G$79),"Uncategorized"))</f>
      </c>
      <c r="J243">
        <f>IF(A243="","",IF(OR(H243="Transfers",H243="Income",D243="Transfer",D243="Category Pending",F243="Pending"),"No","Yes"))</f>
      </c>
      <c r="K243" s="4">
        <f>IF(A243="","",TEXT(IF(DAY(A243)&gt;=Setup!$B$9,DATE(YEAR(A243),MONTH(A243)+1,1),DATE(YEAR(A243),MONTH(A243),1)),"mmmm yyyy"))</f>
      </c>
      <c r="L243" s="47">
        <f>IF(A243="",0,IF(AND(J243="Yes",E243&lt;0),-E243,0))</f>
      </c>
      <c r="M243" s="47">
        <f>IF(A243="",0,IF(AND(J243="Yes",E243&gt;0),E243,0))</f>
      </c>
      <c r="N243">
        <f>IF(A243="","",IF(D243="Category Pending","Needs categorization",IF(COUNTIFS($A$2:A243,A243,$B$2:B243,B243,$E$2:E243,E243)&gt;1,"Possible duplicate","")))</f>
      </c>
    </row>
    <row r="244" spans="3:14" x14ac:dyDescent="0.3">
      <c r="A244"/>
      <c r="C244" s="16"/>
      <c r="G244" s="5">
        <f>IF(A244="","","Checking")</f>
      </c>
      <c r="H244">
        <f>IF(A244="","",IFERROR(XLOOKUP(D244,Setup!$E$15:$E$79,Setup!$F$15:$F$79),"Miscellaneous"))</f>
      </c>
      <c r="I244">
        <f>IF(A244="","",IFERROR(XLOOKUP(D244,Setup!$E$15:$E$79,Setup!$G$15:$G$79),"Uncategorized"))</f>
      </c>
      <c r="J244">
        <f>IF(A244="","",IF(OR(H244="Transfers",H244="Income",D244="Transfer",D244="Category Pending",F244="Pending"),"No","Yes"))</f>
      </c>
      <c r="K244" s="4">
        <f>IF(A244="","",TEXT(IF(DAY(A244)&gt;=Setup!$B$9,DATE(YEAR(A244),MONTH(A244)+1,1),DATE(YEAR(A244),MONTH(A244),1)),"mmmm yyyy"))</f>
      </c>
      <c r="L244" s="47">
        <f>IF(A244="",0,IF(AND(J244="Yes",E244&lt;0),-E244,0))</f>
      </c>
      <c r="M244" s="47">
        <f>IF(A244="",0,IF(AND(J244="Yes",E244&gt;0),E244,0))</f>
      </c>
      <c r="N244">
        <f>IF(A244="","",IF(D244="Category Pending","Needs categorization",IF(COUNTIFS($A$2:A244,A244,$B$2:B244,B244,$E$2:E244,E244)&gt;1,"Possible duplicate","")))</f>
      </c>
    </row>
    <row r="245" spans="3:14" x14ac:dyDescent="0.3">
      <c r="A245"/>
      <c r="C245" s="16"/>
      <c r="G245" s="5">
        <f>IF(A245="","","Checking")</f>
      </c>
      <c r="H245">
        <f>IF(A245="","",IFERROR(XLOOKUP(D245,Setup!$E$15:$E$79,Setup!$F$15:$F$79),"Miscellaneous"))</f>
      </c>
      <c r="I245">
        <f>IF(A245="","",IFERROR(XLOOKUP(D245,Setup!$E$15:$E$79,Setup!$G$15:$G$79),"Uncategorized"))</f>
      </c>
      <c r="J245">
        <f>IF(A245="","",IF(OR(H245="Transfers",H245="Income",D245="Transfer",D245="Category Pending",F245="Pending"),"No","Yes"))</f>
      </c>
      <c r="K245" s="4">
        <f>IF(A245="","",TEXT(IF(DAY(A245)&gt;=Setup!$B$9,DATE(YEAR(A245),MONTH(A245)+1,1),DATE(YEAR(A245),MONTH(A245),1)),"mmmm yyyy"))</f>
      </c>
      <c r="L245" s="47">
        <f>IF(A245="",0,IF(AND(J245="Yes",E245&lt;0),-E245,0))</f>
      </c>
      <c r="M245" s="47">
        <f>IF(A245="",0,IF(AND(J245="Yes",E245&gt;0),E245,0))</f>
      </c>
      <c r="N245">
        <f>IF(A245="","",IF(D245="Category Pending","Needs categorization",IF(COUNTIFS($A$2:A245,A245,$B$2:B245,B245,$E$2:E245,E245)&gt;1,"Possible duplicate","")))</f>
      </c>
    </row>
    <row r="246" spans="3:14" x14ac:dyDescent="0.3">
      <c r="A246"/>
      <c r="C246" s="16"/>
      <c r="G246" s="5">
        <f>IF(A246="","","Checking")</f>
      </c>
      <c r="H246">
        <f>IF(A246="","",IFERROR(XLOOKUP(D246,Setup!$E$15:$E$79,Setup!$F$15:$F$79),"Miscellaneous"))</f>
      </c>
      <c r="I246">
        <f>IF(A246="","",IFERROR(XLOOKUP(D246,Setup!$E$15:$E$79,Setup!$G$15:$G$79),"Uncategorized"))</f>
      </c>
      <c r="J246">
        <f>IF(A246="","",IF(OR(H246="Transfers",H246="Income",D246="Transfer",D246="Category Pending",F246="Pending"),"No","Yes"))</f>
      </c>
      <c r="K246" s="4">
        <f>IF(A246="","",TEXT(IF(DAY(A246)&gt;=Setup!$B$9,DATE(YEAR(A246),MONTH(A246)+1,1),DATE(YEAR(A246),MONTH(A246),1)),"mmmm yyyy"))</f>
      </c>
      <c r="L246" s="47">
        <f>IF(A246="",0,IF(AND(J246="Yes",E246&lt;0),-E246,0))</f>
      </c>
      <c r="M246" s="47">
        <f>IF(A246="",0,IF(AND(J246="Yes",E246&gt;0),E246,0))</f>
      </c>
      <c r="N246">
        <f>IF(A246="","",IF(D246="Category Pending","Needs categorization",IF(COUNTIFS($A$2:A246,A246,$B$2:B246,B246,$E$2:E246,E246)&gt;1,"Possible duplicate","")))</f>
      </c>
    </row>
    <row r="247" spans="3:14" x14ac:dyDescent="0.3">
      <c r="A247"/>
      <c r="C247" s="16"/>
      <c r="G247" s="5">
        <f>IF(A247="","","Checking")</f>
      </c>
      <c r="H247">
        <f>IF(A247="","",IFERROR(XLOOKUP(D247,Setup!$E$15:$E$79,Setup!$F$15:$F$79),"Miscellaneous"))</f>
      </c>
      <c r="I247">
        <f>IF(A247="","",IFERROR(XLOOKUP(D247,Setup!$E$15:$E$79,Setup!$G$15:$G$79),"Uncategorized"))</f>
      </c>
      <c r="J247">
        <f>IF(A247="","",IF(OR(H247="Transfers",H247="Income",D247="Transfer",D247="Category Pending",F247="Pending"),"No","Yes"))</f>
      </c>
      <c r="K247" s="4">
        <f>IF(A247="","",TEXT(IF(DAY(A247)&gt;=Setup!$B$9,DATE(YEAR(A247),MONTH(A247)+1,1),DATE(YEAR(A247),MONTH(A247),1)),"mmmm yyyy"))</f>
      </c>
      <c r="L247" s="47">
        <f>IF(A247="",0,IF(AND(J247="Yes",E247&lt;0),-E247,0))</f>
      </c>
      <c r="M247" s="47">
        <f>IF(A247="",0,IF(AND(J247="Yes",E247&gt;0),E247,0))</f>
      </c>
      <c r="N247">
        <f>IF(A247="","",IF(D247="Category Pending","Needs categorization",IF(COUNTIFS($A$2:A247,A247,$B$2:B247,B247,$E$2:E247,E247)&gt;1,"Possible duplicate","")))</f>
      </c>
    </row>
    <row r="248" spans="3:14" x14ac:dyDescent="0.3">
      <c r="A248"/>
      <c r="C248" s="16"/>
      <c r="G248" s="5">
        <f>IF(A248="","","Checking")</f>
      </c>
      <c r="H248">
        <f>IF(A248="","",IFERROR(XLOOKUP(D248,Setup!$E$15:$E$79,Setup!$F$15:$F$79),"Miscellaneous"))</f>
      </c>
      <c r="I248">
        <f>IF(A248="","",IFERROR(XLOOKUP(D248,Setup!$E$15:$E$79,Setup!$G$15:$G$79),"Uncategorized"))</f>
      </c>
      <c r="J248">
        <f>IF(A248="","",IF(OR(H248="Transfers",H248="Income",D248="Transfer",D248="Category Pending",F248="Pending"),"No","Yes"))</f>
      </c>
      <c r="K248" s="4">
        <f>IF(A248="","",TEXT(IF(DAY(A248)&gt;=Setup!$B$9,DATE(YEAR(A248),MONTH(A248)+1,1),DATE(YEAR(A248),MONTH(A248),1)),"mmmm yyyy"))</f>
      </c>
      <c r="L248" s="47">
        <f>IF(A248="",0,IF(AND(J248="Yes",E248&lt;0),-E248,0))</f>
      </c>
      <c r="M248" s="47">
        <f>IF(A248="",0,IF(AND(J248="Yes",E248&gt;0),E248,0))</f>
      </c>
      <c r="N248">
        <f>IF(A248="","",IF(D248="Category Pending","Needs categorization",IF(COUNTIFS($A$2:A248,A248,$B$2:B248,B248,$E$2:E248,E248)&gt;1,"Possible duplicate","")))</f>
      </c>
    </row>
    <row r="249" spans="3:14" x14ac:dyDescent="0.3">
      <c r="A249"/>
      <c r="C249" s="16"/>
      <c r="G249" s="5">
        <f>IF(A249="","","Checking")</f>
      </c>
      <c r="H249">
        <f>IF(A249="","",IFERROR(XLOOKUP(D249,Setup!$E$15:$E$79,Setup!$F$15:$F$79),"Miscellaneous"))</f>
      </c>
      <c r="I249">
        <f>IF(A249="","",IFERROR(XLOOKUP(D249,Setup!$E$15:$E$79,Setup!$G$15:$G$79),"Uncategorized"))</f>
      </c>
      <c r="J249">
        <f>IF(A249="","",IF(OR(H249="Transfers",H249="Income",D249="Transfer",D249="Category Pending",F249="Pending"),"No","Yes"))</f>
      </c>
      <c r="K249" s="4">
        <f>IF(A249="","",TEXT(IF(DAY(A249)&gt;=Setup!$B$9,DATE(YEAR(A249),MONTH(A249)+1,1),DATE(YEAR(A249),MONTH(A249),1)),"mmmm yyyy"))</f>
      </c>
      <c r="L249" s="47">
        <f>IF(A249="",0,IF(AND(J249="Yes",E249&lt;0),-E249,0))</f>
      </c>
      <c r="M249" s="47">
        <f>IF(A249="",0,IF(AND(J249="Yes",E249&gt;0),E249,0))</f>
      </c>
      <c r="N249">
        <f>IF(A249="","",IF(D249="Category Pending","Needs categorization",IF(COUNTIFS($A$2:A249,A249,$B$2:B249,B249,$E$2:E249,E249)&gt;1,"Possible duplicate","")))</f>
      </c>
    </row>
    <row r="250" spans="3:14" x14ac:dyDescent="0.3">
      <c r="A250"/>
      <c r="C250" s="16"/>
      <c r="G250" s="5">
        <f>IF(A250="","","Checking")</f>
      </c>
      <c r="H250">
        <f>IF(A250="","",IFERROR(XLOOKUP(D250,Setup!$E$15:$E$79,Setup!$F$15:$F$79),"Miscellaneous"))</f>
      </c>
      <c r="I250">
        <f>IF(A250="","",IFERROR(XLOOKUP(D250,Setup!$E$15:$E$79,Setup!$G$15:$G$79),"Uncategorized"))</f>
      </c>
      <c r="J250">
        <f>IF(A250="","",IF(OR(H250="Transfers",H250="Income",D250="Transfer",D250="Category Pending",F250="Pending"),"No","Yes"))</f>
      </c>
      <c r="K250" s="4">
        <f>IF(A250="","",TEXT(IF(DAY(A250)&gt;=Setup!$B$9,DATE(YEAR(A250),MONTH(A250)+1,1),DATE(YEAR(A250),MONTH(A250),1)),"mmmm yyyy"))</f>
      </c>
      <c r="L250" s="47">
        <f>IF(A250="",0,IF(AND(J250="Yes",E250&lt;0),-E250,0))</f>
      </c>
      <c r="M250" s="47">
        <f>IF(A250="",0,IF(AND(J250="Yes",E250&gt;0),E250,0))</f>
      </c>
      <c r="N250">
        <f>IF(A250="","",IF(D250="Category Pending","Needs categorization",IF(COUNTIFS($A$2:A250,A250,$B$2:B250,B250,$E$2:E250,E250)&gt;1,"Possible duplicate","")))</f>
      </c>
    </row>
    <row r="251" spans="3:14" x14ac:dyDescent="0.3">
      <c r="A251"/>
      <c r="C251" s="16"/>
      <c r="G251" s="5">
        <f>IF(A251="","","Checking")</f>
      </c>
      <c r="H251">
        <f>IF(A251="","",IFERROR(XLOOKUP(D251,Setup!$E$15:$E$79,Setup!$F$15:$F$79),"Miscellaneous"))</f>
      </c>
      <c r="I251">
        <f>IF(A251="","",IFERROR(XLOOKUP(D251,Setup!$E$15:$E$79,Setup!$G$15:$G$79),"Uncategorized"))</f>
      </c>
      <c r="J251">
        <f>IF(A251="","",IF(OR(H251="Transfers",H251="Income",D251="Transfer",D251="Category Pending",F251="Pending"),"No","Yes"))</f>
      </c>
      <c r="K251" s="4">
        <f>IF(A251="","",TEXT(IF(DAY(A251)&gt;=Setup!$B$9,DATE(YEAR(A251),MONTH(A251)+1,1),DATE(YEAR(A251),MONTH(A251),1)),"mmmm yyyy"))</f>
      </c>
      <c r="L251" s="47">
        <f>IF(A251="",0,IF(AND(J251="Yes",E251&lt;0),-E251,0))</f>
      </c>
      <c r="M251" s="47">
        <f>IF(A251="",0,IF(AND(J251="Yes",E251&gt;0),E251,0))</f>
      </c>
      <c r="N251">
        <f>IF(A251="","",IF(D251="Category Pending","Needs categorization",IF(COUNTIFS($A$2:A251,A251,$B$2:B251,B251,$E$2:E251,E251)&gt;1,"Possible duplicate","")))</f>
      </c>
    </row>
    <row r="252" spans="3:14" x14ac:dyDescent="0.3">
      <c r="A252"/>
      <c r="C252" s="16"/>
      <c r="G252" s="5">
        <f>IF(A252="","","Checking")</f>
      </c>
      <c r="H252">
        <f>IF(A252="","",IFERROR(XLOOKUP(D252,Setup!$E$15:$E$79,Setup!$F$15:$F$79),"Miscellaneous"))</f>
      </c>
      <c r="I252">
        <f>IF(A252="","",IFERROR(XLOOKUP(D252,Setup!$E$15:$E$79,Setup!$G$15:$G$79),"Uncategorized"))</f>
      </c>
      <c r="J252">
        <f>IF(A252="","",IF(OR(H252="Transfers",H252="Income",D252="Transfer",D252="Category Pending",F252="Pending"),"No","Yes"))</f>
      </c>
      <c r="K252" s="4">
        <f>IF(A252="","",TEXT(IF(DAY(A252)&gt;=Setup!$B$9,DATE(YEAR(A252),MONTH(A252)+1,1),DATE(YEAR(A252),MONTH(A252),1)),"mmmm yyyy"))</f>
      </c>
      <c r="L252" s="47">
        <f>IF(A252="",0,IF(AND(J252="Yes",E252&lt;0),-E252,0))</f>
      </c>
      <c r="M252" s="47">
        <f>IF(A252="",0,IF(AND(J252="Yes",E252&gt;0),E252,0))</f>
      </c>
      <c r="N252">
        <f>IF(A252="","",IF(D252="Category Pending","Needs categorization",IF(COUNTIFS($A$2:A252,A252,$B$2:B252,B252,$E$2:E252,E252)&gt;1,"Possible duplicate","")))</f>
      </c>
    </row>
    <row r="253" spans="3:14" x14ac:dyDescent="0.3">
      <c r="A253"/>
      <c r="C253" s="16"/>
      <c r="G253" s="5">
        <f>IF(A253="","","Checking")</f>
      </c>
      <c r="H253">
        <f>IF(A253="","",IFERROR(XLOOKUP(D253,Setup!$E$15:$E$79,Setup!$F$15:$F$79),"Miscellaneous"))</f>
      </c>
      <c r="I253">
        <f>IF(A253="","",IFERROR(XLOOKUP(D253,Setup!$E$15:$E$79,Setup!$G$15:$G$79),"Uncategorized"))</f>
      </c>
      <c r="J253">
        <f>IF(A253="","",IF(OR(H253="Transfers",H253="Income",D253="Transfer",D253="Category Pending",F253="Pending"),"No","Yes"))</f>
      </c>
      <c r="K253" s="4">
        <f>IF(A253="","",TEXT(IF(DAY(A253)&gt;=Setup!$B$9,DATE(YEAR(A253),MONTH(A253)+1,1),DATE(YEAR(A253),MONTH(A253),1)),"mmmm yyyy"))</f>
      </c>
      <c r="L253" s="47">
        <f>IF(A253="",0,IF(AND(J253="Yes",E253&lt;0),-E253,0))</f>
      </c>
      <c r="M253" s="47">
        <f>IF(A253="",0,IF(AND(J253="Yes",E253&gt;0),E253,0))</f>
      </c>
      <c r="N253">
        <f>IF(A253="","",IF(D253="Category Pending","Needs categorization",IF(COUNTIFS($A$2:A253,A253,$B$2:B253,B253,$E$2:E253,E253)&gt;1,"Possible duplicate","")))</f>
      </c>
    </row>
    <row r="254" spans="3:14" x14ac:dyDescent="0.3">
      <c r="A254"/>
      <c r="C254" s="16"/>
      <c r="G254" s="5">
        <f>IF(A254="","","Checking")</f>
      </c>
      <c r="H254">
        <f>IF(A254="","",IFERROR(XLOOKUP(D254,Setup!$E$15:$E$79,Setup!$F$15:$F$79),"Miscellaneous"))</f>
      </c>
      <c r="I254">
        <f>IF(A254="","",IFERROR(XLOOKUP(D254,Setup!$E$15:$E$79,Setup!$G$15:$G$79),"Uncategorized"))</f>
      </c>
      <c r="J254">
        <f>IF(A254="","",IF(OR(H254="Transfers",H254="Income",D254="Transfer",D254="Category Pending",F254="Pending"),"No","Yes"))</f>
      </c>
      <c r="K254" s="4">
        <f>IF(A254="","",TEXT(IF(DAY(A254)&gt;=Setup!$B$9,DATE(YEAR(A254),MONTH(A254)+1,1),DATE(YEAR(A254),MONTH(A254),1)),"mmmm yyyy"))</f>
      </c>
      <c r="L254" s="47">
        <f>IF(A254="",0,IF(AND(J254="Yes",E254&lt;0),-E254,0))</f>
      </c>
      <c r="M254" s="47">
        <f>IF(A254="",0,IF(AND(J254="Yes",E254&gt;0),E254,0))</f>
      </c>
      <c r="N254">
        <f>IF(A254="","",IF(D254="Category Pending","Needs categorization",IF(COUNTIFS($A$2:A254,A254,$B$2:B254,B254,$E$2:E254,E254)&gt;1,"Possible duplicate","")))</f>
      </c>
    </row>
    <row r="255" spans="3:14" x14ac:dyDescent="0.3">
      <c r="A255"/>
      <c r="C255" s="16"/>
      <c r="G255" s="5">
        <f>IF(A255="","","Checking")</f>
      </c>
      <c r="H255">
        <f>IF(A255="","",IFERROR(XLOOKUP(D255,Setup!$E$15:$E$79,Setup!$F$15:$F$79),"Miscellaneous"))</f>
      </c>
      <c r="I255">
        <f>IF(A255="","",IFERROR(XLOOKUP(D255,Setup!$E$15:$E$79,Setup!$G$15:$G$79),"Uncategorized"))</f>
      </c>
      <c r="J255">
        <f>IF(A255="","",IF(OR(H255="Transfers",H255="Income",D255="Transfer",D255="Category Pending",F255="Pending"),"No","Yes"))</f>
      </c>
      <c r="K255" s="4">
        <f>IF(A255="","",TEXT(IF(DAY(A255)&gt;=Setup!$B$9,DATE(YEAR(A255),MONTH(A255)+1,1),DATE(YEAR(A255),MONTH(A255),1)),"mmmm yyyy"))</f>
      </c>
      <c r="L255" s="47">
        <f>IF(A255="",0,IF(AND(J255="Yes",E255&lt;0),-E255,0))</f>
      </c>
      <c r="M255" s="47">
        <f>IF(A255="",0,IF(AND(J255="Yes",E255&gt;0),E255,0))</f>
      </c>
      <c r="N255">
        <f>IF(A255="","",IF(D255="Category Pending","Needs categorization",IF(COUNTIFS($A$2:A255,A255,$B$2:B255,B255,$E$2:E255,E255)&gt;1,"Possible duplicate","")))</f>
      </c>
    </row>
    <row r="256" spans="3:14" x14ac:dyDescent="0.3">
      <c r="A256"/>
      <c r="C256" s="16"/>
      <c r="G256" s="5">
        <f>IF(A256="","","Checking")</f>
      </c>
      <c r="H256">
        <f>IF(A256="","",IFERROR(XLOOKUP(D256,Setup!$E$15:$E$79,Setup!$F$15:$F$79),"Miscellaneous"))</f>
      </c>
      <c r="I256">
        <f>IF(A256="","",IFERROR(XLOOKUP(D256,Setup!$E$15:$E$79,Setup!$G$15:$G$79),"Uncategorized"))</f>
      </c>
      <c r="J256">
        <f>IF(A256="","",IF(OR(H256="Transfers",H256="Income",D256="Transfer",D256="Category Pending",F256="Pending"),"No","Yes"))</f>
      </c>
      <c r="K256" s="4">
        <f>IF(A256="","",TEXT(IF(DAY(A256)&gt;=Setup!$B$9,DATE(YEAR(A256),MONTH(A256)+1,1),DATE(YEAR(A256),MONTH(A256),1)),"mmmm yyyy"))</f>
      </c>
      <c r="L256" s="47">
        <f>IF(A256="",0,IF(AND(J256="Yes",E256&lt;0),-E256,0))</f>
      </c>
      <c r="M256" s="47">
        <f>IF(A256="",0,IF(AND(J256="Yes",E256&gt;0),E256,0))</f>
      </c>
      <c r="N256">
        <f>IF(A256="","",IF(D256="Category Pending","Needs categorization",IF(COUNTIFS($A$2:A256,A256,$B$2:B256,B256,$E$2:E256,E256)&gt;1,"Possible duplicate","")))</f>
      </c>
    </row>
    <row r="257" spans="3:14" x14ac:dyDescent="0.3">
      <c r="A257"/>
      <c r="C257" s="16"/>
      <c r="G257" s="5">
        <f>IF(A257="","","Checking")</f>
      </c>
      <c r="H257">
        <f>IF(A257="","",IFERROR(XLOOKUP(D257,Setup!$E$15:$E$79,Setup!$F$15:$F$79),"Miscellaneous"))</f>
      </c>
      <c r="I257">
        <f>IF(A257="","",IFERROR(XLOOKUP(D257,Setup!$E$15:$E$79,Setup!$G$15:$G$79),"Uncategorized"))</f>
      </c>
      <c r="J257">
        <f>IF(A257="","",IF(OR(H257="Transfers",H257="Income",D257="Transfer",D257="Category Pending",F257="Pending"),"No","Yes"))</f>
      </c>
      <c r="K257" s="4">
        <f>IF(A257="","",TEXT(IF(DAY(A257)&gt;=Setup!$B$9,DATE(YEAR(A257),MONTH(A257)+1,1),DATE(YEAR(A257),MONTH(A257),1)),"mmmm yyyy"))</f>
      </c>
      <c r="L257" s="47">
        <f>IF(A257="",0,IF(AND(J257="Yes",E257&lt;0),-E257,0))</f>
      </c>
      <c r="M257" s="47">
        <f>IF(A257="",0,IF(AND(J257="Yes",E257&gt;0),E257,0))</f>
      </c>
      <c r="N257">
        <f>IF(A257="","",IF(D257="Category Pending","Needs categorization",IF(COUNTIFS($A$2:A257,A257,$B$2:B257,B257,$E$2:E257,E257)&gt;1,"Possible duplicate","")))</f>
      </c>
    </row>
    <row r="258" spans="3:14" x14ac:dyDescent="0.3">
      <c r="A258"/>
      <c r="C258" s="16"/>
      <c r="G258" s="5">
        <f>IF(A258="","","Checking")</f>
      </c>
      <c r="H258">
        <f>IF(A258="","",IFERROR(XLOOKUP(D258,Setup!$E$15:$E$79,Setup!$F$15:$F$79),"Miscellaneous"))</f>
      </c>
      <c r="I258">
        <f>IF(A258="","",IFERROR(XLOOKUP(D258,Setup!$E$15:$E$79,Setup!$G$15:$G$79),"Uncategorized"))</f>
      </c>
      <c r="J258">
        <f>IF(A258="","",IF(OR(H258="Transfers",H258="Income",D258="Transfer",D258="Category Pending",F258="Pending"),"No","Yes"))</f>
      </c>
      <c r="K258" s="4">
        <f>IF(A258="","",TEXT(IF(DAY(A258)&gt;=Setup!$B$9,DATE(YEAR(A258),MONTH(A258)+1,1),DATE(YEAR(A258),MONTH(A258),1)),"mmmm yyyy"))</f>
      </c>
      <c r="L258" s="47">
        <f>IF(A258="",0,IF(AND(J258="Yes",E258&lt;0),-E258,0))</f>
      </c>
      <c r="M258" s="47">
        <f>IF(A258="",0,IF(AND(J258="Yes",E258&gt;0),E258,0))</f>
      </c>
      <c r="N258">
        <f>IF(A258="","",IF(D258="Category Pending","Needs categorization",IF(COUNTIFS($A$2:A258,A258,$B$2:B258,B258,$E$2:E258,E258)&gt;1,"Possible duplicate","")))</f>
      </c>
    </row>
    <row r="259" spans="3:14" x14ac:dyDescent="0.3">
      <c r="A259"/>
      <c r="C259" s="16"/>
      <c r="G259" s="5">
        <f>IF(A259="","","Checking")</f>
      </c>
      <c r="H259">
        <f>IF(A259="","",IFERROR(XLOOKUP(D259,Setup!$E$15:$E$79,Setup!$F$15:$F$79),"Miscellaneous"))</f>
      </c>
      <c r="I259">
        <f>IF(A259="","",IFERROR(XLOOKUP(D259,Setup!$E$15:$E$79,Setup!$G$15:$G$79),"Uncategorized"))</f>
      </c>
      <c r="J259">
        <f>IF(A259="","",IF(OR(H259="Transfers",H259="Income",D259="Transfer",D259="Category Pending",F259="Pending"),"No","Yes"))</f>
      </c>
      <c r="K259" s="4">
        <f>IF(A259="","",TEXT(IF(DAY(A259)&gt;=Setup!$B$9,DATE(YEAR(A259),MONTH(A259)+1,1),DATE(YEAR(A259),MONTH(A259),1)),"mmmm yyyy"))</f>
      </c>
      <c r="L259" s="47">
        <f>IF(A259="",0,IF(AND(J259="Yes",E259&lt;0),-E259,0))</f>
      </c>
      <c r="M259" s="47">
        <f>IF(A259="",0,IF(AND(J259="Yes",E259&gt;0),E259,0))</f>
      </c>
      <c r="N259">
        <f>IF(A259="","",IF(D259="Category Pending","Needs categorization",IF(COUNTIFS($A$2:A259,A259,$B$2:B259,B259,$E$2:E259,E259)&gt;1,"Possible duplicate","")))</f>
      </c>
    </row>
    <row r="260" spans="3:14" x14ac:dyDescent="0.3">
      <c r="A260"/>
      <c r="C260" s="16"/>
      <c r="G260" s="5">
        <f>IF(A260="","","Checking")</f>
      </c>
      <c r="H260">
        <f>IF(A260="","",IFERROR(XLOOKUP(D260,Setup!$E$15:$E$79,Setup!$F$15:$F$79),"Miscellaneous"))</f>
      </c>
      <c r="I260">
        <f>IF(A260="","",IFERROR(XLOOKUP(D260,Setup!$E$15:$E$79,Setup!$G$15:$G$79),"Uncategorized"))</f>
      </c>
      <c r="J260">
        <f>IF(A260="","",IF(OR(H260="Transfers",H260="Income",D260="Transfer",D260="Category Pending",F260="Pending"),"No","Yes"))</f>
      </c>
      <c r="K260" s="4">
        <f>IF(A260="","",TEXT(IF(DAY(A260)&gt;=Setup!$B$9,DATE(YEAR(A260),MONTH(A260)+1,1),DATE(YEAR(A260),MONTH(A260),1)),"mmmm yyyy"))</f>
      </c>
      <c r="L260" s="47">
        <f>IF(A260="",0,IF(AND(J260="Yes",E260&lt;0),-E260,0))</f>
      </c>
      <c r="M260" s="47">
        <f>IF(A260="",0,IF(AND(J260="Yes",E260&gt;0),E260,0))</f>
      </c>
      <c r="N260">
        <f>IF(A260="","",IF(D260="Category Pending","Needs categorization",IF(COUNTIFS($A$2:A260,A260,$B$2:B260,B260,$E$2:E260,E260)&gt;1,"Possible duplicate","")))</f>
      </c>
    </row>
    <row r="261" spans="3:14" x14ac:dyDescent="0.3">
      <c r="A261"/>
      <c r="C261" s="16"/>
      <c r="G261" s="5">
        <f>IF(A261="","","Checking")</f>
      </c>
      <c r="H261">
        <f>IF(A261="","",IFERROR(XLOOKUP(D261,Setup!$E$15:$E$79,Setup!$F$15:$F$79),"Miscellaneous"))</f>
      </c>
      <c r="I261">
        <f>IF(A261="","",IFERROR(XLOOKUP(D261,Setup!$E$15:$E$79,Setup!$G$15:$G$79),"Uncategorized"))</f>
      </c>
      <c r="J261">
        <f>IF(A261="","",IF(OR(H261="Transfers",H261="Income",D261="Transfer",D261="Category Pending",F261="Pending"),"No","Yes"))</f>
      </c>
      <c r="K261" s="4">
        <f>IF(A261="","",TEXT(IF(DAY(A261)&gt;=Setup!$B$9,DATE(YEAR(A261),MONTH(A261)+1,1),DATE(YEAR(A261),MONTH(A261),1)),"mmmm yyyy"))</f>
      </c>
      <c r="L261" s="47">
        <f>IF(A261="",0,IF(AND(J261="Yes",E261&lt;0),-E261,0))</f>
      </c>
      <c r="M261" s="47">
        <f>IF(A261="",0,IF(AND(J261="Yes",E261&gt;0),E261,0))</f>
      </c>
      <c r="N261">
        <f>IF(A261="","",IF(D261="Category Pending","Needs categorization",IF(COUNTIFS($A$2:A261,A261,$B$2:B261,B261,$E$2:E261,E261)&gt;1,"Possible duplicate","")))</f>
      </c>
    </row>
    <row r="262" spans="3:14" x14ac:dyDescent="0.3">
      <c r="A262"/>
      <c r="C262" s="16"/>
      <c r="G262" s="5">
        <f>IF(A262="","","Checking")</f>
      </c>
      <c r="H262">
        <f>IF(A262="","",IFERROR(XLOOKUP(D262,Setup!$E$15:$E$79,Setup!$F$15:$F$79),"Miscellaneous"))</f>
      </c>
      <c r="I262">
        <f>IF(A262="","",IFERROR(XLOOKUP(D262,Setup!$E$15:$E$79,Setup!$G$15:$G$79),"Uncategorized"))</f>
      </c>
      <c r="J262">
        <f>IF(A262="","",IF(OR(H262="Transfers",H262="Income",D262="Transfer",D262="Category Pending",F262="Pending"),"No","Yes"))</f>
      </c>
      <c r="K262" s="4">
        <f>IF(A262="","",TEXT(IF(DAY(A262)&gt;=Setup!$B$9,DATE(YEAR(A262),MONTH(A262)+1,1),DATE(YEAR(A262),MONTH(A262),1)),"mmmm yyyy"))</f>
      </c>
      <c r="L262" s="47">
        <f>IF(A262="",0,IF(AND(J262="Yes",E262&lt;0),-E262,0))</f>
      </c>
      <c r="M262" s="47">
        <f>IF(A262="",0,IF(AND(J262="Yes",E262&gt;0),E262,0))</f>
      </c>
      <c r="N262">
        <f>IF(A262="","",IF(D262="Category Pending","Needs categorization",IF(COUNTIFS($A$2:A262,A262,$B$2:B262,B262,$E$2:E262,E262)&gt;1,"Possible duplicate","")))</f>
      </c>
    </row>
    <row r="263" spans="3:14" x14ac:dyDescent="0.3">
      <c r="A263"/>
      <c r="C263" s="16"/>
      <c r="G263" s="5">
        <f>IF(A263="","","Checking")</f>
      </c>
      <c r="H263">
        <f>IF(A263="","",IFERROR(XLOOKUP(D263,Setup!$E$15:$E$79,Setup!$F$15:$F$79),"Miscellaneous"))</f>
      </c>
      <c r="I263">
        <f>IF(A263="","",IFERROR(XLOOKUP(D263,Setup!$E$15:$E$79,Setup!$G$15:$G$79),"Uncategorized"))</f>
      </c>
      <c r="J263">
        <f>IF(A263="","",IF(OR(H263="Transfers",H263="Income",D263="Transfer",D263="Category Pending",F263="Pending"),"No","Yes"))</f>
      </c>
      <c r="K263" s="4">
        <f>IF(A263="","",TEXT(IF(DAY(A263)&gt;=Setup!$B$9,DATE(YEAR(A263),MONTH(A263)+1,1),DATE(YEAR(A263),MONTH(A263),1)),"mmmm yyyy"))</f>
      </c>
      <c r="L263" s="47">
        <f>IF(A263="",0,IF(AND(J263="Yes",E263&lt;0),-E263,0))</f>
      </c>
      <c r="M263" s="47">
        <f>IF(A263="",0,IF(AND(J263="Yes",E263&gt;0),E263,0))</f>
      </c>
      <c r="N263">
        <f>IF(A263="","",IF(D263="Category Pending","Needs categorization",IF(COUNTIFS($A$2:A263,A263,$B$2:B263,B263,$E$2:E263,E263)&gt;1,"Possible duplicate","")))</f>
      </c>
    </row>
    <row r="264" spans="3:14" x14ac:dyDescent="0.3">
      <c r="A264"/>
      <c r="C264" s="16"/>
      <c r="G264" s="5">
        <f>IF(A264="","","Checking")</f>
      </c>
      <c r="H264">
        <f>IF(A264="","",IFERROR(XLOOKUP(D264,Setup!$E$15:$E$79,Setup!$F$15:$F$79),"Miscellaneous"))</f>
      </c>
      <c r="I264">
        <f>IF(A264="","",IFERROR(XLOOKUP(D264,Setup!$E$15:$E$79,Setup!$G$15:$G$79),"Uncategorized"))</f>
      </c>
      <c r="J264">
        <f>IF(A264="","",IF(OR(H264="Transfers",H264="Income",D264="Transfer",D264="Category Pending",F264="Pending"),"No","Yes"))</f>
      </c>
      <c r="K264" s="4">
        <f>IF(A264="","",TEXT(IF(DAY(A264)&gt;=Setup!$B$9,DATE(YEAR(A264),MONTH(A264)+1,1),DATE(YEAR(A264),MONTH(A264),1)),"mmmm yyyy"))</f>
      </c>
      <c r="L264" s="47">
        <f>IF(A264="",0,IF(AND(J264="Yes",E264&lt;0),-E264,0))</f>
      </c>
      <c r="M264" s="47">
        <f>IF(A264="",0,IF(AND(J264="Yes",E264&gt;0),E264,0))</f>
      </c>
      <c r="N264">
        <f>IF(A264="","",IF(D264="Category Pending","Needs categorization",IF(COUNTIFS($A$2:A264,A264,$B$2:B264,B264,$E$2:E264,E264)&gt;1,"Possible duplicate","")))</f>
      </c>
    </row>
    <row r="265" spans="3:14" x14ac:dyDescent="0.3">
      <c r="A265"/>
      <c r="C265" s="16"/>
      <c r="G265" s="5">
        <f>IF(A265="","","Checking")</f>
      </c>
      <c r="H265">
        <f>IF(A265="","",IFERROR(XLOOKUP(D265,Setup!$E$15:$E$79,Setup!$F$15:$F$79),"Miscellaneous"))</f>
      </c>
      <c r="I265">
        <f>IF(A265="","",IFERROR(XLOOKUP(D265,Setup!$E$15:$E$79,Setup!$G$15:$G$79),"Uncategorized"))</f>
      </c>
      <c r="J265">
        <f>IF(A265="","",IF(OR(H265="Transfers",H265="Income",D265="Transfer",D265="Category Pending",F265="Pending"),"No","Yes"))</f>
      </c>
      <c r="K265" s="4">
        <f>IF(A265="","",TEXT(IF(DAY(A265)&gt;=Setup!$B$9,DATE(YEAR(A265),MONTH(A265)+1,1),DATE(YEAR(A265),MONTH(A265),1)),"mmmm yyyy"))</f>
      </c>
      <c r="L265" s="47">
        <f>IF(A265="",0,IF(AND(J265="Yes",E265&lt;0),-E265,0))</f>
      </c>
      <c r="M265" s="47">
        <f>IF(A265="",0,IF(AND(J265="Yes",E265&gt;0),E265,0))</f>
      </c>
      <c r="N265">
        <f>IF(A265="","",IF(D265="Category Pending","Needs categorization",IF(COUNTIFS($A$2:A265,A265,$B$2:B265,B265,$E$2:E265,E265)&gt;1,"Possible duplicate","")))</f>
      </c>
    </row>
    <row r="266" spans="3:14" x14ac:dyDescent="0.3">
      <c r="A266"/>
      <c r="C266" s="16"/>
      <c r="G266" s="5">
        <f>IF(A266="","","Checking")</f>
      </c>
      <c r="H266">
        <f>IF(A266="","",IFERROR(XLOOKUP(D266,Setup!$E$15:$E$79,Setup!$F$15:$F$79),"Miscellaneous"))</f>
      </c>
      <c r="I266">
        <f>IF(A266="","",IFERROR(XLOOKUP(D266,Setup!$E$15:$E$79,Setup!$G$15:$G$79),"Uncategorized"))</f>
      </c>
      <c r="J266">
        <f>IF(A266="","",IF(OR(H266="Transfers",H266="Income",D266="Transfer",D266="Category Pending",F266="Pending"),"No","Yes"))</f>
      </c>
      <c r="K266" s="4">
        <f>IF(A266="","",TEXT(IF(DAY(A266)&gt;=Setup!$B$9,DATE(YEAR(A266),MONTH(A266)+1,1),DATE(YEAR(A266),MONTH(A266),1)),"mmmm yyyy"))</f>
      </c>
      <c r="L266" s="47">
        <f>IF(A266="",0,IF(AND(J266="Yes",E266&lt;0),-E266,0))</f>
      </c>
      <c r="M266" s="47">
        <f>IF(A266="",0,IF(AND(J266="Yes",E266&gt;0),E266,0))</f>
      </c>
      <c r="N266">
        <f>IF(A266="","",IF(D266="Category Pending","Needs categorization",IF(COUNTIFS($A$2:A266,A266,$B$2:B266,B266,$E$2:E266,E266)&gt;1,"Possible duplicate","")))</f>
      </c>
    </row>
    <row r="267" spans="3:14" x14ac:dyDescent="0.3">
      <c r="A267"/>
      <c r="C267" s="16"/>
      <c r="G267" s="5">
        <f>IF(A267="","","Checking")</f>
      </c>
      <c r="H267">
        <f>IF(A267="","",IFERROR(XLOOKUP(D267,Setup!$E$15:$E$79,Setup!$F$15:$F$79),"Miscellaneous"))</f>
      </c>
      <c r="I267">
        <f>IF(A267="","",IFERROR(XLOOKUP(D267,Setup!$E$15:$E$79,Setup!$G$15:$G$79),"Uncategorized"))</f>
      </c>
      <c r="J267">
        <f>IF(A267="","",IF(OR(H267="Transfers",H267="Income",D267="Transfer",D267="Category Pending",F267="Pending"),"No","Yes"))</f>
      </c>
      <c r="K267" s="4">
        <f>IF(A267="","",TEXT(IF(DAY(A267)&gt;=Setup!$B$9,DATE(YEAR(A267),MONTH(A267)+1,1),DATE(YEAR(A267),MONTH(A267),1)),"mmmm yyyy"))</f>
      </c>
      <c r="L267" s="47">
        <f>IF(A267="",0,IF(AND(J267="Yes",E267&lt;0),-E267,0))</f>
      </c>
      <c r="M267" s="47">
        <f>IF(A267="",0,IF(AND(J267="Yes",E267&gt;0),E267,0))</f>
      </c>
      <c r="N267">
        <f>IF(A267="","",IF(D267="Category Pending","Needs categorization",IF(COUNTIFS($A$2:A267,A267,$B$2:B267,B267,$E$2:E267,E267)&gt;1,"Possible duplicate","")))</f>
      </c>
    </row>
    <row r="268" spans="3:14" x14ac:dyDescent="0.3">
      <c r="A268"/>
      <c r="C268" s="16"/>
      <c r="G268" s="5">
        <f>IF(A268="","","Checking")</f>
      </c>
      <c r="H268">
        <f>IF(A268="","",IFERROR(XLOOKUP(D268,Setup!$E$15:$E$79,Setup!$F$15:$F$79),"Miscellaneous"))</f>
      </c>
      <c r="I268">
        <f>IF(A268="","",IFERROR(XLOOKUP(D268,Setup!$E$15:$E$79,Setup!$G$15:$G$79),"Uncategorized"))</f>
      </c>
      <c r="J268">
        <f>IF(A268="","",IF(OR(H268="Transfers",H268="Income",D268="Transfer",D268="Category Pending",F268="Pending"),"No","Yes"))</f>
      </c>
      <c r="K268" s="4">
        <f>IF(A268="","",TEXT(IF(DAY(A268)&gt;=Setup!$B$9,DATE(YEAR(A268),MONTH(A268)+1,1),DATE(YEAR(A268),MONTH(A268),1)),"mmmm yyyy"))</f>
      </c>
      <c r="L268" s="47">
        <f>IF(A268="",0,IF(AND(J268="Yes",E268&lt;0),-E268,0))</f>
      </c>
      <c r="M268" s="47">
        <f>IF(A268="",0,IF(AND(J268="Yes",E268&gt;0),E268,0))</f>
      </c>
      <c r="N268">
        <f>IF(A268="","",IF(D268="Category Pending","Needs categorization",IF(COUNTIFS($A$2:A268,A268,$B$2:B268,B268,$E$2:E268,E268)&gt;1,"Possible duplicate","")))</f>
      </c>
    </row>
    <row r="269" spans="3:14" x14ac:dyDescent="0.3">
      <c r="A269"/>
      <c r="C269" s="16"/>
      <c r="G269" s="5">
        <f>IF(A269="","","Checking")</f>
      </c>
      <c r="H269">
        <f>IF(A269="","",IFERROR(XLOOKUP(D269,Setup!$E$15:$E$79,Setup!$F$15:$F$79),"Miscellaneous"))</f>
      </c>
      <c r="I269">
        <f>IF(A269="","",IFERROR(XLOOKUP(D269,Setup!$E$15:$E$79,Setup!$G$15:$G$79),"Uncategorized"))</f>
      </c>
      <c r="J269">
        <f>IF(A269="","",IF(OR(H269="Transfers",H269="Income",D269="Transfer",D269="Category Pending",F269="Pending"),"No","Yes"))</f>
      </c>
      <c r="K269" s="4">
        <f>IF(A269="","",TEXT(IF(DAY(A269)&gt;=Setup!$B$9,DATE(YEAR(A269),MONTH(A269)+1,1),DATE(YEAR(A269),MONTH(A269),1)),"mmmm yyyy"))</f>
      </c>
      <c r="L269" s="47">
        <f>IF(A269="",0,IF(AND(J269="Yes",E269&lt;0),-E269,0))</f>
      </c>
      <c r="M269" s="47">
        <f>IF(A269="",0,IF(AND(J269="Yes",E269&gt;0),E269,0))</f>
      </c>
      <c r="N269">
        <f>IF(A269="","",IF(D269="Category Pending","Needs categorization",IF(COUNTIFS($A$2:A269,A269,$B$2:B269,B269,$E$2:E269,E269)&gt;1,"Possible duplicate","")))</f>
      </c>
    </row>
    <row r="270" spans="3:14" x14ac:dyDescent="0.3">
      <c r="A270"/>
      <c r="C270" s="16"/>
      <c r="G270" s="5">
        <f>IF(A270="","","Checking")</f>
      </c>
      <c r="H270">
        <f>IF(A270="","",IFERROR(XLOOKUP(D270,Setup!$E$15:$E$79,Setup!$F$15:$F$79),"Miscellaneous"))</f>
      </c>
      <c r="I270">
        <f>IF(A270="","",IFERROR(XLOOKUP(D270,Setup!$E$15:$E$79,Setup!$G$15:$G$79),"Uncategorized"))</f>
      </c>
      <c r="J270">
        <f>IF(A270="","",IF(OR(H270="Transfers",H270="Income",D270="Transfer",D270="Category Pending",F270="Pending"),"No","Yes"))</f>
      </c>
      <c r="K270" s="4">
        <f>IF(A270="","",TEXT(IF(DAY(A270)&gt;=Setup!$B$9,DATE(YEAR(A270),MONTH(A270)+1,1),DATE(YEAR(A270),MONTH(A270),1)),"mmmm yyyy"))</f>
      </c>
      <c r="L270" s="47">
        <f>IF(A270="",0,IF(AND(J270="Yes",E270&lt;0),-E270,0))</f>
      </c>
      <c r="M270" s="47">
        <f>IF(A270="",0,IF(AND(J270="Yes",E270&gt;0),E270,0))</f>
      </c>
      <c r="N270">
        <f>IF(A270="","",IF(D270="Category Pending","Needs categorization",IF(COUNTIFS($A$2:A270,A270,$B$2:B270,B270,$E$2:E270,E270)&gt;1,"Possible duplicate","")))</f>
      </c>
    </row>
    <row r="271" spans="3:14" x14ac:dyDescent="0.3">
      <c r="A271"/>
      <c r="C271" s="16"/>
      <c r="G271" s="5">
        <f>IF(A271="","","Checking")</f>
      </c>
      <c r="H271">
        <f>IF(A271="","",IFERROR(XLOOKUP(D271,Setup!$E$15:$E$79,Setup!$F$15:$F$79),"Miscellaneous"))</f>
      </c>
      <c r="I271">
        <f>IF(A271="","",IFERROR(XLOOKUP(D271,Setup!$E$15:$E$79,Setup!$G$15:$G$79),"Uncategorized"))</f>
      </c>
      <c r="J271">
        <f>IF(A271="","",IF(OR(H271="Transfers",H271="Income",D271="Transfer",D271="Category Pending",F271="Pending"),"No","Yes"))</f>
      </c>
      <c r="K271" s="4">
        <f>IF(A271="","",TEXT(IF(DAY(A271)&gt;=Setup!$B$9,DATE(YEAR(A271),MONTH(A271)+1,1),DATE(YEAR(A271),MONTH(A271),1)),"mmmm yyyy"))</f>
      </c>
      <c r="L271" s="47">
        <f>IF(A271="",0,IF(AND(J271="Yes",E271&lt;0),-E271,0))</f>
      </c>
      <c r="M271" s="47">
        <f>IF(A271="",0,IF(AND(J271="Yes",E271&gt;0),E271,0))</f>
      </c>
      <c r="N271">
        <f>IF(A271="","",IF(D271="Category Pending","Needs categorization",IF(COUNTIFS($A$2:A271,A271,$B$2:B271,B271,$E$2:E271,E271)&gt;1,"Possible duplicate","")))</f>
      </c>
    </row>
    <row r="272" spans="3:14" x14ac:dyDescent="0.3">
      <c r="A272"/>
      <c r="C272" s="16"/>
      <c r="G272" s="5">
        <f>IF(A272="","","Checking")</f>
      </c>
      <c r="H272">
        <f>IF(A272="","",IFERROR(XLOOKUP(D272,Setup!$E$15:$E$79,Setup!$F$15:$F$79),"Miscellaneous"))</f>
      </c>
      <c r="I272">
        <f>IF(A272="","",IFERROR(XLOOKUP(D272,Setup!$E$15:$E$79,Setup!$G$15:$G$79),"Uncategorized"))</f>
      </c>
      <c r="J272">
        <f>IF(A272="","",IF(OR(H272="Transfers",H272="Income",D272="Transfer",D272="Category Pending",F272="Pending"),"No","Yes"))</f>
      </c>
      <c r="K272" s="4">
        <f>IF(A272="","",TEXT(IF(DAY(A272)&gt;=Setup!$B$9,DATE(YEAR(A272),MONTH(A272)+1,1),DATE(YEAR(A272),MONTH(A272),1)),"mmmm yyyy"))</f>
      </c>
      <c r="L272" s="47">
        <f>IF(A272="",0,IF(AND(J272="Yes",E272&lt;0),-E272,0))</f>
      </c>
      <c r="M272" s="47">
        <f>IF(A272="",0,IF(AND(J272="Yes",E272&gt;0),E272,0))</f>
      </c>
      <c r="N272">
        <f>IF(A272="","",IF(D272="Category Pending","Needs categorization",IF(COUNTIFS($A$2:A272,A272,$B$2:B272,B272,$E$2:E272,E272)&gt;1,"Possible duplicate","")))</f>
      </c>
    </row>
    <row r="273" spans="3:14" x14ac:dyDescent="0.3">
      <c r="A273"/>
      <c r="C273" s="16"/>
      <c r="G273" s="5">
        <f>IF(A273="","","Checking")</f>
      </c>
      <c r="H273">
        <f>IF(A273="","",IFERROR(XLOOKUP(D273,Setup!$E$15:$E$79,Setup!$F$15:$F$79),"Miscellaneous"))</f>
      </c>
      <c r="I273">
        <f>IF(A273="","",IFERROR(XLOOKUP(D273,Setup!$E$15:$E$79,Setup!$G$15:$G$79),"Uncategorized"))</f>
      </c>
      <c r="J273">
        <f>IF(A273="","",IF(OR(H273="Transfers",H273="Income",D273="Transfer",D273="Category Pending",F273="Pending"),"No","Yes"))</f>
      </c>
      <c r="K273" s="4">
        <f>IF(A273="","",TEXT(IF(DAY(A273)&gt;=Setup!$B$9,DATE(YEAR(A273),MONTH(A273)+1,1),DATE(YEAR(A273),MONTH(A273),1)),"mmmm yyyy"))</f>
      </c>
      <c r="L273" s="47">
        <f>IF(A273="",0,IF(AND(J273="Yes",E273&lt;0),-E273,0))</f>
      </c>
      <c r="M273" s="47">
        <f>IF(A273="",0,IF(AND(J273="Yes",E273&gt;0),E273,0))</f>
      </c>
      <c r="N273">
        <f>IF(A273="","",IF(D273="Category Pending","Needs categorization",IF(COUNTIFS($A$2:A273,A273,$B$2:B273,B273,$E$2:E273,E273)&gt;1,"Possible duplicate","")))</f>
      </c>
    </row>
    <row r="274" spans="3:14" x14ac:dyDescent="0.3">
      <c r="A274"/>
      <c r="C274" s="16"/>
      <c r="G274" s="5">
        <f>IF(A274="","","Checking")</f>
      </c>
      <c r="H274">
        <f>IF(A274="","",IFERROR(XLOOKUP(D274,Setup!$E$15:$E$79,Setup!$F$15:$F$79),"Miscellaneous"))</f>
      </c>
      <c r="I274">
        <f>IF(A274="","",IFERROR(XLOOKUP(D274,Setup!$E$15:$E$79,Setup!$G$15:$G$79),"Uncategorized"))</f>
      </c>
      <c r="J274">
        <f>IF(A274="","",IF(OR(H274="Transfers",H274="Income",D274="Transfer",D274="Category Pending",F274="Pending"),"No","Yes"))</f>
      </c>
      <c r="K274" s="4">
        <f>IF(A274="","",TEXT(IF(DAY(A274)&gt;=Setup!$B$9,DATE(YEAR(A274),MONTH(A274)+1,1),DATE(YEAR(A274),MONTH(A274),1)),"mmmm yyyy"))</f>
      </c>
      <c r="L274" s="47">
        <f>IF(A274="",0,IF(AND(J274="Yes",E274&lt;0),-E274,0))</f>
      </c>
      <c r="M274" s="47">
        <f>IF(A274="",0,IF(AND(J274="Yes",E274&gt;0),E274,0))</f>
      </c>
      <c r="N274">
        <f>IF(A274="","",IF(D274="Category Pending","Needs categorization",IF(COUNTIFS($A$2:A274,A274,$B$2:B274,B274,$E$2:E274,E274)&gt;1,"Possible duplicate","")))</f>
      </c>
    </row>
    <row r="275" spans="3:14" x14ac:dyDescent="0.3">
      <c r="A275"/>
      <c r="C275" s="16"/>
      <c r="G275" s="5">
        <f>IF(A275="","","Checking")</f>
      </c>
      <c r="H275">
        <f>IF(A275="","",IFERROR(XLOOKUP(D275,Setup!$E$15:$E$79,Setup!$F$15:$F$79),"Miscellaneous"))</f>
      </c>
      <c r="I275">
        <f>IF(A275="","",IFERROR(XLOOKUP(D275,Setup!$E$15:$E$79,Setup!$G$15:$G$79),"Uncategorized"))</f>
      </c>
      <c r="J275">
        <f>IF(A275="","",IF(OR(H275="Transfers",H275="Income",D275="Transfer",D275="Category Pending",F275="Pending"),"No","Yes"))</f>
      </c>
      <c r="K275" s="4">
        <f>IF(A275="","",TEXT(IF(DAY(A275)&gt;=Setup!$B$9,DATE(YEAR(A275),MONTH(A275)+1,1),DATE(YEAR(A275),MONTH(A275),1)),"mmmm yyyy"))</f>
      </c>
      <c r="L275" s="47">
        <f>IF(A275="",0,IF(AND(J275="Yes",E275&lt;0),-E275,0))</f>
      </c>
      <c r="M275" s="47">
        <f>IF(A275="",0,IF(AND(J275="Yes",E275&gt;0),E275,0))</f>
      </c>
      <c r="N275">
        <f>IF(A275="","",IF(D275="Category Pending","Needs categorization",IF(COUNTIFS($A$2:A275,A275,$B$2:B275,B275,$E$2:E275,E275)&gt;1,"Possible duplicate","")))</f>
      </c>
    </row>
    <row r="276" spans="3:14" x14ac:dyDescent="0.3">
      <c r="A276"/>
      <c r="C276" s="16"/>
      <c r="G276" s="5">
        <f>IF(A276="","","Checking")</f>
      </c>
      <c r="H276">
        <f>IF(A276="","",IFERROR(XLOOKUP(D276,Setup!$E$15:$E$79,Setup!$F$15:$F$79),"Miscellaneous"))</f>
      </c>
      <c r="I276">
        <f>IF(A276="","",IFERROR(XLOOKUP(D276,Setup!$E$15:$E$79,Setup!$G$15:$G$79),"Uncategorized"))</f>
      </c>
      <c r="J276">
        <f>IF(A276="","",IF(OR(H276="Transfers",H276="Income",D276="Transfer",D276="Category Pending",F276="Pending"),"No","Yes"))</f>
      </c>
      <c r="K276" s="4">
        <f>IF(A276="","",TEXT(IF(DAY(A276)&gt;=Setup!$B$9,DATE(YEAR(A276),MONTH(A276)+1,1),DATE(YEAR(A276),MONTH(A276),1)),"mmmm yyyy"))</f>
      </c>
      <c r="L276" s="47">
        <f>IF(A276="",0,IF(AND(J276="Yes",E276&lt;0),-E276,0))</f>
      </c>
      <c r="M276" s="47">
        <f>IF(A276="",0,IF(AND(J276="Yes",E276&gt;0),E276,0))</f>
      </c>
      <c r="N276">
        <f>IF(A276="","",IF(D276="Category Pending","Needs categorization",IF(COUNTIFS($A$2:A276,A276,$B$2:B276,B276,$E$2:E276,E276)&gt;1,"Possible duplicate","")))</f>
      </c>
    </row>
    <row r="277" spans="3:14" x14ac:dyDescent="0.3">
      <c r="A277"/>
      <c r="C277" s="16"/>
      <c r="G277" s="5">
        <f>IF(A277="","","Checking")</f>
      </c>
      <c r="H277">
        <f>IF(A277="","",IFERROR(XLOOKUP(D277,Setup!$E$15:$E$79,Setup!$F$15:$F$79),"Miscellaneous"))</f>
      </c>
      <c r="I277">
        <f>IF(A277="","",IFERROR(XLOOKUP(D277,Setup!$E$15:$E$79,Setup!$G$15:$G$79),"Uncategorized"))</f>
      </c>
      <c r="J277">
        <f>IF(A277="","",IF(OR(H277="Transfers",H277="Income",D277="Transfer",D277="Category Pending",F277="Pending"),"No","Yes"))</f>
      </c>
      <c r="K277" s="4">
        <f>IF(A277="","",TEXT(IF(DAY(A277)&gt;=Setup!$B$9,DATE(YEAR(A277),MONTH(A277)+1,1),DATE(YEAR(A277),MONTH(A277),1)),"mmmm yyyy"))</f>
      </c>
      <c r="L277" s="47">
        <f>IF(A277="",0,IF(AND(J277="Yes",E277&lt;0),-E277,0))</f>
      </c>
      <c r="M277" s="47">
        <f>IF(A277="",0,IF(AND(J277="Yes",E277&gt;0),E277,0))</f>
      </c>
      <c r="N277">
        <f>IF(A277="","",IF(D277="Category Pending","Needs categorization",IF(COUNTIFS($A$2:A277,A277,$B$2:B277,B277,$E$2:E277,E277)&gt;1,"Possible duplicate","")))</f>
      </c>
    </row>
    <row r="278" spans="3:14" x14ac:dyDescent="0.3">
      <c r="A278"/>
      <c r="C278" s="16"/>
      <c r="G278" s="5">
        <f>IF(A278="","","Checking")</f>
      </c>
      <c r="H278">
        <f>IF(A278="","",IFERROR(XLOOKUP(D278,Setup!$E$15:$E$79,Setup!$F$15:$F$79),"Miscellaneous"))</f>
      </c>
      <c r="I278">
        <f>IF(A278="","",IFERROR(XLOOKUP(D278,Setup!$E$15:$E$79,Setup!$G$15:$G$79),"Uncategorized"))</f>
      </c>
      <c r="J278">
        <f>IF(A278="","",IF(OR(H278="Transfers",H278="Income",D278="Transfer",D278="Category Pending",F278="Pending"),"No","Yes"))</f>
      </c>
      <c r="K278" s="4">
        <f>IF(A278="","",TEXT(IF(DAY(A278)&gt;=Setup!$B$9,DATE(YEAR(A278),MONTH(A278)+1,1),DATE(YEAR(A278),MONTH(A278),1)),"mmmm yyyy"))</f>
      </c>
      <c r="L278" s="47">
        <f>IF(A278="",0,IF(AND(J278="Yes",E278&lt;0),-E278,0))</f>
      </c>
      <c r="M278" s="47">
        <f>IF(A278="",0,IF(AND(J278="Yes",E278&gt;0),E278,0))</f>
      </c>
      <c r="N278">
        <f>IF(A278="","",IF(D278="Category Pending","Needs categorization",IF(COUNTIFS($A$2:A278,A278,$B$2:B278,B278,$E$2:E278,E278)&gt;1,"Possible duplicate","")))</f>
      </c>
    </row>
    <row r="279" spans="3:14" x14ac:dyDescent="0.3">
      <c r="A279"/>
      <c r="C279" s="16"/>
      <c r="G279" s="5">
        <f>IF(A279="","","Checking")</f>
      </c>
      <c r="H279">
        <f>IF(A279="","",IFERROR(XLOOKUP(D279,Setup!$E$15:$E$79,Setup!$F$15:$F$79),"Miscellaneous"))</f>
      </c>
      <c r="I279">
        <f>IF(A279="","",IFERROR(XLOOKUP(D279,Setup!$E$15:$E$79,Setup!$G$15:$G$79),"Uncategorized"))</f>
      </c>
      <c r="J279">
        <f>IF(A279="","",IF(OR(H279="Transfers",H279="Income",D279="Transfer",D279="Category Pending",F279="Pending"),"No","Yes"))</f>
      </c>
      <c r="K279" s="4">
        <f>IF(A279="","",TEXT(IF(DAY(A279)&gt;=Setup!$B$9,DATE(YEAR(A279),MONTH(A279)+1,1),DATE(YEAR(A279),MONTH(A279),1)),"mmmm yyyy"))</f>
      </c>
      <c r="L279" s="47">
        <f>IF(A279="",0,IF(AND(J279="Yes",E279&lt;0),-E279,0))</f>
      </c>
      <c r="M279" s="47">
        <f>IF(A279="",0,IF(AND(J279="Yes",E279&gt;0),E279,0))</f>
      </c>
      <c r="N279">
        <f>IF(A279="","",IF(D279="Category Pending","Needs categorization",IF(COUNTIFS($A$2:A279,A279,$B$2:B279,B279,$E$2:E279,E279)&gt;1,"Possible duplicate","")))</f>
      </c>
    </row>
    <row r="280" spans="3:14" x14ac:dyDescent="0.3">
      <c r="A280"/>
      <c r="C280" s="16"/>
      <c r="G280" s="5">
        <f>IF(A280="","","Checking")</f>
      </c>
      <c r="H280">
        <f>IF(A280="","",IFERROR(XLOOKUP(D280,Setup!$E$15:$E$79,Setup!$F$15:$F$79),"Miscellaneous"))</f>
      </c>
      <c r="I280">
        <f>IF(A280="","",IFERROR(XLOOKUP(D280,Setup!$E$15:$E$79,Setup!$G$15:$G$79),"Uncategorized"))</f>
      </c>
      <c r="J280">
        <f>IF(A280="","",IF(OR(H280="Transfers",H280="Income",D280="Transfer",D280="Category Pending",F280="Pending"),"No","Yes"))</f>
      </c>
      <c r="K280" s="4">
        <f>IF(A280="","",TEXT(IF(DAY(A280)&gt;=Setup!$B$9,DATE(YEAR(A280),MONTH(A280)+1,1),DATE(YEAR(A280),MONTH(A280),1)),"mmmm yyyy"))</f>
      </c>
      <c r="L280" s="47">
        <f>IF(A280="",0,IF(AND(J280="Yes",E280&lt;0),-E280,0))</f>
      </c>
      <c r="M280" s="47">
        <f>IF(A280="",0,IF(AND(J280="Yes",E280&gt;0),E280,0))</f>
      </c>
      <c r="N280">
        <f>IF(A280="","",IF(D280="Category Pending","Needs categorization",IF(COUNTIFS($A$2:A280,A280,$B$2:B280,B280,$E$2:E280,E280)&gt;1,"Possible duplicate","")))</f>
      </c>
    </row>
    <row r="281" spans="3:14" x14ac:dyDescent="0.3">
      <c r="A281"/>
      <c r="C281" s="16"/>
      <c r="G281" s="5">
        <f>IF(A281="","","Checking")</f>
      </c>
      <c r="H281">
        <f>IF(A281="","",IFERROR(XLOOKUP(D281,Setup!$E$15:$E$79,Setup!$F$15:$F$79),"Miscellaneous"))</f>
      </c>
      <c r="I281">
        <f>IF(A281="","",IFERROR(XLOOKUP(D281,Setup!$E$15:$E$79,Setup!$G$15:$G$79),"Uncategorized"))</f>
      </c>
      <c r="J281">
        <f>IF(A281="","",IF(OR(H281="Transfers",H281="Income",D281="Transfer",D281="Category Pending",F281="Pending"),"No","Yes"))</f>
      </c>
      <c r="K281" s="4">
        <f>IF(A281="","",TEXT(IF(DAY(A281)&gt;=Setup!$B$9,DATE(YEAR(A281),MONTH(A281)+1,1),DATE(YEAR(A281),MONTH(A281),1)),"mmmm yyyy"))</f>
      </c>
      <c r="L281" s="47">
        <f>IF(A281="",0,IF(AND(J281="Yes",E281&lt;0),-E281,0))</f>
      </c>
      <c r="M281" s="47">
        <f>IF(A281="",0,IF(AND(J281="Yes",E281&gt;0),E281,0))</f>
      </c>
      <c r="N281">
        <f>IF(A281="","",IF(D281="Category Pending","Needs categorization",IF(COUNTIFS($A$2:A281,A281,$B$2:B281,B281,$E$2:E281,E281)&gt;1,"Possible duplicate","")))</f>
      </c>
    </row>
    <row r="282" spans="3:14" x14ac:dyDescent="0.3">
      <c r="A282"/>
      <c r="C282" s="16"/>
      <c r="G282" s="5">
        <f>IF(A282="","","Checking")</f>
      </c>
      <c r="H282">
        <f>IF(A282="","",IFERROR(XLOOKUP(D282,Setup!$E$15:$E$79,Setup!$F$15:$F$79),"Miscellaneous"))</f>
      </c>
      <c r="I282">
        <f>IF(A282="","",IFERROR(XLOOKUP(D282,Setup!$E$15:$E$79,Setup!$G$15:$G$79),"Uncategorized"))</f>
      </c>
      <c r="J282">
        <f>IF(A282="","",IF(OR(H282="Transfers",H282="Income",D282="Transfer",D282="Category Pending",F282="Pending"),"No","Yes"))</f>
      </c>
      <c r="K282" s="4">
        <f>IF(A282="","",TEXT(IF(DAY(A282)&gt;=Setup!$B$9,DATE(YEAR(A282),MONTH(A282)+1,1),DATE(YEAR(A282),MONTH(A282),1)),"mmmm yyyy"))</f>
      </c>
      <c r="L282" s="47">
        <f>IF(A282="",0,IF(AND(J282="Yes",E282&lt;0),-E282,0))</f>
      </c>
      <c r="M282" s="47">
        <f>IF(A282="",0,IF(AND(J282="Yes",E282&gt;0),E282,0))</f>
      </c>
      <c r="N282">
        <f>IF(A282="","",IF(D282="Category Pending","Needs categorization",IF(COUNTIFS($A$2:A282,A282,$B$2:B282,B282,$E$2:E282,E282)&gt;1,"Possible duplicate","")))</f>
      </c>
    </row>
    <row r="283" spans="3:14" x14ac:dyDescent="0.3">
      <c r="A283"/>
      <c r="C283" s="16"/>
      <c r="G283" s="5">
        <f>IF(A283="","","Checking")</f>
      </c>
      <c r="H283">
        <f>IF(A283="","",IFERROR(XLOOKUP(D283,Setup!$E$15:$E$79,Setup!$F$15:$F$79),"Miscellaneous"))</f>
      </c>
      <c r="I283">
        <f>IF(A283="","",IFERROR(XLOOKUP(D283,Setup!$E$15:$E$79,Setup!$G$15:$G$79),"Uncategorized"))</f>
      </c>
      <c r="J283">
        <f>IF(A283="","",IF(OR(H283="Transfers",H283="Income",D283="Transfer",D283="Category Pending",F283="Pending"),"No","Yes"))</f>
      </c>
      <c r="K283" s="4">
        <f>IF(A283="","",TEXT(IF(DAY(A283)&gt;=Setup!$B$9,DATE(YEAR(A283),MONTH(A283)+1,1),DATE(YEAR(A283),MONTH(A283),1)),"mmmm yyyy"))</f>
      </c>
      <c r="L283" s="47">
        <f>IF(A283="",0,IF(AND(J283="Yes",E283&lt;0),-E283,0))</f>
      </c>
      <c r="M283" s="47">
        <f>IF(A283="",0,IF(AND(J283="Yes",E283&gt;0),E283,0))</f>
      </c>
      <c r="N283">
        <f>IF(A283="","",IF(D283="Category Pending","Needs categorization",IF(COUNTIFS($A$2:A283,A283,$B$2:B283,B283,$E$2:E283,E283)&gt;1,"Possible duplicate","")))</f>
      </c>
    </row>
    <row r="284" spans="3:14" x14ac:dyDescent="0.3">
      <c r="A284"/>
      <c r="C284" s="16"/>
      <c r="G284" s="5">
        <f>IF(A284="","","Checking")</f>
      </c>
      <c r="H284">
        <f>IF(A284="","",IFERROR(XLOOKUP(D284,Setup!$E$15:$E$79,Setup!$F$15:$F$79),"Miscellaneous"))</f>
      </c>
      <c r="I284">
        <f>IF(A284="","",IFERROR(XLOOKUP(D284,Setup!$E$15:$E$79,Setup!$G$15:$G$79),"Uncategorized"))</f>
      </c>
      <c r="J284">
        <f>IF(A284="","",IF(OR(H284="Transfers",H284="Income",D284="Transfer",D284="Category Pending",F284="Pending"),"No","Yes"))</f>
      </c>
      <c r="K284" s="4">
        <f>IF(A284="","",TEXT(IF(DAY(A284)&gt;=Setup!$B$9,DATE(YEAR(A284),MONTH(A284)+1,1),DATE(YEAR(A284),MONTH(A284),1)),"mmmm yyyy"))</f>
      </c>
      <c r="L284" s="47">
        <f>IF(A284="",0,IF(AND(J284="Yes",E284&lt;0),-E284,0))</f>
      </c>
      <c r="M284" s="47">
        <f>IF(A284="",0,IF(AND(J284="Yes",E284&gt;0),E284,0))</f>
      </c>
      <c r="N284">
        <f>IF(A284="","",IF(D284="Category Pending","Needs categorization",IF(COUNTIFS($A$2:A284,A284,$B$2:B284,B284,$E$2:E284,E284)&gt;1,"Possible duplicate","")))</f>
      </c>
    </row>
    <row r="285" spans="3:14" x14ac:dyDescent="0.3">
      <c r="A285"/>
      <c r="C285" s="16"/>
      <c r="G285" s="5">
        <f>IF(A285="","","Checking")</f>
      </c>
      <c r="H285">
        <f>IF(A285="","",IFERROR(XLOOKUP(D285,Setup!$E$15:$E$79,Setup!$F$15:$F$79),"Miscellaneous"))</f>
      </c>
      <c r="I285">
        <f>IF(A285="","",IFERROR(XLOOKUP(D285,Setup!$E$15:$E$79,Setup!$G$15:$G$79),"Uncategorized"))</f>
      </c>
      <c r="J285">
        <f>IF(A285="","",IF(OR(H285="Transfers",H285="Income",D285="Transfer",D285="Category Pending",F285="Pending"),"No","Yes"))</f>
      </c>
      <c r="K285" s="4">
        <f>IF(A285="","",TEXT(IF(DAY(A285)&gt;=Setup!$B$9,DATE(YEAR(A285),MONTH(A285)+1,1),DATE(YEAR(A285),MONTH(A285),1)),"mmmm yyyy"))</f>
      </c>
      <c r="L285" s="47">
        <f>IF(A285="",0,IF(AND(J285="Yes",E285&lt;0),-E285,0))</f>
      </c>
      <c r="M285" s="47">
        <f>IF(A285="",0,IF(AND(J285="Yes",E285&gt;0),E285,0))</f>
      </c>
      <c r="N285">
        <f>IF(A285="","",IF(D285="Category Pending","Needs categorization",IF(COUNTIFS($A$2:A285,A285,$B$2:B285,B285,$E$2:E285,E285)&gt;1,"Possible duplicate","")))</f>
      </c>
    </row>
    <row r="286" spans="3:14" x14ac:dyDescent="0.3">
      <c r="A286"/>
      <c r="C286" s="16"/>
      <c r="G286" s="5">
        <f>IF(A286="","","Checking")</f>
      </c>
      <c r="H286">
        <f>IF(A286="","",IFERROR(XLOOKUP(D286,Setup!$E$15:$E$79,Setup!$F$15:$F$79),"Miscellaneous"))</f>
      </c>
      <c r="I286">
        <f>IF(A286="","",IFERROR(XLOOKUP(D286,Setup!$E$15:$E$79,Setup!$G$15:$G$79),"Uncategorized"))</f>
      </c>
      <c r="J286">
        <f>IF(A286="","",IF(OR(H286="Transfers",H286="Income",D286="Transfer",D286="Category Pending",F286="Pending"),"No","Yes"))</f>
      </c>
      <c r="K286" s="4">
        <f>IF(A286="","",TEXT(IF(DAY(A286)&gt;=Setup!$B$9,DATE(YEAR(A286),MONTH(A286)+1,1),DATE(YEAR(A286),MONTH(A286),1)),"mmmm yyyy"))</f>
      </c>
      <c r="L286" s="47">
        <f>IF(A286="",0,IF(AND(J286="Yes",E286&lt;0),-E286,0))</f>
      </c>
      <c r="M286" s="47">
        <f>IF(A286="",0,IF(AND(J286="Yes",E286&gt;0),E286,0))</f>
      </c>
      <c r="N286">
        <f>IF(A286="","",IF(D286="Category Pending","Needs categorization",IF(COUNTIFS($A$2:A286,A286,$B$2:B286,B286,$E$2:E286,E286)&gt;1,"Possible duplicate","")))</f>
      </c>
    </row>
    <row r="287" spans="3:14" x14ac:dyDescent="0.3">
      <c r="A287"/>
      <c r="C287" s="16"/>
      <c r="G287" s="5">
        <f>IF(A287="","","Checking")</f>
      </c>
      <c r="H287">
        <f>IF(A287="","",IFERROR(XLOOKUP(D287,Setup!$E$15:$E$79,Setup!$F$15:$F$79),"Miscellaneous"))</f>
      </c>
      <c r="I287">
        <f>IF(A287="","",IFERROR(XLOOKUP(D287,Setup!$E$15:$E$79,Setup!$G$15:$G$79),"Uncategorized"))</f>
      </c>
      <c r="J287">
        <f>IF(A287="","",IF(OR(H287="Transfers",H287="Income",D287="Transfer",D287="Category Pending",F287="Pending"),"No","Yes"))</f>
      </c>
      <c r="K287" s="4">
        <f>IF(A287="","",TEXT(IF(DAY(A287)&gt;=Setup!$B$9,DATE(YEAR(A287),MONTH(A287)+1,1),DATE(YEAR(A287),MONTH(A287),1)),"mmmm yyyy"))</f>
      </c>
      <c r="L287" s="47">
        <f>IF(A287="",0,IF(AND(J287="Yes",E287&lt;0),-E287,0))</f>
      </c>
      <c r="M287" s="47">
        <f>IF(A287="",0,IF(AND(J287="Yes",E287&gt;0),E287,0))</f>
      </c>
      <c r="N287">
        <f>IF(A287="","",IF(D287="Category Pending","Needs categorization",IF(COUNTIFS($A$2:A287,A287,$B$2:B287,B287,$E$2:E287,E287)&gt;1,"Possible duplicate","")))</f>
      </c>
    </row>
    <row r="288" spans="3:14" x14ac:dyDescent="0.3">
      <c r="A288"/>
      <c r="C288" s="16"/>
      <c r="G288" s="5">
        <f>IF(A288="","","Checking")</f>
      </c>
      <c r="H288">
        <f>IF(A288="","",IFERROR(XLOOKUP(D288,Setup!$E$15:$E$79,Setup!$F$15:$F$79),"Miscellaneous"))</f>
      </c>
      <c r="I288">
        <f>IF(A288="","",IFERROR(XLOOKUP(D288,Setup!$E$15:$E$79,Setup!$G$15:$G$79),"Uncategorized"))</f>
      </c>
      <c r="J288">
        <f>IF(A288="","",IF(OR(H288="Transfers",H288="Income",D288="Transfer",D288="Category Pending",F288="Pending"),"No","Yes"))</f>
      </c>
      <c r="K288" s="4">
        <f>IF(A288="","",TEXT(IF(DAY(A288)&gt;=Setup!$B$9,DATE(YEAR(A288),MONTH(A288)+1,1),DATE(YEAR(A288),MONTH(A288),1)),"mmmm yyyy"))</f>
      </c>
      <c r="L288" s="47">
        <f>IF(A288="",0,IF(AND(J288="Yes",E288&lt;0),-E288,0))</f>
      </c>
      <c r="M288" s="47">
        <f>IF(A288="",0,IF(AND(J288="Yes",E288&gt;0),E288,0))</f>
      </c>
      <c r="N288">
        <f>IF(A288="","",IF(D288="Category Pending","Needs categorization",IF(COUNTIFS($A$2:A288,A288,$B$2:B288,B288,$E$2:E288,E288)&gt;1,"Possible duplicate","")))</f>
      </c>
    </row>
    <row r="289" spans="3:14" x14ac:dyDescent="0.3">
      <c r="A289"/>
      <c r="C289" s="16"/>
      <c r="G289" s="5">
        <f>IF(A289="","","Checking")</f>
      </c>
      <c r="H289">
        <f>IF(A289="","",IFERROR(XLOOKUP(D289,Setup!$E$15:$E$79,Setup!$F$15:$F$79),"Miscellaneous"))</f>
      </c>
      <c r="I289">
        <f>IF(A289="","",IFERROR(XLOOKUP(D289,Setup!$E$15:$E$79,Setup!$G$15:$G$79),"Uncategorized"))</f>
      </c>
      <c r="J289">
        <f>IF(A289="","",IF(OR(H289="Transfers",H289="Income",D289="Transfer",D289="Category Pending",F289="Pending"),"No","Yes"))</f>
      </c>
      <c r="K289" s="4">
        <f>IF(A289="","",TEXT(IF(DAY(A289)&gt;=Setup!$B$9,DATE(YEAR(A289),MONTH(A289)+1,1),DATE(YEAR(A289),MONTH(A289),1)),"mmmm yyyy"))</f>
      </c>
      <c r="L289" s="47">
        <f>IF(A289="",0,IF(AND(J289="Yes",E289&lt;0),-E289,0))</f>
      </c>
      <c r="M289" s="47">
        <f>IF(A289="",0,IF(AND(J289="Yes",E289&gt;0),E289,0))</f>
      </c>
      <c r="N289">
        <f>IF(A289="","",IF(D289="Category Pending","Needs categorization",IF(COUNTIFS($A$2:A289,A289,$B$2:B289,B289,$E$2:E289,E289)&gt;1,"Possible duplicate","")))</f>
      </c>
    </row>
    <row r="290" spans="3:14" x14ac:dyDescent="0.3">
      <c r="A290"/>
      <c r="C290" s="16"/>
      <c r="G290" s="5">
        <f>IF(A290="","","Checking")</f>
      </c>
      <c r="H290">
        <f>IF(A290="","",IFERROR(XLOOKUP(D290,Setup!$E$15:$E$79,Setup!$F$15:$F$79),"Miscellaneous"))</f>
      </c>
      <c r="I290">
        <f>IF(A290="","",IFERROR(XLOOKUP(D290,Setup!$E$15:$E$79,Setup!$G$15:$G$79),"Uncategorized"))</f>
      </c>
      <c r="J290">
        <f>IF(A290="","",IF(OR(H290="Transfers",H290="Income",D290="Transfer",D290="Category Pending",F290="Pending"),"No","Yes"))</f>
      </c>
      <c r="K290" s="4">
        <f>IF(A290="","",TEXT(IF(DAY(A290)&gt;=Setup!$B$9,DATE(YEAR(A290),MONTH(A290)+1,1),DATE(YEAR(A290),MONTH(A290),1)),"mmmm yyyy"))</f>
      </c>
      <c r="L290" s="47">
        <f>IF(A290="",0,IF(AND(J290="Yes",E290&lt;0),-E290,0))</f>
      </c>
      <c r="M290" s="47">
        <f>IF(A290="",0,IF(AND(J290="Yes",E290&gt;0),E290,0))</f>
      </c>
      <c r="N290">
        <f>IF(A290="","",IF(D290="Category Pending","Needs categorization",IF(COUNTIFS($A$2:A290,A290,$B$2:B290,B290,$E$2:E290,E290)&gt;1,"Possible duplicate","")))</f>
      </c>
    </row>
    <row r="291" spans="3:14" x14ac:dyDescent="0.3">
      <c r="A291"/>
      <c r="C291" s="16"/>
      <c r="G291" s="5">
        <f>IF(A291="","","Checking")</f>
      </c>
      <c r="H291">
        <f>IF(A291="","",IFERROR(XLOOKUP(D291,Setup!$E$15:$E$79,Setup!$F$15:$F$79),"Miscellaneous"))</f>
      </c>
      <c r="I291">
        <f>IF(A291="","",IFERROR(XLOOKUP(D291,Setup!$E$15:$E$79,Setup!$G$15:$G$79),"Uncategorized"))</f>
      </c>
      <c r="J291">
        <f>IF(A291="","",IF(OR(H291="Transfers",H291="Income",D291="Transfer",D291="Category Pending",F291="Pending"),"No","Yes"))</f>
      </c>
      <c r="K291" s="4">
        <f>IF(A291="","",TEXT(IF(DAY(A291)&gt;=Setup!$B$9,DATE(YEAR(A291),MONTH(A291)+1,1),DATE(YEAR(A291),MONTH(A291),1)),"mmmm yyyy"))</f>
      </c>
      <c r="L291" s="47">
        <f>IF(A291="",0,IF(AND(J291="Yes",E291&lt;0),-E291,0))</f>
      </c>
      <c r="M291" s="47">
        <f>IF(A291="",0,IF(AND(J291="Yes",E291&gt;0),E291,0))</f>
      </c>
      <c r="N291">
        <f>IF(A291="","",IF(D291="Category Pending","Needs categorization",IF(COUNTIFS($A$2:A291,A291,$B$2:B291,B291,$E$2:E291,E291)&gt;1,"Possible duplicate","")))</f>
      </c>
    </row>
    <row r="292" spans="3:14" x14ac:dyDescent="0.3">
      <c r="A292"/>
      <c r="C292" s="16"/>
      <c r="G292" s="5">
        <f>IF(A292="","","Checking")</f>
      </c>
      <c r="H292">
        <f>IF(A292="","",IFERROR(XLOOKUP(D292,Setup!$E$15:$E$79,Setup!$F$15:$F$79),"Miscellaneous"))</f>
      </c>
      <c r="I292">
        <f>IF(A292="","",IFERROR(XLOOKUP(D292,Setup!$E$15:$E$79,Setup!$G$15:$G$79),"Uncategorized"))</f>
      </c>
      <c r="J292">
        <f>IF(A292="","",IF(OR(H292="Transfers",H292="Income",D292="Transfer",D292="Category Pending",F292="Pending"),"No","Yes"))</f>
      </c>
      <c r="K292" s="4">
        <f>IF(A292="","",TEXT(IF(DAY(A292)&gt;=Setup!$B$9,DATE(YEAR(A292),MONTH(A292)+1,1),DATE(YEAR(A292),MONTH(A292),1)),"mmmm yyyy"))</f>
      </c>
      <c r="L292" s="47">
        <f>IF(A292="",0,IF(AND(J292="Yes",E292&lt;0),-E292,0))</f>
      </c>
      <c r="M292" s="47">
        <f>IF(A292="",0,IF(AND(J292="Yes",E292&gt;0),E292,0))</f>
      </c>
      <c r="N292">
        <f>IF(A292="","",IF(D292="Category Pending","Needs categorization",IF(COUNTIFS($A$2:A292,A292,$B$2:B292,B292,$E$2:E292,E292)&gt;1,"Possible duplicate","")))</f>
      </c>
    </row>
    <row r="293" spans="3:14" x14ac:dyDescent="0.3">
      <c r="A293"/>
      <c r="C293" s="16"/>
      <c r="G293" s="5">
        <f>IF(A293="","","Checking")</f>
      </c>
      <c r="H293">
        <f>IF(A293="","",IFERROR(XLOOKUP(D293,Setup!$E$15:$E$79,Setup!$F$15:$F$79),"Miscellaneous"))</f>
      </c>
      <c r="I293">
        <f>IF(A293="","",IFERROR(XLOOKUP(D293,Setup!$E$15:$E$79,Setup!$G$15:$G$79),"Uncategorized"))</f>
      </c>
      <c r="J293">
        <f>IF(A293="","",IF(OR(H293="Transfers",H293="Income",D293="Transfer",D293="Category Pending",F293="Pending"),"No","Yes"))</f>
      </c>
      <c r="K293" s="4">
        <f>IF(A293="","",TEXT(IF(DAY(A293)&gt;=Setup!$B$9,DATE(YEAR(A293),MONTH(A293)+1,1),DATE(YEAR(A293),MONTH(A293),1)),"mmmm yyyy"))</f>
      </c>
      <c r="L293" s="47">
        <f>IF(A293="",0,IF(AND(J293="Yes",E293&lt;0),-E293,0))</f>
      </c>
      <c r="M293" s="47">
        <f>IF(A293="",0,IF(AND(J293="Yes",E293&gt;0),E293,0))</f>
      </c>
      <c r="N293">
        <f>IF(A293="","",IF(D293="Category Pending","Needs categorization",IF(COUNTIFS($A$2:A293,A293,$B$2:B293,B293,$E$2:E293,E293)&gt;1,"Possible duplicate","")))</f>
      </c>
    </row>
    <row r="294" spans="3:14" x14ac:dyDescent="0.3">
      <c r="A294"/>
      <c r="C294" s="16"/>
      <c r="G294" s="5">
        <f>IF(A294="","","Checking")</f>
      </c>
      <c r="H294">
        <f>IF(A294="","",IFERROR(XLOOKUP(D294,Setup!$E$15:$E$79,Setup!$F$15:$F$79),"Miscellaneous"))</f>
      </c>
      <c r="I294">
        <f>IF(A294="","",IFERROR(XLOOKUP(D294,Setup!$E$15:$E$79,Setup!$G$15:$G$79),"Uncategorized"))</f>
      </c>
      <c r="J294">
        <f>IF(A294="","",IF(OR(H294="Transfers",H294="Income",D294="Transfer",D294="Category Pending",F294="Pending"),"No","Yes"))</f>
      </c>
      <c r="K294" s="4">
        <f>IF(A294="","",TEXT(IF(DAY(A294)&gt;=Setup!$B$9,DATE(YEAR(A294),MONTH(A294)+1,1),DATE(YEAR(A294),MONTH(A294),1)),"mmmm yyyy"))</f>
      </c>
      <c r="L294" s="47">
        <f>IF(A294="",0,IF(AND(J294="Yes",E294&lt;0),-E294,0))</f>
      </c>
      <c r="M294" s="47">
        <f>IF(A294="",0,IF(AND(J294="Yes",E294&gt;0),E294,0))</f>
      </c>
      <c r="N294">
        <f>IF(A294="","",IF(D294="Category Pending","Needs categorization",IF(COUNTIFS($A$2:A294,A294,$B$2:B294,B294,$E$2:E294,E294)&gt;1,"Possible duplicate","")))</f>
      </c>
    </row>
    <row r="295" spans="3:14" x14ac:dyDescent="0.3">
      <c r="A295"/>
      <c r="C295" s="16"/>
      <c r="G295" s="5">
        <f>IF(A295="","","Checking")</f>
      </c>
      <c r="H295">
        <f>IF(A295="","",IFERROR(XLOOKUP(D295,Setup!$E$15:$E$79,Setup!$F$15:$F$79),"Miscellaneous"))</f>
      </c>
      <c r="I295">
        <f>IF(A295="","",IFERROR(XLOOKUP(D295,Setup!$E$15:$E$79,Setup!$G$15:$G$79),"Uncategorized"))</f>
      </c>
      <c r="J295">
        <f>IF(A295="","",IF(OR(H295="Transfers",H295="Income",D295="Transfer",D295="Category Pending",F295="Pending"),"No","Yes"))</f>
      </c>
      <c r="K295" s="4">
        <f>IF(A295="","",TEXT(IF(DAY(A295)&gt;=Setup!$B$9,DATE(YEAR(A295),MONTH(A295)+1,1),DATE(YEAR(A295),MONTH(A295),1)),"mmmm yyyy"))</f>
      </c>
      <c r="L295" s="47">
        <f>IF(A295="",0,IF(AND(J295="Yes",E295&lt;0),-E295,0))</f>
      </c>
      <c r="M295" s="47">
        <f>IF(A295="",0,IF(AND(J295="Yes",E295&gt;0),E295,0))</f>
      </c>
      <c r="N295">
        <f>IF(A295="","",IF(D295="Category Pending","Needs categorization",IF(COUNTIFS($A$2:A295,A295,$B$2:B295,B295,$E$2:E295,E295)&gt;1,"Possible duplicate","")))</f>
      </c>
    </row>
    <row r="296" spans="3:14" x14ac:dyDescent="0.3">
      <c r="A296"/>
      <c r="C296" s="16"/>
      <c r="G296" s="5">
        <f>IF(A296="","","Checking")</f>
      </c>
      <c r="H296">
        <f>IF(A296="","",IFERROR(XLOOKUP(D296,Setup!$E$15:$E$79,Setup!$F$15:$F$79),"Miscellaneous"))</f>
      </c>
      <c r="I296">
        <f>IF(A296="","",IFERROR(XLOOKUP(D296,Setup!$E$15:$E$79,Setup!$G$15:$G$79),"Uncategorized"))</f>
      </c>
      <c r="J296">
        <f>IF(A296="","",IF(OR(H296="Transfers",H296="Income",D296="Transfer",D296="Category Pending",F296="Pending"),"No","Yes"))</f>
      </c>
      <c r="K296" s="4">
        <f>IF(A296="","",TEXT(IF(DAY(A296)&gt;=Setup!$B$9,DATE(YEAR(A296),MONTH(A296)+1,1),DATE(YEAR(A296),MONTH(A296),1)),"mmmm yyyy"))</f>
      </c>
      <c r="L296" s="47">
        <f>IF(A296="",0,IF(AND(J296="Yes",E296&lt;0),-E296,0))</f>
      </c>
      <c r="M296" s="47">
        <f>IF(A296="",0,IF(AND(J296="Yes",E296&gt;0),E296,0))</f>
      </c>
      <c r="N296">
        <f>IF(A296="","",IF(D296="Category Pending","Needs categorization",IF(COUNTIFS($A$2:A296,A296,$B$2:B296,B296,$E$2:E296,E296)&gt;1,"Possible duplicate","")))</f>
      </c>
    </row>
    <row r="297" spans="3:14" x14ac:dyDescent="0.3">
      <c r="A297"/>
      <c r="C297" s="16"/>
      <c r="G297" s="5">
        <f>IF(A297="","","Checking")</f>
      </c>
      <c r="H297">
        <f>IF(A297="","",IFERROR(XLOOKUP(D297,Setup!$E$15:$E$79,Setup!$F$15:$F$79),"Miscellaneous"))</f>
      </c>
      <c r="I297">
        <f>IF(A297="","",IFERROR(XLOOKUP(D297,Setup!$E$15:$E$79,Setup!$G$15:$G$79),"Uncategorized"))</f>
      </c>
      <c r="J297">
        <f>IF(A297="","",IF(OR(H297="Transfers",H297="Income",D297="Transfer",D297="Category Pending",F297="Pending"),"No","Yes"))</f>
      </c>
      <c r="K297" s="4">
        <f>IF(A297="","",TEXT(IF(DAY(A297)&gt;=Setup!$B$9,DATE(YEAR(A297),MONTH(A297)+1,1),DATE(YEAR(A297),MONTH(A297),1)),"mmmm yyyy"))</f>
      </c>
      <c r="L297" s="47">
        <f>IF(A297="",0,IF(AND(J297="Yes",E297&lt;0),-E297,0))</f>
      </c>
      <c r="M297" s="47">
        <f>IF(A297="",0,IF(AND(J297="Yes",E297&gt;0),E297,0))</f>
      </c>
      <c r="N297">
        <f>IF(A297="","",IF(D297="Category Pending","Needs categorization",IF(COUNTIFS($A$2:A297,A297,$B$2:B297,B297,$E$2:E297,E297)&gt;1,"Possible duplicate","")))</f>
      </c>
    </row>
    <row r="298" spans="3:14" x14ac:dyDescent="0.3">
      <c r="A298"/>
      <c r="C298" s="16"/>
      <c r="G298" s="5">
        <f>IF(A298="","","Checking")</f>
      </c>
      <c r="H298">
        <f>IF(A298="","",IFERROR(XLOOKUP(D298,Setup!$E$15:$E$79,Setup!$F$15:$F$79),"Miscellaneous"))</f>
      </c>
      <c r="I298">
        <f>IF(A298="","",IFERROR(XLOOKUP(D298,Setup!$E$15:$E$79,Setup!$G$15:$G$79),"Uncategorized"))</f>
      </c>
      <c r="J298">
        <f>IF(A298="","",IF(OR(H298="Transfers",H298="Income",D298="Transfer",D298="Category Pending",F298="Pending"),"No","Yes"))</f>
      </c>
      <c r="K298" s="4">
        <f>IF(A298="","",TEXT(IF(DAY(A298)&gt;=Setup!$B$9,DATE(YEAR(A298),MONTH(A298)+1,1),DATE(YEAR(A298),MONTH(A298),1)),"mmmm yyyy"))</f>
      </c>
      <c r="L298" s="47">
        <f>IF(A298="",0,IF(AND(J298="Yes",E298&lt;0),-E298,0))</f>
      </c>
      <c r="M298" s="47">
        <f>IF(A298="",0,IF(AND(J298="Yes",E298&gt;0),E298,0))</f>
      </c>
      <c r="N298">
        <f>IF(A298="","",IF(D298="Category Pending","Needs categorization",IF(COUNTIFS($A$2:A298,A298,$B$2:B298,B298,$E$2:E298,E298)&gt;1,"Possible duplicate","")))</f>
      </c>
    </row>
    <row r="299" spans="3:14" x14ac:dyDescent="0.3">
      <c r="A299"/>
      <c r="C299" s="16"/>
      <c r="G299" s="5">
        <f>IF(A299="","","Checking")</f>
      </c>
      <c r="H299">
        <f>IF(A299="","",IFERROR(XLOOKUP(D299,Setup!$E$15:$E$79,Setup!$F$15:$F$79),"Miscellaneous"))</f>
      </c>
      <c r="I299">
        <f>IF(A299="","",IFERROR(XLOOKUP(D299,Setup!$E$15:$E$79,Setup!$G$15:$G$79),"Uncategorized"))</f>
      </c>
      <c r="J299">
        <f>IF(A299="","",IF(OR(H299="Transfers",H299="Income",D299="Transfer",D299="Category Pending",F299="Pending"),"No","Yes"))</f>
      </c>
      <c r="K299" s="4">
        <f>IF(A299="","",TEXT(IF(DAY(A299)&gt;=Setup!$B$9,DATE(YEAR(A299),MONTH(A299)+1,1),DATE(YEAR(A299),MONTH(A299),1)),"mmmm yyyy"))</f>
      </c>
      <c r="L299" s="47">
        <f>IF(A299="",0,IF(AND(J299="Yes",E299&lt;0),-E299,0))</f>
      </c>
      <c r="M299" s="47">
        <f>IF(A299="",0,IF(AND(J299="Yes",E299&gt;0),E299,0))</f>
      </c>
      <c r="N299">
        <f>IF(A299="","",IF(D299="Category Pending","Needs categorization",IF(COUNTIFS($A$2:A299,A299,$B$2:B299,B299,$E$2:E299,E299)&gt;1,"Possible duplicate","")))</f>
      </c>
    </row>
    <row r="300" spans="3:14" x14ac:dyDescent="0.3">
      <c r="A300"/>
      <c r="C300" s="16"/>
      <c r="G300" s="5">
        <f>IF(A300="","","Checking")</f>
      </c>
      <c r="H300">
        <f>IF(A300="","",IFERROR(XLOOKUP(D300,Setup!$E$15:$E$79,Setup!$F$15:$F$79),"Miscellaneous"))</f>
      </c>
      <c r="I300">
        <f>IF(A300="","",IFERROR(XLOOKUP(D300,Setup!$E$15:$E$79,Setup!$G$15:$G$79),"Uncategorized"))</f>
      </c>
      <c r="J300">
        <f>IF(A300="","",IF(OR(H300="Transfers",H300="Income",D300="Transfer",D300="Category Pending",F300="Pending"),"No","Yes"))</f>
      </c>
      <c r="K300" s="4">
        <f>IF(A300="","",TEXT(IF(DAY(A300)&gt;=Setup!$B$9,DATE(YEAR(A300),MONTH(A300)+1,1),DATE(YEAR(A300),MONTH(A300),1)),"mmmm yyyy"))</f>
      </c>
      <c r="L300" s="47">
        <f>IF(A300="",0,IF(AND(J300="Yes",E300&lt;0),-E300,0))</f>
      </c>
      <c r="M300" s="47">
        <f>IF(A300="",0,IF(AND(J300="Yes",E300&gt;0),E300,0))</f>
      </c>
      <c r="N300">
        <f>IF(A300="","",IF(D300="Category Pending","Needs categorization",IF(COUNTIFS($A$2:A300,A300,$B$2:B300,B300,$E$2:E300,E300)&gt;1,"Possible duplicate","")))</f>
      </c>
    </row>
    <row r="301" spans="3:14" x14ac:dyDescent="0.3">
      <c r="A301"/>
      <c r="C301" s="16"/>
      <c r="G301" s="5">
        <f>IF(A301="","","Checking")</f>
      </c>
      <c r="H301">
        <f>IF(A301="","",IFERROR(XLOOKUP(D301,Setup!$E$15:$E$79,Setup!$F$15:$F$79),"Miscellaneous"))</f>
      </c>
      <c r="I301">
        <f>IF(A301="","",IFERROR(XLOOKUP(D301,Setup!$E$15:$E$79,Setup!$G$15:$G$79),"Uncategorized"))</f>
      </c>
      <c r="J301">
        <f>IF(A301="","",IF(OR(H301="Transfers",H301="Income",D301="Transfer",D301="Category Pending",F301="Pending"),"No","Yes"))</f>
      </c>
      <c r="K301" s="4">
        <f>IF(A301="","",TEXT(IF(DAY(A301)&gt;=Setup!$B$9,DATE(YEAR(A301),MONTH(A301)+1,1),DATE(YEAR(A301),MONTH(A301),1)),"mmmm yyyy"))</f>
      </c>
      <c r="L301" s="47">
        <f>IF(A301="",0,IF(AND(J301="Yes",E301&lt;0),-E301,0))</f>
      </c>
      <c r="M301" s="47">
        <f>IF(A301="",0,IF(AND(J301="Yes",E301&gt;0),E301,0))</f>
      </c>
      <c r="N301">
        <f>IF(A301="","",IF(D301="Category Pending","Needs categorization",IF(COUNTIFS($A$2:A301,A301,$B$2:B301,B301,$E$2:E301,E301)&gt;1,"Possible duplicate","")))</f>
      </c>
    </row>
    <row r="302" spans="3:14" x14ac:dyDescent="0.3">
      <c r="A302"/>
      <c r="C302" s="16"/>
      <c r="G302" s="5">
        <f>IF(A302="","","Checking")</f>
      </c>
      <c r="H302">
        <f>IF(A302="","",IFERROR(XLOOKUP(D302,Setup!$E$15:$E$79,Setup!$F$15:$F$79),"Miscellaneous"))</f>
      </c>
      <c r="I302">
        <f>IF(A302="","",IFERROR(XLOOKUP(D302,Setup!$E$15:$E$79,Setup!$G$15:$G$79),"Uncategorized"))</f>
      </c>
      <c r="J302">
        <f>IF(A302="","",IF(OR(H302="Transfers",H302="Income",D302="Transfer",D302="Category Pending",F302="Pending"),"No","Yes"))</f>
      </c>
      <c r="K302" s="4">
        <f>IF(A302="","",TEXT(IF(DAY(A302)&gt;=Setup!$B$9,DATE(YEAR(A302),MONTH(A302)+1,1),DATE(YEAR(A302),MONTH(A302),1)),"mmmm yyyy"))</f>
      </c>
      <c r="L302" s="47">
        <f>IF(A302="",0,IF(AND(J302="Yes",E302&lt;0),-E302,0))</f>
      </c>
      <c r="M302" s="47">
        <f>IF(A302="",0,IF(AND(J302="Yes",E302&gt;0),E302,0))</f>
      </c>
      <c r="N302">
        <f>IF(A302="","",IF(D302="Category Pending","Needs categorization",IF(COUNTIFS($A$2:A302,A302,$B$2:B302,B302,$E$2:E302,E302)&gt;1,"Possible duplicate","")))</f>
      </c>
    </row>
    <row r="303" spans="3:14" x14ac:dyDescent="0.3">
      <c r="A303"/>
      <c r="C303" s="16"/>
      <c r="G303" s="5">
        <f>IF(A303="","","Checking")</f>
      </c>
      <c r="H303">
        <f>IF(A303="","",IFERROR(XLOOKUP(D303,Setup!$E$15:$E$79,Setup!$F$15:$F$79),"Miscellaneous"))</f>
      </c>
      <c r="I303">
        <f>IF(A303="","",IFERROR(XLOOKUP(D303,Setup!$E$15:$E$79,Setup!$G$15:$G$79),"Uncategorized"))</f>
      </c>
      <c r="J303">
        <f>IF(A303="","",IF(OR(H303="Transfers",H303="Income",D303="Transfer",D303="Category Pending",F303="Pending"),"No","Yes"))</f>
      </c>
      <c r="K303" s="4">
        <f>IF(A303="","",TEXT(IF(DAY(A303)&gt;=Setup!$B$9,DATE(YEAR(A303),MONTH(A303)+1,1),DATE(YEAR(A303),MONTH(A303),1)),"mmmm yyyy"))</f>
      </c>
      <c r="L303" s="47">
        <f>IF(A303="",0,IF(AND(J303="Yes",E303&lt;0),-E303,0))</f>
      </c>
      <c r="M303" s="47">
        <f>IF(A303="",0,IF(AND(J303="Yes",E303&gt;0),E303,0))</f>
      </c>
      <c r="N303">
        <f>IF(A303="","",IF(D303="Category Pending","Needs categorization",IF(COUNTIFS($A$2:A303,A303,$B$2:B303,B303,$E$2:E303,E303)&gt;1,"Possible duplicate","")))</f>
      </c>
    </row>
    <row r="304" spans="3:14" x14ac:dyDescent="0.3">
      <c r="A304"/>
      <c r="C304" s="16"/>
      <c r="G304" s="5">
        <f>IF(A304="","","Checking")</f>
      </c>
      <c r="H304">
        <f>IF(A304="","",IFERROR(XLOOKUP(D304,Setup!$E$15:$E$79,Setup!$F$15:$F$79),"Miscellaneous"))</f>
      </c>
      <c r="I304">
        <f>IF(A304="","",IFERROR(XLOOKUP(D304,Setup!$E$15:$E$79,Setup!$G$15:$G$79),"Uncategorized"))</f>
      </c>
      <c r="J304">
        <f>IF(A304="","",IF(OR(H304="Transfers",H304="Income",D304="Transfer",D304="Category Pending",F304="Pending"),"No","Yes"))</f>
      </c>
      <c r="K304" s="4">
        <f>IF(A304="","",TEXT(IF(DAY(A304)&gt;=Setup!$B$9,DATE(YEAR(A304),MONTH(A304)+1,1),DATE(YEAR(A304),MONTH(A304),1)),"mmmm yyyy"))</f>
      </c>
      <c r="L304" s="47">
        <f>IF(A304="",0,IF(AND(J304="Yes",E304&lt;0),-E304,0))</f>
      </c>
      <c r="M304" s="47">
        <f>IF(A304="",0,IF(AND(J304="Yes",E304&gt;0),E304,0))</f>
      </c>
      <c r="N304">
        <f>IF(A304="","",IF(D304="Category Pending","Needs categorization",IF(COUNTIFS($A$2:A304,A304,$B$2:B304,B304,$E$2:E304,E304)&gt;1,"Possible duplicate","")))</f>
      </c>
    </row>
    <row r="305" spans="3:14" x14ac:dyDescent="0.3">
      <c r="A305"/>
      <c r="C305" s="16"/>
      <c r="G305" s="5">
        <f>IF(A305="","","Checking")</f>
      </c>
      <c r="H305">
        <f>IF(A305="","",IFERROR(XLOOKUP(D305,Setup!$E$15:$E$79,Setup!$F$15:$F$79),"Miscellaneous"))</f>
      </c>
      <c r="I305">
        <f>IF(A305="","",IFERROR(XLOOKUP(D305,Setup!$E$15:$E$79,Setup!$G$15:$G$79),"Uncategorized"))</f>
      </c>
      <c r="J305">
        <f>IF(A305="","",IF(OR(H305="Transfers",H305="Income",D305="Transfer",D305="Category Pending",F305="Pending"),"No","Yes"))</f>
      </c>
      <c r="K305" s="4">
        <f>IF(A305="","",TEXT(IF(DAY(A305)&gt;=Setup!$B$9,DATE(YEAR(A305),MONTH(A305)+1,1),DATE(YEAR(A305),MONTH(A305),1)),"mmmm yyyy"))</f>
      </c>
      <c r="L305" s="47">
        <f>IF(A305="",0,IF(AND(J305="Yes",E305&lt;0),-E305,0))</f>
      </c>
      <c r="M305" s="47">
        <f>IF(A305="",0,IF(AND(J305="Yes",E305&gt;0),E305,0))</f>
      </c>
      <c r="N305">
        <f>IF(A305="","",IF(D305="Category Pending","Needs categorization",IF(COUNTIFS($A$2:A305,A305,$B$2:B305,B305,$E$2:E305,E305)&gt;1,"Possible duplicate","")))</f>
      </c>
    </row>
    <row r="306" spans="3:14" x14ac:dyDescent="0.3">
      <c r="A306"/>
      <c r="C306" s="16"/>
      <c r="G306" s="5">
        <f>IF(A306="","","Checking")</f>
      </c>
      <c r="H306">
        <f>IF(A306="","",IFERROR(XLOOKUP(D306,Setup!$E$15:$E$79,Setup!$F$15:$F$79),"Miscellaneous"))</f>
      </c>
      <c r="I306">
        <f>IF(A306="","",IFERROR(XLOOKUP(D306,Setup!$E$15:$E$79,Setup!$G$15:$G$79),"Uncategorized"))</f>
      </c>
      <c r="J306">
        <f>IF(A306="","",IF(OR(H306="Transfers",H306="Income",D306="Transfer",D306="Category Pending",F306="Pending"),"No","Yes"))</f>
      </c>
      <c r="K306" s="4">
        <f>IF(A306="","",TEXT(IF(DAY(A306)&gt;=Setup!$B$9,DATE(YEAR(A306),MONTH(A306)+1,1),DATE(YEAR(A306),MONTH(A306),1)),"mmmm yyyy"))</f>
      </c>
      <c r="L306" s="47">
        <f>IF(A306="",0,IF(AND(J306="Yes",E306&lt;0),-E306,0))</f>
      </c>
      <c r="M306" s="47">
        <f>IF(A306="",0,IF(AND(J306="Yes",E306&gt;0),E306,0))</f>
      </c>
      <c r="N306">
        <f>IF(A306="","",IF(D306="Category Pending","Needs categorization",IF(COUNTIFS($A$2:A306,A306,$B$2:B306,B306,$E$2:E306,E306)&gt;1,"Possible duplicate","")))</f>
      </c>
    </row>
    <row r="307" spans="3:14" x14ac:dyDescent="0.3">
      <c r="A307"/>
      <c r="C307" s="16"/>
      <c r="G307" s="5">
        <f>IF(A307="","","Checking")</f>
      </c>
      <c r="H307">
        <f>IF(A307="","",IFERROR(XLOOKUP(D307,Setup!$E$15:$E$79,Setup!$F$15:$F$79),"Miscellaneous"))</f>
      </c>
      <c r="I307">
        <f>IF(A307="","",IFERROR(XLOOKUP(D307,Setup!$E$15:$E$79,Setup!$G$15:$G$79),"Uncategorized"))</f>
      </c>
      <c r="J307">
        <f>IF(A307="","",IF(OR(H307="Transfers",H307="Income",D307="Transfer",D307="Category Pending",F307="Pending"),"No","Yes"))</f>
      </c>
      <c r="K307" s="4">
        <f>IF(A307="","",TEXT(IF(DAY(A307)&gt;=Setup!$B$9,DATE(YEAR(A307),MONTH(A307)+1,1),DATE(YEAR(A307),MONTH(A307),1)),"mmmm yyyy"))</f>
      </c>
      <c r="L307" s="47">
        <f>IF(A307="",0,IF(AND(J307="Yes",E307&lt;0),-E307,0))</f>
      </c>
      <c r="M307" s="47">
        <f>IF(A307="",0,IF(AND(J307="Yes",E307&gt;0),E307,0))</f>
      </c>
      <c r="N307">
        <f>IF(A307="","",IF(D307="Category Pending","Needs categorization",IF(COUNTIFS($A$2:A307,A307,$B$2:B307,B307,$E$2:E307,E307)&gt;1,"Possible duplicate","")))</f>
      </c>
    </row>
    <row r="308" spans="3:14" x14ac:dyDescent="0.3">
      <c r="A308"/>
      <c r="C308" s="16"/>
      <c r="G308" s="5">
        <f>IF(A308="","","Checking")</f>
      </c>
      <c r="H308">
        <f>IF(A308="","",IFERROR(XLOOKUP(D308,Setup!$E$15:$E$79,Setup!$F$15:$F$79),"Miscellaneous"))</f>
      </c>
      <c r="I308">
        <f>IF(A308="","",IFERROR(XLOOKUP(D308,Setup!$E$15:$E$79,Setup!$G$15:$G$79),"Uncategorized"))</f>
      </c>
      <c r="J308">
        <f>IF(A308="","",IF(OR(H308="Transfers",H308="Income",D308="Transfer",D308="Category Pending",F308="Pending"),"No","Yes"))</f>
      </c>
      <c r="K308" s="4">
        <f>IF(A308="","",TEXT(IF(DAY(A308)&gt;=Setup!$B$9,DATE(YEAR(A308),MONTH(A308)+1,1),DATE(YEAR(A308),MONTH(A308),1)),"mmmm yyyy"))</f>
      </c>
      <c r="L308" s="47">
        <f>IF(A308="",0,IF(AND(J308="Yes",E308&lt;0),-E308,0))</f>
      </c>
      <c r="M308" s="47">
        <f>IF(A308="",0,IF(AND(J308="Yes",E308&gt;0),E308,0))</f>
      </c>
      <c r="N308">
        <f>IF(A308="","",IF(D308="Category Pending","Needs categorization",IF(COUNTIFS($A$2:A308,A308,$B$2:B308,B308,$E$2:E308,E308)&gt;1,"Possible duplicate","")))</f>
      </c>
    </row>
    <row r="309" spans="3:14" x14ac:dyDescent="0.3">
      <c r="A309"/>
      <c r="C309" s="16"/>
      <c r="G309" s="5">
        <f>IF(A309="","","Checking")</f>
      </c>
      <c r="H309">
        <f>IF(A309="","",IFERROR(XLOOKUP(D309,Setup!$E$15:$E$79,Setup!$F$15:$F$79),"Miscellaneous"))</f>
      </c>
      <c r="I309">
        <f>IF(A309="","",IFERROR(XLOOKUP(D309,Setup!$E$15:$E$79,Setup!$G$15:$G$79),"Uncategorized"))</f>
      </c>
      <c r="J309">
        <f>IF(A309="","",IF(OR(H309="Transfers",H309="Income",D309="Transfer",D309="Category Pending",F309="Pending"),"No","Yes"))</f>
      </c>
      <c r="K309" s="4">
        <f>IF(A309="","",TEXT(IF(DAY(A309)&gt;=Setup!$B$9,DATE(YEAR(A309),MONTH(A309)+1,1),DATE(YEAR(A309),MONTH(A309),1)),"mmmm yyyy"))</f>
      </c>
      <c r="L309" s="47">
        <f>IF(A309="",0,IF(AND(J309="Yes",E309&lt;0),-E309,0))</f>
      </c>
      <c r="M309" s="47">
        <f>IF(A309="",0,IF(AND(J309="Yes",E309&gt;0),E309,0))</f>
      </c>
      <c r="N309">
        <f>IF(A309="","",IF(D309="Category Pending","Needs categorization",IF(COUNTIFS($A$2:A309,A309,$B$2:B309,B309,$E$2:E309,E309)&gt;1,"Possible duplicate","")))</f>
      </c>
    </row>
    <row r="310" spans="3:14" x14ac:dyDescent="0.3">
      <c r="A310"/>
      <c r="C310" s="16"/>
      <c r="G310" s="5">
        <f>IF(A310="","","Checking")</f>
      </c>
      <c r="H310">
        <f>IF(A310="","",IFERROR(XLOOKUP(D310,Setup!$E$15:$E$79,Setup!$F$15:$F$79),"Miscellaneous"))</f>
      </c>
      <c r="I310">
        <f>IF(A310="","",IFERROR(XLOOKUP(D310,Setup!$E$15:$E$79,Setup!$G$15:$G$79),"Uncategorized"))</f>
      </c>
      <c r="J310">
        <f>IF(A310="","",IF(OR(H310="Transfers",H310="Income",D310="Transfer",D310="Category Pending",F310="Pending"),"No","Yes"))</f>
      </c>
      <c r="K310" s="4">
        <f>IF(A310="","",TEXT(IF(DAY(A310)&gt;=Setup!$B$9,DATE(YEAR(A310),MONTH(A310)+1,1),DATE(YEAR(A310),MONTH(A310),1)),"mmmm yyyy"))</f>
      </c>
      <c r="L310" s="47">
        <f>IF(A310="",0,IF(AND(J310="Yes",E310&lt;0),-E310,0))</f>
      </c>
      <c r="M310" s="47">
        <f>IF(A310="",0,IF(AND(J310="Yes",E310&gt;0),E310,0))</f>
      </c>
      <c r="N310">
        <f>IF(A310="","",IF(D310="Category Pending","Needs categorization",IF(COUNTIFS($A$2:A310,A310,$B$2:B310,B310,$E$2:E310,E310)&gt;1,"Possible duplicate","")))</f>
      </c>
    </row>
    <row r="311" spans="3:14" x14ac:dyDescent="0.3">
      <c r="A311"/>
      <c r="C311" s="16"/>
      <c r="G311" s="5">
        <f>IF(A311="","","Checking")</f>
      </c>
      <c r="H311">
        <f>IF(A311="","",IFERROR(XLOOKUP(D311,Setup!$E$15:$E$79,Setup!$F$15:$F$79),"Miscellaneous"))</f>
      </c>
      <c r="I311">
        <f>IF(A311="","",IFERROR(XLOOKUP(D311,Setup!$E$15:$E$79,Setup!$G$15:$G$79),"Uncategorized"))</f>
      </c>
      <c r="J311">
        <f>IF(A311="","",IF(OR(H311="Transfers",H311="Income",D311="Transfer",D311="Category Pending",F311="Pending"),"No","Yes"))</f>
      </c>
      <c r="K311" s="4">
        <f>IF(A311="","",TEXT(IF(DAY(A311)&gt;=Setup!$B$9,DATE(YEAR(A311),MONTH(A311)+1,1),DATE(YEAR(A311),MONTH(A311),1)),"mmmm yyyy"))</f>
      </c>
      <c r="L311" s="47">
        <f>IF(A311="",0,IF(AND(J311="Yes",E311&lt;0),-E311,0))</f>
      </c>
      <c r="M311" s="47">
        <f>IF(A311="",0,IF(AND(J311="Yes",E311&gt;0),E311,0))</f>
      </c>
      <c r="N311">
        <f>IF(A311="","",IF(D311="Category Pending","Needs categorization",IF(COUNTIFS($A$2:A311,A311,$B$2:B311,B311,$E$2:E311,E311)&gt;1,"Possible duplicate","")))</f>
      </c>
    </row>
    <row r="312" spans="3:14" x14ac:dyDescent="0.3">
      <c r="A312"/>
      <c r="C312" s="16"/>
      <c r="G312" s="5">
        <f>IF(A312="","","Checking")</f>
      </c>
      <c r="H312">
        <f>IF(A312="","",IFERROR(XLOOKUP(D312,Setup!$E$15:$E$79,Setup!$F$15:$F$79),"Miscellaneous"))</f>
      </c>
      <c r="I312">
        <f>IF(A312="","",IFERROR(XLOOKUP(D312,Setup!$E$15:$E$79,Setup!$G$15:$G$79),"Uncategorized"))</f>
      </c>
      <c r="J312">
        <f>IF(A312="","",IF(OR(H312="Transfers",H312="Income",D312="Transfer",D312="Category Pending",F312="Pending"),"No","Yes"))</f>
      </c>
      <c r="K312" s="4">
        <f>IF(A312="","",TEXT(IF(DAY(A312)&gt;=Setup!$B$9,DATE(YEAR(A312),MONTH(A312)+1,1),DATE(YEAR(A312),MONTH(A312),1)),"mmmm yyyy"))</f>
      </c>
      <c r="L312" s="47">
        <f>IF(A312="",0,IF(AND(J312="Yes",E312&lt;0),-E312,0))</f>
      </c>
      <c r="M312" s="47">
        <f>IF(A312="",0,IF(AND(J312="Yes",E312&gt;0),E312,0))</f>
      </c>
      <c r="N312">
        <f>IF(A312="","",IF(D312="Category Pending","Needs categorization",IF(COUNTIFS($A$2:A312,A312,$B$2:B312,B312,$E$2:E312,E312)&gt;1,"Possible duplicate","")))</f>
      </c>
    </row>
    <row r="313" spans="3:14" x14ac:dyDescent="0.3">
      <c r="A313"/>
      <c r="C313" s="16"/>
      <c r="G313" s="5">
        <f>IF(A313="","","Checking")</f>
      </c>
      <c r="H313">
        <f>IF(A313="","",IFERROR(XLOOKUP(D313,Setup!$E$15:$E$79,Setup!$F$15:$F$79),"Miscellaneous"))</f>
      </c>
      <c r="I313">
        <f>IF(A313="","",IFERROR(XLOOKUP(D313,Setup!$E$15:$E$79,Setup!$G$15:$G$79),"Uncategorized"))</f>
      </c>
      <c r="J313">
        <f>IF(A313="","",IF(OR(H313="Transfers",H313="Income",D313="Transfer",D313="Category Pending",F313="Pending"),"No","Yes"))</f>
      </c>
      <c r="K313" s="4">
        <f>IF(A313="","",TEXT(IF(DAY(A313)&gt;=Setup!$B$9,DATE(YEAR(A313),MONTH(A313)+1,1),DATE(YEAR(A313),MONTH(A313),1)),"mmmm yyyy"))</f>
      </c>
      <c r="L313" s="47">
        <f>IF(A313="",0,IF(AND(J313="Yes",E313&lt;0),-E313,0))</f>
      </c>
      <c r="M313" s="47">
        <f>IF(A313="",0,IF(AND(J313="Yes",E313&gt;0),E313,0))</f>
      </c>
      <c r="N313">
        <f>IF(A313="","",IF(D313="Category Pending","Needs categorization",IF(COUNTIFS($A$2:A313,A313,$B$2:B313,B313,$E$2:E313,E313)&gt;1,"Possible duplicate","")))</f>
      </c>
    </row>
    <row r="314" spans="3:14" x14ac:dyDescent="0.3">
      <c r="A314"/>
      <c r="C314" s="16"/>
      <c r="G314" s="5">
        <f>IF(A314="","","Checking")</f>
      </c>
      <c r="H314">
        <f>IF(A314="","",IFERROR(XLOOKUP(D314,Setup!$E$15:$E$79,Setup!$F$15:$F$79),"Miscellaneous"))</f>
      </c>
      <c r="I314">
        <f>IF(A314="","",IFERROR(XLOOKUP(D314,Setup!$E$15:$E$79,Setup!$G$15:$G$79),"Uncategorized"))</f>
      </c>
      <c r="J314">
        <f>IF(A314="","",IF(OR(H314="Transfers",H314="Income",D314="Transfer",D314="Category Pending",F314="Pending"),"No","Yes"))</f>
      </c>
      <c r="K314" s="4">
        <f>IF(A314="","",TEXT(IF(DAY(A314)&gt;=Setup!$B$9,DATE(YEAR(A314),MONTH(A314)+1,1),DATE(YEAR(A314),MONTH(A314),1)),"mmmm yyyy"))</f>
      </c>
      <c r="L314" s="47">
        <f>IF(A314="",0,IF(AND(J314="Yes",E314&lt;0),-E314,0))</f>
      </c>
      <c r="M314" s="47">
        <f>IF(A314="",0,IF(AND(J314="Yes",E314&gt;0),E314,0))</f>
      </c>
      <c r="N314">
        <f>IF(A314="","",IF(D314="Category Pending","Needs categorization",IF(COUNTIFS($A$2:A314,A314,$B$2:B314,B314,$E$2:E314,E314)&gt;1,"Possible duplicate","")))</f>
      </c>
    </row>
    <row r="315" spans="3:14" x14ac:dyDescent="0.3">
      <c r="A315"/>
      <c r="C315" s="16"/>
      <c r="G315" s="5">
        <f>IF(A315="","","Checking")</f>
      </c>
      <c r="H315">
        <f>IF(A315="","",IFERROR(XLOOKUP(D315,Setup!$E$15:$E$79,Setup!$F$15:$F$79),"Miscellaneous"))</f>
      </c>
      <c r="I315">
        <f>IF(A315="","",IFERROR(XLOOKUP(D315,Setup!$E$15:$E$79,Setup!$G$15:$G$79),"Uncategorized"))</f>
      </c>
      <c r="J315">
        <f>IF(A315="","",IF(OR(H315="Transfers",H315="Income",D315="Transfer",D315="Category Pending",F315="Pending"),"No","Yes"))</f>
      </c>
      <c r="K315" s="4">
        <f>IF(A315="","",TEXT(IF(DAY(A315)&gt;=Setup!$B$9,DATE(YEAR(A315),MONTH(A315)+1,1),DATE(YEAR(A315),MONTH(A315),1)),"mmmm yyyy"))</f>
      </c>
      <c r="L315" s="47">
        <f>IF(A315="",0,IF(AND(J315="Yes",E315&lt;0),-E315,0))</f>
      </c>
      <c r="M315" s="47">
        <f>IF(A315="",0,IF(AND(J315="Yes",E315&gt;0),E315,0))</f>
      </c>
      <c r="N315">
        <f>IF(A315="","",IF(D315="Category Pending","Needs categorization",IF(COUNTIFS($A$2:A315,A315,$B$2:B315,B315,$E$2:E315,E315)&gt;1,"Possible duplicate","")))</f>
      </c>
    </row>
    <row r="316" spans="3:14" x14ac:dyDescent="0.3">
      <c r="A316"/>
      <c r="C316" s="16"/>
      <c r="G316" s="5">
        <f>IF(A316="","","Checking")</f>
      </c>
      <c r="H316">
        <f>IF(A316="","",IFERROR(XLOOKUP(D316,Setup!$E$15:$E$79,Setup!$F$15:$F$79),"Miscellaneous"))</f>
      </c>
      <c r="I316">
        <f>IF(A316="","",IFERROR(XLOOKUP(D316,Setup!$E$15:$E$79,Setup!$G$15:$G$79),"Uncategorized"))</f>
      </c>
      <c r="J316">
        <f>IF(A316="","",IF(OR(H316="Transfers",H316="Income",D316="Transfer",D316="Category Pending",F316="Pending"),"No","Yes"))</f>
      </c>
      <c r="K316" s="4">
        <f>IF(A316="","",TEXT(IF(DAY(A316)&gt;=Setup!$B$9,DATE(YEAR(A316),MONTH(A316)+1,1),DATE(YEAR(A316),MONTH(A316),1)),"mmmm yyyy"))</f>
      </c>
      <c r="L316" s="47">
        <f>IF(A316="",0,IF(AND(J316="Yes",E316&lt;0),-E316,0))</f>
      </c>
      <c r="M316" s="47">
        <f>IF(A316="",0,IF(AND(J316="Yes",E316&gt;0),E316,0))</f>
      </c>
      <c r="N316">
        <f>IF(A316="","",IF(D316="Category Pending","Needs categorization",IF(COUNTIFS($A$2:A316,A316,$B$2:B316,B316,$E$2:E316,E316)&gt;1,"Possible duplicate","")))</f>
      </c>
    </row>
    <row r="317" spans="3:14" x14ac:dyDescent="0.3">
      <c r="A317"/>
      <c r="C317" s="16"/>
      <c r="G317" s="5">
        <f>IF(A317="","","Checking")</f>
      </c>
      <c r="H317">
        <f>IF(A317="","",IFERROR(XLOOKUP(D317,Setup!$E$15:$E$79,Setup!$F$15:$F$79),"Miscellaneous"))</f>
      </c>
      <c r="I317">
        <f>IF(A317="","",IFERROR(XLOOKUP(D317,Setup!$E$15:$E$79,Setup!$G$15:$G$79),"Uncategorized"))</f>
      </c>
      <c r="J317">
        <f>IF(A317="","",IF(OR(H317="Transfers",H317="Income",D317="Transfer",D317="Category Pending",F317="Pending"),"No","Yes"))</f>
      </c>
      <c r="K317" s="4">
        <f>IF(A317="","",TEXT(IF(DAY(A317)&gt;=Setup!$B$9,DATE(YEAR(A317),MONTH(A317)+1,1),DATE(YEAR(A317),MONTH(A317),1)),"mmmm yyyy"))</f>
      </c>
      <c r="L317" s="47">
        <f>IF(A317="",0,IF(AND(J317="Yes",E317&lt;0),-E317,0))</f>
      </c>
      <c r="M317" s="47">
        <f>IF(A317="",0,IF(AND(J317="Yes",E317&gt;0),E317,0))</f>
      </c>
      <c r="N317">
        <f>IF(A317="","",IF(D317="Category Pending","Needs categorization",IF(COUNTIFS($A$2:A317,A317,$B$2:B317,B317,$E$2:E317,E317)&gt;1,"Possible duplicate","")))</f>
      </c>
    </row>
    <row r="318" spans="3:14" x14ac:dyDescent="0.3">
      <c r="A318"/>
      <c r="C318" s="16"/>
      <c r="G318" s="5">
        <f>IF(A318="","","Checking")</f>
      </c>
      <c r="H318">
        <f>IF(A318="","",IFERROR(XLOOKUP(D318,Setup!$E$15:$E$79,Setup!$F$15:$F$79),"Miscellaneous"))</f>
      </c>
      <c r="I318">
        <f>IF(A318="","",IFERROR(XLOOKUP(D318,Setup!$E$15:$E$79,Setup!$G$15:$G$79),"Uncategorized"))</f>
      </c>
      <c r="J318">
        <f>IF(A318="","",IF(OR(H318="Transfers",H318="Income",D318="Transfer",D318="Category Pending",F318="Pending"),"No","Yes"))</f>
      </c>
      <c r="K318" s="4">
        <f>IF(A318="","",TEXT(IF(DAY(A318)&gt;=Setup!$B$9,DATE(YEAR(A318),MONTH(A318)+1,1),DATE(YEAR(A318),MONTH(A318),1)),"mmmm yyyy"))</f>
      </c>
      <c r="L318" s="47">
        <f>IF(A318="",0,IF(AND(J318="Yes",E318&lt;0),-E318,0))</f>
      </c>
      <c r="M318" s="47">
        <f>IF(A318="",0,IF(AND(J318="Yes",E318&gt;0),E318,0))</f>
      </c>
      <c r="N318">
        <f>IF(A318="","",IF(D318="Category Pending","Needs categorization",IF(COUNTIFS($A$2:A318,A318,$B$2:B318,B318,$E$2:E318,E318)&gt;1,"Possible duplicate","")))</f>
      </c>
    </row>
    <row r="319" spans="3:14" x14ac:dyDescent="0.3">
      <c r="A319"/>
      <c r="C319" s="16"/>
      <c r="G319" s="5">
        <f>IF(A319="","","Checking")</f>
      </c>
      <c r="H319">
        <f>IF(A319="","",IFERROR(XLOOKUP(D319,Setup!$E$15:$E$79,Setup!$F$15:$F$79),"Miscellaneous"))</f>
      </c>
      <c r="I319">
        <f>IF(A319="","",IFERROR(XLOOKUP(D319,Setup!$E$15:$E$79,Setup!$G$15:$G$79),"Uncategorized"))</f>
      </c>
      <c r="J319">
        <f>IF(A319="","",IF(OR(H319="Transfers",H319="Income",D319="Transfer",D319="Category Pending",F319="Pending"),"No","Yes"))</f>
      </c>
      <c r="K319" s="4">
        <f>IF(A319="","",TEXT(IF(DAY(A319)&gt;=Setup!$B$9,DATE(YEAR(A319),MONTH(A319)+1,1),DATE(YEAR(A319),MONTH(A319),1)),"mmmm yyyy"))</f>
      </c>
      <c r="L319" s="47">
        <f>IF(A319="",0,IF(AND(J319="Yes",E319&lt;0),-E319,0))</f>
      </c>
      <c r="M319" s="47">
        <f>IF(A319="",0,IF(AND(J319="Yes",E319&gt;0),E319,0))</f>
      </c>
      <c r="N319">
        <f>IF(A319="","",IF(D319="Category Pending","Needs categorization",IF(COUNTIFS($A$2:A319,A319,$B$2:B319,B319,$E$2:E319,E319)&gt;1,"Possible duplicate","")))</f>
      </c>
    </row>
    <row r="320" spans="3:14" x14ac:dyDescent="0.3">
      <c r="A320"/>
      <c r="C320" s="16"/>
      <c r="G320" s="5">
        <f>IF(A320="","","Checking")</f>
      </c>
      <c r="H320">
        <f>IF(A320="","",IFERROR(XLOOKUP(D320,Setup!$E$15:$E$79,Setup!$F$15:$F$79),"Miscellaneous"))</f>
      </c>
      <c r="I320">
        <f>IF(A320="","",IFERROR(XLOOKUP(D320,Setup!$E$15:$E$79,Setup!$G$15:$G$79),"Uncategorized"))</f>
      </c>
      <c r="J320">
        <f>IF(A320="","",IF(OR(H320="Transfers",H320="Income",D320="Transfer",D320="Category Pending",F320="Pending"),"No","Yes"))</f>
      </c>
      <c r="K320" s="4">
        <f>IF(A320="","",TEXT(IF(DAY(A320)&gt;=Setup!$B$9,DATE(YEAR(A320),MONTH(A320)+1,1),DATE(YEAR(A320),MONTH(A320),1)),"mmmm yyyy"))</f>
      </c>
      <c r="L320" s="47">
        <f>IF(A320="",0,IF(AND(J320="Yes",E320&lt;0),-E320,0))</f>
      </c>
      <c r="M320" s="47">
        <f>IF(A320="",0,IF(AND(J320="Yes",E320&gt;0),E320,0))</f>
      </c>
      <c r="N320">
        <f>IF(A320="","",IF(D320="Category Pending","Needs categorization",IF(COUNTIFS($A$2:A320,A320,$B$2:B320,B320,$E$2:E320,E320)&gt;1,"Possible duplicate","")))</f>
      </c>
    </row>
    <row r="321" spans="3:14" x14ac:dyDescent="0.3">
      <c r="A321"/>
      <c r="C321" s="16"/>
      <c r="G321" s="5">
        <f>IF(A321="","","Checking")</f>
      </c>
      <c r="H321">
        <f>IF(A321="","",IFERROR(XLOOKUP(D321,Setup!$E$15:$E$79,Setup!$F$15:$F$79),"Miscellaneous"))</f>
      </c>
      <c r="I321">
        <f>IF(A321="","",IFERROR(XLOOKUP(D321,Setup!$E$15:$E$79,Setup!$G$15:$G$79),"Uncategorized"))</f>
      </c>
      <c r="J321">
        <f>IF(A321="","",IF(OR(H321="Transfers",H321="Income",D321="Transfer",D321="Category Pending",F321="Pending"),"No","Yes"))</f>
      </c>
      <c r="K321" s="4">
        <f>IF(A321="","",TEXT(IF(DAY(A321)&gt;=Setup!$B$9,DATE(YEAR(A321),MONTH(A321)+1,1),DATE(YEAR(A321),MONTH(A321),1)),"mmmm yyyy"))</f>
      </c>
      <c r="L321" s="47">
        <f>IF(A321="",0,IF(AND(J321="Yes",E321&lt;0),-E321,0))</f>
      </c>
      <c r="M321" s="47">
        <f>IF(A321="",0,IF(AND(J321="Yes",E321&gt;0),E321,0))</f>
      </c>
      <c r="N321">
        <f>IF(A321="","",IF(D321="Category Pending","Needs categorization",IF(COUNTIFS($A$2:A321,A321,$B$2:B321,B321,$E$2:E321,E321)&gt;1,"Possible duplicate","")))</f>
      </c>
    </row>
    <row r="322" spans="3:14" x14ac:dyDescent="0.3">
      <c r="A322"/>
      <c r="C322" s="16"/>
      <c r="G322" s="5">
        <f>IF(A322="","","Checking")</f>
      </c>
      <c r="H322">
        <f>IF(A322="","",IFERROR(XLOOKUP(D322,Setup!$E$15:$E$79,Setup!$F$15:$F$79),"Miscellaneous"))</f>
      </c>
      <c r="I322">
        <f>IF(A322="","",IFERROR(XLOOKUP(D322,Setup!$E$15:$E$79,Setup!$G$15:$G$79),"Uncategorized"))</f>
      </c>
      <c r="J322">
        <f>IF(A322="","",IF(OR(H322="Transfers",H322="Income",D322="Transfer",D322="Category Pending",F322="Pending"),"No","Yes"))</f>
      </c>
      <c r="K322" s="4">
        <f>IF(A322="","",TEXT(IF(DAY(A322)&gt;=Setup!$B$9,DATE(YEAR(A322),MONTH(A322)+1,1),DATE(YEAR(A322),MONTH(A322),1)),"mmmm yyyy"))</f>
      </c>
      <c r="L322" s="47">
        <f>IF(A322="",0,IF(AND(J322="Yes",E322&lt;0),-E322,0))</f>
      </c>
      <c r="M322" s="47">
        <f>IF(A322="",0,IF(AND(J322="Yes",E322&gt;0),E322,0))</f>
      </c>
      <c r="N322">
        <f>IF(A322="","",IF(D322="Category Pending","Needs categorization",IF(COUNTIFS($A$2:A322,A322,$B$2:B322,B322,$E$2:E322,E322)&gt;1,"Possible duplicate","")))</f>
      </c>
    </row>
    <row r="323" spans="3:14" x14ac:dyDescent="0.3">
      <c r="A323"/>
      <c r="C323" s="16"/>
      <c r="G323" s="5">
        <f>IF(A323="","","Checking")</f>
      </c>
      <c r="H323">
        <f>IF(A323="","",IFERROR(XLOOKUP(D323,Setup!$E$15:$E$79,Setup!$F$15:$F$79),"Miscellaneous"))</f>
      </c>
      <c r="I323">
        <f>IF(A323="","",IFERROR(XLOOKUP(D323,Setup!$E$15:$E$79,Setup!$G$15:$G$79),"Uncategorized"))</f>
      </c>
      <c r="J323">
        <f>IF(A323="","",IF(OR(H323="Transfers",H323="Income",D323="Transfer",D323="Category Pending",F323="Pending"),"No","Yes"))</f>
      </c>
      <c r="K323" s="4">
        <f>IF(A323="","",TEXT(IF(DAY(A323)&gt;=Setup!$B$9,DATE(YEAR(A323),MONTH(A323)+1,1),DATE(YEAR(A323),MONTH(A323),1)),"mmmm yyyy"))</f>
      </c>
      <c r="L323" s="47">
        <f>IF(A323="",0,IF(AND(J323="Yes",E323&lt;0),-E323,0))</f>
      </c>
      <c r="M323" s="47">
        <f>IF(A323="",0,IF(AND(J323="Yes",E323&gt;0),E323,0))</f>
      </c>
      <c r="N323">
        <f>IF(A323="","",IF(D323="Category Pending","Needs categorization",IF(COUNTIFS($A$2:A323,A323,$B$2:B323,B323,$E$2:E323,E323)&gt;1,"Possible duplicate","")))</f>
      </c>
    </row>
    <row r="324" spans="3:14" x14ac:dyDescent="0.3">
      <c r="A324"/>
      <c r="C324" s="16"/>
      <c r="G324" s="5">
        <f>IF(A324="","","Checking")</f>
      </c>
      <c r="H324">
        <f>IF(A324="","",IFERROR(XLOOKUP(D324,Setup!$E$15:$E$79,Setup!$F$15:$F$79),"Miscellaneous"))</f>
      </c>
      <c r="I324">
        <f>IF(A324="","",IFERROR(XLOOKUP(D324,Setup!$E$15:$E$79,Setup!$G$15:$G$79),"Uncategorized"))</f>
      </c>
      <c r="J324">
        <f>IF(A324="","",IF(OR(H324="Transfers",H324="Income",D324="Transfer",D324="Category Pending",F324="Pending"),"No","Yes"))</f>
      </c>
      <c r="K324" s="4">
        <f>IF(A324="","",TEXT(IF(DAY(A324)&gt;=Setup!$B$9,DATE(YEAR(A324),MONTH(A324)+1,1),DATE(YEAR(A324),MONTH(A324),1)),"mmmm yyyy"))</f>
      </c>
      <c r="L324" s="47">
        <f>IF(A324="",0,IF(AND(J324="Yes",E324&lt;0),-E324,0))</f>
      </c>
      <c r="M324" s="47">
        <f>IF(A324="",0,IF(AND(J324="Yes",E324&gt;0),E324,0))</f>
      </c>
      <c r="N324">
        <f>IF(A324="","",IF(D324="Category Pending","Needs categorization",IF(COUNTIFS($A$2:A324,A324,$B$2:B324,B324,$E$2:E324,E324)&gt;1,"Possible duplicate","")))</f>
      </c>
    </row>
    <row r="325" spans="3:14" x14ac:dyDescent="0.3">
      <c r="A325"/>
      <c r="C325" s="16"/>
      <c r="G325" s="5">
        <f>IF(A325="","","Checking")</f>
      </c>
      <c r="H325">
        <f>IF(A325="","",IFERROR(XLOOKUP(D325,Setup!$E$15:$E$79,Setup!$F$15:$F$79),"Miscellaneous"))</f>
      </c>
      <c r="I325">
        <f>IF(A325="","",IFERROR(XLOOKUP(D325,Setup!$E$15:$E$79,Setup!$G$15:$G$79),"Uncategorized"))</f>
      </c>
      <c r="J325">
        <f>IF(A325="","",IF(OR(H325="Transfers",H325="Income",D325="Transfer",D325="Category Pending",F325="Pending"),"No","Yes"))</f>
      </c>
      <c r="K325" s="4">
        <f>IF(A325="","",TEXT(IF(DAY(A325)&gt;=Setup!$B$9,DATE(YEAR(A325),MONTH(A325)+1,1),DATE(YEAR(A325),MONTH(A325),1)),"mmmm yyyy"))</f>
      </c>
      <c r="L325" s="47">
        <f>IF(A325="",0,IF(AND(J325="Yes",E325&lt;0),-E325,0))</f>
      </c>
      <c r="M325" s="47">
        <f>IF(A325="",0,IF(AND(J325="Yes",E325&gt;0),E325,0))</f>
      </c>
      <c r="N325">
        <f>IF(A325="","",IF(D325="Category Pending","Needs categorization",IF(COUNTIFS($A$2:A325,A325,$B$2:B325,B325,$E$2:E325,E325)&gt;1,"Possible duplicate","")))</f>
      </c>
    </row>
    <row r="326" spans="3:14" x14ac:dyDescent="0.3">
      <c r="A326"/>
      <c r="C326" s="16"/>
      <c r="G326" s="5">
        <f>IF(A326="","","Checking")</f>
      </c>
      <c r="H326">
        <f>IF(A326="","",IFERROR(XLOOKUP(D326,Setup!$E$15:$E$79,Setup!$F$15:$F$79),"Miscellaneous"))</f>
      </c>
      <c r="I326">
        <f>IF(A326="","",IFERROR(XLOOKUP(D326,Setup!$E$15:$E$79,Setup!$G$15:$G$79),"Uncategorized"))</f>
      </c>
      <c r="J326">
        <f>IF(A326="","",IF(OR(H326="Transfers",H326="Income",D326="Transfer",D326="Category Pending",F326="Pending"),"No","Yes"))</f>
      </c>
      <c r="K326" s="4">
        <f>IF(A326="","",TEXT(IF(DAY(A326)&gt;=Setup!$B$9,DATE(YEAR(A326),MONTH(A326)+1,1),DATE(YEAR(A326),MONTH(A326),1)),"mmmm yyyy"))</f>
      </c>
      <c r="L326" s="47">
        <f>IF(A326="",0,IF(AND(J326="Yes",E326&lt;0),-E326,0))</f>
      </c>
      <c r="M326" s="47">
        <f>IF(A326="",0,IF(AND(J326="Yes",E326&gt;0),E326,0))</f>
      </c>
      <c r="N326">
        <f>IF(A326="","",IF(D326="Category Pending","Needs categorization",IF(COUNTIFS($A$2:A326,A326,$B$2:B326,B326,$E$2:E326,E326)&gt;1,"Possible duplicate","")))</f>
      </c>
    </row>
    <row r="327" spans="3:14" x14ac:dyDescent="0.3">
      <c r="A327"/>
      <c r="C327" s="16"/>
      <c r="G327" s="5">
        <f>IF(A327="","","Checking")</f>
      </c>
      <c r="H327">
        <f>IF(A327="","",IFERROR(XLOOKUP(D327,Setup!$E$15:$E$79,Setup!$F$15:$F$79),"Miscellaneous"))</f>
      </c>
      <c r="I327">
        <f>IF(A327="","",IFERROR(XLOOKUP(D327,Setup!$E$15:$E$79,Setup!$G$15:$G$79),"Uncategorized"))</f>
      </c>
      <c r="J327">
        <f>IF(A327="","",IF(OR(H327="Transfers",H327="Income",D327="Transfer",D327="Category Pending",F327="Pending"),"No","Yes"))</f>
      </c>
      <c r="K327" s="4">
        <f>IF(A327="","",TEXT(IF(DAY(A327)&gt;=Setup!$B$9,DATE(YEAR(A327),MONTH(A327)+1,1),DATE(YEAR(A327),MONTH(A327),1)),"mmmm yyyy"))</f>
      </c>
      <c r="L327" s="47">
        <f>IF(A327="",0,IF(AND(J327="Yes",E327&lt;0),-E327,0))</f>
      </c>
      <c r="M327" s="47">
        <f>IF(A327="",0,IF(AND(J327="Yes",E327&gt;0),E327,0))</f>
      </c>
      <c r="N327">
        <f>IF(A327="","",IF(D327="Category Pending","Needs categorization",IF(COUNTIFS($A$2:A327,A327,$B$2:B327,B327,$E$2:E327,E327)&gt;1,"Possible duplicate","")))</f>
      </c>
    </row>
    <row r="328" spans="3:14" x14ac:dyDescent="0.3">
      <c r="A328"/>
      <c r="C328" s="16"/>
      <c r="G328" s="5">
        <f>IF(A328="","","Checking")</f>
      </c>
      <c r="H328">
        <f>IF(A328="","",IFERROR(XLOOKUP(D328,Setup!$E$15:$E$79,Setup!$F$15:$F$79),"Miscellaneous"))</f>
      </c>
      <c r="I328">
        <f>IF(A328="","",IFERROR(XLOOKUP(D328,Setup!$E$15:$E$79,Setup!$G$15:$G$79),"Uncategorized"))</f>
      </c>
      <c r="J328">
        <f>IF(A328="","",IF(OR(H328="Transfers",H328="Income",D328="Transfer",D328="Category Pending",F328="Pending"),"No","Yes"))</f>
      </c>
      <c r="K328" s="4">
        <f>IF(A328="","",TEXT(IF(DAY(A328)&gt;=Setup!$B$9,DATE(YEAR(A328),MONTH(A328)+1,1),DATE(YEAR(A328),MONTH(A328),1)),"mmmm yyyy"))</f>
      </c>
      <c r="L328" s="47">
        <f>IF(A328="",0,IF(AND(J328="Yes",E328&lt;0),-E328,0))</f>
      </c>
      <c r="M328" s="47">
        <f>IF(A328="",0,IF(AND(J328="Yes",E328&gt;0),E328,0))</f>
      </c>
      <c r="N328">
        <f>IF(A328="","",IF(D328="Category Pending","Needs categorization",IF(COUNTIFS($A$2:A328,A328,$B$2:B328,B328,$E$2:E328,E328)&gt;1,"Possible duplicate","")))</f>
      </c>
    </row>
    <row r="329" spans="3:14" x14ac:dyDescent="0.3">
      <c r="A329"/>
      <c r="C329" s="16"/>
      <c r="G329" s="5">
        <f>IF(A329="","","Checking")</f>
      </c>
      <c r="H329">
        <f>IF(A329="","",IFERROR(XLOOKUP(D329,Setup!$E$15:$E$79,Setup!$F$15:$F$79),"Miscellaneous"))</f>
      </c>
      <c r="I329">
        <f>IF(A329="","",IFERROR(XLOOKUP(D329,Setup!$E$15:$E$79,Setup!$G$15:$G$79),"Uncategorized"))</f>
      </c>
      <c r="J329">
        <f>IF(A329="","",IF(OR(H329="Transfers",H329="Income",D329="Transfer",D329="Category Pending",F329="Pending"),"No","Yes"))</f>
      </c>
      <c r="K329" s="4">
        <f>IF(A329="","",TEXT(IF(DAY(A329)&gt;=Setup!$B$9,DATE(YEAR(A329),MONTH(A329)+1,1),DATE(YEAR(A329),MONTH(A329),1)),"mmmm yyyy"))</f>
      </c>
      <c r="L329" s="47">
        <f>IF(A329="",0,IF(AND(J329="Yes",E329&lt;0),-E329,0))</f>
      </c>
      <c r="M329" s="47">
        <f>IF(A329="",0,IF(AND(J329="Yes",E329&gt;0),E329,0))</f>
      </c>
      <c r="N329">
        <f>IF(A329="","",IF(D329="Category Pending","Needs categorization",IF(COUNTIFS($A$2:A329,A329,$B$2:B329,B329,$E$2:E329,E329)&gt;1,"Possible duplicate","")))</f>
      </c>
    </row>
    <row r="330" spans="3:14" x14ac:dyDescent="0.3">
      <c r="A330"/>
      <c r="C330" s="16"/>
      <c r="G330" s="5">
        <f>IF(A330="","","Checking")</f>
      </c>
      <c r="H330">
        <f>IF(A330="","",IFERROR(XLOOKUP(D330,Setup!$E$15:$E$79,Setup!$F$15:$F$79),"Miscellaneous"))</f>
      </c>
      <c r="I330">
        <f>IF(A330="","",IFERROR(XLOOKUP(D330,Setup!$E$15:$E$79,Setup!$G$15:$G$79),"Uncategorized"))</f>
      </c>
      <c r="J330">
        <f>IF(A330="","",IF(OR(H330="Transfers",H330="Income",D330="Transfer",D330="Category Pending",F330="Pending"),"No","Yes"))</f>
      </c>
      <c r="K330" s="4">
        <f>IF(A330="","",TEXT(IF(DAY(A330)&gt;=Setup!$B$9,DATE(YEAR(A330),MONTH(A330)+1,1),DATE(YEAR(A330),MONTH(A330),1)),"mmmm yyyy"))</f>
      </c>
      <c r="L330" s="47">
        <f>IF(A330="",0,IF(AND(J330="Yes",E330&lt;0),-E330,0))</f>
      </c>
      <c r="M330" s="47">
        <f>IF(A330="",0,IF(AND(J330="Yes",E330&gt;0),E330,0))</f>
      </c>
      <c r="N330">
        <f>IF(A330="","",IF(D330="Category Pending","Needs categorization",IF(COUNTIFS($A$2:A330,A330,$B$2:B330,B330,$E$2:E330,E330)&gt;1,"Possible duplicate","")))</f>
      </c>
    </row>
    <row r="331" spans="3:14" x14ac:dyDescent="0.3">
      <c r="A331"/>
      <c r="C331" s="16"/>
      <c r="G331" s="5">
        <f>IF(A331="","","Checking")</f>
      </c>
      <c r="H331">
        <f>IF(A331="","",IFERROR(XLOOKUP(D331,Setup!$E$15:$E$79,Setup!$F$15:$F$79),"Miscellaneous"))</f>
      </c>
      <c r="I331">
        <f>IF(A331="","",IFERROR(XLOOKUP(D331,Setup!$E$15:$E$79,Setup!$G$15:$G$79),"Uncategorized"))</f>
      </c>
      <c r="J331">
        <f>IF(A331="","",IF(OR(H331="Transfers",H331="Income",D331="Transfer",D331="Category Pending",F331="Pending"),"No","Yes"))</f>
      </c>
      <c r="K331" s="4">
        <f>IF(A331="","",TEXT(IF(DAY(A331)&gt;=Setup!$B$9,DATE(YEAR(A331),MONTH(A331)+1,1),DATE(YEAR(A331),MONTH(A331),1)),"mmmm yyyy"))</f>
      </c>
      <c r="L331" s="47">
        <f>IF(A331="",0,IF(AND(J331="Yes",E331&lt;0),-E331,0))</f>
      </c>
      <c r="M331" s="47">
        <f>IF(A331="",0,IF(AND(J331="Yes",E331&gt;0),E331,0))</f>
      </c>
      <c r="N331">
        <f>IF(A331="","",IF(D331="Category Pending","Needs categorization",IF(COUNTIFS($A$2:A331,A331,$B$2:B331,B331,$E$2:E331,E331)&gt;1,"Possible duplicate","")))</f>
      </c>
    </row>
    <row r="332" spans="3:14" x14ac:dyDescent="0.3">
      <c r="A332"/>
      <c r="C332" s="16"/>
      <c r="G332" s="5">
        <f>IF(A332="","","Checking")</f>
      </c>
      <c r="H332">
        <f>IF(A332="","",IFERROR(XLOOKUP(D332,Setup!$E$15:$E$79,Setup!$F$15:$F$79),"Miscellaneous"))</f>
      </c>
      <c r="I332">
        <f>IF(A332="","",IFERROR(XLOOKUP(D332,Setup!$E$15:$E$79,Setup!$G$15:$G$79),"Uncategorized"))</f>
      </c>
      <c r="J332">
        <f>IF(A332="","",IF(OR(H332="Transfers",H332="Income",D332="Transfer",D332="Category Pending",F332="Pending"),"No","Yes"))</f>
      </c>
      <c r="K332" s="4">
        <f>IF(A332="","",TEXT(IF(DAY(A332)&gt;=Setup!$B$9,DATE(YEAR(A332),MONTH(A332)+1,1),DATE(YEAR(A332),MONTH(A332),1)),"mmmm yyyy"))</f>
      </c>
      <c r="L332" s="47">
        <f>IF(A332="",0,IF(AND(J332="Yes",E332&lt;0),-E332,0))</f>
      </c>
      <c r="M332" s="47">
        <f>IF(A332="",0,IF(AND(J332="Yes",E332&gt;0),E332,0))</f>
      </c>
      <c r="N332">
        <f>IF(A332="","",IF(D332="Category Pending","Needs categorization",IF(COUNTIFS($A$2:A332,A332,$B$2:B332,B332,$E$2:E332,E332)&gt;1,"Possible duplicate","")))</f>
      </c>
    </row>
    <row r="333" spans="3:14" x14ac:dyDescent="0.3">
      <c r="A333"/>
      <c r="C333" s="16"/>
      <c r="G333" s="5">
        <f>IF(A333="","","Checking")</f>
      </c>
      <c r="H333">
        <f>IF(A333="","",IFERROR(XLOOKUP(D333,Setup!$E$15:$E$79,Setup!$F$15:$F$79),"Miscellaneous"))</f>
      </c>
      <c r="I333">
        <f>IF(A333="","",IFERROR(XLOOKUP(D333,Setup!$E$15:$E$79,Setup!$G$15:$G$79),"Uncategorized"))</f>
      </c>
      <c r="J333">
        <f>IF(A333="","",IF(OR(H333="Transfers",H333="Income",D333="Transfer",D333="Category Pending",F333="Pending"),"No","Yes"))</f>
      </c>
      <c r="K333" s="4">
        <f>IF(A333="","",TEXT(IF(DAY(A333)&gt;=Setup!$B$9,DATE(YEAR(A333),MONTH(A333)+1,1),DATE(YEAR(A333),MONTH(A333),1)),"mmmm yyyy"))</f>
      </c>
      <c r="L333" s="47">
        <f>IF(A333="",0,IF(AND(J333="Yes",E333&lt;0),-E333,0))</f>
      </c>
      <c r="M333" s="47">
        <f>IF(A333="",0,IF(AND(J333="Yes",E333&gt;0),E333,0))</f>
      </c>
      <c r="N333">
        <f>IF(A333="","",IF(D333="Category Pending","Needs categorization",IF(COUNTIFS($A$2:A333,A333,$B$2:B333,B333,$E$2:E333,E333)&gt;1,"Possible duplicate","")))</f>
      </c>
    </row>
    <row r="334" spans="3:14" x14ac:dyDescent="0.3">
      <c r="A334"/>
      <c r="C334" s="16"/>
      <c r="G334" s="5">
        <f>IF(A334="","","Checking")</f>
      </c>
      <c r="H334">
        <f>IF(A334="","",IFERROR(XLOOKUP(D334,Setup!$E$15:$E$79,Setup!$F$15:$F$79),"Miscellaneous"))</f>
      </c>
      <c r="I334">
        <f>IF(A334="","",IFERROR(XLOOKUP(D334,Setup!$E$15:$E$79,Setup!$G$15:$G$79),"Uncategorized"))</f>
      </c>
      <c r="J334">
        <f>IF(A334="","",IF(OR(H334="Transfers",H334="Income",D334="Transfer",D334="Category Pending",F334="Pending"),"No","Yes"))</f>
      </c>
      <c r="K334" s="4">
        <f>IF(A334="","",TEXT(IF(DAY(A334)&gt;=Setup!$B$9,DATE(YEAR(A334),MONTH(A334)+1,1),DATE(YEAR(A334),MONTH(A334),1)),"mmmm yyyy"))</f>
      </c>
      <c r="L334" s="47">
        <f>IF(A334="",0,IF(AND(J334="Yes",E334&lt;0),-E334,0))</f>
      </c>
      <c r="M334" s="47">
        <f>IF(A334="",0,IF(AND(J334="Yes",E334&gt;0),E334,0))</f>
      </c>
      <c r="N334">
        <f>IF(A334="","",IF(D334="Category Pending","Needs categorization",IF(COUNTIFS($A$2:A334,A334,$B$2:B334,B334,$E$2:E334,E334)&gt;1,"Possible duplicate","")))</f>
      </c>
    </row>
    <row r="335" spans="3:14" x14ac:dyDescent="0.3">
      <c r="A335"/>
      <c r="C335" s="16"/>
      <c r="G335" s="5">
        <f>IF(A335="","","Checking")</f>
      </c>
      <c r="H335">
        <f>IF(A335="","",IFERROR(XLOOKUP(D335,Setup!$E$15:$E$79,Setup!$F$15:$F$79),"Miscellaneous"))</f>
      </c>
      <c r="I335">
        <f>IF(A335="","",IFERROR(XLOOKUP(D335,Setup!$E$15:$E$79,Setup!$G$15:$G$79),"Uncategorized"))</f>
      </c>
      <c r="J335">
        <f>IF(A335="","",IF(OR(H335="Transfers",H335="Income",D335="Transfer",D335="Category Pending",F335="Pending"),"No","Yes"))</f>
      </c>
      <c r="K335" s="4">
        <f>IF(A335="","",TEXT(IF(DAY(A335)&gt;=Setup!$B$9,DATE(YEAR(A335),MONTH(A335)+1,1),DATE(YEAR(A335),MONTH(A335),1)),"mmmm yyyy"))</f>
      </c>
      <c r="L335" s="47">
        <f>IF(A335="",0,IF(AND(J335="Yes",E335&lt;0),-E335,0))</f>
      </c>
      <c r="M335" s="47">
        <f>IF(A335="",0,IF(AND(J335="Yes",E335&gt;0),E335,0))</f>
      </c>
      <c r="N335">
        <f>IF(A335="","",IF(D335="Category Pending","Needs categorization",IF(COUNTIFS($A$2:A335,A335,$B$2:B335,B335,$E$2:E335,E335)&gt;1,"Possible duplicate","")))</f>
      </c>
    </row>
    <row r="336" spans="3:14" x14ac:dyDescent="0.3">
      <c r="A336"/>
      <c r="C336" s="16"/>
      <c r="G336" s="5">
        <f>IF(A336="","","Checking")</f>
      </c>
      <c r="H336">
        <f>IF(A336="","",IFERROR(XLOOKUP(D336,Setup!$E$15:$E$79,Setup!$F$15:$F$79),"Miscellaneous"))</f>
      </c>
      <c r="I336">
        <f>IF(A336="","",IFERROR(XLOOKUP(D336,Setup!$E$15:$E$79,Setup!$G$15:$G$79),"Uncategorized"))</f>
      </c>
      <c r="J336">
        <f>IF(A336="","",IF(OR(H336="Transfers",H336="Income",D336="Transfer",D336="Category Pending",F336="Pending"),"No","Yes"))</f>
      </c>
      <c r="K336" s="4">
        <f>IF(A336="","",TEXT(IF(DAY(A336)&gt;=Setup!$B$9,DATE(YEAR(A336),MONTH(A336)+1,1),DATE(YEAR(A336),MONTH(A336),1)),"mmmm yyyy"))</f>
      </c>
      <c r="L336" s="47">
        <f>IF(A336="",0,IF(AND(J336="Yes",E336&lt;0),-E336,0))</f>
      </c>
      <c r="M336" s="47">
        <f>IF(A336="",0,IF(AND(J336="Yes",E336&gt;0),E336,0))</f>
      </c>
      <c r="N336">
        <f>IF(A336="","",IF(D336="Category Pending","Needs categorization",IF(COUNTIFS($A$2:A336,A336,$B$2:B336,B336,$E$2:E336,E336)&gt;1,"Possible duplicate","")))</f>
      </c>
    </row>
    <row r="337" spans="3:14" x14ac:dyDescent="0.3">
      <c r="A337"/>
      <c r="C337" s="16"/>
      <c r="G337" s="5">
        <f>IF(A337="","","Checking")</f>
      </c>
      <c r="H337">
        <f>IF(A337="","",IFERROR(XLOOKUP(D337,Setup!$E$15:$E$79,Setup!$F$15:$F$79),"Miscellaneous"))</f>
      </c>
      <c r="I337">
        <f>IF(A337="","",IFERROR(XLOOKUP(D337,Setup!$E$15:$E$79,Setup!$G$15:$G$79),"Uncategorized"))</f>
      </c>
      <c r="J337">
        <f>IF(A337="","",IF(OR(H337="Transfers",H337="Income",D337="Transfer",D337="Category Pending",F337="Pending"),"No","Yes"))</f>
      </c>
      <c r="K337" s="4">
        <f>IF(A337="","",TEXT(IF(DAY(A337)&gt;=Setup!$B$9,DATE(YEAR(A337),MONTH(A337)+1,1),DATE(YEAR(A337),MONTH(A337),1)),"mmmm yyyy"))</f>
      </c>
      <c r="L337" s="47">
        <f>IF(A337="",0,IF(AND(J337="Yes",E337&lt;0),-E337,0))</f>
      </c>
      <c r="M337" s="47">
        <f>IF(A337="",0,IF(AND(J337="Yes",E337&gt;0),E337,0))</f>
      </c>
      <c r="N337">
        <f>IF(A337="","",IF(D337="Category Pending","Needs categorization",IF(COUNTIFS($A$2:A337,A337,$B$2:B337,B337,$E$2:E337,E337)&gt;1,"Possible duplicate","")))</f>
      </c>
    </row>
    <row r="338" spans="3:14" x14ac:dyDescent="0.3">
      <c r="A338"/>
      <c r="C338" s="16"/>
      <c r="G338" s="5">
        <f>IF(A338="","","Checking")</f>
      </c>
      <c r="H338">
        <f>IF(A338="","",IFERROR(XLOOKUP(D338,Setup!$E$15:$E$79,Setup!$F$15:$F$79),"Miscellaneous"))</f>
      </c>
      <c r="I338">
        <f>IF(A338="","",IFERROR(XLOOKUP(D338,Setup!$E$15:$E$79,Setup!$G$15:$G$79),"Uncategorized"))</f>
      </c>
      <c r="J338">
        <f>IF(A338="","",IF(OR(H338="Transfers",H338="Income",D338="Transfer",D338="Category Pending",F338="Pending"),"No","Yes"))</f>
      </c>
      <c r="K338" s="4">
        <f>IF(A338="","",TEXT(IF(DAY(A338)&gt;=Setup!$B$9,DATE(YEAR(A338),MONTH(A338)+1,1),DATE(YEAR(A338),MONTH(A338),1)),"mmmm yyyy"))</f>
      </c>
      <c r="L338" s="47">
        <f>IF(A338="",0,IF(AND(J338="Yes",E338&lt;0),-E338,0))</f>
      </c>
      <c r="M338" s="47">
        <f>IF(A338="",0,IF(AND(J338="Yes",E338&gt;0),E338,0))</f>
      </c>
      <c r="N338">
        <f>IF(A338="","",IF(D338="Category Pending","Needs categorization",IF(COUNTIFS($A$2:A338,A338,$B$2:B338,B338,$E$2:E338,E338)&gt;1,"Possible duplicate","")))</f>
      </c>
    </row>
    <row r="339" spans="3:14" x14ac:dyDescent="0.3">
      <c r="A339"/>
      <c r="C339" s="16"/>
      <c r="G339" s="5">
        <f>IF(A339="","","Checking")</f>
      </c>
      <c r="H339">
        <f>IF(A339="","",IFERROR(XLOOKUP(D339,Setup!$E$15:$E$79,Setup!$F$15:$F$79),"Miscellaneous"))</f>
      </c>
      <c r="I339">
        <f>IF(A339="","",IFERROR(XLOOKUP(D339,Setup!$E$15:$E$79,Setup!$G$15:$G$79),"Uncategorized"))</f>
      </c>
      <c r="J339">
        <f>IF(A339="","",IF(OR(H339="Transfers",H339="Income",D339="Transfer",D339="Category Pending",F339="Pending"),"No","Yes"))</f>
      </c>
      <c r="K339" s="4">
        <f>IF(A339="","",TEXT(IF(DAY(A339)&gt;=Setup!$B$9,DATE(YEAR(A339),MONTH(A339)+1,1),DATE(YEAR(A339),MONTH(A339),1)),"mmmm yyyy"))</f>
      </c>
      <c r="L339" s="47">
        <f>IF(A339="",0,IF(AND(J339="Yes",E339&lt;0),-E339,0))</f>
      </c>
      <c r="M339" s="47">
        <f>IF(A339="",0,IF(AND(J339="Yes",E339&gt;0),E339,0))</f>
      </c>
      <c r="N339">
        <f>IF(A339="","",IF(D339="Category Pending","Needs categorization",IF(COUNTIFS($A$2:A339,A339,$B$2:B339,B339,$E$2:E339,E339)&gt;1,"Possible duplicate","")))</f>
      </c>
    </row>
    <row r="340" spans="3:14" x14ac:dyDescent="0.3">
      <c r="A340"/>
      <c r="C340" s="16"/>
      <c r="G340" s="5">
        <f>IF(A340="","","Checking")</f>
      </c>
      <c r="H340">
        <f>IF(A340="","",IFERROR(XLOOKUP(D340,Setup!$E$15:$E$79,Setup!$F$15:$F$79),"Miscellaneous"))</f>
      </c>
      <c r="I340">
        <f>IF(A340="","",IFERROR(XLOOKUP(D340,Setup!$E$15:$E$79,Setup!$G$15:$G$79),"Uncategorized"))</f>
      </c>
      <c r="J340">
        <f>IF(A340="","",IF(OR(H340="Transfers",H340="Income",D340="Transfer",D340="Category Pending",F340="Pending"),"No","Yes"))</f>
      </c>
      <c r="K340" s="4">
        <f>IF(A340="","",TEXT(IF(DAY(A340)&gt;=Setup!$B$9,DATE(YEAR(A340),MONTH(A340)+1,1),DATE(YEAR(A340),MONTH(A340),1)),"mmmm yyyy"))</f>
      </c>
      <c r="L340" s="47">
        <f>IF(A340="",0,IF(AND(J340="Yes",E340&lt;0),-E340,0))</f>
      </c>
      <c r="M340" s="47">
        <f>IF(A340="",0,IF(AND(J340="Yes",E340&gt;0),E340,0))</f>
      </c>
      <c r="N340">
        <f>IF(A340="","",IF(D340="Category Pending","Needs categorization",IF(COUNTIFS($A$2:A340,A340,$B$2:B340,B340,$E$2:E340,E340)&gt;1,"Possible duplicate","")))</f>
      </c>
    </row>
    <row r="341" spans="3:14" x14ac:dyDescent="0.3">
      <c r="A341"/>
      <c r="C341" s="16"/>
      <c r="G341" s="5">
        <f>IF(A341="","","Checking")</f>
      </c>
      <c r="H341">
        <f>IF(A341="","",IFERROR(XLOOKUP(D341,Setup!$E$15:$E$79,Setup!$F$15:$F$79),"Miscellaneous"))</f>
      </c>
      <c r="I341">
        <f>IF(A341="","",IFERROR(XLOOKUP(D341,Setup!$E$15:$E$79,Setup!$G$15:$G$79),"Uncategorized"))</f>
      </c>
      <c r="J341">
        <f>IF(A341="","",IF(OR(H341="Transfers",H341="Income",D341="Transfer",D341="Category Pending",F341="Pending"),"No","Yes"))</f>
      </c>
      <c r="K341" s="4">
        <f>IF(A341="","",TEXT(IF(DAY(A341)&gt;=Setup!$B$9,DATE(YEAR(A341),MONTH(A341)+1,1),DATE(YEAR(A341),MONTH(A341),1)),"mmmm yyyy"))</f>
      </c>
      <c r="L341" s="47">
        <f>IF(A341="",0,IF(AND(J341="Yes",E341&lt;0),-E341,0))</f>
      </c>
      <c r="M341" s="47">
        <f>IF(A341="",0,IF(AND(J341="Yes",E341&gt;0),E341,0))</f>
      </c>
      <c r="N341">
        <f>IF(A341="","",IF(D341="Category Pending","Needs categorization",IF(COUNTIFS($A$2:A341,A341,$B$2:B341,B341,$E$2:E341,E341)&gt;1,"Possible duplicate","")))</f>
      </c>
    </row>
    <row r="342" spans="3:14" x14ac:dyDescent="0.3">
      <c r="A342"/>
      <c r="C342" s="16"/>
      <c r="G342" s="5">
        <f>IF(A342="","","Checking")</f>
      </c>
      <c r="H342">
        <f>IF(A342="","",IFERROR(XLOOKUP(D342,Setup!$E$15:$E$79,Setup!$F$15:$F$79),"Miscellaneous"))</f>
      </c>
      <c r="I342">
        <f>IF(A342="","",IFERROR(XLOOKUP(D342,Setup!$E$15:$E$79,Setup!$G$15:$G$79),"Uncategorized"))</f>
      </c>
      <c r="J342">
        <f>IF(A342="","",IF(OR(H342="Transfers",H342="Income",D342="Transfer",D342="Category Pending",F342="Pending"),"No","Yes"))</f>
      </c>
      <c r="K342" s="4">
        <f>IF(A342="","",TEXT(IF(DAY(A342)&gt;=Setup!$B$9,DATE(YEAR(A342),MONTH(A342)+1,1),DATE(YEAR(A342),MONTH(A342),1)),"mmmm yyyy"))</f>
      </c>
      <c r="L342" s="47">
        <f>IF(A342="",0,IF(AND(J342="Yes",E342&lt;0),-E342,0))</f>
      </c>
      <c r="M342" s="47">
        <f>IF(A342="",0,IF(AND(J342="Yes",E342&gt;0),E342,0))</f>
      </c>
      <c r="N342">
        <f>IF(A342="","",IF(D342="Category Pending","Needs categorization",IF(COUNTIFS($A$2:A342,A342,$B$2:B342,B342,$E$2:E342,E342)&gt;1,"Possible duplicate","")))</f>
      </c>
    </row>
    <row r="343" spans="3:14" x14ac:dyDescent="0.3">
      <c r="A343"/>
      <c r="C343" s="16"/>
      <c r="G343" s="5">
        <f>IF(A343="","","Checking")</f>
      </c>
      <c r="H343">
        <f>IF(A343="","",IFERROR(XLOOKUP(D343,Setup!$E$15:$E$79,Setup!$F$15:$F$79),"Miscellaneous"))</f>
      </c>
      <c r="I343">
        <f>IF(A343="","",IFERROR(XLOOKUP(D343,Setup!$E$15:$E$79,Setup!$G$15:$G$79),"Uncategorized"))</f>
      </c>
      <c r="J343">
        <f>IF(A343="","",IF(OR(H343="Transfers",H343="Income",D343="Transfer",D343="Category Pending",F343="Pending"),"No","Yes"))</f>
      </c>
      <c r="K343" s="4">
        <f>IF(A343="","",TEXT(IF(DAY(A343)&gt;=Setup!$B$9,DATE(YEAR(A343),MONTH(A343)+1,1),DATE(YEAR(A343),MONTH(A343),1)),"mmmm yyyy"))</f>
      </c>
      <c r="L343" s="47">
        <f>IF(A343="",0,IF(AND(J343="Yes",E343&lt;0),-E343,0))</f>
      </c>
      <c r="M343" s="47">
        <f>IF(A343="",0,IF(AND(J343="Yes",E343&gt;0),E343,0))</f>
      </c>
      <c r="N343">
        <f>IF(A343="","",IF(D343="Category Pending","Needs categorization",IF(COUNTIFS($A$2:A343,A343,$B$2:B343,B343,$E$2:E343,E343)&gt;1,"Possible duplicate","")))</f>
      </c>
    </row>
    <row r="344" spans="3:14" x14ac:dyDescent="0.3">
      <c r="A344"/>
      <c r="C344" s="16"/>
      <c r="G344" s="5">
        <f>IF(A344="","","Checking")</f>
      </c>
      <c r="H344">
        <f>IF(A344="","",IFERROR(XLOOKUP(D344,Setup!$E$15:$E$79,Setup!$F$15:$F$79),"Miscellaneous"))</f>
      </c>
      <c r="I344">
        <f>IF(A344="","",IFERROR(XLOOKUP(D344,Setup!$E$15:$E$79,Setup!$G$15:$G$79),"Uncategorized"))</f>
      </c>
      <c r="J344">
        <f>IF(A344="","",IF(OR(H344="Transfers",H344="Income",D344="Transfer",D344="Category Pending",F344="Pending"),"No","Yes"))</f>
      </c>
      <c r="K344" s="4">
        <f>IF(A344="","",TEXT(IF(DAY(A344)&gt;=Setup!$B$9,DATE(YEAR(A344),MONTH(A344)+1,1),DATE(YEAR(A344),MONTH(A344),1)),"mmmm yyyy"))</f>
      </c>
      <c r="L344" s="47">
        <f>IF(A344="",0,IF(AND(J344="Yes",E344&lt;0),-E344,0))</f>
      </c>
      <c r="M344" s="47">
        <f>IF(A344="",0,IF(AND(J344="Yes",E344&gt;0),E344,0))</f>
      </c>
      <c r="N344">
        <f>IF(A344="","",IF(D344="Category Pending","Needs categorization",IF(COUNTIFS($A$2:A344,A344,$B$2:B344,B344,$E$2:E344,E344)&gt;1,"Possible duplicate","")))</f>
      </c>
    </row>
    <row r="345" spans="3:14" x14ac:dyDescent="0.3">
      <c r="A345"/>
      <c r="C345" s="16"/>
      <c r="G345" s="5">
        <f>IF(A345="","","Checking")</f>
      </c>
      <c r="H345">
        <f>IF(A345="","",IFERROR(XLOOKUP(D345,Setup!$E$15:$E$79,Setup!$F$15:$F$79),"Miscellaneous"))</f>
      </c>
      <c r="I345">
        <f>IF(A345="","",IFERROR(XLOOKUP(D345,Setup!$E$15:$E$79,Setup!$G$15:$G$79),"Uncategorized"))</f>
      </c>
      <c r="J345">
        <f>IF(A345="","",IF(OR(H345="Transfers",H345="Income",D345="Transfer",D345="Category Pending",F345="Pending"),"No","Yes"))</f>
      </c>
      <c r="K345" s="4">
        <f>IF(A345="","",TEXT(IF(DAY(A345)&gt;=Setup!$B$9,DATE(YEAR(A345),MONTH(A345)+1,1),DATE(YEAR(A345),MONTH(A345),1)),"mmmm yyyy"))</f>
      </c>
      <c r="L345" s="47">
        <f>IF(A345="",0,IF(AND(J345="Yes",E345&lt;0),-E345,0))</f>
      </c>
      <c r="M345" s="47">
        <f>IF(A345="",0,IF(AND(J345="Yes",E345&gt;0),E345,0))</f>
      </c>
      <c r="N345">
        <f>IF(A345="","",IF(D345="Category Pending","Needs categorization",IF(COUNTIFS($A$2:A345,A345,$B$2:B345,B345,$E$2:E345,E345)&gt;1,"Possible duplicate","")))</f>
      </c>
    </row>
    <row r="346" spans="3:14" x14ac:dyDescent="0.3">
      <c r="A346"/>
      <c r="C346" s="16"/>
      <c r="G346" s="5">
        <f>IF(A346="","","Checking")</f>
      </c>
      <c r="H346">
        <f>IF(A346="","",IFERROR(XLOOKUP(D346,Setup!$E$15:$E$79,Setup!$F$15:$F$79),"Miscellaneous"))</f>
      </c>
      <c r="I346">
        <f>IF(A346="","",IFERROR(XLOOKUP(D346,Setup!$E$15:$E$79,Setup!$G$15:$G$79),"Uncategorized"))</f>
      </c>
      <c r="J346">
        <f>IF(A346="","",IF(OR(H346="Transfers",H346="Income",D346="Transfer",D346="Category Pending",F346="Pending"),"No","Yes"))</f>
      </c>
      <c r="K346" s="4">
        <f>IF(A346="","",TEXT(IF(DAY(A346)&gt;=Setup!$B$9,DATE(YEAR(A346),MONTH(A346)+1,1),DATE(YEAR(A346),MONTH(A346),1)),"mmmm yyyy"))</f>
      </c>
      <c r="L346" s="47">
        <f>IF(A346="",0,IF(AND(J346="Yes",E346&lt;0),-E346,0))</f>
      </c>
      <c r="M346" s="47">
        <f>IF(A346="",0,IF(AND(J346="Yes",E346&gt;0),E346,0))</f>
      </c>
      <c r="N346">
        <f>IF(A346="","",IF(D346="Category Pending","Needs categorization",IF(COUNTIFS($A$2:A346,A346,$B$2:B346,B346,$E$2:E346,E346)&gt;1,"Possible duplicate","")))</f>
      </c>
    </row>
    <row r="347" spans="3:14" x14ac:dyDescent="0.3">
      <c r="A347"/>
      <c r="C347" s="16"/>
      <c r="G347" s="5">
        <f>IF(A347="","","Checking")</f>
      </c>
      <c r="H347">
        <f>IF(A347="","",IFERROR(XLOOKUP(D347,Setup!$E$15:$E$79,Setup!$F$15:$F$79),"Miscellaneous"))</f>
      </c>
      <c r="I347">
        <f>IF(A347="","",IFERROR(XLOOKUP(D347,Setup!$E$15:$E$79,Setup!$G$15:$G$79),"Uncategorized"))</f>
      </c>
      <c r="J347">
        <f>IF(A347="","",IF(OR(H347="Transfers",H347="Income",D347="Transfer",D347="Category Pending",F347="Pending"),"No","Yes"))</f>
      </c>
      <c r="K347" s="4">
        <f>IF(A347="","",TEXT(IF(DAY(A347)&gt;=Setup!$B$9,DATE(YEAR(A347),MONTH(A347)+1,1),DATE(YEAR(A347),MONTH(A347),1)),"mmmm yyyy"))</f>
      </c>
      <c r="L347" s="47">
        <f>IF(A347="",0,IF(AND(J347="Yes",E347&lt;0),-E347,0))</f>
      </c>
      <c r="M347" s="47">
        <f>IF(A347="",0,IF(AND(J347="Yes",E347&gt;0),E347,0))</f>
      </c>
      <c r="N347">
        <f>IF(A347="","",IF(D347="Category Pending","Needs categorization",IF(COUNTIFS($A$2:A347,A347,$B$2:B347,B347,$E$2:E347,E347)&gt;1,"Possible duplicate","")))</f>
      </c>
    </row>
    <row r="348" spans="3:14" x14ac:dyDescent="0.3">
      <c r="A348"/>
      <c r="C348" s="16"/>
      <c r="G348" s="5">
        <f>IF(A348="","","Checking")</f>
      </c>
      <c r="H348">
        <f>IF(A348="","",IFERROR(XLOOKUP(D348,Setup!$E$15:$E$79,Setup!$F$15:$F$79),"Miscellaneous"))</f>
      </c>
      <c r="I348">
        <f>IF(A348="","",IFERROR(XLOOKUP(D348,Setup!$E$15:$E$79,Setup!$G$15:$G$79),"Uncategorized"))</f>
      </c>
      <c r="J348">
        <f>IF(A348="","",IF(OR(H348="Transfers",H348="Income",D348="Transfer",D348="Category Pending",F348="Pending"),"No","Yes"))</f>
      </c>
      <c r="K348" s="4">
        <f>IF(A348="","",TEXT(IF(DAY(A348)&gt;=Setup!$B$9,DATE(YEAR(A348),MONTH(A348)+1,1),DATE(YEAR(A348),MONTH(A348),1)),"mmmm yyyy"))</f>
      </c>
      <c r="L348" s="47">
        <f>IF(A348="",0,IF(AND(J348="Yes",E348&lt;0),-E348,0))</f>
      </c>
      <c r="M348" s="47">
        <f>IF(A348="",0,IF(AND(J348="Yes",E348&gt;0),E348,0))</f>
      </c>
      <c r="N348">
        <f>IF(A348="","",IF(D348="Category Pending","Needs categorization",IF(COUNTIFS($A$2:A348,A348,$B$2:B348,B348,$E$2:E348,E348)&gt;1,"Possible duplicate","")))</f>
      </c>
    </row>
    <row r="349" spans="3:14" x14ac:dyDescent="0.3">
      <c r="A349"/>
      <c r="C349" s="16"/>
      <c r="G349" s="5">
        <f>IF(A349="","","Checking")</f>
      </c>
      <c r="H349">
        <f>IF(A349="","",IFERROR(XLOOKUP(D349,Setup!$E$15:$E$79,Setup!$F$15:$F$79),"Miscellaneous"))</f>
      </c>
      <c r="I349">
        <f>IF(A349="","",IFERROR(XLOOKUP(D349,Setup!$E$15:$E$79,Setup!$G$15:$G$79),"Uncategorized"))</f>
      </c>
      <c r="J349">
        <f>IF(A349="","",IF(OR(H349="Transfers",H349="Income",D349="Transfer",D349="Category Pending",F349="Pending"),"No","Yes"))</f>
      </c>
      <c r="K349" s="4">
        <f>IF(A349="","",TEXT(IF(DAY(A349)&gt;=Setup!$B$9,DATE(YEAR(A349),MONTH(A349)+1,1),DATE(YEAR(A349),MONTH(A349),1)),"mmmm yyyy"))</f>
      </c>
      <c r="L349" s="47">
        <f>IF(A349="",0,IF(AND(J349="Yes",E349&lt;0),-E349,0))</f>
      </c>
      <c r="M349" s="47">
        <f>IF(A349="",0,IF(AND(J349="Yes",E349&gt;0),E349,0))</f>
      </c>
      <c r="N349">
        <f>IF(A349="","",IF(D349="Category Pending","Needs categorization",IF(COUNTIFS($A$2:A349,A349,$B$2:B349,B349,$E$2:E349,E349)&gt;1,"Possible duplicate","")))</f>
      </c>
    </row>
    <row r="350" spans="3:14" x14ac:dyDescent="0.3">
      <c r="A350"/>
      <c r="C350" s="16"/>
      <c r="G350" s="5">
        <f>IF(A350="","","Checking")</f>
      </c>
      <c r="H350">
        <f>IF(A350="","",IFERROR(XLOOKUP(D350,Setup!$E$15:$E$79,Setup!$F$15:$F$79),"Miscellaneous"))</f>
      </c>
      <c r="I350">
        <f>IF(A350="","",IFERROR(XLOOKUP(D350,Setup!$E$15:$E$79,Setup!$G$15:$G$79),"Uncategorized"))</f>
      </c>
      <c r="J350">
        <f>IF(A350="","",IF(OR(H350="Transfers",H350="Income",D350="Transfer",D350="Category Pending",F350="Pending"),"No","Yes"))</f>
      </c>
      <c r="K350" s="4">
        <f>IF(A350="","",TEXT(IF(DAY(A350)&gt;=Setup!$B$9,DATE(YEAR(A350),MONTH(A350)+1,1),DATE(YEAR(A350),MONTH(A350),1)),"mmmm yyyy"))</f>
      </c>
      <c r="L350" s="47">
        <f>IF(A350="",0,IF(AND(J350="Yes",E350&lt;0),-E350,0))</f>
      </c>
      <c r="M350" s="47">
        <f>IF(A350="",0,IF(AND(J350="Yes",E350&gt;0),E350,0))</f>
      </c>
      <c r="N350">
        <f>IF(A350="","",IF(D350="Category Pending","Needs categorization",IF(COUNTIFS($A$2:A350,A350,$B$2:B350,B350,$E$2:E350,E350)&gt;1,"Possible duplicate","")))</f>
      </c>
    </row>
    <row r="351" spans="3:14" x14ac:dyDescent="0.3">
      <c r="A351"/>
      <c r="C351" s="16"/>
      <c r="G351" s="5">
        <f>IF(A351="","","Checking")</f>
      </c>
      <c r="H351">
        <f>IF(A351="","",IFERROR(XLOOKUP(D351,Setup!$E$15:$E$79,Setup!$F$15:$F$79),"Miscellaneous"))</f>
      </c>
      <c r="I351">
        <f>IF(A351="","",IFERROR(XLOOKUP(D351,Setup!$E$15:$E$79,Setup!$G$15:$G$79),"Uncategorized"))</f>
      </c>
      <c r="J351">
        <f>IF(A351="","",IF(OR(H351="Transfers",H351="Income",D351="Transfer",D351="Category Pending",F351="Pending"),"No","Yes"))</f>
      </c>
      <c r="K351" s="4">
        <f>IF(A351="","",TEXT(IF(DAY(A351)&gt;=Setup!$B$9,DATE(YEAR(A351),MONTH(A351)+1,1),DATE(YEAR(A351),MONTH(A351),1)),"mmmm yyyy"))</f>
      </c>
      <c r="L351" s="47">
        <f>IF(A351="",0,IF(AND(J351="Yes",E351&lt;0),-E351,0))</f>
      </c>
      <c r="M351" s="47">
        <f>IF(A351="",0,IF(AND(J351="Yes",E351&gt;0),E351,0))</f>
      </c>
      <c r="N351">
        <f>IF(A351="","",IF(D351="Category Pending","Needs categorization",IF(COUNTIFS($A$2:A351,A351,$B$2:B351,B351,$E$2:E351,E351)&gt;1,"Possible duplicate","")))</f>
      </c>
    </row>
    <row r="352" spans="3:14" x14ac:dyDescent="0.3">
      <c r="A352"/>
      <c r="C352" s="16"/>
      <c r="G352" s="5">
        <f>IF(A352="","","Checking")</f>
      </c>
      <c r="H352">
        <f>IF(A352="","",IFERROR(XLOOKUP(D352,Setup!$E$15:$E$79,Setup!$F$15:$F$79),"Miscellaneous"))</f>
      </c>
      <c r="I352">
        <f>IF(A352="","",IFERROR(XLOOKUP(D352,Setup!$E$15:$E$79,Setup!$G$15:$G$79),"Uncategorized"))</f>
      </c>
      <c r="J352">
        <f>IF(A352="","",IF(OR(H352="Transfers",H352="Income",D352="Transfer",D352="Category Pending",F352="Pending"),"No","Yes"))</f>
      </c>
      <c r="K352" s="4">
        <f>IF(A352="","",TEXT(IF(DAY(A352)&gt;=Setup!$B$9,DATE(YEAR(A352),MONTH(A352)+1,1),DATE(YEAR(A352),MONTH(A352),1)),"mmmm yyyy"))</f>
      </c>
      <c r="L352" s="47">
        <f>IF(A352="",0,IF(AND(J352="Yes",E352&lt;0),-E352,0))</f>
      </c>
      <c r="M352" s="47">
        <f>IF(A352="",0,IF(AND(J352="Yes",E352&gt;0),E352,0))</f>
      </c>
      <c r="N352">
        <f>IF(A352="","",IF(D352="Category Pending","Needs categorization",IF(COUNTIFS($A$2:A352,A352,$B$2:B352,B352,$E$2:E352,E352)&gt;1,"Possible duplicate","")))</f>
      </c>
    </row>
    <row r="353" spans="3:14" x14ac:dyDescent="0.3">
      <c r="A353"/>
      <c r="C353" s="16"/>
      <c r="G353" s="5">
        <f>IF(A353="","","Checking")</f>
      </c>
      <c r="H353">
        <f>IF(A353="","",IFERROR(XLOOKUP(D353,Setup!$E$15:$E$79,Setup!$F$15:$F$79),"Miscellaneous"))</f>
      </c>
      <c r="I353">
        <f>IF(A353="","",IFERROR(XLOOKUP(D353,Setup!$E$15:$E$79,Setup!$G$15:$G$79),"Uncategorized"))</f>
      </c>
      <c r="J353">
        <f>IF(A353="","",IF(OR(H353="Transfers",H353="Income",D353="Transfer",D353="Category Pending",F353="Pending"),"No","Yes"))</f>
      </c>
      <c r="K353" s="4">
        <f>IF(A353="","",TEXT(IF(DAY(A353)&gt;=Setup!$B$9,DATE(YEAR(A353),MONTH(A353)+1,1),DATE(YEAR(A353),MONTH(A353),1)),"mmmm yyyy"))</f>
      </c>
      <c r="L353" s="47">
        <f>IF(A353="",0,IF(AND(J353="Yes",E353&lt;0),-E353,0))</f>
      </c>
      <c r="M353" s="47">
        <f>IF(A353="",0,IF(AND(J353="Yes",E353&gt;0),E353,0))</f>
      </c>
      <c r="N353">
        <f>IF(A353="","",IF(D353="Category Pending","Needs categorization",IF(COUNTIFS($A$2:A353,A353,$B$2:B353,B353,$E$2:E353,E353)&gt;1,"Possible duplicate","")))</f>
      </c>
    </row>
    <row r="354" spans="3:14" x14ac:dyDescent="0.3">
      <c r="A354"/>
      <c r="C354" s="16"/>
      <c r="G354" s="5">
        <f>IF(A354="","","Checking")</f>
      </c>
      <c r="H354">
        <f>IF(A354="","",IFERROR(XLOOKUP(D354,Setup!$E$15:$E$79,Setup!$F$15:$F$79),"Miscellaneous"))</f>
      </c>
      <c r="I354">
        <f>IF(A354="","",IFERROR(XLOOKUP(D354,Setup!$E$15:$E$79,Setup!$G$15:$G$79),"Uncategorized"))</f>
      </c>
      <c r="J354">
        <f>IF(A354="","",IF(OR(H354="Transfers",H354="Income",D354="Transfer",D354="Category Pending",F354="Pending"),"No","Yes"))</f>
      </c>
      <c r="K354" s="4">
        <f>IF(A354="","",TEXT(IF(DAY(A354)&gt;=Setup!$B$9,DATE(YEAR(A354),MONTH(A354)+1,1),DATE(YEAR(A354),MONTH(A354),1)),"mmmm yyyy"))</f>
      </c>
      <c r="L354" s="47">
        <f>IF(A354="",0,IF(AND(J354="Yes",E354&lt;0),-E354,0))</f>
      </c>
      <c r="M354" s="47">
        <f>IF(A354="",0,IF(AND(J354="Yes",E354&gt;0),E354,0))</f>
      </c>
      <c r="N354">
        <f>IF(A354="","",IF(D354="Category Pending","Needs categorization",IF(COUNTIFS($A$2:A354,A354,$B$2:B354,B354,$E$2:E354,E354)&gt;1,"Possible duplicate","")))</f>
      </c>
    </row>
    <row r="355" spans="3:14" x14ac:dyDescent="0.3">
      <c r="A355"/>
      <c r="C355" s="16"/>
      <c r="G355" s="5">
        <f>IF(A355="","","Checking")</f>
      </c>
      <c r="H355">
        <f>IF(A355="","",IFERROR(XLOOKUP(D355,Setup!$E$15:$E$79,Setup!$F$15:$F$79),"Miscellaneous"))</f>
      </c>
      <c r="I355">
        <f>IF(A355="","",IFERROR(XLOOKUP(D355,Setup!$E$15:$E$79,Setup!$G$15:$G$79),"Uncategorized"))</f>
      </c>
      <c r="J355">
        <f>IF(A355="","",IF(OR(H355="Transfers",H355="Income",D355="Transfer",D355="Category Pending",F355="Pending"),"No","Yes"))</f>
      </c>
      <c r="K355" s="4">
        <f>IF(A355="","",TEXT(IF(DAY(A355)&gt;=Setup!$B$9,DATE(YEAR(A355),MONTH(A355)+1,1),DATE(YEAR(A355),MONTH(A355),1)),"mmmm yyyy"))</f>
      </c>
      <c r="L355" s="47">
        <f>IF(A355="",0,IF(AND(J355="Yes",E355&lt;0),-E355,0))</f>
      </c>
      <c r="M355" s="47">
        <f>IF(A355="",0,IF(AND(J355="Yes",E355&gt;0),E355,0))</f>
      </c>
      <c r="N355">
        <f>IF(A355="","",IF(D355="Category Pending","Needs categorization",IF(COUNTIFS($A$2:A355,A355,$B$2:B355,B355,$E$2:E355,E355)&gt;1,"Possible duplicate","")))</f>
      </c>
    </row>
    <row r="356" spans="3:14" x14ac:dyDescent="0.3">
      <c r="A356"/>
      <c r="C356" s="16"/>
      <c r="G356" s="5">
        <f>IF(A356="","","Checking")</f>
      </c>
      <c r="H356">
        <f>IF(A356="","",IFERROR(XLOOKUP(D356,Setup!$E$15:$E$79,Setup!$F$15:$F$79),"Miscellaneous"))</f>
      </c>
      <c r="I356">
        <f>IF(A356="","",IFERROR(XLOOKUP(D356,Setup!$E$15:$E$79,Setup!$G$15:$G$79),"Uncategorized"))</f>
      </c>
      <c r="J356">
        <f>IF(A356="","",IF(OR(H356="Transfers",H356="Income",D356="Transfer",D356="Category Pending",F356="Pending"),"No","Yes"))</f>
      </c>
      <c r="K356" s="4">
        <f>IF(A356="","",TEXT(IF(DAY(A356)&gt;=Setup!$B$9,DATE(YEAR(A356),MONTH(A356)+1,1),DATE(YEAR(A356),MONTH(A356),1)),"mmmm yyyy"))</f>
      </c>
      <c r="L356" s="47">
        <f>IF(A356="",0,IF(AND(J356="Yes",E356&lt;0),-E356,0))</f>
      </c>
      <c r="M356" s="47">
        <f>IF(A356="",0,IF(AND(J356="Yes",E356&gt;0),E356,0))</f>
      </c>
      <c r="N356">
        <f>IF(A356="","",IF(D356="Category Pending","Needs categorization",IF(COUNTIFS($A$2:A356,A356,$B$2:B356,B356,$E$2:E356,E356)&gt;1,"Possible duplicate","")))</f>
      </c>
    </row>
    <row r="357" spans="3:14" x14ac:dyDescent="0.3">
      <c r="A357"/>
      <c r="C357" s="16"/>
      <c r="G357" s="5">
        <f>IF(A357="","","Checking")</f>
      </c>
      <c r="H357">
        <f>IF(A357="","",IFERROR(XLOOKUP(D357,Setup!$E$15:$E$79,Setup!$F$15:$F$79),"Miscellaneous"))</f>
      </c>
      <c r="I357">
        <f>IF(A357="","",IFERROR(XLOOKUP(D357,Setup!$E$15:$E$79,Setup!$G$15:$G$79),"Uncategorized"))</f>
      </c>
      <c r="J357">
        <f>IF(A357="","",IF(OR(H357="Transfers",H357="Income",D357="Transfer",D357="Category Pending",F357="Pending"),"No","Yes"))</f>
      </c>
      <c r="K357" s="4">
        <f>IF(A357="","",TEXT(IF(DAY(A357)&gt;=Setup!$B$9,DATE(YEAR(A357),MONTH(A357)+1,1),DATE(YEAR(A357),MONTH(A357),1)),"mmmm yyyy"))</f>
      </c>
      <c r="L357" s="47">
        <f>IF(A357="",0,IF(AND(J357="Yes",E357&lt;0),-E357,0))</f>
      </c>
      <c r="M357" s="47">
        <f>IF(A357="",0,IF(AND(J357="Yes",E357&gt;0),E357,0))</f>
      </c>
      <c r="N357">
        <f>IF(A357="","",IF(D357="Category Pending","Needs categorization",IF(COUNTIFS($A$2:A357,A357,$B$2:B357,B357,$E$2:E357,E357)&gt;1,"Possible duplicate","")))</f>
      </c>
    </row>
    <row r="358" spans="3:14" x14ac:dyDescent="0.3">
      <c r="A358"/>
      <c r="C358" s="16"/>
      <c r="G358" s="5">
        <f>IF(A358="","","Checking")</f>
      </c>
      <c r="H358">
        <f>IF(A358="","",IFERROR(XLOOKUP(D358,Setup!$E$15:$E$79,Setup!$F$15:$F$79),"Miscellaneous"))</f>
      </c>
      <c r="I358">
        <f>IF(A358="","",IFERROR(XLOOKUP(D358,Setup!$E$15:$E$79,Setup!$G$15:$G$79),"Uncategorized"))</f>
      </c>
      <c r="J358">
        <f>IF(A358="","",IF(OR(H358="Transfers",H358="Income",D358="Transfer",D358="Category Pending",F358="Pending"),"No","Yes"))</f>
      </c>
      <c r="K358" s="4">
        <f>IF(A358="","",TEXT(IF(DAY(A358)&gt;=Setup!$B$9,DATE(YEAR(A358),MONTH(A358)+1,1),DATE(YEAR(A358),MONTH(A358),1)),"mmmm yyyy"))</f>
      </c>
      <c r="L358" s="47">
        <f>IF(A358="",0,IF(AND(J358="Yes",E358&lt;0),-E358,0))</f>
      </c>
      <c r="M358" s="47">
        <f>IF(A358="",0,IF(AND(J358="Yes",E358&gt;0),E358,0))</f>
      </c>
      <c r="N358">
        <f>IF(A358="","",IF(D358="Category Pending","Needs categorization",IF(COUNTIFS($A$2:A358,A358,$B$2:B358,B358,$E$2:E358,E358)&gt;1,"Possible duplicate","")))</f>
      </c>
    </row>
    <row r="359" spans="3:14" x14ac:dyDescent="0.3">
      <c r="A359"/>
      <c r="C359" s="16"/>
      <c r="G359" s="5">
        <f>IF(A359="","","Checking")</f>
      </c>
      <c r="H359">
        <f>IF(A359="","",IFERROR(XLOOKUP(D359,Setup!$E$15:$E$79,Setup!$F$15:$F$79),"Miscellaneous"))</f>
      </c>
      <c r="I359">
        <f>IF(A359="","",IFERROR(XLOOKUP(D359,Setup!$E$15:$E$79,Setup!$G$15:$G$79),"Uncategorized"))</f>
      </c>
      <c r="J359">
        <f>IF(A359="","",IF(OR(H359="Transfers",H359="Income",D359="Transfer",D359="Category Pending",F359="Pending"),"No","Yes"))</f>
      </c>
      <c r="K359" s="4">
        <f>IF(A359="","",TEXT(IF(DAY(A359)&gt;=Setup!$B$9,DATE(YEAR(A359),MONTH(A359)+1,1),DATE(YEAR(A359),MONTH(A359),1)),"mmmm yyyy"))</f>
      </c>
      <c r="L359" s="47">
        <f>IF(A359="",0,IF(AND(J359="Yes",E359&lt;0),-E359,0))</f>
      </c>
      <c r="M359" s="47">
        <f>IF(A359="",0,IF(AND(J359="Yes",E359&gt;0),E359,0))</f>
      </c>
      <c r="N359">
        <f>IF(A359="","",IF(D359="Category Pending","Needs categorization",IF(COUNTIFS($A$2:A359,A359,$B$2:B359,B359,$E$2:E359,E359)&gt;1,"Possible duplicate","")))</f>
      </c>
    </row>
    <row r="360" spans="3:14" x14ac:dyDescent="0.3">
      <c r="A360"/>
      <c r="C360" s="16"/>
      <c r="G360" s="5">
        <f>IF(A360="","","Checking")</f>
      </c>
      <c r="H360">
        <f>IF(A360="","",IFERROR(XLOOKUP(D360,Setup!$E$15:$E$79,Setup!$F$15:$F$79),"Miscellaneous"))</f>
      </c>
      <c r="I360">
        <f>IF(A360="","",IFERROR(XLOOKUP(D360,Setup!$E$15:$E$79,Setup!$G$15:$G$79),"Uncategorized"))</f>
      </c>
      <c r="J360">
        <f>IF(A360="","",IF(OR(H360="Transfers",H360="Income",D360="Transfer",D360="Category Pending",F360="Pending"),"No","Yes"))</f>
      </c>
      <c r="K360" s="4">
        <f>IF(A360="","",TEXT(IF(DAY(A360)&gt;=Setup!$B$9,DATE(YEAR(A360),MONTH(A360)+1,1),DATE(YEAR(A360),MONTH(A360),1)),"mmmm yyyy"))</f>
      </c>
      <c r="L360" s="47">
        <f>IF(A360="",0,IF(AND(J360="Yes",E360&lt;0),-E360,0))</f>
      </c>
      <c r="M360" s="47">
        <f>IF(A360="",0,IF(AND(J360="Yes",E360&gt;0),E360,0))</f>
      </c>
      <c r="N360">
        <f>IF(A360="","",IF(D360="Category Pending","Needs categorization",IF(COUNTIFS($A$2:A360,A360,$B$2:B360,B360,$E$2:E360,E360)&gt;1,"Possible duplicate","")))</f>
      </c>
    </row>
    <row r="361" spans="3:14" x14ac:dyDescent="0.3">
      <c r="A361"/>
      <c r="C361" s="16"/>
      <c r="G361" s="5">
        <f>IF(A361="","","Checking")</f>
      </c>
      <c r="H361">
        <f>IF(A361="","",IFERROR(XLOOKUP(D361,Setup!$E$15:$E$79,Setup!$F$15:$F$79),"Miscellaneous"))</f>
      </c>
      <c r="I361">
        <f>IF(A361="","",IFERROR(XLOOKUP(D361,Setup!$E$15:$E$79,Setup!$G$15:$G$79),"Uncategorized"))</f>
      </c>
      <c r="J361">
        <f>IF(A361="","",IF(OR(H361="Transfers",H361="Income",D361="Transfer",D361="Category Pending",F361="Pending"),"No","Yes"))</f>
      </c>
      <c r="K361" s="4">
        <f>IF(A361="","",TEXT(IF(DAY(A361)&gt;=Setup!$B$9,DATE(YEAR(A361),MONTH(A361)+1,1),DATE(YEAR(A361),MONTH(A361),1)),"mmmm yyyy"))</f>
      </c>
      <c r="L361" s="47">
        <f>IF(A361="",0,IF(AND(J361="Yes",E361&lt;0),-E361,0))</f>
      </c>
      <c r="M361" s="47">
        <f>IF(A361="",0,IF(AND(J361="Yes",E361&gt;0),E361,0))</f>
      </c>
      <c r="N361">
        <f>IF(A361="","",IF(D361="Category Pending","Needs categorization",IF(COUNTIFS($A$2:A361,A361,$B$2:B361,B361,$E$2:E361,E361)&gt;1,"Possible duplicate","")))</f>
      </c>
    </row>
    <row r="362" spans="3:14" x14ac:dyDescent="0.3">
      <c r="A362"/>
      <c r="C362" s="16"/>
      <c r="G362" s="5">
        <f>IF(A362="","","Checking")</f>
      </c>
      <c r="H362">
        <f>IF(A362="","",IFERROR(XLOOKUP(D362,Setup!$E$15:$E$79,Setup!$F$15:$F$79),"Miscellaneous"))</f>
      </c>
      <c r="I362">
        <f>IF(A362="","",IFERROR(XLOOKUP(D362,Setup!$E$15:$E$79,Setup!$G$15:$G$79),"Uncategorized"))</f>
      </c>
      <c r="J362">
        <f>IF(A362="","",IF(OR(H362="Transfers",H362="Income",D362="Transfer",D362="Category Pending",F362="Pending"),"No","Yes"))</f>
      </c>
      <c r="K362" s="4">
        <f>IF(A362="","",TEXT(IF(DAY(A362)&gt;=Setup!$B$9,DATE(YEAR(A362),MONTH(A362)+1,1),DATE(YEAR(A362),MONTH(A362),1)),"mmmm yyyy"))</f>
      </c>
      <c r="L362" s="47">
        <f>IF(A362="",0,IF(AND(J362="Yes",E362&lt;0),-E362,0))</f>
      </c>
      <c r="M362" s="47">
        <f>IF(A362="",0,IF(AND(J362="Yes",E362&gt;0),E362,0))</f>
      </c>
      <c r="N362">
        <f>IF(A362="","",IF(D362="Category Pending","Needs categorization",IF(COUNTIFS($A$2:A362,A362,$B$2:B362,B362,$E$2:E362,E362)&gt;1,"Possible duplicate","")))</f>
      </c>
    </row>
    <row r="363" spans="3:14" x14ac:dyDescent="0.3">
      <c r="A363"/>
      <c r="C363" s="16"/>
      <c r="G363" s="5">
        <f>IF(A363="","","Checking")</f>
      </c>
      <c r="H363">
        <f>IF(A363="","",IFERROR(XLOOKUP(D363,Setup!$E$15:$E$79,Setup!$F$15:$F$79),"Miscellaneous"))</f>
      </c>
      <c r="I363">
        <f>IF(A363="","",IFERROR(XLOOKUP(D363,Setup!$E$15:$E$79,Setup!$G$15:$G$79),"Uncategorized"))</f>
      </c>
      <c r="J363">
        <f>IF(A363="","",IF(OR(H363="Transfers",H363="Income",D363="Transfer",D363="Category Pending",F363="Pending"),"No","Yes"))</f>
      </c>
      <c r="K363" s="4">
        <f>IF(A363="","",TEXT(IF(DAY(A363)&gt;=Setup!$B$9,DATE(YEAR(A363),MONTH(A363)+1,1),DATE(YEAR(A363),MONTH(A363),1)),"mmmm yyyy"))</f>
      </c>
      <c r="L363" s="47">
        <f>IF(A363="",0,IF(AND(J363="Yes",E363&lt;0),-E363,0))</f>
      </c>
      <c r="M363" s="47">
        <f>IF(A363="",0,IF(AND(J363="Yes",E363&gt;0),E363,0))</f>
      </c>
      <c r="N363">
        <f>IF(A363="","",IF(D363="Category Pending","Needs categorization",IF(COUNTIFS($A$2:A363,A363,$B$2:B363,B363,$E$2:E363,E363)&gt;1,"Possible duplicate","")))</f>
      </c>
    </row>
    <row r="364" spans="3:14" x14ac:dyDescent="0.3">
      <c r="A364"/>
      <c r="C364" s="16"/>
      <c r="G364" s="5">
        <f>IF(A364="","","Checking")</f>
      </c>
      <c r="H364">
        <f>IF(A364="","",IFERROR(XLOOKUP(D364,Setup!$E$15:$E$79,Setup!$F$15:$F$79),"Miscellaneous"))</f>
      </c>
      <c r="I364">
        <f>IF(A364="","",IFERROR(XLOOKUP(D364,Setup!$E$15:$E$79,Setup!$G$15:$G$79),"Uncategorized"))</f>
      </c>
      <c r="J364">
        <f>IF(A364="","",IF(OR(H364="Transfers",H364="Income",D364="Transfer",D364="Category Pending",F364="Pending"),"No","Yes"))</f>
      </c>
      <c r="K364" s="4">
        <f>IF(A364="","",TEXT(IF(DAY(A364)&gt;=Setup!$B$9,DATE(YEAR(A364),MONTH(A364)+1,1),DATE(YEAR(A364),MONTH(A364),1)),"mmmm yyyy"))</f>
      </c>
      <c r="L364" s="47">
        <f>IF(A364="",0,IF(AND(J364="Yes",E364&lt;0),-E364,0))</f>
      </c>
      <c r="M364" s="47">
        <f>IF(A364="",0,IF(AND(J364="Yes",E364&gt;0),E364,0))</f>
      </c>
      <c r="N364">
        <f>IF(A364="","",IF(D364="Category Pending","Needs categorization",IF(COUNTIFS($A$2:A364,A364,$B$2:B364,B364,$E$2:E364,E364)&gt;1,"Possible duplicate","")))</f>
      </c>
    </row>
    <row r="365" spans="3:14" x14ac:dyDescent="0.3">
      <c r="A365"/>
      <c r="C365" s="16"/>
      <c r="G365" s="5">
        <f>IF(A365="","","Checking")</f>
      </c>
      <c r="H365">
        <f>IF(A365="","",IFERROR(XLOOKUP(D365,Setup!$E$15:$E$79,Setup!$F$15:$F$79),"Miscellaneous"))</f>
      </c>
      <c r="I365">
        <f>IF(A365="","",IFERROR(XLOOKUP(D365,Setup!$E$15:$E$79,Setup!$G$15:$G$79),"Uncategorized"))</f>
      </c>
      <c r="J365">
        <f>IF(A365="","",IF(OR(H365="Transfers",H365="Income",D365="Transfer",D365="Category Pending",F365="Pending"),"No","Yes"))</f>
      </c>
      <c r="K365" s="4">
        <f>IF(A365="","",TEXT(IF(DAY(A365)&gt;=Setup!$B$9,DATE(YEAR(A365),MONTH(A365)+1,1),DATE(YEAR(A365),MONTH(A365),1)),"mmmm yyyy"))</f>
      </c>
      <c r="L365" s="47">
        <f>IF(A365="",0,IF(AND(J365="Yes",E365&lt;0),-E365,0))</f>
      </c>
      <c r="M365" s="47">
        <f>IF(A365="",0,IF(AND(J365="Yes",E365&gt;0),E365,0))</f>
      </c>
      <c r="N365">
        <f>IF(A365="","",IF(D365="Category Pending","Needs categorization",IF(COUNTIFS($A$2:A365,A365,$B$2:B365,B365,$E$2:E365,E365)&gt;1,"Possible duplicate","")))</f>
      </c>
    </row>
    <row r="366" spans="3:14" x14ac:dyDescent="0.3">
      <c r="A366"/>
      <c r="C366" s="16"/>
      <c r="G366" s="5">
        <f>IF(A366="","","Checking")</f>
      </c>
      <c r="H366">
        <f>IF(A366="","",IFERROR(XLOOKUP(D366,Setup!$E$15:$E$79,Setup!$F$15:$F$79),"Miscellaneous"))</f>
      </c>
      <c r="I366">
        <f>IF(A366="","",IFERROR(XLOOKUP(D366,Setup!$E$15:$E$79,Setup!$G$15:$G$79),"Uncategorized"))</f>
      </c>
      <c r="J366">
        <f>IF(A366="","",IF(OR(H366="Transfers",H366="Income",D366="Transfer",D366="Category Pending",F366="Pending"),"No","Yes"))</f>
      </c>
      <c r="K366" s="4">
        <f>IF(A366="","",TEXT(IF(DAY(A366)&gt;=Setup!$B$9,DATE(YEAR(A366),MONTH(A366)+1,1),DATE(YEAR(A366),MONTH(A366),1)),"mmmm yyyy"))</f>
      </c>
      <c r="L366" s="47">
        <f>IF(A366="",0,IF(AND(J366="Yes",E366&lt;0),-E366,0))</f>
      </c>
      <c r="M366" s="47">
        <f>IF(A366="",0,IF(AND(J366="Yes",E366&gt;0),E366,0))</f>
      </c>
      <c r="N366">
        <f>IF(A366="","",IF(D366="Category Pending","Needs categorization",IF(COUNTIFS($A$2:A366,A366,$B$2:B366,B366,$E$2:E366,E366)&gt;1,"Possible duplicate","")))</f>
      </c>
    </row>
    <row r="367" spans="3:14" x14ac:dyDescent="0.3">
      <c r="A367"/>
      <c r="C367" s="16"/>
      <c r="G367" s="5">
        <f>IF(A367="","","Checking")</f>
      </c>
      <c r="H367">
        <f>IF(A367="","",IFERROR(XLOOKUP(D367,Setup!$E$15:$E$79,Setup!$F$15:$F$79),"Miscellaneous"))</f>
      </c>
      <c r="I367">
        <f>IF(A367="","",IFERROR(XLOOKUP(D367,Setup!$E$15:$E$79,Setup!$G$15:$G$79),"Uncategorized"))</f>
      </c>
      <c r="J367">
        <f>IF(A367="","",IF(OR(H367="Transfers",H367="Income",D367="Transfer",D367="Category Pending",F367="Pending"),"No","Yes"))</f>
      </c>
      <c r="K367" s="4">
        <f>IF(A367="","",TEXT(IF(DAY(A367)&gt;=Setup!$B$9,DATE(YEAR(A367),MONTH(A367)+1,1),DATE(YEAR(A367),MONTH(A367),1)),"mmmm yyyy"))</f>
      </c>
      <c r="L367" s="47">
        <f>IF(A367="",0,IF(AND(J367="Yes",E367&lt;0),-E367,0))</f>
      </c>
      <c r="M367" s="47">
        <f>IF(A367="",0,IF(AND(J367="Yes",E367&gt;0),E367,0))</f>
      </c>
      <c r="N367">
        <f>IF(A367="","",IF(D367="Category Pending","Needs categorization",IF(COUNTIFS($A$2:A367,A367,$B$2:B367,B367,$E$2:E367,E367)&gt;1,"Possible duplicate","")))</f>
      </c>
    </row>
    <row r="368" spans="3:14" x14ac:dyDescent="0.3">
      <c r="A368"/>
      <c r="C368" s="16"/>
      <c r="G368" s="5">
        <f>IF(A368="","","Checking")</f>
      </c>
      <c r="H368">
        <f>IF(A368="","",IFERROR(XLOOKUP(D368,Setup!$E$15:$E$79,Setup!$F$15:$F$79),"Miscellaneous"))</f>
      </c>
      <c r="I368">
        <f>IF(A368="","",IFERROR(XLOOKUP(D368,Setup!$E$15:$E$79,Setup!$G$15:$G$79),"Uncategorized"))</f>
      </c>
      <c r="J368">
        <f>IF(A368="","",IF(OR(H368="Transfers",H368="Income",D368="Transfer",D368="Category Pending",F368="Pending"),"No","Yes"))</f>
      </c>
      <c r="K368" s="4">
        <f>IF(A368="","",TEXT(IF(DAY(A368)&gt;=Setup!$B$9,DATE(YEAR(A368),MONTH(A368)+1,1),DATE(YEAR(A368),MONTH(A368),1)),"mmmm yyyy"))</f>
      </c>
      <c r="L368" s="47">
        <f>IF(A368="",0,IF(AND(J368="Yes",E368&lt;0),-E368,0))</f>
      </c>
      <c r="M368" s="47">
        <f>IF(A368="",0,IF(AND(J368="Yes",E368&gt;0),E368,0))</f>
      </c>
      <c r="N368">
        <f>IF(A368="","",IF(D368="Category Pending","Needs categorization",IF(COUNTIFS($A$2:A368,A368,$B$2:B368,B368,$E$2:E368,E368)&gt;1,"Possible duplicate","")))</f>
      </c>
    </row>
    <row r="369" spans="3:14" x14ac:dyDescent="0.3">
      <c r="A369"/>
      <c r="C369" s="16"/>
      <c r="G369" s="5">
        <f>IF(A369="","","Checking")</f>
      </c>
      <c r="H369">
        <f>IF(A369="","",IFERROR(XLOOKUP(D369,Setup!$E$15:$E$79,Setup!$F$15:$F$79),"Miscellaneous"))</f>
      </c>
      <c r="I369">
        <f>IF(A369="","",IFERROR(XLOOKUP(D369,Setup!$E$15:$E$79,Setup!$G$15:$G$79),"Uncategorized"))</f>
      </c>
      <c r="J369">
        <f>IF(A369="","",IF(OR(H369="Transfers",H369="Income",D369="Transfer",D369="Category Pending",F369="Pending"),"No","Yes"))</f>
      </c>
      <c r="K369" s="4">
        <f>IF(A369="","",TEXT(IF(DAY(A369)&gt;=Setup!$B$9,DATE(YEAR(A369),MONTH(A369)+1,1),DATE(YEAR(A369),MONTH(A369),1)),"mmmm yyyy"))</f>
      </c>
      <c r="L369" s="47">
        <f>IF(A369="",0,IF(AND(J369="Yes",E369&lt;0),-E369,0))</f>
      </c>
      <c r="M369" s="47">
        <f>IF(A369="",0,IF(AND(J369="Yes",E369&gt;0),E369,0))</f>
      </c>
      <c r="N369">
        <f>IF(A369="","",IF(D369="Category Pending","Needs categorization",IF(COUNTIFS($A$2:A369,A369,$B$2:B369,B369,$E$2:E369,E369)&gt;1,"Possible duplicate","")))</f>
      </c>
    </row>
    <row r="370" spans="3:14" x14ac:dyDescent="0.3">
      <c r="A370"/>
      <c r="C370" s="16"/>
      <c r="G370" s="5">
        <f>IF(A370="","","Checking")</f>
      </c>
      <c r="H370">
        <f>IF(A370="","",IFERROR(XLOOKUP(D370,Setup!$E$15:$E$79,Setup!$F$15:$F$79),"Miscellaneous"))</f>
      </c>
      <c r="I370">
        <f>IF(A370="","",IFERROR(XLOOKUP(D370,Setup!$E$15:$E$79,Setup!$G$15:$G$79),"Uncategorized"))</f>
      </c>
      <c r="J370">
        <f>IF(A370="","",IF(OR(H370="Transfers",H370="Income",D370="Transfer",D370="Category Pending",F370="Pending"),"No","Yes"))</f>
      </c>
      <c r="K370" s="4">
        <f>IF(A370="","",TEXT(IF(DAY(A370)&gt;=Setup!$B$9,DATE(YEAR(A370),MONTH(A370)+1,1),DATE(YEAR(A370),MONTH(A370),1)),"mmmm yyyy"))</f>
      </c>
      <c r="L370" s="47">
        <f>IF(A370="",0,IF(AND(J370="Yes",E370&lt;0),-E370,0))</f>
      </c>
      <c r="M370" s="47">
        <f>IF(A370="",0,IF(AND(J370="Yes",E370&gt;0),E370,0))</f>
      </c>
      <c r="N370">
        <f>IF(A370="","",IF(D370="Category Pending","Needs categorization",IF(COUNTIFS($A$2:A370,A370,$B$2:B370,B370,$E$2:E370,E370)&gt;1,"Possible duplicate","")))</f>
      </c>
    </row>
    <row r="371" spans="3:14" x14ac:dyDescent="0.3">
      <c r="A371"/>
      <c r="C371" s="16"/>
      <c r="G371" s="5">
        <f>IF(A371="","","Checking")</f>
      </c>
      <c r="H371">
        <f>IF(A371="","",IFERROR(XLOOKUP(D371,Setup!$E$15:$E$79,Setup!$F$15:$F$79),"Miscellaneous"))</f>
      </c>
      <c r="I371">
        <f>IF(A371="","",IFERROR(XLOOKUP(D371,Setup!$E$15:$E$79,Setup!$G$15:$G$79),"Uncategorized"))</f>
      </c>
      <c r="J371">
        <f>IF(A371="","",IF(OR(H371="Transfers",H371="Income",D371="Transfer",D371="Category Pending",F371="Pending"),"No","Yes"))</f>
      </c>
      <c r="K371" s="4">
        <f>IF(A371="","",TEXT(IF(DAY(A371)&gt;=Setup!$B$9,DATE(YEAR(A371),MONTH(A371)+1,1),DATE(YEAR(A371),MONTH(A371),1)),"mmmm yyyy"))</f>
      </c>
      <c r="L371" s="47">
        <f>IF(A371="",0,IF(AND(J371="Yes",E371&lt;0),-E371,0))</f>
      </c>
      <c r="M371" s="47">
        <f>IF(A371="",0,IF(AND(J371="Yes",E371&gt;0),E371,0))</f>
      </c>
      <c r="N371">
        <f>IF(A371="","",IF(D371="Category Pending","Needs categorization",IF(COUNTIFS($A$2:A371,A371,$B$2:B371,B371,$E$2:E371,E371)&gt;1,"Possible duplicate","")))</f>
      </c>
    </row>
    <row r="372" spans="3:14" x14ac:dyDescent="0.3">
      <c r="A372"/>
      <c r="C372" s="16"/>
      <c r="G372" s="5">
        <f>IF(A372="","","Checking")</f>
      </c>
      <c r="H372">
        <f>IF(A372="","",IFERROR(XLOOKUP(D372,Setup!$E$15:$E$79,Setup!$F$15:$F$79),"Miscellaneous"))</f>
      </c>
      <c r="I372">
        <f>IF(A372="","",IFERROR(XLOOKUP(D372,Setup!$E$15:$E$79,Setup!$G$15:$G$79),"Uncategorized"))</f>
      </c>
      <c r="J372">
        <f>IF(A372="","",IF(OR(H372="Transfers",H372="Income",D372="Transfer",D372="Category Pending",F372="Pending"),"No","Yes"))</f>
      </c>
      <c r="K372" s="4">
        <f>IF(A372="","",TEXT(IF(DAY(A372)&gt;=Setup!$B$9,DATE(YEAR(A372),MONTH(A372)+1,1),DATE(YEAR(A372),MONTH(A372),1)),"mmmm yyyy"))</f>
      </c>
      <c r="L372" s="47">
        <f>IF(A372="",0,IF(AND(J372="Yes",E372&lt;0),-E372,0))</f>
      </c>
      <c r="M372" s="47">
        <f>IF(A372="",0,IF(AND(J372="Yes",E372&gt;0),E372,0))</f>
      </c>
      <c r="N372">
        <f>IF(A372="","",IF(D372="Category Pending","Needs categorization",IF(COUNTIFS($A$2:A372,A372,$B$2:B372,B372,$E$2:E372,E372)&gt;1,"Possible duplicate","")))</f>
      </c>
    </row>
    <row r="373" spans="3:14" x14ac:dyDescent="0.3">
      <c r="A373"/>
      <c r="C373" s="16"/>
      <c r="G373" s="5">
        <f>IF(A373="","","Checking")</f>
      </c>
      <c r="H373">
        <f>IF(A373="","",IFERROR(XLOOKUP(D373,Setup!$E$15:$E$79,Setup!$F$15:$F$79),"Miscellaneous"))</f>
      </c>
      <c r="I373">
        <f>IF(A373="","",IFERROR(XLOOKUP(D373,Setup!$E$15:$E$79,Setup!$G$15:$G$79),"Uncategorized"))</f>
      </c>
      <c r="J373">
        <f>IF(A373="","",IF(OR(H373="Transfers",H373="Income",D373="Transfer",D373="Category Pending",F373="Pending"),"No","Yes"))</f>
      </c>
      <c r="K373" s="4">
        <f>IF(A373="","",TEXT(IF(DAY(A373)&gt;=Setup!$B$9,DATE(YEAR(A373),MONTH(A373)+1,1),DATE(YEAR(A373),MONTH(A373),1)),"mmmm yyyy"))</f>
      </c>
      <c r="L373" s="47">
        <f>IF(A373="",0,IF(AND(J373="Yes",E373&lt;0),-E373,0))</f>
      </c>
      <c r="M373" s="47">
        <f>IF(A373="",0,IF(AND(J373="Yes",E373&gt;0),E373,0))</f>
      </c>
      <c r="N373">
        <f>IF(A373="","",IF(D373="Category Pending","Needs categorization",IF(COUNTIFS($A$2:A373,A373,$B$2:B373,B373,$E$2:E373,E373)&gt;1,"Possible duplicate","")))</f>
      </c>
    </row>
    <row r="374" spans="3:14" x14ac:dyDescent="0.3">
      <c r="A374"/>
      <c r="C374" s="16"/>
      <c r="G374" s="5">
        <f>IF(A374="","","Checking")</f>
      </c>
      <c r="H374">
        <f>IF(A374="","",IFERROR(XLOOKUP(D374,Setup!$E$15:$E$79,Setup!$F$15:$F$79),"Miscellaneous"))</f>
      </c>
      <c r="I374">
        <f>IF(A374="","",IFERROR(XLOOKUP(D374,Setup!$E$15:$E$79,Setup!$G$15:$G$79),"Uncategorized"))</f>
      </c>
      <c r="J374">
        <f>IF(A374="","",IF(OR(H374="Transfers",H374="Income",D374="Transfer",D374="Category Pending",F374="Pending"),"No","Yes"))</f>
      </c>
      <c r="K374" s="4">
        <f>IF(A374="","",TEXT(IF(DAY(A374)&gt;=Setup!$B$9,DATE(YEAR(A374),MONTH(A374)+1,1),DATE(YEAR(A374),MONTH(A374),1)),"mmmm yyyy"))</f>
      </c>
      <c r="L374" s="47">
        <f>IF(A374="",0,IF(AND(J374="Yes",E374&lt;0),-E374,0))</f>
      </c>
      <c r="M374" s="47">
        <f>IF(A374="",0,IF(AND(J374="Yes",E374&gt;0),E374,0))</f>
      </c>
      <c r="N374">
        <f>IF(A374="","",IF(D374="Category Pending","Needs categorization",IF(COUNTIFS($A$2:A374,A374,$B$2:B374,B374,$E$2:E374,E374)&gt;1,"Possible duplicate","")))</f>
      </c>
    </row>
    <row r="375" spans="3:14" x14ac:dyDescent="0.3">
      <c r="A375"/>
      <c r="C375" s="16"/>
      <c r="G375" s="5">
        <f>IF(A375="","","Checking")</f>
      </c>
      <c r="H375">
        <f>IF(A375="","",IFERROR(XLOOKUP(D375,Setup!$E$15:$E$79,Setup!$F$15:$F$79),"Miscellaneous"))</f>
      </c>
      <c r="I375">
        <f>IF(A375="","",IFERROR(XLOOKUP(D375,Setup!$E$15:$E$79,Setup!$G$15:$G$79),"Uncategorized"))</f>
      </c>
      <c r="J375">
        <f>IF(A375="","",IF(OR(H375="Transfers",H375="Income",D375="Transfer",D375="Category Pending",F375="Pending"),"No","Yes"))</f>
      </c>
      <c r="K375" s="4">
        <f>IF(A375="","",TEXT(IF(DAY(A375)&gt;=Setup!$B$9,DATE(YEAR(A375),MONTH(A375)+1,1),DATE(YEAR(A375),MONTH(A375),1)),"mmmm yyyy"))</f>
      </c>
      <c r="L375" s="47">
        <f>IF(A375="",0,IF(AND(J375="Yes",E375&lt;0),-E375,0))</f>
      </c>
      <c r="M375" s="47">
        <f>IF(A375="",0,IF(AND(J375="Yes",E375&gt;0),E375,0))</f>
      </c>
      <c r="N375">
        <f>IF(A375="","",IF(D375="Category Pending","Needs categorization",IF(COUNTIFS($A$2:A375,A375,$B$2:B375,B375,$E$2:E375,E375)&gt;1,"Possible duplicate","")))</f>
      </c>
    </row>
    <row r="376" spans="3:14" x14ac:dyDescent="0.3">
      <c r="A376"/>
      <c r="C376" s="16"/>
      <c r="G376" s="5">
        <f>IF(A376="","","Checking")</f>
      </c>
      <c r="H376">
        <f>IF(A376="","",IFERROR(XLOOKUP(D376,Setup!$E$15:$E$79,Setup!$F$15:$F$79),"Miscellaneous"))</f>
      </c>
      <c r="I376">
        <f>IF(A376="","",IFERROR(XLOOKUP(D376,Setup!$E$15:$E$79,Setup!$G$15:$G$79),"Uncategorized"))</f>
      </c>
      <c r="J376">
        <f>IF(A376="","",IF(OR(H376="Transfers",H376="Income",D376="Transfer",D376="Category Pending",F376="Pending"),"No","Yes"))</f>
      </c>
      <c r="K376" s="4">
        <f>IF(A376="","",TEXT(IF(DAY(A376)&gt;=Setup!$B$9,DATE(YEAR(A376),MONTH(A376)+1,1),DATE(YEAR(A376),MONTH(A376),1)),"mmmm yyyy"))</f>
      </c>
      <c r="L376" s="47">
        <f>IF(A376="",0,IF(AND(J376="Yes",E376&lt;0),-E376,0))</f>
      </c>
      <c r="M376" s="47">
        <f>IF(A376="",0,IF(AND(J376="Yes",E376&gt;0),E376,0))</f>
      </c>
      <c r="N376">
        <f>IF(A376="","",IF(D376="Category Pending","Needs categorization",IF(COUNTIFS($A$2:A376,A376,$B$2:B376,B376,$E$2:E376,E376)&gt;1,"Possible duplicate","")))</f>
      </c>
    </row>
    <row r="377" spans="3:14" x14ac:dyDescent="0.3">
      <c r="A377"/>
      <c r="C377" s="16"/>
      <c r="G377" s="5">
        <f>IF(A377="","","Checking")</f>
      </c>
      <c r="H377">
        <f>IF(A377="","",IFERROR(XLOOKUP(D377,Setup!$E$15:$E$79,Setup!$F$15:$F$79),"Miscellaneous"))</f>
      </c>
      <c r="I377">
        <f>IF(A377="","",IFERROR(XLOOKUP(D377,Setup!$E$15:$E$79,Setup!$G$15:$G$79),"Uncategorized"))</f>
      </c>
      <c r="J377">
        <f>IF(A377="","",IF(OR(H377="Transfers",H377="Income",D377="Transfer",D377="Category Pending",F377="Pending"),"No","Yes"))</f>
      </c>
      <c r="K377" s="4">
        <f>IF(A377="","",TEXT(IF(DAY(A377)&gt;=Setup!$B$9,DATE(YEAR(A377),MONTH(A377)+1,1),DATE(YEAR(A377),MONTH(A377),1)),"mmmm yyyy"))</f>
      </c>
      <c r="L377" s="47">
        <f>IF(A377="",0,IF(AND(J377="Yes",E377&lt;0),-E377,0))</f>
      </c>
      <c r="M377" s="47">
        <f>IF(A377="",0,IF(AND(J377="Yes",E377&gt;0),E377,0))</f>
      </c>
      <c r="N377">
        <f>IF(A377="","",IF(D377="Category Pending","Needs categorization",IF(COUNTIFS($A$2:A377,A377,$B$2:B377,B377,$E$2:E377,E377)&gt;1,"Possible duplicate","")))</f>
      </c>
    </row>
    <row r="378" spans="3:14" x14ac:dyDescent="0.3">
      <c r="A378"/>
      <c r="C378" s="16"/>
      <c r="G378" s="5">
        <f>IF(A378="","","Checking")</f>
      </c>
      <c r="H378">
        <f>IF(A378="","",IFERROR(XLOOKUP(D378,Setup!$E$15:$E$79,Setup!$F$15:$F$79),"Miscellaneous"))</f>
      </c>
      <c r="I378">
        <f>IF(A378="","",IFERROR(XLOOKUP(D378,Setup!$E$15:$E$79,Setup!$G$15:$G$79),"Uncategorized"))</f>
      </c>
      <c r="J378">
        <f>IF(A378="","",IF(OR(H378="Transfers",H378="Income",D378="Transfer",D378="Category Pending",F378="Pending"),"No","Yes"))</f>
      </c>
      <c r="K378" s="4">
        <f>IF(A378="","",TEXT(IF(DAY(A378)&gt;=Setup!$B$9,DATE(YEAR(A378),MONTH(A378)+1,1),DATE(YEAR(A378),MONTH(A378),1)),"mmmm yyyy"))</f>
      </c>
      <c r="L378" s="47">
        <f>IF(A378="",0,IF(AND(J378="Yes",E378&lt;0),-E378,0))</f>
      </c>
      <c r="M378" s="47">
        <f>IF(A378="",0,IF(AND(J378="Yes",E378&gt;0),E378,0))</f>
      </c>
      <c r="N378">
        <f>IF(A378="","",IF(D378="Category Pending","Needs categorization",IF(COUNTIFS($A$2:A378,A378,$B$2:B378,B378,$E$2:E378,E378)&gt;1,"Possible duplicate","")))</f>
      </c>
    </row>
    <row r="379" spans="3:14" x14ac:dyDescent="0.3">
      <c r="A379"/>
      <c r="C379" s="16"/>
      <c r="G379" s="5">
        <f>IF(A379="","","Checking")</f>
      </c>
      <c r="H379">
        <f>IF(A379="","",IFERROR(XLOOKUP(D379,Setup!$E$15:$E$79,Setup!$F$15:$F$79),"Miscellaneous"))</f>
      </c>
      <c r="I379">
        <f>IF(A379="","",IFERROR(XLOOKUP(D379,Setup!$E$15:$E$79,Setup!$G$15:$G$79),"Uncategorized"))</f>
      </c>
      <c r="J379">
        <f>IF(A379="","",IF(OR(H379="Transfers",H379="Income",D379="Transfer",D379="Category Pending",F379="Pending"),"No","Yes"))</f>
      </c>
      <c r="K379" s="4">
        <f>IF(A379="","",TEXT(IF(DAY(A379)&gt;=Setup!$B$9,DATE(YEAR(A379),MONTH(A379)+1,1),DATE(YEAR(A379),MONTH(A379),1)),"mmmm yyyy"))</f>
      </c>
      <c r="L379" s="47">
        <f>IF(A379="",0,IF(AND(J379="Yes",E379&lt;0),-E379,0))</f>
      </c>
      <c r="M379" s="47">
        <f>IF(A379="",0,IF(AND(J379="Yes",E379&gt;0),E379,0))</f>
      </c>
      <c r="N379">
        <f>IF(A379="","",IF(D379="Category Pending","Needs categorization",IF(COUNTIFS($A$2:A379,A379,$B$2:B379,B379,$E$2:E379,E379)&gt;1,"Possible duplicate","")))</f>
      </c>
    </row>
    <row r="380" spans="3:14" x14ac:dyDescent="0.3">
      <c r="A380"/>
      <c r="C380" s="16"/>
      <c r="G380" s="5">
        <f>IF(A380="","","Checking")</f>
      </c>
      <c r="H380">
        <f>IF(A380="","",IFERROR(XLOOKUP(D380,Setup!$E$15:$E$79,Setup!$F$15:$F$79),"Miscellaneous"))</f>
      </c>
      <c r="I380">
        <f>IF(A380="","",IFERROR(XLOOKUP(D380,Setup!$E$15:$E$79,Setup!$G$15:$G$79),"Uncategorized"))</f>
      </c>
      <c r="J380">
        <f>IF(A380="","",IF(OR(H380="Transfers",H380="Income",D380="Transfer",D380="Category Pending",F380="Pending"),"No","Yes"))</f>
      </c>
      <c r="K380" s="4">
        <f>IF(A380="","",TEXT(IF(DAY(A380)&gt;=Setup!$B$9,DATE(YEAR(A380),MONTH(A380)+1,1),DATE(YEAR(A380),MONTH(A380),1)),"mmmm yyyy"))</f>
      </c>
      <c r="L380" s="47">
        <f>IF(A380="",0,IF(AND(J380="Yes",E380&lt;0),-E380,0))</f>
      </c>
      <c r="M380" s="47">
        <f>IF(A380="",0,IF(AND(J380="Yes",E380&gt;0),E380,0))</f>
      </c>
      <c r="N380">
        <f>IF(A380="","",IF(D380="Category Pending","Needs categorization",IF(COUNTIFS($A$2:A380,A380,$B$2:B380,B380,$E$2:E380,E380)&gt;1,"Possible duplicate","")))</f>
      </c>
    </row>
    <row r="381" spans="3:14" x14ac:dyDescent="0.3">
      <c r="A381"/>
      <c r="C381" s="16"/>
      <c r="G381" s="5">
        <f>IF(A381="","","Checking")</f>
      </c>
      <c r="H381">
        <f>IF(A381="","",IFERROR(XLOOKUP(D381,Setup!$E$15:$E$79,Setup!$F$15:$F$79),"Miscellaneous"))</f>
      </c>
      <c r="I381">
        <f>IF(A381="","",IFERROR(XLOOKUP(D381,Setup!$E$15:$E$79,Setup!$G$15:$G$79),"Uncategorized"))</f>
      </c>
      <c r="J381">
        <f>IF(A381="","",IF(OR(H381="Transfers",H381="Income",D381="Transfer",D381="Category Pending",F381="Pending"),"No","Yes"))</f>
      </c>
      <c r="K381" s="4">
        <f>IF(A381="","",TEXT(IF(DAY(A381)&gt;=Setup!$B$9,DATE(YEAR(A381),MONTH(A381)+1,1),DATE(YEAR(A381),MONTH(A381),1)),"mmmm yyyy"))</f>
      </c>
      <c r="L381" s="47">
        <f>IF(A381="",0,IF(AND(J381="Yes",E381&lt;0),-E381,0))</f>
      </c>
      <c r="M381" s="47">
        <f>IF(A381="",0,IF(AND(J381="Yes",E381&gt;0),E381,0))</f>
      </c>
      <c r="N381">
        <f>IF(A381="","",IF(D381="Category Pending","Needs categorization",IF(COUNTIFS($A$2:A381,A381,$B$2:B381,B381,$E$2:E381,E381)&gt;1,"Possible duplicate","")))</f>
      </c>
    </row>
    <row r="382" spans="3:14" x14ac:dyDescent="0.3">
      <c r="A382"/>
      <c r="C382" s="16"/>
      <c r="G382" s="5">
        <f>IF(A382="","","Checking")</f>
      </c>
      <c r="H382">
        <f>IF(A382="","",IFERROR(XLOOKUP(D382,Setup!$E$15:$E$79,Setup!$F$15:$F$79),"Miscellaneous"))</f>
      </c>
      <c r="I382">
        <f>IF(A382="","",IFERROR(XLOOKUP(D382,Setup!$E$15:$E$79,Setup!$G$15:$G$79),"Uncategorized"))</f>
      </c>
      <c r="J382">
        <f>IF(A382="","",IF(OR(H382="Transfers",H382="Income",D382="Transfer",D382="Category Pending",F382="Pending"),"No","Yes"))</f>
      </c>
      <c r="K382" s="4">
        <f>IF(A382="","",TEXT(IF(DAY(A382)&gt;=Setup!$B$9,DATE(YEAR(A382),MONTH(A382)+1,1),DATE(YEAR(A382),MONTH(A382),1)),"mmmm yyyy"))</f>
      </c>
      <c r="L382" s="47">
        <f>IF(A382="",0,IF(AND(J382="Yes",E382&lt;0),-E382,0))</f>
      </c>
      <c r="M382" s="47">
        <f>IF(A382="",0,IF(AND(J382="Yes",E382&gt;0),E382,0))</f>
      </c>
      <c r="N382">
        <f>IF(A382="","",IF(D382="Category Pending","Needs categorization",IF(COUNTIFS($A$2:A382,A382,$B$2:B382,B382,$E$2:E382,E382)&gt;1,"Possible duplicate","")))</f>
      </c>
    </row>
    <row r="383" spans="3:14" x14ac:dyDescent="0.3">
      <c r="A383"/>
      <c r="C383" s="16"/>
      <c r="G383" s="5">
        <f>IF(A383="","","Checking")</f>
      </c>
      <c r="H383">
        <f>IF(A383="","",IFERROR(XLOOKUP(D383,Setup!$E$15:$E$79,Setup!$F$15:$F$79),"Miscellaneous"))</f>
      </c>
      <c r="I383">
        <f>IF(A383="","",IFERROR(XLOOKUP(D383,Setup!$E$15:$E$79,Setup!$G$15:$G$79),"Uncategorized"))</f>
      </c>
      <c r="J383">
        <f>IF(A383="","",IF(OR(H383="Transfers",H383="Income",D383="Transfer",D383="Category Pending",F383="Pending"),"No","Yes"))</f>
      </c>
      <c r="K383" s="4">
        <f>IF(A383="","",TEXT(IF(DAY(A383)&gt;=Setup!$B$9,DATE(YEAR(A383),MONTH(A383)+1,1),DATE(YEAR(A383),MONTH(A383),1)),"mmmm yyyy"))</f>
      </c>
      <c r="L383" s="47">
        <f>IF(A383="",0,IF(AND(J383="Yes",E383&lt;0),-E383,0))</f>
      </c>
      <c r="M383" s="47">
        <f>IF(A383="",0,IF(AND(J383="Yes",E383&gt;0),E383,0))</f>
      </c>
      <c r="N383">
        <f>IF(A383="","",IF(D383="Category Pending","Needs categorization",IF(COUNTIFS($A$2:A383,A383,$B$2:B383,B383,$E$2:E383,E383)&gt;1,"Possible duplicate","")))</f>
      </c>
    </row>
    <row r="384" spans="3:14" x14ac:dyDescent="0.3">
      <c r="A384"/>
      <c r="C384" s="16"/>
      <c r="G384" s="5">
        <f>IF(A384="","","Checking")</f>
      </c>
      <c r="H384">
        <f>IF(A384="","",IFERROR(XLOOKUP(D384,Setup!$E$15:$E$79,Setup!$F$15:$F$79),"Miscellaneous"))</f>
      </c>
      <c r="I384">
        <f>IF(A384="","",IFERROR(XLOOKUP(D384,Setup!$E$15:$E$79,Setup!$G$15:$G$79),"Uncategorized"))</f>
      </c>
      <c r="J384">
        <f>IF(A384="","",IF(OR(H384="Transfers",H384="Income",D384="Transfer",D384="Category Pending",F384="Pending"),"No","Yes"))</f>
      </c>
      <c r="K384" s="4">
        <f>IF(A384="","",TEXT(IF(DAY(A384)&gt;=Setup!$B$9,DATE(YEAR(A384),MONTH(A384)+1,1),DATE(YEAR(A384),MONTH(A384),1)),"mmmm yyyy"))</f>
      </c>
      <c r="L384" s="47">
        <f>IF(A384="",0,IF(AND(J384="Yes",E384&lt;0),-E384,0))</f>
      </c>
      <c r="M384" s="47">
        <f>IF(A384="",0,IF(AND(J384="Yes",E384&gt;0),E384,0))</f>
      </c>
      <c r="N384">
        <f>IF(A384="","",IF(D384="Category Pending","Needs categorization",IF(COUNTIFS($A$2:A384,A384,$B$2:B384,B384,$E$2:E384,E384)&gt;1,"Possible duplicate","")))</f>
      </c>
    </row>
    <row r="385" spans="3:14" x14ac:dyDescent="0.3">
      <c r="A385"/>
      <c r="C385" s="16"/>
      <c r="G385" s="5">
        <f>IF(A385="","","Checking")</f>
      </c>
      <c r="H385">
        <f>IF(A385="","",IFERROR(XLOOKUP(D385,Setup!$E$15:$E$79,Setup!$F$15:$F$79),"Miscellaneous"))</f>
      </c>
      <c r="I385">
        <f>IF(A385="","",IFERROR(XLOOKUP(D385,Setup!$E$15:$E$79,Setup!$G$15:$G$79),"Uncategorized"))</f>
      </c>
      <c r="J385">
        <f>IF(A385="","",IF(OR(H385="Transfers",H385="Income",D385="Transfer",D385="Category Pending",F385="Pending"),"No","Yes"))</f>
      </c>
      <c r="K385" s="4">
        <f>IF(A385="","",TEXT(IF(DAY(A385)&gt;=Setup!$B$9,DATE(YEAR(A385),MONTH(A385)+1,1),DATE(YEAR(A385),MONTH(A385),1)),"mmmm yyyy"))</f>
      </c>
      <c r="L385" s="47">
        <f>IF(A385="",0,IF(AND(J385="Yes",E385&lt;0),-E385,0))</f>
      </c>
      <c r="M385" s="47">
        <f>IF(A385="",0,IF(AND(J385="Yes",E385&gt;0),E385,0))</f>
      </c>
      <c r="N385">
        <f>IF(A385="","",IF(D385="Category Pending","Needs categorization",IF(COUNTIFS($A$2:A385,A385,$B$2:B385,B385,$E$2:E385,E385)&gt;1,"Possible duplicate","")))</f>
      </c>
    </row>
    <row r="386" spans="3:14" x14ac:dyDescent="0.3">
      <c r="A386"/>
      <c r="C386" s="16"/>
      <c r="G386" s="5">
        <f>IF(A386="","","Checking")</f>
      </c>
      <c r="H386">
        <f>IF(A386="","",IFERROR(XLOOKUP(D386,Setup!$E$15:$E$79,Setup!$F$15:$F$79),"Miscellaneous"))</f>
      </c>
      <c r="I386">
        <f>IF(A386="","",IFERROR(XLOOKUP(D386,Setup!$E$15:$E$79,Setup!$G$15:$G$79),"Uncategorized"))</f>
      </c>
      <c r="J386">
        <f>IF(A386="","",IF(OR(H386="Transfers",H386="Income",D386="Transfer",D386="Category Pending",F386="Pending"),"No","Yes"))</f>
      </c>
      <c r="K386" s="4">
        <f>IF(A386="","",TEXT(IF(DAY(A386)&gt;=Setup!$B$9,DATE(YEAR(A386),MONTH(A386)+1,1),DATE(YEAR(A386),MONTH(A386),1)),"mmmm yyyy"))</f>
      </c>
      <c r="L386" s="47">
        <f>IF(A386="",0,IF(AND(J386="Yes",E386&lt;0),-E386,0))</f>
      </c>
      <c r="M386" s="47">
        <f>IF(A386="",0,IF(AND(J386="Yes",E386&gt;0),E386,0))</f>
      </c>
      <c r="N386">
        <f>IF(A386="","",IF(D386="Category Pending","Needs categorization",IF(COUNTIFS($A$2:A386,A386,$B$2:B386,B386,$E$2:E386,E386)&gt;1,"Possible duplicate","")))</f>
      </c>
    </row>
    <row r="387" spans="3:14" x14ac:dyDescent="0.3">
      <c r="A387"/>
      <c r="C387" s="16"/>
      <c r="G387" s="5">
        <f>IF(A387="","","Checking")</f>
      </c>
      <c r="H387">
        <f>IF(A387="","",IFERROR(XLOOKUP(D387,Setup!$E$15:$E$79,Setup!$F$15:$F$79),"Miscellaneous"))</f>
      </c>
      <c r="I387">
        <f>IF(A387="","",IFERROR(XLOOKUP(D387,Setup!$E$15:$E$79,Setup!$G$15:$G$79),"Uncategorized"))</f>
      </c>
      <c r="J387">
        <f>IF(A387="","",IF(OR(H387="Transfers",H387="Income",D387="Transfer",D387="Category Pending",F387="Pending"),"No","Yes"))</f>
      </c>
      <c r="K387" s="4">
        <f>IF(A387="","",TEXT(IF(DAY(A387)&gt;=Setup!$B$9,DATE(YEAR(A387),MONTH(A387)+1,1),DATE(YEAR(A387),MONTH(A387),1)),"mmmm yyyy"))</f>
      </c>
      <c r="L387" s="47">
        <f>IF(A387="",0,IF(AND(J387="Yes",E387&lt;0),-E387,0))</f>
      </c>
      <c r="M387" s="47">
        <f>IF(A387="",0,IF(AND(J387="Yes",E387&gt;0),E387,0))</f>
      </c>
      <c r="N387">
        <f>IF(A387="","",IF(D387="Category Pending","Needs categorization",IF(COUNTIFS($A$2:A387,A387,$B$2:B387,B387,$E$2:E387,E387)&gt;1,"Possible duplicate","")))</f>
      </c>
    </row>
    <row r="388" spans="3:14" x14ac:dyDescent="0.3">
      <c r="A388"/>
      <c r="C388" s="16"/>
      <c r="G388" s="5">
        <f>IF(A388="","","Checking")</f>
      </c>
      <c r="H388">
        <f>IF(A388="","",IFERROR(XLOOKUP(D388,Setup!$E$15:$E$79,Setup!$F$15:$F$79),"Miscellaneous"))</f>
      </c>
      <c r="I388">
        <f>IF(A388="","",IFERROR(XLOOKUP(D388,Setup!$E$15:$E$79,Setup!$G$15:$G$79),"Uncategorized"))</f>
      </c>
      <c r="J388">
        <f>IF(A388="","",IF(OR(H388="Transfers",H388="Income",D388="Transfer",D388="Category Pending",F388="Pending"),"No","Yes"))</f>
      </c>
      <c r="K388" s="4">
        <f>IF(A388="","",TEXT(IF(DAY(A388)&gt;=Setup!$B$9,DATE(YEAR(A388),MONTH(A388)+1,1),DATE(YEAR(A388),MONTH(A388),1)),"mmmm yyyy"))</f>
      </c>
      <c r="L388" s="47">
        <f>IF(A388="",0,IF(AND(J388="Yes",E388&lt;0),-E388,0))</f>
      </c>
      <c r="M388" s="47">
        <f>IF(A388="",0,IF(AND(J388="Yes",E388&gt;0),E388,0))</f>
      </c>
      <c r="N388">
        <f>IF(A388="","",IF(D388="Category Pending","Needs categorization",IF(COUNTIFS($A$2:A388,A388,$B$2:B388,B388,$E$2:E388,E388)&gt;1,"Possible duplicate","")))</f>
      </c>
    </row>
    <row r="389" spans="3:14" x14ac:dyDescent="0.3">
      <c r="A389"/>
      <c r="C389" s="16"/>
      <c r="G389" s="5">
        <f>IF(A389="","","Checking")</f>
      </c>
      <c r="H389">
        <f>IF(A389="","",IFERROR(XLOOKUP(D389,Setup!$E$15:$E$79,Setup!$F$15:$F$79),"Miscellaneous"))</f>
      </c>
      <c r="I389">
        <f>IF(A389="","",IFERROR(XLOOKUP(D389,Setup!$E$15:$E$79,Setup!$G$15:$G$79),"Uncategorized"))</f>
      </c>
      <c r="J389">
        <f>IF(A389="","",IF(OR(H389="Transfers",H389="Income",D389="Transfer",D389="Category Pending",F389="Pending"),"No","Yes"))</f>
      </c>
      <c r="K389" s="4">
        <f>IF(A389="","",TEXT(IF(DAY(A389)&gt;=Setup!$B$9,DATE(YEAR(A389),MONTH(A389)+1,1),DATE(YEAR(A389),MONTH(A389),1)),"mmmm yyyy"))</f>
      </c>
      <c r="L389" s="47">
        <f>IF(A389="",0,IF(AND(J389="Yes",E389&lt;0),-E389,0))</f>
      </c>
      <c r="M389" s="47">
        <f>IF(A389="",0,IF(AND(J389="Yes",E389&gt;0),E389,0))</f>
      </c>
      <c r="N389">
        <f>IF(A389="","",IF(D389="Category Pending","Needs categorization",IF(COUNTIFS($A$2:A389,A389,$B$2:B389,B389,$E$2:E389,E389)&gt;1,"Possible duplicate","")))</f>
      </c>
    </row>
    <row r="390" spans="3:14" x14ac:dyDescent="0.3">
      <c r="A390"/>
      <c r="C390" s="16"/>
      <c r="G390" s="5">
        <f>IF(A390="","","Checking")</f>
      </c>
      <c r="H390">
        <f>IF(A390="","",IFERROR(XLOOKUP(D390,Setup!$E$15:$E$79,Setup!$F$15:$F$79),"Miscellaneous"))</f>
      </c>
      <c r="I390">
        <f>IF(A390="","",IFERROR(XLOOKUP(D390,Setup!$E$15:$E$79,Setup!$G$15:$G$79),"Uncategorized"))</f>
      </c>
      <c r="J390">
        <f>IF(A390="","",IF(OR(H390="Transfers",H390="Income",D390="Transfer",D390="Category Pending",F390="Pending"),"No","Yes"))</f>
      </c>
      <c r="K390" s="4">
        <f>IF(A390="","",TEXT(IF(DAY(A390)&gt;=Setup!$B$9,DATE(YEAR(A390),MONTH(A390)+1,1),DATE(YEAR(A390),MONTH(A390),1)),"mmmm yyyy"))</f>
      </c>
      <c r="L390" s="47">
        <f>IF(A390="",0,IF(AND(J390="Yes",E390&lt;0),-E390,0))</f>
      </c>
      <c r="M390" s="47">
        <f>IF(A390="",0,IF(AND(J390="Yes",E390&gt;0),E390,0))</f>
      </c>
      <c r="N390">
        <f>IF(A390="","",IF(D390="Category Pending","Needs categorization",IF(COUNTIFS($A$2:A390,A390,$B$2:B390,B390,$E$2:E390,E390)&gt;1,"Possible duplicate","")))</f>
      </c>
    </row>
    <row r="391" spans="3:14" x14ac:dyDescent="0.3">
      <c r="A391"/>
      <c r="C391" s="16"/>
      <c r="G391" s="5">
        <f>IF(A391="","","Checking")</f>
      </c>
      <c r="H391">
        <f>IF(A391="","",IFERROR(XLOOKUP(D391,Setup!$E$15:$E$79,Setup!$F$15:$F$79),"Miscellaneous"))</f>
      </c>
      <c r="I391">
        <f>IF(A391="","",IFERROR(XLOOKUP(D391,Setup!$E$15:$E$79,Setup!$G$15:$G$79),"Uncategorized"))</f>
      </c>
      <c r="J391">
        <f>IF(A391="","",IF(OR(H391="Transfers",H391="Income",D391="Transfer",D391="Category Pending",F391="Pending"),"No","Yes"))</f>
      </c>
      <c r="K391" s="4">
        <f>IF(A391="","",TEXT(IF(DAY(A391)&gt;=Setup!$B$9,DATE(YEAR(A391),MONTH(A391)+1,1),DATE(YEAR(A391),MONTH(A391),1)),"mmmm yyyy"))</f>
      </c>
      <c r="L391" s="47">
        <f>IF(A391="",0,IF(AND(J391="Yes",E391&lt;0),-E391,0))</f>
      </c>
      <c r="M391" s="47">
        <f>IF(A391="",0,IF(AND(J391="Yes",E391&gt;0),E391,0))</f>
      </c>
      <c r="N391">
        <f>IF(A391="","",IF(D391="Category Pending","Needs categorization",IF(COUNTIFS($A$2:A391,A391,$B$2:B391,B391,$E$2:E391,E391)&gt;1,"Possible duplicate","")))</f>
      </c>
    </row>
    <row r="392" spans="3:14" x14ac:dyDescent="0.3">
      <c r="A392"/>
      <c r="C392" s="16"/>
      <c r="G392" s="5">
        <f>IF(A392="","","Checking")</f>
      </c>
      <c r="H392">
        <f>IF(A392="","",IFERROR(XLOOKUP(D392,Setup!$E$15:$E$79,Setup!$F$15:$F$79),"Miscellaneous"))</f>
      </c>
      <c r="I392">
        <f>IF(A392="","",IFERROR(XLOOKUP(D392,Setup!$E$15:$E$79,Setup!$G$15:$G$79),"Uncategorized"))</f>
      </c>
      <c r="J392">
        <f>IF(A392="","",IF(OR(H392="Transfers",H392="Income",D392="Transfer",D392="Category Pending",F392="Pending"),"No","Yes"))</f>
      </c>
      <c r="K392" s="4">
        <f>IF(A392="","",TEXT(IF(DAY(A392)&gt;=Setup!$B$9,DATE(YEAR(A392),MONTH(A392)+1,1),DATE(YEAR(A392),MONTH(A392),1)),"mmmm yyyy"))</f>
      </c>
      <c r="L392" s="47">
        <f>IF(A392="",0,IF(AND(J392="Yes",E392&lt;0),-E392,0))</f>
      </c>
      <c r="M392" s="47">
        <f>IF(A392="",0,IF(AND(J392="Yes",E392&gt;0),E392,0))</f>
      </c>
      <c r="N392">
        <f>IF(A392="","",IF(D392="Category Pending","Needs categorization",IF(COUNTIFS($A$2:A392,A392,$B$2:B392,B392,$E$2:E392,E392)&gt;1,"Possible duplicate","")))</f>
      </c>
    </row>
    <row r="393" spans="3:14" x14ac:dyDescent="0.3">
      <c r="A393"/>
      <c r="C393" s="16"/>
      <c r="G393" s="5">
        <f>IF(A393="","","Checking")</f>
      </c>
      <c r="H393">
        <f>IF(A393="","",IFERROR(XLOOKUP(D393,Setup!$E$15:$E$79,Setup!$F$15:$F$79),"Miscellaneous"))</f>
      </c>
      <c r="I393">
        <f>IF(A393="","",IFERROR(XLOOKUP(D393,Setup!$E$15:$E$79,Setup!$G$15:$G$79),"Uncategorized"))</f>
      </c>
      <c r="J393">
        <f>IF(A393="","",IF(OR(H393="Transfers",H393="Income",D393="Transfer",D393="Category Pending",F393="Pending"),"No","Yes"))</f>
      </c>
      <c r="K393" s="4">
        <f>IF(A393="","",TEXT(IF(DAY(A393)&gt;=Setup!$B$9,DATE(YEAR(A393),MONTH(A393)+1,1),DATE(YEAR(A393),MONTH(A393),1)),"mmmm yyyy"))</f>
      </c>
      <c r="L393" s="47">
        <f>IF(A393="",0,IF(AND(J393="Yes",E393&lt;0),-E393,0))</f>
      </c>
      <c r="M393" s="47">
        <f>IF(A393="",0,IF(AND(J393="Yes",E393&gt;0),E393,0))</f>
      </c>
      <c r="N393">
        <f>IF(A393="","",IF(D393="Category Pending","Needs categorization",IF(COUNTIFS($A$2:A393,A393,$B$2:B393,B393,$E$2:E393,E393)&gt;1,"Possible duplicate","")))</f>
      </c>
    </row>
    <row r="394" spans="3:14" x14ac:dyDescent="0.3">
      <c r="A394"/>
      <c r="C394" s="16"/>
      <c r="G394" s="5">
        <f>IF(A394="","","Checking")</f>
      </c>
      <c r="H394">
        <f>IF(A394="","",IFERROR(XLOOKUP(D394,Setup!$E$15:$E$79,Setup!$F$15:$F$79),"Miscellaneous"))</f>
      </c>
      <c r="I394">
        <f>IF(A394="","",IFERROR(XLOOKUP(D394,Setup!$E$15:$E$79,Setup!$G$15:$G$79),"Uncategorized"))</f>
      </c>
      <c r="J394">
        <f>IF(A394="","",IF(OR(H394="Transfers",H394="Income",D394="Transfer",D394="Category Pending",F394="Pending"),"No","Yes"))</f>
      </c>
      <c r="K394" s="4">
        <f>IF(A394="","",TEXT(IF(DAY(A394)&gt;=Setup!$B$9,DATE(YEAR(A394),MONTH(A394)+1,1),DATE(YEAR(A394),MONTH(A394),1)),"mmmm yyyy"))</f>
      </c>
      <c r="L394" s="47">
        <f>IF(A394="",0,IF(AND(J394="Yes",E394&lt;0),-E394,0))</f>
      </c>
      <c r="M394" s="47">
        <f>IF(A394="",0,IF(AND(J394="Yes",E394&gt;0),E394,0))</f>
      </c>
      <c r="N394">
        <f>IF(A394="","",IF(D394="Category Pending","Needs categorization",IF(COUNTIFS($A$2:A394,A394,$B$2:B394,B394,$E$2:E394,E394)&gt;1,"Possible duplicate","")))</f>
      </c>
    </row>
    <row r="395" spans="3:14" x14ac:dyDescent="0.3">
      <c r="A395"/>
      <c r="C395" s="16"/>
      <c r="G395" s="5">
        <f>IF(A395="","","Checking")</f>
      </c>
      <c r="H395">
        <f>IF(A395="","",IFERROR(XLOOKUP(D395,Setup!$E$15:$E$79,Setup!$F$15:$F$79),"Miscellaneous"))</f>
      </c>
      <c r="I395">
        <f>IF(A395="","",IFERROR(XLOOKUP(D395,Setup!$E$15:$E$79,Setup!$G$15:$G$79),"Uncategorized"))</f>
      </c>
      <c r="J395">
        <f>IF(A395="","",IF(OR(H395="Transfers",H395="Income",D395="Transfer",D395="Category Pending",F395="Pending"),"No","Yes"))</f>
      </c>
      <c r="K395" s="4">
        <f>IF(A395="","",TEXT(IF(DAY(A395)&gt;=Setup!$B$9,DATE(YEAR(A395),MONTH(A395)+1,1),DATE(YEAR(A395),MONTH(A395),1)),"mmmm yyyy"))</f>
      </c>
      <c r="L395" s="47">
        <f>IF(A395="",0,IF(AND(J395="Yes",E395&lt;0),-E395,0))</f>
      </c>
      <c r="M395" s="47">
        <f>IF(A395="",0,IF(AND(J395="Yes",E395&gt;0),E395,0))</f>
      </c>
      <c r="N395">
        <f>IF(A395="","",IF(D395="Category Pending","Needs categorization",IF(COUNTIFS($A$2:A395,A395,$B$2:B395,B395,$E$2:E395,E395)&gt;1,"Possible duplicate","")))</f>
      </c>
    </row>
    <row r="396" spans="3:14" x14ac:dyDescent="0.3">
      <c r="A396"/>
      <c r="C396" s="16"/>
      <c r="G396" s="5">
        <f>IF(A396="","","Checking")</f>
      </c>
      <c r="H396">
        <f>IF(A396="","",IFERROR(XLOOKUP(D396,Setup!$E$15:$E$79,Setup!$F$15:$F$79),"Miscellaneous"))</f>
      </c>
      <c r="I396">
        <f>IF(A396="","",IFERROR(XLOOKUP(D396,Setup!$E$15:$E$79,Setup!$G$15:$G$79),"Uncategorized"))</f>
      </c>
      <c r="J396">
        <f>IF(A396="","",IF(OR(H396="Transfers",H396="Income",D396="Transfer",D396="Category Pending",F396="Pending"),"No","Yes"))</f>
      </c>
      <c r="K396" s="4">
        <f>IF(A396="","",TEXT(IF(DAY(A396)&gt;=Setup!$B$9,DATE(YEAR(A396),MONTH(A396)+1,1),DATE(YEAR(A396),MONTH(A396),1)),"mmmm yyyy"))</f>
      </c>
      <c r="L396" s="47">
        <f>IF(A396="",0,IF(AND(J396="Yes",E396&lt;0),-E396,0))</f>
      </c>
      <c r="M396" s="47">
        <f>IF(A396="",0,IF(AND(J396="Yes",E396&gt;0),E396,0))</f>
      </c>
      <c r="N396">
        <f>IF(A396="","",IF(D396="Category Pending","Needs categorization",IF(COUNTIFS($A$2:A396,A396,$B$2:B396,B396,$E$2:E396,E396)&gt;1,"Possible duplicate","")))</f>
      </c>
    </row>
    <row r="397" spans="3:14" x14ac:dyDescent="0.3">
      <c r="A397"/>
      <c r="C397" s="16"/>
      <c r="G397" s="5">
        <f>IF(A397="","","Checking")</f>
      </c>
      <c r="H397">
        <f>IF(A397="","",IFERROR(XLOOKUP(D397,Setup!$E$15:$E$79,Setup!$F$15:$F$79),"Miscellaneous"))</f>
      </c>
      <c r="I397">
        <f>IF(A397="","",IFERROR(XLOOKUP(D397,Setup!$E$15:$E$79,Setup!$G$15:$G$79),"Uncategorized"))</f>
      </c>
      <c r="J397">
        <f>IF(A397="","",IF(OR(H397="Transfers",H397="Income",D397="Transfer",D397="Category Pending",F397="Pending"),"No","Yes"))</f>
      </c>
      <c r="K397" s="4">
        <f>IF(A397="","",TEXT(IF(DAY(A397)&gt;=Setup!$B$9,DATE(YEAR(A397),MONTH(A397)+1,1),DATE(YEAR(A397),MONTH(A397),1)),"mmmm yyyy"))</f>
      </c>
      <c r="L397" s="47">
        <f>IF(A397="",0,IF(AND(J397="Yes",E397&lt;0),-E397,0))</f>
      </c>
      <c r="M397" s="47">
        <f>IF(A397="",0,IF(AND(J397="Yes",E397&gt;0),E397,0))</f>
      </c>
      <c r="N397">
        <f>IF(A397="","",IF(D397="Category Pending","Needs categorization",IF(COUNTIFS($A$2:A397,A397,$B$2:B397,B397,$E$2:E397,E397)&gt;1,"Possible duplicate","")))</f>
      </c>
    </row>
    <row r="398" spans="3:14" x14ac:dyDescent="0.3">
      <c r="A398"/>
      <c r="C398" s="16"/>
      <c r="G398" s="5">
        <f>IF(A398="","","Checking")</f>
      </c>
      <c r="H398">
        <f>IF(A398="","",IFERROR(XLOOKUP(D398,Setup!$E$15:$E$79,Setup!$F$15:$F$79),"Miscellaneous"))</f>
      </c>
      <c r="I398">
        <f>IF(A398="","",IFERROR(XLOOKUP(D398,Setup!$E$15:$E$79,Setup!$G$15:$G$79),"Uncategorized"))</f>
      </c>
      <c r="J398">
        <f>IF(A398="","",IF(OR(H398="Transfers",H398="Income",D398="Transfer",D398="Category Pending",F398="Pending"),"No","Yes"))</f>
      </c>
      <c r="K398" s="4">
        <f>IF(A398="","",TEXT(IF(DAY(A398)&gt;=Setup!$B$9,DATE(YEAR(A398),MONTH(A398)+1,1),DATE(YEAR(A398),MONTH(A398),1)),"mmmm yyyy"))</f>
      </c>
      <c r="L398" s="47">
        <f>IF(A398="",0,IF(AND(J398="Yes",E398&lt;0),-E398,0))</f>
      </c>
      <c r="M398" s="47">
        <f>IF(A398="",0,IF(AND(J398="Yes",E398&gt;0),E398,0))</f>
      </c>
      <c r="N398">
        <f>IF(A398="","",IF(D398="Category Pending","Needs categorization",IF(COUNTIFS($A$2:A398,A398,$B$2:B398,B398,$E$2:E398,E398)&gt;1,"Possible duplicate","")))</f>
      </c>
    </row>
    <row r="399" spans="3:14" x14ac:dyDescent="0.3">
      <c r="A399"/>
      <c r="C399" s="16"/>
      <c r="G399" s="5">
        <f>IF(A399="","","Checking")</f>
      </c>
      <c r="H399">
        <f>IF(A399="","",IFERROR(XLOOKUP(D399,Setup!$E$15:$E$79,Setup!$F$15:$F$79),"Miscellaneous"))</f>
      </c>
      <c r="I399">
        <f>IF(A399="","",IFERROR(XLOOKUP(D399,Setup!$E$15:$E$79,Setup!$G$15:$G$79),"Uncategorized"))</f>
      </c>
      <c r="J399">
        <f>IF(A399="","",IF(OR(H399="Transfers",H399="Income",D399="Transfer",D399="Category Pending",F399="Pending"),"No","Yes"))</f>
      </c>
      <c r="K399" s="4">
        <f>IF(A399="","",TEXT(IF(DAY(A399)&gt;=Setup!$B$9,DATE(YEAR(A399),MONTH(A399)+1,1),DATE(YEAR(A399),MONTH(A399),1)),"mmmm yyyy"))</f>
      </c>
      <c r="L399" s="47">
        <f>IF(A399="",0,IF(AND(J399="Yes",E399&lt;0),-E399,0))</f>
      </c>
      <c r="M399" s="47">
        <f>IF(A399="",0,IF(AND(J399="Yes",E399&gt;0),E399,0))</f>
      </c>
      <c r="N399">
        <f>IF(A399="","",IF(D399="Category Pending","Needs categorization",IF(COUNTIFS($A$2:A399,A399,$B$2:B399,B399,$E$2:E399,E399)&gt;1,"Possible duplicate","")))</f>
      </c>
    </row>
    <row r="400" spans="3:14" x14ac:dyDescent="0.3">
      <c r="A400"/>
      <c r="C400" s="16"/>
      <c r="G400" s="5">
        <f>IF(A400="","","Checking")</f>
      </c>
      <c r="H400">
        <f>IF(A400="","",IFERROR(XLOOKUP(D400,Setup!$E$15:$E$79,Setup!$F$15:$F$79),"Miscellaneous"))</f>
      </c>
      <c r="I400">
        <f>IF(A400="","",IFERROR(XLOOKUP(D400,Setup!$E$15:$E$79,Setup!$G$15:$G$79),"Uncategorized"))</f>
      </c>
      <c r="J400">
        <f>IF(A400="","",IF(OR(H400="Transfers",H400="Income",D400="Transfer",D400="Category Pending",F400="Pending"),"No","Yes"))</f>
      </c>
      <c r="K400" s="4">
        <f>IF(A400="","",TEXT(IF(DAY(A400)&gt;=Setup!$B$9,DATE(YEAR(A400),MONTH(A400)+1,1),DATE(YEAR(A400),MONTH(A400),1)),"mmmm yyyy"))</f>
      </c>
      <c r="L400" s="47">
        <f>IF(A400="",0,IF(AND(J400="Yes",E400&lt;0),-E400,0))</f>
      </c>
      <c r="M400" s="47">
        <f>IF(A400="",0,IF(AND(J400="Yes",E400&gt;0),E400,0))</f>
      </c>
      <c r="N400">
        <f>IF(A400="","",IF(D400="Category Pending","Needs categorization",IF(COUNTIFS($A$2:A400,A400,$B$2:B400,B400,$E$2:E400,E400)&gt;1,"Possible duplicate","")))</f>
      </c>
    </row>
    <row r="401" spans="3:14" x14ac:dyDescent="0.3">
      <c r="A401"/>
      <c r="C401" s="16"/>
      <c r="G401" s="5">
        <f>IF(A401="","","Checking")</f>
      </c>
      <c r="H401">
        <f>IF(A401="","",IFERROR(XLOOKUP(D401,Setup!$E$15:$E$79,Setup!$F$15:$F$79),"Miscellaneous"))</f>
      </c>
      <c r="I401">
        <f>IF(A401="","",IFERROR(XLOOKUP(D401,Setup!$E$15:$E$79,Setup!$G$15:$G$79),"Uncategorized"))</f>
      </c>
      <c r="J401">
        <f>IF(A401="","",IF(OR(H401="Transfers",H401="Income",D401="Transfer",D401="Category Pending",F401="Pending"),"No","Yes"))</f>
      </c>
      <c r="K401" s="4">
        <f>IF(A401="","",TEXT(IF(DAY(A401)&gt;=Setup!$B$9,DATE(YEAR(A401),MONTH(A401)+1,1),DATE(YEAR(A401),MONTH(A401),1)),"mmmm yyyy"))</f>
      </c>
      <c r="L401" s="47">
        <f>IF(A401="",0,IF(AND(J401="Yes",E401&lt;0),-E401,0))</f>
      </c>
      <c r="M401" s="47">
        <f>IF(A401="",0,IF(AND(J401="Yes",E401&gt;0),E401,0))</f>
      </c>
      <c r="N401">
        <f>IF(A401="","",IF(D401="Category Pending","Needs categorization",IF(COUNTIFS($A$2:A401,A401,$B$2:B401,B401,$E$2:E401,E401)&gt;1,"Possible duplicate","")))</f>
      </c>
    </row>
    <row r="402" spans="3:14" x14ac:dyDescent="0.3">
      <c r="A402"/>
      <c r="C402" s="16"/>
      <c r="G402" s="5">
        <f>IF(A402="","","Checking")</f>
      </c>
      <c r="H402">
        <f>IF(A402="","",IFERROR(XLOOKUP(D402,Setup!$E$15:$E$79,Setup!$F$15:$F$79),"Miscellaneous"))</f>
      </c>
      <c r="I402">
        <f>IF(A402="","",IFERROR(XLOOKUP(D402,Setup!$E$15:$E$79,Setup!$G$15:$G$79),"Uncategorized"))</f>
      </c>
      <c r="J402">
        <f>IF(A402="","",IF(OR(H402="Transfers",H402="Income",D402="Transfer",D402="Category Pending",F402="Pending"),"No","Yes"))</f>
      </c>
      <c r="K402" s="4">
        <f>IF(A402="","",TEXT(IF(DAY(A402)&gt;=Setup!$B$9,DATE(YEAR(A402),MONTH(A402)+1,1),DATE(YEAR(A402),MONTH(A402),1)),"mmmm yyyy"))</f>
      </c>
      <c r="L402" s="47">
        <f>IF(A402="",0,IF(AND(J402="Yes",E402&lt;0),-E402,0))</f>
      </c>
      <c r="M402" s="47">
        <f>IF(A402="",0,IF(AND(J402="Yes",E402&gt;0),E402,0))</f>
      </c>
      <c r="N402">
        <f>IF(A402="","",IF(D402="Category Pending","Needs categorization",IF(COUNTIFS($A$2:A402,A402,$B$2:B402,B402,$E$2:E402,E402)&gt;1,"Possible duplicate","")))</f>
      </c>
    </row>
    <row r="403" spans="3:14" x14ac:dyDescent="0.3">
      <c r="A403"/>
      <c r="C403" s="16"/>
      <c r="G403" s="5">
        <f>IF(A403="","","Checking")</f>
      </c>
      <c r="H403">
        <f>IF(A403="","",IFERROR(XLOOKUP(D403,Setup!$E$15:$E$79,Setup!$F$15:$F$79),"Miscellaneous"))</f>
      </c>
      <c r="I403">
        <f>IF(A403="","",IFERROR(XLOOKUP(D403,Setup!$E$15:$E$79,Setup!$G$15:$G$79),"Uncategorized"))</f>
      </c>
      <c r="J403">
        <f>IF(A403="","",IF(OR(H403="Transfers",H403="Income",D403="Transfer",D403="Category Pending",F403="Pending"),"No","Yes"))</f>
      </c>
      <c r="K403" s="4">
        <f>IF(A403="","",TEXT(IF(DAY(A403)&gt;=Setup!$B$9,DATE(YEAR(A403),MONTH(A403)+1,1),DATE(YEAR(A403),MONTH(A403),1)),"mmmm yyyy"))</f>
      </c>
      <c r="L403" s="47">
        <f>IF(A403="",0,IF(AND(J403="Yes",E403&lt;0),-E403,0))</f>
      </c>
      <c r="M403" s="47">
        <f>IF(A403="",0,IF(AND(J403="Yes",E403&gt;0),E403,0))</f>
      </c>
      <c r="N403">
        <f>IF(A403="","",IF(D403="Category Pending","Needs categorization",IF(COUNTIFS($A$2:A403,A403,$B$2:B403,B403,$E$2:E403,E403)&gt;1,"Possible duplicate","")))</f>
      </c>
    </row>
    <row r="404" spans="3:14" x14ac:dyDescent="0.3">
      <c r="A404"/>
      <c r="C404" s="16"/>
      <c r="G404" s="5">
        <f>IF(A404="","","Checking")</f>
      </c>
      <c r="H404">
        <f>IF(A404="","",IFERROR(XLOOKUP(D404,Setup!$E$15:$E$79,Setup!$F$15:$F$79),"Miscellaneous"))</f>
      </c>
      <c r="I404">
        <f>IF(A404="","",IFERROR(XLOOKUP(D404,Setup!$E$15:$E$79,Setup!$G$15:$G$79),"Uncategorized"))</f>
      </c>
      <c r="J404">
        <f>IF(A404="","",IF(OR(H404="Transfers",H404="Income",D404="Transfer",D404="Category Pending",F404="Pending"),"No","Yes"))</f>
      </c>
      <c r="K404" s="4">
        <f>IF(A404="","",TEXT(IF(DAY(A404)&gt;=Setup!$B$9,DATE(YEAR(A404),MONTH(A404)+1,1),DATE(YEAR(A404),MONTH(A404),1)),"mmmm yyyy"))</f>
      </c>
      <c r="L404" s="47">
        <f>IF(A404="",0,IF(AND(J404="Yes",E404&lt;0),-E404,0))</f>
      </c>
      <c r="M404" s="47">
        <f>IF(A404="",0,IF(AND(J404="Yes",E404&gt;0),E404,0))</f>
      </c>
      <c r="N404">
        <f>IF(A404="","",IF(D404="Category Pending","Needs categorization",IF(COUNTIFS($A$2:A404,A404,$B$2:B404,B404,$E$2:E404,E404)&gt;1,"Possible duplicate","")))</f>
      </c>
    </row>
    <row r="405" spans="3:14" x14ac:dyDescent="0.3">
      <c r="A405"/>
      <c r="C405" s="16"/>
      <c r="G405" s="5">
        <f>IF(A405="","","Checking")</f>
      </c>
      <c r="H405">
        <f>IF(A405="","",IFERROR(XLOOKUP(D405,Setup!$E$15:$E$79,Setup!$F$15:$F$79),"Miscellaneous"))</f>
      </c>
      <c r="I405">
        <f>IF(A405="","",IFERROR(XLOOKUP(D405,Setup!$E$15:$E$79,Setup!$G$15:$G$79),"Uncategorized"))</f>
      </c>
      <c r="J405">
        <f>IF(A405="","",IF(OR(H405="Transfers",H405="Income",D405="Transfer",D405="Category Pending",F405="Pending"),"No","Yes"))</f>
      </c>
      <c r="K405" s="4">
        <f>IF(A405="","",TEXT(IF(DAY(A405)&gt;=Setup!$B$9,DATE(YEAR(A405),MONTH(A405)+1,1),DATE(YEAR(A405),MONTH(A405),1)),"mmmm yyyy"))</f>
      </c>
      <c r="L405" s="47">
        <f>IF(A405="",0,IF(AND(J405="Yes",E405&lt;0),-E405,0))</f>
      </c>
      <c r="M405" s="47">
        <f>IF(A405="",0,IF(AND(J405="Yes",E405&gt;0),E405,0))</f>
      </c>
      <c r="N405">
        <f>IF(A405="","",IF(D405="Category Pending","Needs categorization",IF(COUNTIFS($A$2:A405,A405,$B$2:B405,B405,$E$2:E405,E405)&gt;1,"Possible duplicate","")))</f>
      </c>
    </row>
    <row r="406" spans="3:14" x14ac:dyDescent="0.3">
      <c r="A406"/>
      <c r="C406" s="16"/>
      <c r="G406" s="5">
        <f>IF(A406="","","Checking")</f>
      </c>
      <c r="H406">
        <f>IF(A406="","",IFERROR(XLOOKUP(D406,Setup!$E$15:$E$79,Setup!$F$15:$F$79),"Miscellaneous"))</f>
      </c>
      <c r="I406">
        <f>IF(A406="","",IFERROR(XLOOKUP(D406,Setup!$E$15:$E$79,Setup!$G$15:$G$79),"Uncategorized"))</f>
      </c>
      <c r="J406">
        <f>IF(A406="","",IF(OR(H406="Transfers",H406="Income",D406="Transfer",D406="Category Pending",F406="Pending"),"No","Yes"))</f>
      </c>
      <c r="K406" s="4">
        <f>IF(A406="","",TEXT(IF(DAY(A406)&gt;=Setup!$B$9,DATE(YEAR(A406),MONTH(A406)+1,1),DATE(YEAR(A406),MONTH(A406),1)),"mmmm yyyy"))</f>
      </c>
      <c r="L406" s="47">
        <f>IF(A406="",0,IF(AND(J406="Yes",E406&lt;0),-E406,0))</f>
      </c>
      <c r="M406" s="47">
        <f>IF(A406="",0,IF(AND(J406="Yes",E406&gt;0),E406,0))</f>
      </c>
      <c r="N406">
        <f>IF(A406="","",IF(D406="Category Pending","Needs categorization",IF(COUNTIFS($A$2:A406,A406,$B$2:B406,B406,$E$2:E406,E406)&gt;1,"Possible duplicate","")))</f>
      </c>
    </row>
    <row r="407" spans="3:14" x14ac:dyDescent="0.3">
      <c r="A407"/>
      <c r="C407" s="16"/>
      <c r="G407" s="5">
        <f>IF(A407="","","Checking")</f>
      </c>
      <c r="H407">
        <f>IF(A407="","",IFERROR(XLOOKUP(D407,Setup!$E$15:$E$79,Setup!$F$15:$F$79),"Miscellaneous"))</f>
      </c>
      <c r="I407">
        <f>IF(A407="","",IFERROR(XLOOKUP(D407,Setup!$E$15:$E$79,Setup!$G$15:$G$79),"Uncategorized"))</f>
      </c>
      <c r="J407">
        <f>IF(A407="","",IF(OR(H407="Transfers",H407="Income",D407="Transfer",D407="Category Pending",F407="Pending"),"No","Yes"))</f>
      </c>
      <c r="K407" s="4">
        <f>IF(A407="","",TEXT(IF(DAY(A407)&gt;=Setup!$B$9,DATE(YEAR(A407),MONTH(A407)+1,1),DATE(YEAR(A407),MONTH(A407),1)),"mmmm yyyy"))</f>
      </c>
      <c r="L407" s="47">
        <f>IF(A407="",0,IF(AND(J407="Yes",E407&lt;0),-E407,0))</f>
      </c>
      <c r="M407" s="47">
        <f>IF(A407="",0,IF(AND(J407="Yes",E407&gt;0),E407,0))</f>
      </c>
      <c r="N407">
        <f>IF(A407="","",IF(D407="Category Pending","Needs categorization",IF(COUNTIFS($A$2:A407,A407,$B$2:B407,B407,$E$2:E407,E407)&gt;1,"Possible duplicate","")))</f>
      </c>
    </row>
    <row r="408" spans="3:14" x14ac:dyDescent="0.3">
      <c r="A408"/>
      <c r="C408" s="16"/>
      <c r="G408" s="5">
        <f>IF(A408="","","Checking")</f>
      </c>
      <c r="H408">
        <f>IF(A408="","",IFERROR(XLOOKUP(D408,Setup!$E$15:$E$79,Setup!$F$15:$F$79),"Miscellaneous"))</f>
      </c>
      <c r="I408">
        <f>IF(A408="","",IFERROR(XLOOKUP(D408,Setup!$E$15:$E$79,Setup!$G$15:$G$79),"Uncategorized"))</f>
      </c>
      <c r="J408">
        <f>IF(A408="","",IF(OR(H408="Transfers",H408="Income",D408="Transfer",D408="Category Pending",F408="Pending"),"No","Yes"))</f>
      </c>
      <c r="K408" s="4">
        <f>IF(A408="","",TEXT(IF(DAY(A408)&gt;=Setup!$B$9,DATE(YEAR(A408),MONTH(A408)+1,1),DATE(YEAR(A408),MONTH(A408),1)),"mmmm yyyy"))</f>
      </c>
      <c r="L408" s="47">
        <f>IF(A408="",0,IF(AND(J408="Yes",E408&lt;0),-E408,0))</f>
      </c>
      <c r="M408" s="47">
        <f>IF(A408="",0,IF(AND(J408="Yes",E408&gt;0),E408,0))</f>
      </c>
      <c r="N408">
        <f>IF(A408="","",IF(D408="Category Pending","Needs categorization",IF(COUNTIFS($A$2:A408,A408,$B$2:B408,B408,$E$2:E408,E408)&gt;1,"Possible duplicate","")))</f>
      </c>
    </row>
    <row r="409" spans="3:14" x14ac:dyDescent="0.3">
      <c r="A409"/>
      <c r="C409" s="16"/>
      <c r="G409" s="5">
        <f>IF(A409="","","Checking")</f>
      </c>
      <c r="H409">
        <f>IF(A409="","",IFERROR(XLOOKUP(D409,Setup!$E$15:$E$79,Setup!$F$15:$F$79),"Miscellaneous"))</f>
      </c>
      <c r="I409">
        <f>IF(A409="","",IFERROR(XLOOKUP(D409,Setup!$E$15:$E$79,Setup!$G$15:$G$79),"Uncategorized"))</f>
      </c>
      <c r="J409">
        <f>IF(A409="","",IF(OR(H409="Transfers",H409="Income",D409="Transfer",D409="Category Pending",F409="Pending"),"No","Yes"))</f>
      </c>
      <c r="K409" s="4">
        <f>IF(A409="","",TEXT(IF(DAY(A409)&gt;=Setup!$B$9,DATE(YEAR(A409),MONTH(A409)+1,1),DATE(YEAR(A409),MONTH(A409),1)),"mmmm yyyy"))</f>
      </c>
      <c r="L409" s="47">
        <f>IF(A409="",0,IF(AND(J409="Yes",E409&lt;0),-E409,0))</f>
      </c>
      <c r="M409" s="47">
        <f>IF(A409="",0,IF(AND(J409="Yes",E409&gt;0),E409,0))</f>
      </c>
      <c r="N409">
        <f>IF(A409="","",IF(D409="Category Pending","Needs categorization",IF(COUNTIFS($A$2:A409,A409,$B$2:B409,B409,$E$2:E409,E409)&gt;1,"Possible duplicate","")))</f>
      </c>
    </row>
    <row r="410" spans="3:14" x14ac:dyDescent="0.3">
      <c r="A410"/>
      <c r="C410" s="16"/>
      <c r="G410" s="5">
        <f>IF(A410="","","Checking")</f>
      </c>
      <c r="H410">
        <f>IF(A410="","",IFERROR(XLOOKUP(D410,Setup!$E$15:$E$79,Setup!$F$15:$F$79),"Miscellaneous"))</f>
      </c>
      <c r="I410">
        <f>IF(A410="","",IFERROR(XLOOKUP(D410,Setup!$E$15:$E$79,Setup!$G$15:$G$79),"Uncategorized"))</f>
      </c>
      <c r="J410">
        <f>IF(A410="","",IF(OR(H410="Transfers",H410="Income",D410="Transfer",D410="Category Pending",F410="Pending"),"No","Yes"))</f>
      </c>
      <c r="K410" s="4">
        <f>IF(A410="","",TEXT(IF(DAY(A410)&gt;=Setup!$B$9,DATE(YEAR(A410),MONTH(A410)+1,1),DATE(YEAR(A410),MONTH(A410),1)),"mmmm yyyy"))</f>
      </c>
      <c r="L410" s="47">
        <f>IF(A410="",0,IF(AND(J410="Yes",E410&lt;0),-E410,0))</f>
      </c>
      <c r="M410" s="47">
        <f>IF(A410="",0,IF(AND(J410="Yes",E410&gt;0),E410,0))</f>
      </c>
      <c r="N410">
        <f>IF(A410="","",IF(D410="Category Pending","Needs categorization",IF(COUNTIFS($A$2:A410,A410,$B$2:B410,B410,$E$2:E410,E410)&gt;1,"Possible duplicate","")))</f>
      </c>
    </row>
    <row r="411" spans="3:14" x14ac:dyDescent="0.3">
      <c r="A411"/>
      <c r="C411" s="16"/>
      <c r="G411" s="5">
        <f>IF(A411="","","Checking")</f>
      </c>
      <c r="H411">
        <f>IF(A411="","",IFERROR(XLOOKUP(D411,Setup!$E$15:$E$79,Setup!$F$15:$F$79),"Miscellaneous"))</f>
      </c>
      <c r="I411">
        <f>IF(A411="","",IFERROR(XLOOKUP(D411,Setup!$E$15:$E$79,Setup!$G$15:$G$79),"Uncategorized"))</f>
      </c>
      <c r="J411">
        <f>IF(A411="","",IF(OR(H411="Transfers",H411="Income",D411="Transfer",D411="Category Pending",F411="Pending"),"No","Yes"))</f>
      </c>
      <c r="K411" s="4">
        <f>IF(A411="","",TEXT(IF(DAY(A411)&gt;=Setup!$B$9,DATE(YEAR(A411),MONTH(A411)+1,1),DATE(YEAR(A411),MONTH(A411),1)),"mmmm yyyy"))</f>
      </c>
      <c r="L411" s="47">
        <f>IF(A411="",0,IF(AND(J411="Yes",E411&lt;0),-E411,0))</f>
      </c>
      <c r="M411" s="47">
        <f>IF(A411="",0,IF(AND(J411="Yes",E411&gt;0),E411,0))</f>
      </c>
      <c r="N411">
        <f>IF(A411="","",IF(D411="Category Pending","Needs categorization",IF(COUNTIFS($A$2:A411,A411,$B$2:B411,B411,$E$2:E411,E411)&gt;1,"Possible duplicate","")))</f>
      </c>
    </row>
    <row r="412" spans="3:14" x14ac:dyDescent="0.3">
      <c r="A412"/>
      <c r="C412" s="16"/>
      <c r="G412" s="5">
        <f>IF(A412="","","Checking")</f>
      </c>
      <c r="H412">
        <f>IF(A412="","",IFERROR(XLOOKUP(D412,Setup!$E$15:$E$79,Setup!$F$15:$F$79),"Miscellaneous"))</f>
      </c>
      <c r="I412">
        <f>IF(A412="","",IFERROR(XLOOKUP(D412,Setup!$E$15:$E$79,Setup!$G$15:$G$79),"Uncategorized"))</f>
      </c>
      <c r="J412">
        <f>IF(A412="","",IF(OR(H412="Transfers",H412="Income",D412="Transfer",D412="Category Pending",F412="Pending"),"No","Yes"))</f>
      </c>
      <c r="K412" s="4">
        <f>IF(A412="","",TEXT(IF(DAY(A412)&gt;=Setup!$B$9,DATE(YEAR(A412),MONTH(A412)+1,1),DATE(YEAR(A412),MONTH(A412),1)),"mmmm yyyy"))</f>
      </c>
      <c r="L412" s="47">
        <f>IF(A412="",0,IF(AND(J412="Yes",E412&lt;0),-E412,0))</f>
      </c>
      <c r="M412" s="47">
        <f>IF(A412="",0,IF(AND(J412="Yes",E412&gt;0),E412,0))</f>
      </c>
      <c r="N412">
        <f>IF(A412="","",IF(D412="Category Pending","Needs categorization",IF(COUNTIFS($A$2:A412,A412,$B$2:B412,B412,$E$2:E412,E412)&gt;1,"Possible duplicate","")))</f>
      </c>
    </row>
    <row r="413" spans="3:14" x14ac:dyDescent="0.3">
      <c r="A413"/>
      <c r="C413" s="16"/>
      <c r="G413" s="5">
        <f>IF(A413="","","Checking")</f>
      </c>
      <c r="H413">
        <f>IF(A413="","",IFERROR(XLOOKUP(D413,Setup!$E$15:$E$79,Setup!$F$15:$F$79),"Miscellaneous"))</f>
      </c>
      <c r="I413">
        <f>IF(A413="","",IFERROR(XLOOKUP(D413,Setup!$E$15:$E$79,Setup!$G$15:$G$79),"Uncategorized"))</f>
      </c>
      <c r="J413">
        <f>IF(A413="","",IF(OR(H413="Transfers",H413="Income",D413="Transfer",D413="Category Pending",F413="Pending"),"No","Yes"))</f>
      </c>
      <c r="K413" s="4">
        <f>IF(A413="","",TEXT(IF(DAY(A413)&gt;=Setup!$B$9,DATE(YEAR(A413),MONTH(A413)+1,1),DATE(YEAR(A413),MONTH(A413),1)),"mmmm yyyy"))</f>
      </c>
      <c r="L413" s="47">
        <f>IF(A413="",0,IF(AND(J413="Yes",E413&lt;0),-E413,0))</f>
      </c>
      <c r="M413" s="47">
        <f>IF(A413="",0,IF(AND(J413="Yes",E413&gt;0),E413,0))</f>
      </c>
      <c r="N413">
        <f>IF(A413="","",IF(D413="Category Pending","Needs categorization",IF(COUNTIFS($A$2:A413,A413,$B$2:B413,B413,$E$2:E413,E413)&gt;1,"Possible duplicate","")))</f>
      </c>
    </row>
    <row r="414" spans="3:14" x14ac:dyDescent="0.3">
      <c r="A414"/>
      <c r="C414" s="16"/>
      <c r="G414" s="5">
        <f>IF(A414="","","Checking")</f>
      </c>
      <c r="H414">
        <f>IF(A414="","",IFERROR(XLOOKUP(D414,Setup!$E$15:$E$79,Setup!$F$15:$F$79),"Miscellaneous"))</f>
      </c>
      <c r="I414">
        <f>IF(A414="","",IFERROR(XLOOKUP(D414,Setup!$E$15:$E$79,Setup!$G$15:$G$79),"Uncategorized"))</f>
      </c>
      <c r="J414">
        <f>IF(A414="","",IF(OR(H414="Transfers",H414="Income",D414="Transfer",D414="Category Pending",F414="Pending"),"No","Yes"))</f>
      </c>
      <c r="K414" s="4">
        <f>IF(A414="","",TEXT(IF(DAY(A414)&gt;=Setup!$B$9,DATE(YEAR(A414),MONTH(A414)+1,1),DATE(YEAR(A414),MONTH(A414),1)),"mmmm yyyy"))</f>
      </c>
      <c r="L414" s="47">
        <f>IF(A414="",0,IF(AND(J414="Yes",E414&lt;0),-E414,0))</f>
      </c>
      <c r="M414" s="47">
        <f>IF(A414="",0,IF(AND(J414="Yes",E414&gt;0),E414,0))</f>
      </c>
      <c r="N414">
        <f>IF(A414="","",IF(D414="Category Pending","Needs categorization",IF(COUNTIFS($A$2:A414,A414,$B$2:B414,B414,$E$2:E414,E414)&gt;1,"Possible duplicate","")))</f>
      </c>
    </row>
    <row r="415" spans="3:14" x14ac:dyDescent="0.3">
      <c r="A415"/>
      <c r="C415" s="16"/>
      <c r="G415" s="5">
        <f>IF(A415="","","Checking")</f>
      </c>
      <c r="H415">
        <f>IF(A415="","",IFERROR(XLOOKUP(D415,Setup!$E$15:$E$79,Setup!$F$15:$F$79),"Miscellaneous"))</f>
      </c>
      <c r="I415">
        <f>IF(A415="","",IFERROR(XLOOKUP(D415,Setup!$E$15:$E$79,Setup!$G$15:$G$79),"Uncategorized"))</f>
      </c>
      <c r="J415">
        <f>IF(A415="","",IF(OR(H415="Transfers",H415="Income",D415="Transfer",D415="Category Pending",F415="Pending"),"No","Yes"))</f>
      </c>
      <c r="K415" s="4">
        <f>IF(A415="","",TEXT(IF(DAY(A415)&gt;=Setup!$B$9,DATE(YEAR(A415),MONTH(A415)+1,1),DATE(YEAR(A415),MONTH(A415),1)),"mmmm yyyy"))</f>
      </c>
      <c r="L415" s="47">
        <f>IF(A415="",0,IF(AND(J415="Yes",E415&lt;0),-E415,0))</f>
      </c>
      <c r="M415" s="47">
        <f>IF(A415="",0,IF(AND(J415="Yes",E415&gt;0),E415,0))</f>
      </c>
      <c r="N415">
        <f>IF(A415="","",IF(D415="Category Pending","Needs categorization",IF(COUNTIFS($A$2:A415,A415,$B$2:B415,B415,$E$2:E415,E415)&gt;1,"Possible duplicate","")))</f>
      </c>
    </row>
    <row r="416" spans="3:14" x14ac:dyDescent="0.3">
      <c r="A416"/>
      <c r="C416" s="16"/>
      <c r="G416" s="5">
        <f>IF(A416="","","Checking")</f>
      </c>
      <c r="H416">
        <f>IF(A416="","",IFERROR(XLOOKUP(D416,Setup!$E$15:$E$79,Setup!$F$15:$F$79),"Miscellaneous"))</f>
      </c>
      <c r="I416">
        <f>IF(A416="","",IFERROR(XLOOKUP(D416,Setup!$E$15:$E$79,Setup!$G$15:$G$79),"Uncategorized"))</f>
      </c>
      <c r="J416">
        <f>IF(A416="","",IF(OR(H416="Transfers",H416="Income",D416="Transfer",D416="Category Pending",F416="Pending"),"No","Yes"))</f>
      </c>
      <c r="K416" s="4">
        <f>IF(A416="","",TEXT(IF(DAY(A416)&gt;=Setup!$B$9,DATE(YEAR(A416),MONTH(A416)+1,1),DATE(YEAR(A416),MONTH(A416),1)),"mmmm yyyy"))</f>
      </c>
      <c r="L416" s="47">
        <f>IF(A416="",0,IF(AND(J416="Yes",E416&lt;0),-E416,0))</f>
      </c>
      <c r="M416" s="47">
        <f>IF(A416="",0,IF(AND(J416="Yes",E416&gt;0),E416,0))</f>
      </c>
      <c r="N416">
        <f>IF(A416="","",IF(D416="Category Pending","Needs categorization",IF(COUNTIFS($A$2:A416,A416,$B$2:B416,B416,$E$2:E416,E416)&gt;1,"Possible duplicate","")))</f>
      </c>
    </row>
    <row r="417" spans="3:14" x14ac:dyDescent="0.3">
      <c r="A417"/>
      <c r="C417" s="16"/>
      <c r="G417" s="5">
        <f>IF(A417="","","Checking")</f>
      </c>
      <c r="H417">
        <f>IF(A417="","",IFERROR(XLOOKUP(D417,Setup!$E$15:$E$79,Setup!$F$15:$F$79),"Miscellaneous"))</f>
      </c>
      <c r="I417">
        <f>IF(A417="","",IFERROR(XLOOKUP(D417,Setup!$E$15:$E$79,Setup!$G$15:$G$79),"Uncategorized"))</f>
      </c>
      <c r="J417">
        <f>IF(A417="","",IF(OR(H417="Transfers",H417="Income",D417="Transfer",D417="Category Pending",F417="Pending"),"No","Yes"))</f>
      </c>
      <c r="K417" s="4">
        <f>IF(A417="","",TEXT(IF(DAY(A417)&gt;=Setup!$B$9,DATE(YEAR(A417),MONTH(A417)+1,1),DATE(YEAR(A417),MONTH(A417),1)),"mmmm yyyy"))</f>
      </c>
      <c r="L417" s="47">
        <f>IF(A417="",0,IF(AND(J417="Yes",E417&lt;0),-E417,0))</f>
      </c>
      <c r="M417" s="47">
        <f>IF(A417="",0,IF(AND(J417="Yes",E417&gt;0),E417,0))</f>
      </c>
      <c r="N417">
        <f>IF(A417="","",IF(D417="Category Pending","Needs categorization",IF(COUNTIFS($A$2:A417,A417,$B$2:B417,B417,$E$2:E417,E417)&gt;1,"Possible duplicate","")))</f>
      </c>
    </row>
    <row r="418" spans="3:14" x14ac:dyDescent="0.3">
      <c r="A418"/>
      <c r="C418" s="16"/>
      <c r="G418" s="5">
        <f>IF(A418="","","Checking")</f>
      </c>
      <c r="H418">
        <f>IF(A418="","",IFERROR(XLOOKUP(D418,Setup!$E$15:$E$79,Setup!$F$15:$F$79),"Miscellaneous"))</f>
      </c>
      <c r="I418">
        <f>IF(A418="","",IFERROR(XLOOKUP(D418,Setup!$E$15:$E$79,Setup!$G$15:$G$79),"Uncategorized"))</f>
      </c>
      <c r="J418">
        <f>IF(A418="","",IF(OR(H418="Transfers",H418="Income",D418="Transfer",D418="Category Pending",F418="Pending"),"No","Yes"))</f>
      </c>
      <c r="K418" s="4">
        <f>IF(A418="","",TEXT(IF(DAY(A418)&gt;=Setup!$B$9,DATE(YEAR(A418),MONTH(A418)+1,1),DATE(YEAR(A418),MONTH(A418),1)),"mmmm yyyy"))</f>
      </c>
      <c r="L418" s="47">
        <f>IF(A418="",0,IF(AND(J418="Yes",E418&lt;0),-E418,0))</f>
      </c>
      <c r="M418" s="47">
        <f>IF(A418="",0,IF(AND(J418="Yes",E418&gt;0),E418,0))</f>
      </c>
      <c r="N418">
        <f>IF(A418="","",IF(D418="Category Pending","Needs categorization",IF(COUNTIFS($A$2:A418,A418,$B$2:B418,B418,$E$2:E418,E418)&gt;1,"Possible duplicate","")))</f>
      </c>
    </row>
    <row r="419" spans="3:14" x14ac:dyDescent="0.3">
      <c r="A419"/>
      <c r="C419" s="16"/>
      <c r="G419" s="5">
        <f>IF(A419="","","Checking")</f>
      </c>
      <c r="H419">
        <f>IF(A419="","",IFERROR(XLOOKUP(D419,Setup!$E$15:$E$79,Setup!$F$15:$F$79),"Miscellaneous"))</f>
      </c>
      <c r="I419">
        <f>IF(A419="","",IFERROR(XLOOKUP(D419,Setup!$E$15:$E$79,Setup!$G$15:$G$79),"Uncategorized"))</f>
      </c>
      <c r="J419">
        <f>IF(A419="","",IF(OR(H419="Transfers",H419="Income",D419="Transfer",D419="Category Pending",F419="Pending"),"No","Yes"))</f>
      </c>
      <c r="K419" s="4">
        <f>IF(A419="","",TEXT(IF(DAY(A419)&gt;=Setup!$B$9,DATE(YEAR(A419),MONTH(A419)+1,1),DATE(YEAR(A419),MONTH(A419),1)),"mmmm yyyy"))</f>
      </c>
      <c r="L419" s="47">
        <f>IF(A419="",0,IF(AND(J419="Yes",E419&lt;0),-E419,0))</f>
      </c>
      <c r="M419" s="47">
        <f>IF(A419="",0,IF(AND(J419="Yes",E419&gt;0),E419,0))</f>
      </c>
      <c r="N419">
        <f>IF(A419="","",IF(D419="Category Pending","Needs categorization",IF(COUNTIFS($A$2:A419,A419,$B$2:B419,B419,$E$2:E419,E419)&gt;1,"Possible duplicate","")))</f>
      </c>
    </row>
    <row r="420" spans="3:14" x14ac:dyDescent="0.3">
      <c r="A420"/>
      <c r="C420" s="16"/>
      <c r="G420" s="5">
        <f>IF(A420="","","Checking")</f>
      </c>
      <c r="H420">
        <f>IF(A420="","",IFERROR(XLOOKUP(D420,Setup!$E$15:$E$79,Setup!$F$15:$F$79),"Miscellaneous"))</f>
      </c>
      <c r="I420">
        <f>IF(A420="","",IFERROR(XLOOKUP(D420,Setup!$E$15:$E$79,Setup!$G$15:$G$79),"Uncategorized"))</f>
      </c>
      <c r="J420">
        <f>IF(A420="","",IF(OR(H420="Transfers",H420="Income",D420="Transfer",D420="Category Pending",F420="Pending"),"No","Yes"))</f>
      </c>
      <c r="K420" s="4">
        <f>IF(A420="","",TEXT(IF(DAY(A420)&gt;=Setup!$B$9,DATE(YEAR(A420),MONTH(A420)+1,1),DATE(YEAR(A420),MONTH(A420),1)),"mmmm yyyy"))</f>
      </c>
      <c r="L420" s="47">
        <f>IF(A420="",0,IF(AND(J420="Yes",E420&lt;0),-E420,0))</f>
      </c>
      <c r="M420" s="47">
        <f>IF(A420="",0,IF(AND(J420="Yes",E420&gt;0),E420,0))</f>
      </c>
      <c r="N420">
        <f>IF(A420="","",IF(D420="Category Pending","Needs categorization",IF(COUNTIFS($A$2:A420,A420,$B$2:B420,B420,$E$2:E420,E420)&gt;1,"Possible duplicate","")))</f>
      </c>
    </row>
    <row r="421" spans="3:14" x14ac:dyDescent="0.3">
      <c r="A421"/>
      <c r="C421" s="16"/>
      <c r="G421" s="5">
        <f>IF(A421="","","Checking")</f>
      </c>
      <c r="H421">
        <f>IF(A421="","",IFERROR(XLOOKUP(D421,Setup!$E$15:$E$79,Setup!$F$15:$F$79),"Miscellaneous"))</f>
      </c>
      <c r="I421">
        <f>IF(A421="","",IFERROR(XLOOKUP(D421,Setup!$E$15:$E$79,Setup!$G$15:$G$79),"Uncategorized"))</f>
      </c>
      <c r="J421">
        <f>IF(A421="","",IF(OR(H421="Transfers",H421="Income",D421="Transfer",D421="Category Pending",F421="Pending"),"No","Yes"))</f>
      </c>
      <c r="K421" s="4">
        <f>IF(A421="","",TEXT(IF(DAY(A421)&gt;=Setup!$B$9,DATE(YEAR(A421),MONTH(A421)+1,1),DATE(YEAR(A421),MONTH(A421),1)),"mmmm yyyy"))</f>
      </c>
      <c r="L421" s="47">
        <f>IF(A421="",0,IF(AND(J421="Yes",E421&lt;0),-E421,0))</f>
      </c>
      <c r="M421" s="47">
        <f>IF(A421="",0,IF(AND(J421="Yes",E421&gt;0),E421,0))</f>
      </c>
      <c r="N421">
        <f>IF(A421="","",IF(D421="Category Pending","Needs categorization",IF(COUNTIFS($A$2:A421,A421,$B$2:B421,B421,$E$2:E421,E421)&gt;1,"Possible duplicate","")))</f>
      </c>
    </row>
    <row r="422" spans="3:14" x14ac:dyDescent="0.3">
      <c r="A422"/>
      <c r="C422" s="16"/>
      <c r="G422" s="5">
        <f>IF(A422="","","Checking")</f>
      </c>
      <c r="H422">
        <f>IF(A422="","",IFERROR(XLOOKUP(D422,Setup!$E$15:$E$79,Setup!$F$15:$F$79),"Miscellaneous"))</f>
      </c>
      <c r="I422">
        <f>IF(A422="","",IFERROR(XLOOKUP(D422,Setup!$E$15:$E$79,Setup!$G$15:$G$79),"Uncategorized"))</f>
      </c>
      <c r="J422">
        <f>IF(A422="","",IF(OR(H422="Transfers",H422="Income",D422="Transfer",D422="Category Pending",F422="Pending"),"No","Yes"))</f>
      </c>
      <c r="K422" s="4">
        <f>IF(A422="","",TEXT(IF(DAY(A422)&gt;=Setup!$B$9,DATE(YEAR(A422),MONTH(A422)+1,1),DATE(YEAR(A422),MONTH(A422),1)),"mmmm yyyy"))</f>
      </c>
      <c r="L422" s="47">
        <f>IF(A422="",0,IF(AND(J422="Yes",E422&lt;0),-E422,0))</f>
      </c>
      <c r="M422" s="47">
        <f>IF(A422="",0,IF(AND(J422="Yes",E422&gt;0),E422,0))</f>
      </c>
      <c r="N422">
        <f>IF(A422="","",IF(D422="Category Pending","Needs categorization",IF(COUNTIFS($A$2:A422,A422,$B$2:B422,B422,$E$2:E422,E422)&gt;1,"Possible duplicate","")))</f>
      </c>
    </row>
    <row r="423" spans="3:14" x14ac:dyDescent="0.3">
      <c r="A423"/>
      <c r="C423" s="16"/>
      <c r="G423" s="5">
        <f>IF(A423="","","Checking")</f>
      </c>
      <c r="H423">
        <f>IF(A423="","",IFERROR(XLOOKUP(D423,Setup!$E$15:$E$79,Setup!$F$15:$F$79),"Miscellaneous"))</f>
      </c>
      <c r="I423">
        <f>IF(A423="","",IFERROR(XLOOKUP(D423,Setup!$E$15:$E$79,Setup!$G$15:$G$79),"Uncategorized"))</f>
      </c>
      <c r="J423">
        <f>IF(A423="","",IF(OR(H423="Transfers",H423="Income",D423="Transfer",D423="Category Pending",F423="Pending"),"No","Yes"))</f>
      </c>
      <c r="K423" s="4">
        <f>IF(A423="","",TEXT(IF(DAY(A423)&gt;=Setup!$B$9,DATE(YEAR(A423),MONTH(A423)+1,1),DATE(YEAR(A423),MONTH(A423),1)),"mmmm yyyy"))</f>
      </c>
      <c r="L423" s="47">
        <f>IF(A423="",0,IF(AND(J423="Yes",E423&lt;0),-E423,0))</f>
      </c>
      <c r="M423" s="47">
        <f>IF(A423="",0,IF(AND(J423="Yes",E423&gt;0),E423,0))</f>
      </c>
      <c r="N423">
        <f>IF(A423="","",IF(D423="Category Pending","Needs categorization",IF(COUNTIFS($A$2:A423,A423,$B$2:B423,B423,$E$2:E423,E423)&gt;1,"Possible duplicate","")))</f>
      </c>
    </row>
    <row r="424" spans="3:14" x14ac:dyDescent="0.3">
      <c r="A424"/>
      <c r="C424" s="16"/>
      <c r="G424" s="5">
        <f>IF(A424="","","Checking")</f>
      </c>
      <c r="H424">
        <f>IF(A424="","",IFERROR(XLOOKUP(D424,Setup!$E$15:$E$79,Setup!$F$15:$F$79),"Miscellaneous"))</f>
      </c>
      <c r="I424">
        <f>IF(A424="","",IFERROR(XLOOKUP(D424,Setup!$E$15:$E$79,Setup!$G$15:$G$79),"Uncategorized"))</f>
      </c>
      <c r="J424">
        <f>IF(A424="","",IF(OR(H424="Transfers",H424="Income",D424="Transfer",D424="Category Pending",F424="Pending"),"No","Yes"))</f>
      </c>
      <c r="K424" s="4">
        <f>IF(A424="","",TEXT(IF(DAY(A424)&gt;=Setup!$B$9,DATE(YEAR(A424),MONTH(A424)+1,1),DATE(YEAR(A424),MONTH(A424),1)),"mmmm yyyy"))</f>
      </c>
      <c r="L424" s="47">
        <f>IF(A424="",0,IF(AND(J424="Yes",E424&lt;0),-E424,0))</f>
      </c>
      <c r="M424" s="47">
        <f>IF(A424="",0,IF(AND(J424="Yes",E424&gt;0),E424,0))</f>
      </c>
      <c r="N424">
        <f>IF(A424="","",IF(D424="Category Pending","Needs categorization",IF(COUNTIFS($A$2:A424,A424,$B$2:B424,B424,$E$2:E424,E424)&gt;1,"Possible duplicate","")))</f>
      </c>
    </row>
    <row r="425" spans="3:14" x14ac:dyDescent="0.3">
      <c r="A425"/>
      <c r="C425" s="16"/>
      <c r="G425" s="5">
        <f>IF(A425="","","Checking")</f>
      </c>
      <c r="H425">
        <f>IF(A425="","",IFERROR(XLOOKUP(D425,Setup!$E$15:$E$79,Setup!$F$15:$F$79),"Miscellaneous"))</f>
      </c>
      <c r="I425">
        <f>IF(A425="","",IFERROR(XLOOKUP(D425,Setup!$E$15:$E$79,Setup!$G$15:$G$79),"Uncategorized"))</f>
      </c>
      <c r="J425">
        <f>IF(A425="","",IF(OR(H425="Transfers",H425="Income",D425="Transfer",D425="Category Pending",F425="Pending"),"No","Yes"))</f>
      </c>
      <c r="K425" s="4">
        <f>IF(A425="","",TEXT(IF(DAY(A425)&gt;=Setup!$B$9,DATE(YEAR(A425),MONTH(A425)+1,1),DATE(YEAR(A425),MONTH(A425),1)),"mmmm yyyy"))</f>
      </c>
      <c r="L425" s="47">
        <f>IF(A425="",0,IF(AND(J425="Yes",E425&lt;0),-E425,0))</f>
      </c>
      <c r="M425" s="47">
        <f>IF(A425="",0,IF(AND(J425="Yes",E425&gt;0),E425,0))</f>
      </c>
      <c r="N425">
        <f>IF(A425="","",IF(D425="Category Pending","Needs categorization",IF(COUNTIFS($A$2:A425,A425,$B$2:B425,B425,$E$2:E425,E425)&gt;1,"Possible duplicate","")))</f>
      </c>
    </row>
    <row r="426" spans="3:14" x14ac:dyDescent="0.3">
      <c r="A426"/>
      <c r="C426" s="16"/>
      <c r="G426" s="5">
        <f>IF(A426="","","Checking")</f>
      </c>
      <c r="H426">
        <f>IF(A426="","",IFERROR(XLOOKUP(D426,Setup!$E$15:$E$79,Setup!$F$15:$F$79),"Miscellaneous"))</f>
      </c>
      <c r="I426">
        <f>IF(A426="","",IFERROR(XLOOKUP(D426,Setup!$E$15:$E$79,Setup!$G$15:$G$79),"Uncategorized"))</f>
      </c>
      <c r="J426">
        <f>IF(A426="","",IF(OR(H426="Transfers",H426="Income",D426="Transfer",D426="Category Pending",F426="Pending"),"No","Yes"))</f>
      </c>
      <c r="K426" s="4">
        <f>IF(A426="","",TEXT(IF(DAY(A426)&gt;=Setup!$B$9,DATE(YEAR(A426),MONTH(A426)+1,1),DATE(YEAR(A426),MONTH(A426),1)),"mmmm yyyy"))</f>
      </c>
      <c r="L426" s="47">
        <f>IF(A426="",0,IF(AND(J426="Yes",E426&lt;0),-E426,0))</f>
      </c>
      <c r="M426" s="47">
        <f>IF(A426="",0,IF(AND(J426="Yes",E426&gt;0),E426,0))</f>
      </c>
      <c r="N426">
        <f>IF(A426="","",IF(D426="Category Pending","Needs categorization",IF(COUNTIFS($A$2:A426,A426,$B$2:B426,B426,$E$2:E426,E426)&gt;1,"Possible duplicate","")))</f>
      </c>
    </row>
    <row r="427" spans="3:14" x14ac:dyDescent="0.3">
      <c r="A427"/>
      <c r="C427" s="16"/>
      <c r="G427" s="5">
        <f>IF(A427="","","Checking")</f>
      </c>
      <c r="H427">
        <f>IF(A427="","",IFERROR(XLOOKUP(D427,Setup!$E$15:$E$79,Setup!$F$15:$F$79),"Miscellaneous"))</f>
      </c>
      <c r="I427">
        <f>IF(A427="","",IFERROR(XLOOKUP(D427,Setup!$E$15:$E$79,Setup!$G$15:$G$79),"Uncategorized"))</f>
      </c>
      <c r="J427">
        <f>IF(A427="","",IF(OR(H427="Transfers",H427="Income",D427="Transfer",D427="Category Pending",F427="Pending"),"No","Yes"))</f>
      </c>
      <c r="K427" s="4">
        <f>IF(A427="","",TEXT(IF(DAY(A427)&gt;=Setup!$B$9,DATE(YEAR(A427),MONTH(A427)+1,1),DATE(YEAR(A427),MONTH(A427),1)),"mmmm yyyy"))</f>
      </c>
      <c r="L427" s="47">
        <f>IF(A427="",0,IF(AND(J427="Yes",E427&lt;0),-E427,0))</f>
      </c>
      <c r="M427" s="47">
        <f>IF(A427="",0,IF(AND(J427="Yes",E427&gt;0),E427,0))</f>
      </c>
      <c r="N427">
        <f>IF(A427="","",IF(D427="Category Pending","Needs categorization",IF(COUNTIFS($A$2:A427,A427,$B$2:B427,B427,$E$2:E427,E427)&gt;1,"Possible duplicate","")))</f>
      </c>
    </row>
    <row r="428" spans="3:14" x14ac:dyDescent="0.3">
      <c r="A428"/>
      <c r="C428" s="16"/>
      <c r="G428" s="5">
        <f>IF(A428="","","Checking")</f>
      </c>
      <c r="H428">
        <f>IF(A428="","",IFERROR(XLOOKUP(D428,Setup!$E$15:$E$79,Setup!$F$15:$F$79),"Miscellaneous"))</f>
      </c>
      <c r="I428">
        <f>IF(A428="","",IFERROR(XLOOKUP(D428,Setup!$E$15:$E$79,Setup!$G$15:$G$79),"Uncategorized"))</f>
      </c>
      <c r="J428">
        <f>IF(A428="","",IF(OR(H428="Transfers",H428="Income",D428="Transfer",D428="Category Pending",F428="Pending"),"No","Yes"))</f>
      </c>
      <c r="K428" s="4">
        <f>IF(A428="","",TEXT(IF(DAY(A428)&gt;=Setup!$B$9,DATE(YEAR(A428),MONTH(A428)+1,1),DATE(YEAR(A428),MONTH(A428),1)),"mmmm yyyy"))</f>
      </c>
      <c r="L428" s="47">
        <f>IF(A428="",0,IF(AND(J428="Yes",E428&lt;0),-E428,0))</f>
      </c>
      <c r="M428" s="47">
        <f>IF(A428="",0,IF(AND(J428="Yes",E428&gt;0),E428,0))</f>
      </c>
      <c r="N428">
        <f>IF(A428="","",IF(D428="Category Pending","Needs categorization",IF(COUNTIFS($A$2:A428,A428,$B$2:B428,B428,$E$2:E428,E428)&gt;1,"Possible duplicate","")))</f>
      </c>
    </row>
    <row r="429" spans="3:14" x14ac:dyDescent="0.3">
      <c r="A429"/>
      <c r="C429" s="16"/>
      <c r="G429" s="5">
        <f>IF(A429="","","Checking")</f>
      </c>
      <c r="H429">
        <f>IF(A429="","",IFERROR(XLOOKUP(D429,Setup!$E$15:$E$79,Setup!$F$15:$F$79),"Miscellaneous"))</f>
      </c>
      <c r="I429">
        <f>IF(A429="","",IFERROR(XLOOKUP(D429,Setup!$E$15:$E$79,Setup!$G$15:$G$79),"Uncategorized"))</f>
      </c>
      <c r="J429">
        <f>IF(A429="","",IF(OR(H429="Transfers",H429="Income",D429="Transfer",D429="Category Pending",F429="Pending"),"No","Yes"))</f>
      </c>
      <c r="K429" s="4">
        <f>IF(A429="","",TEXT(IF(DAY(A429)&gt;=Setup!$B$9,DATE(YEAR(A429),MONTH(A429)+1,1),DATE(YEAR(A429),MONTH(A429),1)),"mmmm yyyy"))</f>
      </c>
      <c r="L429" s="47">
        <f>IF(A429="",0,IF(AND(J429="Yes",E429&lt;0),-E429,0))</f>
      </c>
      <c r="M429" s="47">
        <f>IF(A429="",0,IF(AND(J429="Yes",E429&gt;0),E429,0))</f>
      </c>
      <c r="N429">
        <f>IF(A429="","",IF(D429="Category Pending","Needs categorization",IF(COUNTIFS($A$2:A429,A429,$B$2:B429,B429,$E$2:E429,E429)&gt;1,"Possible duplicate","")))</f>
      </c>
    </row>
    <row r="430" spans="3:14" x14ac:dyDescent="0.3">
      <c r="A430"/>
      <c r="C430" s="16"/>
      <c r="G430" s="5">
        <f>IF(A430="","","Checking")</f>
      </c>
      <c r="H430">
        <f>IF(A430="","",IFERROR(XLOOKUP(D430,Setup!$E$15:$E$79,Setup!$F$15:$F$79),"Miscellaneous"))</f>
      </c>
      <c r="I430">
        <f>IF(A430="","",IFERROR(XLOOKUP(D430,Setup!$E$15:$E$79,Setup!$G$15:$G$79),"Uncategorized"))</f>
      </c>
      <c r="J430">
        <f>IF(A430="","",IF(OR(H430="Transfers",H430="Income",D430="Transfer",D430="Category Pending",F430="Pending"),"No","Yes"))</f>
      </c>
      <c r="K430" s="4">
        <f>IF(A430="","",TEXT(IF(DAY(A430)&gt;=Setup!$B$9,DATE(YEAR(A430),MONTH(A430)+1,1),DATE(YEAR(A430),MONTH(A430),1)),"mmmm yyyy"))</f>
      </c>
      <c r="L430" s="47">
        <f>IF(A430="",0,IF(AND(J430="Yes",E430&lt;0),-E430,0))</f>
      </c>
      <c r="M430" s="47">
        <f>IF(A430="",0,IF(AND(J430="Yes",E430&gt;0),E430,0))</f>
      </c>
      <c r="N430">
        <f>IF(A430="","",IF(D430="Category Pending","Needs categorization",IF(COUNTIFS($A$2:A430,A430,$B$2:B430,B430,$E$2:E430,E430)&gt;1,"Possible duplicate","")))</f>
      </c>
    </row>
    <row r="431" spans="3:14" x14ac:dyDescent="0.3">
      <c r="A431"/>
      <c r="C431" s="16"/>
      <c r="G431" s="5">
        <f>IF(A431="","","Checking")</f>
      </c>
      <c r="H431">
        <f>IF(A431="","",IFERROR(XLOOKUP(D431,Setup!$E$15:$E$79,Setup!$F$15:$F$79),"Miscellaneous"))</f>
      </c>
      <c r="I431">
        <f>IF(A431="","",IFERROR(XLOOKUP(D431,Setup!$E$15:$E$79,Setup!$G$15:$G$79),"Uncategorized"))</f>
      </c>
      <c r="J431">
        <f>IF(A431="","",IF(OR(H431="Transfers",H431="Income",D431="Transfer",D431="Category Pending",F431="Pending"),"No","Yes"))</f>
      </c>
      <c r="K431" s="4">
        <f>IF(A431="","",TEXT(IF(DAY(A431)&gt;=Setup!$B$9,DATE(YEAR(A431),MONTH(A431)+1,1),DATE(YEAR(A431),MONTH(A431),1)),"mmmm yyyy"))</f>
      </c>
      <c r="L431" s="47">
        <f>IF(A431="",0,IF(AND(J431="Yes",E431&lt;0),-E431,0))</f>
      </c>
      <c r="M431" s="47">
        <f>IF(A431="",0,IF(AND(J431="Yes",E431&gt;0),E431,0))</f>
      </c>
      <c r="N431">
        <f>IF(A431="","",IF(D431="Category Pending","Needs categorization",IF(COUNTIFS($A$2:A431,A431,$B$2:B431,B431,$E$2:E431,E431)&gt;1,"Possible duplicate","")))</f>
      </c>
    </row>
    <row r="432" spans="3:14" x14ac:dyDescent="0.3">
      <c r="A432"/>
      <c r="C432" s="16"/>
      <c r="G432" s="5">
        <f>IF(A432="","","Checking")</f>
      </c>
      <c r="H432">
        <f>IF(A432="","",IFERROR(XLOOKUP(D432,Setup!$E$15:$E$79,Setup!$F$15:$F$79),"Miscellaneous"))</f>
      </c>
      <c r="I432">
        <f>IF(A432="","",IFERROR(XLOOKUP(D432,Setup!$E$15:$E$79,Setup!$G$15:$G$79),"Uncategorized"))</f>
      </c>
      <c r="J432">
        <f>IF(A432="","",IF(OR(H432="Transfers",H432="Income",D432="Transfer",D432="Category Pending",F432="Pending"),"No","Yes"))</f>
      </c>
      <c r="K432" s="4">
        <f>IF(A432="","",TEXT(IF(DAY(A432)&gt;=Setup!$B$9,DATE(YEAR(A432),MONTH(A432)+1,1),DATE(YEAR(A432),MONTH(A432),1)),"mmmm yyyy"))</f>
      </c>
      <c r="L432" s="47">
        <f>IF(A432="",0,IF(AND(J432="Yes",E432&lt;0),-E432,0))</f>
      </c>
      <c r="M432" s="47">
        <f>IF(A432="",0,IF(AND(J432="Yes",E432&gt;0),E432,0))</f>
      </c>
      <c r="N432">
        <f>IF(A432="","",IF(D432="Category Pending","Needs categorization",IF(COUNTIFS($A$2:A432,A432,$B$2:B432,B432,$E$2:E432,E432)&gt;1,"Possible duplicate","")))</f>
      </c>
    </row>
    <row r="433" spans="3:14" x14ac:dyDescent="0.3">
      <c r="A433"/>
      <c r="C433" s="16"/>
      <c r="G433" s="5">
        <f>IF(A433="","","Checking")</f>
      </c>
      <c r="H433">
        <f>IF(A433="","",IFERROR(XLOOKUP(D433,Setup!$E$15:$E$79,Setup!$F$15:$F$79),"Miscellaneous"))</f>
      </c>
      <c r="I433">
        <f>IF(A433="","",IFERROR(XLOOKUP(D433,Setup!$E$15:$E$79,Setup!$G$15:$G$79),"Uncategorized"))</f>
      </c>
      <c r="J433">
        <f>IF(A433="","",IF(OR(H433="Transfers",H433="Income",D433="Transfer",D433="Category Pending",F433="Pending"),"No","Yes"))</f>
      </c>
      <c r="K433" s="4">
        <f>IF(A433="","",TEXT(IF(DAY(A433)&gt;=Setup!$B$9,DATE(YEAR(A433),MONTH(A433)+1,1),DATE(YEAR(A433),MONTH(A433),1)),"mmmm yyyy"))</f>
      </c>
      <c r="L433" s="47">
        <f>IF(A433="",0,IF(AND(J433="Yes",E433&lt;0),-E433,0))</f>
      </c>
      <c r="M433" s="47">
        <f>IF(A433="",0,IF(AND(J433="Yes",E433&gt;0),E433,0))</f>
      </c>
      <c r="N433">
        <f>IF(A433="","",IF(D433="Category Pending","Needs categorization",IF(COUNTIFS($A$2:A433,A433,$B$2:B433,B433,$E$2:E433,E433)&gt;1,"Possible duplicate","")))</f>
      </c>
    </row>
    <row r="434" spans="3:14" x14ac:dyDescent="0.3">
      <c r="A434"/>
      <c r="C434" s="16"/>
      <c r="G434" s="5">
        <f>IF(A434="","","Checking")</f>
      </c>
      <c r="H434">
        <f>IF(A434="","",IFERROR(XLOOKUP(D434,Setup!$E$15:$E$79,Setup!$F$15:$F$79),"Miscellaneous"))</f>
      </c>
      <c r="I434">
        <f>IF(A434="","",IFERROR(XLOOKUP(D434,Setup!$E$15:$E$79,Setup!$G$15:$G$79),"Uncategorized"))</f>
      </c>
      <c r="J434">
        <f>IF(A434="","",IF(OR(H434="Transfers",H434="Income",D434="Transfer",D434="Category Pending",F434="Pending"),"No","Yes"))</f>
      </c>
      <c r="K434" s="4">
        <f>IF(A434="","",TEXT(IF(DAY(A434)&gt;=Setup!$B$9,DATE(YEAR(A434),MONTH(A434)+1,1),DATE(YEAR(A434),MONTH(A434),1)),"mmmm yyyy"))</f>
      </c>
      <c r="L434" s="47">
        <f>IF(A434="",0,IF(AND(J434="Yes",E434&lt;0),-E434,0))</f>
      </c>
      <c r="M434" s="47">
        <f>IF(A434="",0,IF(AND(J434="Yes",E434&gt;0),E434,0))</f>
      </c>
      <c r="N434">
        <f>IF(A434="","",IF(D434="Category Pending","Needs categorization",IF(COUNTIFS($A$2:A434,A434,$B$2:B434,B434,$E$2:E434,E434)&gt;1,"Possible duplicate","")))</f>
      </c>
    </row>
    <row r="435" spans="3:14" x14ac:dyDescent="0.3">
      <c r="A435"/>
      <c r="C435" s="16"/>
      <c r="G435" s="5">
        <f>IF(A435="","","Checking")</f>
      </c>
      <c r="H435">
        <f>IF(A435="","",IFERROR(XLOOKUP(D435,Setup!$E$15:$E$79,Setup!$F$15:$F$79),"Miscellaneous"))</f>
      </c>
      <c r="I435">
        <f>IF(A435="","",IFERROR(XLOOKUP(D435,Setup!$E$15:$E$79,Setup!$G$15:$G$79),"Uncategorized"))</f>
      </c>
      <c r="J435">
        <f>IF(A435="","",IF(OR(H435="Transfers",H435="Income",D435="Transfer",D435="Category Pending",F435="Pending"),"No","Yes"))</f>
      </c>
      <c r="K435" s="4">
        <f>IF(A435="","",TEXT(IF(DAY(A435)&gt;=Setup!$B$9,DATE(YEAR(A435),MONTH(A435)+1,1),DATE(YEAR(A435),MONTH(A435),1)),"mmmm yyyy"))</f>
      </c>
      <c r="L435" s="47">
        <f>IF(A435="",0,IF(AND(J435="Yes",E435&lt;0),-E435,0))</f>
      </c>
      <c r="M435" s="47">
        <f>IF(A435="",0,IF(AND(J435="Yes",E435&gt;0),E435,0))</f>
      </c>
      <c r="N435">
        <f>IF(A435="","",IF(D435="Category Pending","Needs categorization",IF(COUNTIFS($A$2:A435,A435,$B$2:B435,B435,$E$2:E435,E435)&gt;1,"Possible duplicate","")))</f>
      </c>
    </row>
    <row r="436" spans="3:14" x14ac:dyDescent="0.3">
      <c r="A436"/>
      <c r="C436" s="16"/>
      <c r="G436" s="5">
        <f>IF(A436="","","Checking")</f>
      </c>
      <c r="H436">
        <f>IF(A436="","",IFERROR(XLOOKUP(D436,Setup!$E$15:$E$79,Setup!$F$15:$F$79),"Miscellaneous"))</f>
      </c>
      <c r="I436">
        <f>IF(A436="","",IFERROR(XLOOKUP(D436,Setup!$E$15:$E$79,Setup!$G$15:$G$79),"Uncategorized"))</f>
      </c>
      <c r="J436">
        <f>IF(A436="","",IF(OR(H436="Transfers",H436="Income",D436="Transfer",D436="Category Pending",F436="Pending"),"No","Yes"))</f>
      </c>
      <c r="K436" s="4">
        <f>IF(A436="","",TEXT(IF(DAY(A436)&gt;=Setup!$B$9,DATE(YEAR(A436),MONTH(A436)+1,1),DATE(YEAR(A436),MONTH(A436),1)),"mmmm yyyy"))</f>
      </c>
      <c r="L436" s="47">
        <f>IF(A436="",0,IF(AND(J436="Yes",E436&lt;0),-E436,0))</f>
      </c>
      <c r="M436" s="47">
        <f>IF(A436="",0,IF(AND(J436="Yes",E436&gt;0),E436,0))</f>
      </c>
      <c r="N436">
        <f>IF(A436="","",IF(D436="Category Pending","Needs categorization",IF(COUNTIFS($A$2:A436,A436,$B$2:B436,B436,$E$2:E436,E436)&gt;1,"Possible duplicate","")))</f>
      </c>
    </row>
    <row r="437" spans="3:14" x14ac:dyDescent="0.3">
      <c r="A437"/>
      <c r="C437" s="16"/>
      <c r="G437" s="5">
        <f>IF(A437="","","Checking")</f>
      </c>
      <c r="H437">
        <f>IF(A437="","",IFERROR(XLOOKUP(D437,Setup!$E$15:$E$79,Setup!$F$15:$F$79),"Miscellaneous"))</f>
      </c>
      <c r="I437">
        <f>IF(A437="","",IFERROR(XLOOKUP(D437,Setup!$E$15:$E$79,Setup!$G$15:$G$79),"Uncategorized"))</f>
      </c>
      <c r="J437">
        <f>IF(A437="","",IF(OR(H437="Transfers",H437="Income",D437="Transfer",D437="Category Pending",F437="Pending"),"No","Yes"))</f>
      </c>
      <c r="K437" s="4">
        <f>IF(A437="","",TEXT(IF(DAY(A437)&gt;=Setup!$B$9,DATE(YEAR(A437),MONTH(A437)+1,1),DATE(YEAR(A437),MONTH(A437),1)),"mmmm yyyy"))</f>
      </c>
      <c r="L437" s="47">
        <f>IF(A437="",0,IF(AND(J437="Yes",E437&lt;0),-E437,0))</f>
      </c>
      <c r="M437" s="47">
        <f>IF(A437="",0,IF(AND(J437="Yes",E437&gt;0),E437,0))</f>
      </c>
      <c r="N437">
        <f>IF(A437="","",IF(D437="Category Pending","Needs categorization",IF(COUNTIFS($A$2:A437,A437,$B$2:B437,B437,$E$2:E437,E437)&gt;1,"Possible duplicate","")))</f>
      </c>
    </row>
    <row r="438" spans="3:14" x14ac:dyDescent="0.3">
      <c r="A438"/>
      <c r="C438" s="16"/>
      <c r="G438" s="5">
        <f>IF(A438="","","Checking")</f>
      </c>
      <c r="H438">
        <f>IF(A438="","",IFERROR(XLOOKUP(D438,Setup!$E$15:$E$79,Setup!$F$15:$F$79),"Miscellaneous"))</f>
      </c>
      <c r="I438">
        <f>IF(A438="","",IFERROR(XLOOKUP(D438,Setup!$E$15:$E$79,Setup!$G$15:$G$79),"Uncategorized"))</f>
      </c>
      <c r="J438">
        <f>IF(A438="","",IF(OR(H438="Transfers",H438="Income",D438="Transfer",D438="Category Pending",F438="Pending"),"No","Yes"))</f>
      </c>
      <c r="K438" s="4">
        <f>IF(A438="","",TEXT(IF(DAY(A438)&gt;=Setup!$B$9,DATE(YEAR(A438),MONTH(A438)+1,1),DATE(YEAR(A438),MONTH(A438),1)),"mmmm yyyy"))</f>
      </c>
      <c r="L438" s="47">
        <f>IF(A438="",0,IF(AND(J438="Yes",E438&lt;0),-E438,0))</f>
      </c>
      <c r="M438" s="47">
        <f>IF(A438="",0,IF(AND(J438="Yes",E438&gt;0),E438,0))</f>
      </c>
      <c r="N438">
        <f>IF(A438="","",IF(D438="Category Pending","Needs categorization",IF(COUNTIFS($A$2:A438,A438,$B$2:B438,B438,$E$2:E438,E438)&gt;1,"Possible duplicate","")))</f>
      </c>
    </row>
    <row r="439" spans="3:14" x14ac:dyDescent="0.3">
      <c r="A439"/>
      <c r="C439" s="16"/>
      <c r="G439" s="5">
        <f>IF(A439="","","Checking")</f>
      </c>
      <c r="H439">
        <f>IF(A439="","",IFERROR(XLOOKUP(D439,Setup!$E$15:$E$79,Setup!$F$15:$F$79),"Miscellaneous"))</f>
      </c>
      <c r="I439">
        <f>IF(A439="","",IFERROR(XLOOKUP(D439,Setup!$E$15:$E$79,Setup!$G$15:$G$79),"Uncategorized"))</f>
      </c>
      <c r="J439">
        <f>IF(A439="","",IF(OR(H439="Transfers",H439="Income",D439="Transfer",D439="Category Pending",F439="Pending"),"No","Yes"))</f>
      </c>
      <c r="K439" s="4">
        <f>IF(A439="","",TEXT(IF(DAY(A439)&gt;=Setup!$B$9,DATE(YEAR(A439),MONTH(A439)+1,1),DATE(YEAR(A439),MONTH(A439),1)),"mmmm yyyy"))</f>
      </c>
      <c r="L439" s="47">
        <f>IF(A439="",0,IF(AND(J439="Yes",E439&lt;0),-E439,0))</f>
      </c>
      <c r="M439" s="47">
        <f>IF(A439="",0,IF(AND(J439="Yes",E439&gt;0),E439,0))</f>
      </c>
      <c r="N439">
        <f>IF(A439="","",IF(D439="Category Pending","Needs categorization",IF(COUNTIFS($A$2:A439,A439,$B$2:B439,B439,$E$2:E439,E439)&gt;1,"Possible duplicate","")))</f>
      </c>
    </row>
    <row r="440" spans="3:14" x14ac:dyDescent="0.3">
      <c r="A440"/>
      <c r="C440" s="16"/>
      <c r="G440" s="5">
        <f>IF(A440="","","Checking")</f>
      </c>
      <c r="H440">
        <f>IF(A440="","",IFERROR(XLOOKUP(D440,Setup!$E$15:$E$79,Setup!$F$15:$F$79),"Miscellaneous"))</f>
      </c>
      <c r="I440">
        <f>IF(A440="","",IFERROR(XLOOKUP(D440,Setup!$E$15:$E$79,Setup!$G$15:$G$79),"Uncategorized"))</f>
      </c>
      <c r="J440">
        <f>IF(A440="","",IF(OR(H440="Transfers",H440="Income",D440="Transfer",D440="Category Pending",F440="Pending"),"No","Yes"))</f>
      </c>
      <c r="K440" s="4">
        <f>IF(A440="","",TEXT(IF(DAY(A440)&gt;=Setup!$B$9,DATE(YEAR(A440),MONTH(A440)+1,1),DATE(YEAR(A440),MONTH(A440),1)),"mmmm yyyy"))</f>
      </c>
      <c r="L440" s="47">
        <f>IF(A440="",0,IF(AND(J440="Yes",E440&lt;0),-E440,0))</f>
      </c>
      <c r="M440" s="47">
        <f>IF(A440="",0,IF(AND(J440="Yes",E440&gt;0),E440,0))</f>
      </c>
      <c r="N440">
        <f>IF(A440="","",IF(D440="Category Pending","Needs categorization",IF(COUNTIFS($A$2:A440,A440,$B$2:B440,B440,$E$2:E440,E440)&gt;1,"Possible duplicate","")))</f>
      </c>
    </row>
    <row r="441" spans="3:14" x14ac:dyDescent="0.3">
      <c r="A441"/>
      <c r="C441" s="16"/>
      <c r="G441" s="5">
        <f>IF(A441="","","Checking")</f>
      </c>
      <c r="H441">
        <f>IF(A441="","",IFERROR(XLOOKUP(D441,Setup!$E$15:$E$79,Setup!$F$15:$F$79),"Miscellaneous"))</f>
      </c>
      <c r="I441">
        <f>IF(A441="","",IFERROR(XLOOKUP(D441,Setup!$E$15:$E$79,Setup!$G$15:$G$79),"Uncategorized"))</f>
      </c>
      <c r="J441">
        <f>IF(A441="","",IF(OR(H441="Transfers",H441="Income",D441="Transfer",D441="Category Pending",F441="Pending"),"No","Yes"))</f>
      </c>
      <c r="K441" s="4">
        <f>IF(A441="","",TEXT(IF(DAY(A441)&gt;=Setup!$B$9,DATE(YEAR(A441),MONTH(A441)+1,1),DATE(YEAR(A441),MONTH(A441),1)),"mmmm yyyy"))</f>
      </c>
      <c r="L441" s="47">
        <f>IF(A441="",0,IF(AND(J441="Yes",E441&lt;0),-E441,0))</f>
      </c>
      <c r="M441" s="47">
        <f>IF(A441="",0,IF(AND(J441="Yes",E441&gt;0),E441,0))</f>
      </c>
      <c r="N441">
        <f>IF(A441="","",IF(D441="Category Pending","Needs categorization",IF(COUNTIFS($A$2:A441,A441,$B$2:B441,B441,$E$2:E441,E441)&gt;1,"Possible duplicate","")))</f>
      </c>
    </row>
    <row r="442" spans="3:14" x14ac:dyDescent="0.3">
      <c r="A442"/>
      <c r="C442" s="16"/>
      <c r="G442" s="5">
        <f>IF(A442="","","Checking")</f>
      </c>
      <c r="H442">
        <f>IF(A442="","",IFERROR(XLOOKUP(D442,Setup!$E$15:$E$79,Setup!$F$15:$F$79),"Miscellaneous"))</f>
      </c>
      <c r="I442">
        <f>IF(A442="","",IFERROR(XLOOKUP(D442,Setup!$E$15:$E$79,Setup!$G$15:$G$79),"Uncategorized"))</f>
      </c>
      <c r="J442">
        <f>IF(A442="","",IF(OR(H442="Transfers",H442="Income",D442="Transfer",D442="Category Pending",F442="Pending"),"No","Yes"))</f>
      </c>
      <c r="K442" s="4">
        <f>IF(A442="","",TEXT(IF(DAY(A442)&gt;=Setup!$B$9,DATE(YEAR(A442),MONTH(A442)+1,1),DATE(YEAR(A442),MONTH(A442),1)),"mmmm yyyy"))</f>
      </c>
      <c r="L442" s="47">
        <f>IF(A442="",0,IF(AND(J442="Yes",E442&lt;0),-E442,0))</f>
      </c>
      <c r="M442" s="47">
        <f>IF(A442="",0,IF(AND(J442="Yes",E442&gt;0),E442,0))</f>
      </c>
      <c r="N442">
        <f>IF(A442="","",IF(D442="Category Pending","Needs categorization",IF(COUNTIFS($A$2:A442,A442,$B$2:B442,B442,$E$2:E442,E442)&gt;1,"Possible duplicate","")))</f>
      </c>
    </row>
    <row r="443" spans="3:14" x14ac:dyDescent="0.3">
      <c r="A443"/>
      <c r="C443" s="16"/>
      <c r="G443" s="5">
        <f>IF(A443="","","Checking")</f>
      </c>
      <c r="H443">
        <f>IF(A443="","",IFERROR(XLOOKUP(D443,Setup!$E$15:$E$79,Setup!$F$15:$F$79),"Miscellaneous"))</f>
      </c>
      <c r="I443">
        <f>IF(A443="","",IFERROR(XLOOKUP(D443,Setup!$E$15:$E$79,Setup!$G$15:$G$79),"Uncategorized"))</f>
      </c>
      <c r="J443">
        <f>IF(A443="","",IF(OR(H443="Transfers",H443="Income",D443="Transfer",D443="Category Pending",F443="Pending"),"No","Yes"))</f>
      </c>
      <c r="K443" s="4">
        <f>IF(A443="","",TEXT(IF(DAY(A443)&gt;=Setup!$B$9,DATE(YEAR(A443),MONTH(A443)+1,1),DATE(YEAR(A443),MONTH(A443),1)),"mmmm yyyy"))</f>
      </c>
      <c r="L443" s="47">
        <f>IF(A443="",0,IF(AND(J443="Yes",E443&lt;0),-E443,0))</f>
      </c>
      <c r="M443" s="47">
        <f>IF(A443="",0,IF(AND(J443="Yes",E443&gt;0),E443,0))</f>
      </c>
      <c r="N443">
        <f>IF(A443="","",IF(D443="Category Pending","Needs categorization",IF(COUNTIFS($A$2:A443,A443,$B$2:B443,B443,$E$2:E443,E443)&gt;1,"Possible duplicate","")))</f>
      </c>
    </row>
    <row r="444" spans="3:14" x14ac:dyDescent="0.3">
      <c r="A444"/>
      <c r="C444" s="16"/>
      <c r="G444" s="5">
        <f>IF(A444="","","Checking")</f>
      </c>
      <c r="H444">
        <f>IF(A444="","",IFERROR(XLOOKUP(D444,Setup!$E$15:$E$79,Setup!$F$15:$F$79),"Miscellaneous"))</f>
      </c>
      <c r="I444">
        <f>IF(A444="","",IFERROR(XLOOKUP(D444,Setup!$E$15:$E$79,Setup!$G$15:$G$79),"Uncategorized"))</f>
      </c>
      <c r="J444">
        <f>IF(A444="","",IF(OR(H444="Transfers",H444="Income",D444="Transfer",D444="Category Pending",F444="Pending"),"No","Yes"))</f>
      </c>
      <c r="K444" s="4">
        <f>IF(A444="","",TEXT(IF(DAY(A444)&gt;=Setup!$B$9,DATE(YEAR(A444),MONTH(A444)+1,1),DATE(YEAR(A444),MONTH(A444),1)),"mmmm yyyy"))</f>
      </c>
      <c r="L444" s="47">
        <f>IF(A444="",0,IF(AND(J444="Yes",E444&lt;0),-E444,0))</f>
      </c>
      <c r="M444" s="47">
        <f>IF(A444="",0,IF(AND(J444="Yes",E444&gt;0),E444,0))</f>
      </c>
      <c r="N444">
        <f>IF(A444="","",IF(D444="Category Pending","Needs categorization",IF(COUNTIFS($A$2:A444,A444,$B$2:B444,B444,$E$2:E444,E444)&gt;1,"Possible duplicate","")))</f>
      </c>
    </row>
    <row r="445" spans="3:14" x14ac:dyDescent="0.3">
      <c r="A445"/>
      <c r="C445" s="16"/>
      <c r="G445" s="5">
        <f>IF(A445="","","Checking")</f>
      </c>
      <c r="H445">
        <f>IF(A445="","",IFERROR(XLOOKUP(D445,Setup!$E$15:$E$79,Setup!$F$15:$F$79),"Miscellaneous"))</f>
      </c>
      <c r="I445">
        <f>IF(A445="","",IFERROR(XLOOKUP(D445,Setup!$E$15:$E$79,Setup!$G$15:$G$79),"Uncategorized"))</f>
      </c>
      <c r="J445">
        <f>IF(A445="","",IF(OR(H445="Transfers",H445="Income",D445="Transfer",D445="Category Pending",F445="Pending"),"No","Yes"))</f>
      </c>
      <c r="K445" s="4">
        <f>IF(A445="","",TEXT(IF(DAY(A445)&gt;=Setup!$B$9,DATE(YEAR(A445),MONTH(A445)+1,1),DATE(YEAR(A445),MONTH(A445),1)),"mmmm yyyy"))</f>
      </c>
      <c r="L445" s="47">
        <f>IF(A445="",0,IF(AND(J445="Yes",E445&lt;0),-E445,0))</f>
      </c>
      <c r="M445" s="47">
        <f>IF(A445="",0,IF(AND(J445="Yes",E445&gt;0),E445,0))</f>
      </c>
      <c r="N445">
        <f>IF(A445="","",IF(D445="Category Pending","Needs categorization",IF(COUNTIFS($A$2:A445,A445,$B$2:B445,B445,$E$2:E445,E445)&gt;1,"Possible duplicate","")))</f>
      </c>
    </row>
    <row r="446" spans="3:14" x14ac:dyDescent="0.3">
      <c r="A446"/>
      <c r="C446" s="16"/>
      <c r="G446" s="5">
        <f>IF(A446="","","Checking")</f>
      </c>
      <c r="H446">
        <f>IF(A446="","",IFERROR(XLOOKUP(D446,Setup!$E$15:$E$79,Setup!$F$15:$F$79),"Miscellaneous"))</f>
      </c>
      <c r="I446">
        <f>IF(A446="","",IFERROR(XLOOKUP(D446,Setup!$E$15:$E$79,Setup!$G$15:$G$79),"Uncategorized"))</f>
      </c>
      <c r="J446">
        <f>IF(A446="","",IF(OR(H446="Transfers",H446="Income",D446="Transfer",D446="Category Pending",F446="Pending"),"No","Yes"))</f>
      </c>
      <c r="K446" s="4">
        <f>IF(A446="","",TEXT(IF(DAY(A446)&gt;=Setup!$B$9,DATE(YEAR(A446),MONTH(A446)+1,1),DATE(YEAR(A446),MONTH(A446),1)),"mmmm yyyy"))</f>
      </c>
      <c r="L446" s="47">
        <f>IF(A446="",0,IF(AND(J446="Yes",E446&lt;0),-E446,0))</f>
      </c>
      <c r="M446" s="47">
        <f>IF(A446="",0,IF(AND(J446="Yes",E446&gt;0),E446,0))</f>
      </c>
      <c r="N446">
        <f>IF(A446="","",IF(D446="Category Pending","Needs categorization",IF(COUNTIFS($A$2:A446,A446,$B$2:B446,B446,$E$2:E446,E446)&gt;1,"Possible duplicate","")))</f>
      </c>
    </row>
    <row r="447" spans="3:14" x14ac:dyDescent="0.3">
      <c r="A447"/>
      <c r="C447" s="16"/>
      <c r="G447" s="5">
        <f>IF(A447="","","Checking")</f>
      </c>
      <c r="H447">
        <f>IF(A447="","",IFERROR(XLOOKUP(D447,Setup!$E$15:$E$79,Setup!$F$15:$F$79),"Miscellaneous"))</f>
      </c>
      <c r="I447">
        <f>IF(A447="","",IFERROR(XLOOKUP(D447,Setup!$E$15:$E$79,Setup!$G$15:$G$79),"Uncategorized"))</f>
      </c>
      <c r="J447">
        <f>IF(A447="","",IF(OR(H447="Transfers",H447="Income",D447="Transfer",D447="Category Pending",F447="Pending"),"No","Yes"))</f>
      </c>
      <c r="K447" s="4">
        <f>IF(A447="","",TEXT(IF(DAY(A447)&gt;=Setup!$B$9,DATE(YEAR(A447),MONTH(A447)+1,1),DATE(YEAR(A447),MONTH(A447),1)),"mmmm yyyy"))</f>
      </c>
      <c r="L447" s="47">
        <f>IF(A447="",0,IF(AND(J447="Yes",E447&lt;0),-E447,0))</f>
      </c>
      <c r="M447" s="47">
        <f>IF(A447="",0,IF(AND(J447="Yes",E447&gt;0),E447,0))</f>
      </c>
      <c r="N447">
        <f>IF(A447="","",IF(D447="Category Pending","Needs categorization",IF(COUNTIFS($A$2:A447,A447,$B$2:B447,B447,$E$2:E447,E447)&gt;1,"Possible duplicate","")))</f>
      </c>
    </row>
    <row r="448" spans="3:14" x14ac:dyDescent="0.3">
      <c r="A448"/>
      <c r="C448" s="16"/>
      <c r="G448" s="5">
        <f>IF(A448="","","Checking")</f>
      </c>
      <c r="H448">
        <f>IF(A448="","",IFERROR(XLOOKUP(D448,Setup!$E$15:$E$79,Setup!$F$15:$F$79),"Miscellaneous"))</f>
      </c>
      <c r="I448">
        <f>IF(A448="","",IFERROR(XLOOKUP(D448,Setup!$E$15:$E$79,Setup!$G$15:$G$79),"Uncategorized"))</f>
      </c>
      <c r="J448">
        <f>IF(A448="","",IF(OR(H448="Transfers",H448="Income",D448="Transfer",D448="Category Pending",F448="Pending"),"No","Yes"))</f>
      </c>
      <c r="K448" s="4">
        <f>IF(A448="","",TEXT(IF(DAY(A448)&gt;=Setup!$B$9,DATE(YEAR(A448),MONTH(A448)+1,1),DATE(YEAR(A448),MONTH(A448),1)),"mmmm yyyy"))</f>
      </c>
      <c r="L448" s="47">
        <f>IF(A448="",0,IF(AND(J448="Yes",E448&lt;0),-E448,0))</f>
      </c>
      <c r="M448" s="47">
        <f>IF(A448="",0,IF(AND(J448="Yes",E448&gt;0),E448,0))</f>
      </c>
      <c r="N448">
        <f>IF(A448="","",IF(D448="Category Pending","Needs categorization",IF(COUNTIFS($A$2:A448,A448,$B$2:B448,B448,$E$2:E448,E448)&gt;1,"Possible duplicate","")))</f>
      </c>
    </row>
    <row r="449" spans="3:14" x14ac:dyDescent="0.3">
      <c r="A449"/>
      <c r="C449" s="16"/>
      <c r="G449" s="5">
        <f>IF(A449="","","Checking")</f>
      </c>
      <c r="H449">
        <f>IF(A449="","",IFERROR(XLOOKUP(D449,Setup!$E$15:$E$79,Setup!$F$15:$F$79),"Miscellaneous"))</f>
      </c>
      <c r="I449">
        <f>IF(A449="","",IFERROR(XLOOKUP(D449,Setup!$E$15:$E$79,Setup!$G$15:$G$79),"Uncategorized"))</f>
      </c>
      <c r="J449">
        <f>IF(A449="","",IF(OR(H449="Transfers",H449="Income",D449="Transfer",D449="Category Pending",F449="Pending"),"No","Yes"))</f>
      </c>
      <c r="K449" s="4">
        <f>IF(A449="","",TEXT(IF(DAY(A449)&gt;=Setup!$B$9,DATE(YEAR(A449),MONTH(A449)+1,1),DATE(YEAR(A449),MONTH(A449),1)),"mmmm yyyy"))</f>
      </c>
      <c r="L449" s="47">
        <f>IF(A449="",0,IF(AND(J449="Yes",E449&lt;0),-E449,0))</f>
      </c>
      <c r="M449" s="47">
        <f>IF(A449="",0,IF(AND(J449="Yes",E449&gt;0),E449,0))</f>
      </c>
      <c r="N449">
        <f>IF(A449="","",IF(D449="Category Pending","Needs categorization",IF(COUNTIFS($A$2:A449,A449,$B$2:B449,B449,$E$2:E449,E449)&gt;1,"Possible duplicate","")))</f>
      </c>
    </row>
    <row r="450" spans="3:14" x14ac:dyDescent="0.3">
      <c r="A450"/>
      <c r="C450" s="16"/>
      <c r="G450" s="5">
        <f>IF(A450="","","Checking")</f>
      </c>
      <c r="H450">
        <f>IF(A450="","",IFERROR(XLOOKUP(D450,Setup!$E$15:$E$79,Setup!$F$15:$F$79),"Miscellaneous"))</f>
      </c>
      <c r="I450">
        <f>IF(A450="","",IFERROR(XLOOKUP(D450,Setup!$E$15:$E$79,Setup!$G$15:$G$79),"Uncategorized"))</f>
      </c>
      <c r="J450">
        <f>IF(A450="","",IF(OR(H450="Transfers",H450="Income",D450="Transfer",D450="Category Pending",F450="Pending"),"No","Yes"))</f>
      </c>
      <c r="K450" s="4">
        <f>IF(A450="","",TEXT(IF(DAY(A450)&gt;=Setup!$B$9,DATE(YEAR(A450),MONTH(A450)+1,1),DATE(YEAR(A450),MONTH(A450),1)),"mmmm yyyy"))</f>
      </c>
      <c r="L450" s="47">
        <f>IF(A450="",0,IF(AND(J450="Yes",E450&lt;0),-E450,0))</f>
      </c>
      <c r="M450" s="47">
        <f>IF(A450="",0,IF(AND(J450="Yes",E450&gt;0),E450,0))</f>
      </c>
      <c r="N450">
        <f>IF(A450="","",IF(D450="Category Pending","Needs categorization",IF(COUNTIFS($A$2:A450,A450,$B$2:B450,B450,$E$2:E450,E450)&gt;1,"Possible duplicate","")))</f>
      </c>
    </row>
    <row r="451" spans="3:14" x14ac:dyDescent="0.3">
      <c r="A451"/>
      <c r="C451" s="16"/>
      <c r="G451" s="5">
        <f>IF(A451="","","Checking")</f>
      </c>
      <c r="H451">
        <f>IF(A451="","",IFERROR(XLOOKUP(D451,Setup!$E$15:$E$79,Setup!$F$15:$F$79),"Miscellaneous"))</f>
      </c>
      <c r="I451">
        <f>IF(A451="","",IFERROR(XLOOKUP(D451,Setup!$E$15:$E$79,Setup!$G$15:$G$79),"Uncategorized"))</f>
      </c>
      <c r="J451">
        <f>IF(A451="","",IF(OR(H451="Transfers",H451="Income",D451="Transfer",D451="Category Pending",F451="Pending"),"No","Yes"))</f>
      </c>
      <c r="K451" s="4">
        <f>IF(A451="","",TEXT(IF(DAY(A451)&gt;=Setup!$B$9,DATE(YEAR(A451),MONTH(A451)+1,1),DATE(YEAR(A451),MONTH(A451),1)),"mmmm yyyy"))</f>
      </c>
      <c r="L451" s="47">
        <f>IF(A451="",0,IF(AND(J451="Yes",E451&lt;0),-E451,0))</f>
      </c>
      <c r="M451" s="47">
        <f>IF(A451="",0,IF(AND(J451="Yes",E451&gt;0),E451,0))</f>
      </c>
      <c r="N451">
        <f>IF(A451="","",IF(D451="Category Pending","Needs categorization",IF(COUNTIFS($A$2:A451,A451,$B$2:B451,B451,$E$2:E451,E451)&gt;1,"Possible duplicate","")))</f>
      </c>
    </row>
    <row r="452" spans="3:14" x14ac:dyDescent="0.3">
      <c r="A452"/>
      <c r="C452" s="16"/>
      <c r="G452" s="5">
        <f>IF(A452="","","Checking")</f>
      </c>
      <c r="H452">
        <f>IF(A452="","",IFERROR(XLOOKUP(D452,Setup!$E$15:$E$79,Setup!$F$15:$F$79),"Miscellaneous"))</f>
      </c>
      <c r="I452">
        <f>IF(A452="","",IFERROR(XLOOKUP(D452,Setup!$E$15:$E$79,Setup!$G$15:$G$79),"Uncategorized"))</f>
      </c>
      <c r="J452">
        <f>IF(A452="","",IF(OR(H452="Transfers",H452="Income",D452="Transfer",D452="Category Pending",F452="Pending"),"No","Yes"))</f>
      </c>
      <c r="K452" s="4">
        <f>IF(A452="","",TEXT(IF(DAY(A452)&gt;=Setup!$B$9,DATE(YEAR(A452),MONTH(A452)+1,1),DATE(YEAR(A452),MONTH(A452),1)),"mmmm yyyy"))</f>
      </c>
      <c r="L452" s="47">
        <f>IF(A452="",0,IF(AND(J452="Yes",E452&lt;0),-E452,0))</f>
      </c>
      <c r="M452" s="47">
        <f>IF(A452="",0,IF(AND(J452="Yes",E452&gt;0),E452,0))</f>
      </c>
      <c r="N452">
        <f>IF(A452="","",IF(D452="Category Pending","Needs categorization",IF(COUNTIFS($A$2:A452,A452,$B$2:B452,B452,$E$2:E452,E452)&gt;1,"Possible duplicate","")))</f>
      </c>
    </row>
    <row r="453" spans="3:14" x14ac:dyDescent="0.3">
      <c r="A453"/>
      <c r="C453" s="16"/>
      <c r="G453" s="5">
        <f>IF(A453="","","Checking")</f>
      </c>
      <c r="H453">
        <f>IF(A453="","",IFERROR(XLOOKUP(D453,Setup!$E$15:$E$79,Setup!$F$15:$F$79),"Miscellaneous"))</f>
      </c>
      <c r="I453">
        <f>IF(A453="","",IFERROR(XLOOKUP(D453,Setup!$E$15:$E$79,Setup!$G$15:$G$79),"Uncategorized"))</f>
      </c>
      <c r="J453">
        <f>IF(A453="","",IF(OR(H453="Transfers",H453="Income",D453="Transfer",D453="Category Pending",F453="Pending"),"No","Yes"))</f>
      </c>
      <c r="K453" s="4">
        <f>IF(A453="","",TEXT(IF(DAY(A453)&gt;=Setup!$B$9,DATE(YEAR(A453),MONTH(A453)+1,1),DATE(YEAR(A453),MONTH(A453),1)),"mmmm yyyy"))</f>
      </c>
      <c r="L453" s="47">
        <f>IF(A453="",0,IF(AND(J453="Yes",E453&lt;0),-E453,0))</f>
      </c>
      <c r="M453" s="47">
        <f>IF(A453="",0,IF(AND(J453="Yes",E453&gt;0),E453,0))</f>
      </c>
      <c r="N453">
        <f>IF(A453="","",IF(D453="Category Pending","Needs categorization",IF(COUNTIFS($A$2:A453,A453,$B$2:B453,B453,$E$2:E453,E453)&gt;1,"Possible duplicate","")))</f>
      </c>
    </row>
    <row r="454" spans="3:14" x14ac:dyDescent="0.3">
      <c r="A454"/>
      <c r="C454" s="16"/>
      <c r="G454" s="5">
        <f>IF(A454="","","Checking")</f>
      </c>
      <c r="H454">
        <f>IF(A454="","",IFERROR(XLOOKUP(D454,Setup!$E$15:$E$79,Setup!$F$15:$F$79),"Miscellaneous"))</f>
      </c>
      <c r="I454">
        <f>IF(A454="","",IFERROR(XLOOKUP(D454,Setup!$E$15:$E$79,Setup!$G$15:$G$79),"Uncategorized"))</f>
      </c>
      <c r="J454">
        <f>IF(A454="","",IF(OR(H454="Transfers",H454="Income",D454="Transfer",D454="Category Pending",F454="Pending"),"No","Yes"))</f>
      </c>
      <c r="K454" s="4">
        <f>IF(A454="","",TEXT(IF(DAY(A454)&gt;=Setup!$B$9,DATE(YEAR(A454),MONTH(A454)+1,1),DATE(YEAR(A454),MONTH(A454),1)),"mmmm yyyy"))</f>
      </c>
      <c r="L454" s="47">
        <f>IF(A454="",0,IF(AND(J454="Yes",E454&lt;0),-E454,0))</f>
      </c>
      <c r="M454" s="47">
        <f>IF(A454="",0,IF(AND(J454="Yes",E454&gt;0),E454,0))</f>
      </c>
      <c r="N454">
        <f>IF(A454="","",IF(D454="Category Pending","Needs categorization",IF(COUNTIFS($A$2:A454,A454,$B$2:B454,B454,$E$2:E454,E454)&gt;1,"Possible duplicate","")))</f>
      </c>
    </row>
    <row r="455" spans="3:14" x14ac:dyDescent="0.3">
      <c r="A455"/>
      <c r="C455" s="16"/>
      <c r="G455" s="5">
        <f>IF(A455="","","Checking")</f>
      </c>
      <c r="H455">
        <f>IF(A455="","",IFERROR(XLOOKUP(D455,Setup!$E$15:$E$79,Setup!$F$15:$F$79),"Miscellaneous"))</f>
      </c>
      <c r="I455">
        <f>IF(A455="","",IFERROR(XLOOKUP(D455,Setup!$E$15:$E$79,Setup!$G$15:$G$79),"Uncategorized"))</f>
      </c>
      <c r="J455">
        <f>IF(A455="","",IF(OR(H455="Transfers",H455="Income",D455="Transfer",D455="Category Pending",F455="Pending"),"No","Yes"))</f>
      </c>
      <c r="K455" s="4">
        <f>IF(A455="","",TEXT(IF(DAY(A455)&gt;=Setup!$B$9,DATE(YEAR(A455),MONTH(A455)+1,1),DATE(YEAR(A455),MONTH(A455),1)),"mmmm yyyy"))</f>
      </c>
      <c r="L455" s="47">
        <f>IF(A455="",0,IF(AND(J455="Yes",E455&lt;0),-E455,0))</f>
      </c>
      <c r="M455" s="47">
        <f>IF(A455="",0,IF(AND(J455="Yes",E455&gt;0),E455,0))</f>
      </c>
      <c r="N455">
        <f>IF(A455="","",IF(D455="Category Pending","Needs categorization",IF(COUNTIFS($A$2:A455,A455,$B$2:B455,B455,$E$2:E455,E455)&gt;1,"Possible duplicate","")))</f>
      </c>
    </row>
    <row r="456" spans="3:14" x14ac:dyDescent="0.3">
      <c r="A456"/>
      <c r="C456" s="16"/>
      <c r="G456" s="5">
        <f>IF(A456="","","Checking")</f>
      </c>
      <c r="H456">
        <f>IF(A456="","",IFERROR(XLOOKUP(D456,Setup!$E$15:$E$79,Setup!$F$15:$F$79),"Miscellaneous"))</f>
      </c>
      <c r="I456">
        <f>IF(A456="","",IFERROR(XLOOKUP(D456,Setup!$E$15:$E$79,Setup!$G$15:$G$79),"Uncategorized"))</f>
      </c>
      <c r="J456">
        <f>IF(A456="","",IF(OR(H456="Transfers",H456="Income",D456="Transfer",D456="Category Pending",F456="Pending"),"No","Yes"))</f>
      </c>
      <c r="K456" s="4">
        <f>IF(A456="","",TEXT(IF(DAY(A456)&gt;=Setup!$B$9,DATE(YEAR(A456),MONTH(A456)+1,1),DATE(YEAR(A456),MONTH(A456),1)),"mmmm yyyy"))</f>
      </c>
      <c r="L456" s="47">
        <f>IF(A456="",0,IF(AND(J456="Yes",E456&lt;0),-E456,0))</f>
      </c>
      <c r="M456" s="47">
        <f>IF(A456="",0,IF(AND(J456="Yes",E456&gt;0),E456,0))</f>
      </c>
      <c r="N456">
        <f>IF(A456="","",IF(D456="Category Pending","Needs categorization",IF(COUNTIFS($A$2:A456,A456,$B$2:B456,B456,$E$2:E456,E456)&gt;1,"Possible duplicate","")))</f>
      </c>
    </row>
    <row r="457" spans="3:14" x14ac:dyDescent="0.3">
      <c r="A457"/>
      <c r="C457" s="16"/>
      <c r="G457" s="5">
        <f>IF(A457="","","Checking")</f>
      </c>
      <c r="H457">
        <f>IF(A457="","",IFERROR(XLOOKUP(D457,Setup!$E$15:$E$79,Setup!$F$15:$F$79),"Miscellaneous"))</f>
      </c>
      <c r="I457">
        <f>IF(A457="","",IFERROR(XLOOKUP(D457,Setup!$E$15:$E$79,Setup!$G$15:$G$79),"Uncategorized"))</f>
      </c>
      <c r="J457">
        <f>IF(A457="","",IF(OR(H457="Transfers",H457="Income",D457="Transfer",D457="Category Pending",F457="Pending"),"No","Yes"))</f>
      </c>
      <c r="K457" s="4">
        <f>IF(A457="","",TEXT(IF(DAY(A457)&gt;=Setup!$B$9,DATE(YEAR(A457),MONTH(A457)+1,1),DATE(YEAR(A457),MONTH(A457),1)),"mmmm yyyy"))</f>
      </c>
      <c r="L457" s="47">
        <f>IF(A457="",0,IF(AND(J457="Yes",E457&lt;0),-E457,0))</f>
      </c>
      <c r="M457" s="47">
        <f>IF(A457="",0,IF(AND(J457="Yes",E457&gt;0),E457,0))</f>
      </c>
      <c r="N457">
        <f>IF(A457="","",IF(D457="Category Pending","Needs categorization",IF(COUNTIFS($A$2:A457,A457,$B$2:B457,B457,$E$2:E457,E457)&gt;1,"Possible duplicate","")))</f>
      </c>
    </row>
    <row r="458" spans="3:14" x14ac:dyDescent="0.3">
      <c r="A458"/>
      <c r="C458" s="16"/>
      <c r="G458" s="5">
        <f>IF(A458="","","Checking")</f>
      </c>
      <c r="H458">
        <f>IF(A458="","",IFERROR(XLOOKUP(D458,Setup!$E$15:$E$79,Setup!$F$15:$F$79),"Miscellaneous"))</f>
      </c>
      <c r="I458">
        <f>IF(A458="","",IFERROR(XLOOKUP(D458,Setup!$E$15:$E$79,Setup!$G$15:$G$79),"Uncategorized"))</f>
      </c>
      <c r="J458">
        <f>IF(A458="","",IF(OR(H458="Transfers",H458="Income",D458="Transfer",D458="Category Pending",F458="Pending"),"No","Yes"))</f>
      </c>
      <c r="K458" s="4">
        <f>IF(A458="","",TEXT(IF(DAY(A458)&gt;=Setup!$B$9,DATE(YEAR(A458),MONTH(A458)+1,1),DATE(YEAR(A458),MONTH(A458),1)),"mmmm yyyy"))</f>
      </c>
      <c r="L458" s="47">
        <f>IF(A458="",0,IF(AND(J458="Yes",E458&lt;0),-E458,0))</f>
      </c>
      <c r="M458" s="47">
        <f>IF(A458="",0,IF(AND(J458="Yes",E458&gt;0),E458,0))</f>
      </c>
      <c r="N458">
        <f>IF(A458="","",IF(D458="Category Pending","Needs categorization",IF(COUNTIFS($A$2:A458,A458,$B$2:B458,B458,$E$2:E458,E458)&gt;1,"Possible duplicate","")))</f>
      </c>
    </row>
    <row r="459" spans="3:14" x14ac:dyDescent="0.3">
      <c r="A459"/>
      <c r="C459" s="16"/>
      <c r="G459" s="5">
        <f>IF(A459="","","Checking")</f>
      </c>
      <c r="H459">
        <f>IF(A459="","",IFERROR(XLOOKUP(D459,Setup!$E$15:$E$79,Setup!$F$15:$F$79),"Miscellaneous"))</f>
      </c>
      <c r="I459">
        <f>IF(A459="","",IFERROR(XLOOKUP(D459,Setup!$E$15:$E$79,Setup!$G$15:$G$79),"Uncategorized"))</f>
      </c>
      <c r="J459">
        <f>IF(A459="","",IF(OR(H459="Transfers",H459="Income",D459="Transfer",D459="Category Pending",F459="Pending"),"No","Yes"))</f>
      </c>
      <c r="K459" s="4">
        <f>IF(A459="","",TEXT(IF(DAY(A459)&gt;=Setup!$B$9,DATE(YEAR(A459),MONTH(A459)+1,1),DATE(YEAR(A459),MONTH(A459),1)),"mmmm yyyy"))</f>
      </c>
      <c r="L459" s="47">
        <f>IF(A459="",0,IF(AND(J459="Yes",E459&lt;0),-E459,0))</f>
      </c>
      <c r="M459" s="47">
        <f>IF(A459="",0,IF(AND(J459="Yes",E459&gt;0),E459,0))</f>
      </c>
      <c r="N459">
        <f>IF(A459="","",IF(D459="Category Pending","Needs categorization",IF(COUNTIFS($A$2:A459,A459,$B$2:B459,B459,$E$2:E459,E459)&gt;1,"Possible duplicate","")))</f>
      </c>
    </row>
    <row r="460" spans="3:14" x14ac:dyDescent="0.3">
      <c r="A460"/>
      <c r="C460" s="16"/>
      <c r="G460" s="5">
        <f>IF(A460="","","Checking")</f>
      </c>
      <c r="H460">
        <f>IF(A460="","",IFERROR(XLOOKUP(D460,Setup!$E$15:$E$79,Setup!$F$15:$F$79),"Miscellaneous"))</f>
      </c>
      <c r="I460">
        <f>IF(A460="","",IFERROR(XLOOKUP(D460,Setup!$E$15:$E$79,Setup!$G$15:$G$79),"Uncategorized"))</f>
      </c>
      <c r="J460">
        <f>IF(A460="","",IF(OR(H460="Transfers",H460="Income",D460="Transfer",D460="Category Pending",F460="Pending"),"No","Yes"))</f>
      </c>
      <c r="K460" s="4">
        <f>IF(A460="","",TEXT(IF(DAY(A460)&gt;=Setup!$B$9,DATE(YEAR(A460),MONTH(A460)+1,1),DATE(YEAR(A460),MONTH(A460),1)),"mmmm yyyy"))</f>
      </c>
      <c r="L460" s="47">
        <f>IF(A460="",0,IF(AND(J460="Yes",E460&lt;0),-E460,0))</f>
      </c>
      <c r="M460" s="47">
        <f>IF(A460="",0,IF(AND(J460="Yes",E460&gt;0),E460,0))</f>
      </c>
      <c r="N460">
        <f>IF(A460="","",IF(D460="Category Pending","Needs categorization",IF(COUNTIFS($A$2:A460,A460,$B$2:B460,B460,$E$2:E460,E460)&gt;1,"Possible duplicate","")))</f>
      </c>
    </row>
    <row r="461" spans="3:14" x14ac:dyDescent="0.3">
      <c r="A461"/>
      <c r="C461" s="16"/>
      <c r="G461" s="5">
        <f>IF(A461="","","Checking")</f>
      </c>
      <c r="H461">
        <f>IF(A461="","",IFERROR(XLOOKUP(D461,Setup!$E$15:$E$79,Setup!$F$15:$F$79),"Miscellaneous"))</f>
      </c>
      <c r="I461">
        <f>IF(A461="","",IFERROR(XLOOKUP(D461,Setup!$E$15:$E$79,Setup!$G$15:$G$79),"Uncategorized"))</f>
      </c>
      <c r="J461">
        <f>IF(A461="","",IF(OR(H461="Transfers",H461="Income",D461="Transfer",D461="Category Pending",F461="Pending"),"No","Yes"))</f>
      </c>
      <c r="K461" s="4">
        <f>IF(A461="","",TEXT(IF(DAY(A461)&gt;=Setup!$B$9,DATE(YEAR(A461),MONTH(A461)+1,1),DATE(YEAR(A461),MONTH(A461),1)),"mmmm yyyy"))</f>
      </c>
      <c r="L461" s="47">
        <f>IF(A461="",0,IF(AND(J461="Yes",E461&lt;0),-E461,0))</f>
      </c>
      <c r="M461" s="47">
        <f>IF(A461="",0,IF(AND(J461="Yes",E461&gt;0),E461,0))</f>
      </c>
      <c r="N461">
        <f>IF(A461="","",IF(D461="Category Pending","Needs categorization",IF(COUNTIFS($A$2:A461,A461,$B$2:B461,B461,$E$2:E461,E461)&gt;1,"Possible duplicate","")))</f>
      </c>
    </row>
    <row r="462" spans="3:14" x14ac:dyDescent="0.3">
      <c r="A462"/>
      <c r="C462" s="16"/>
      <c r="G462" s="5">
        <f>IF(A462="","","Checking")</f>
      </c>
      <c r="H462">
        <f>IF(A462="","",IFERROR(XLOOKUP(D462,Setup!$E$15:$E$79,Setup!$F$15:$F$79),"Miscellaneous"))</f>
      </c>
      <c r="I462">
        <f>IF(A462="","",IFERROR(XLOOKUP(D462,Setup!$E$15:$E$79,Setup!$G$15:$G$79),"Uncategorized"))</f>
      </c>
      <c r="J462">
        <f>IF(A462="","",IF(OR(H462="Transfers",H462="Income",D462="Transfer",D462="Category Pending",F462="Pending"),"No","Yes"))</f>
      </c>
      <c r="K462" s="4">
        <f>IF(A462="","",TEXT(IF(DAY(A462)&gt;=Setup!$B$9,DATE(YEAR(A462),MONTH(A462)+1,1),DATE(YEAR(A462),MONTH(A462),1)),"mmmm yyyy"))</f>
      </c>
      <c r="L462" s="47">
        <f>IF(A462="",0,IF(AND(J462="Yes",E462&lt;0),-E462,0))</f>
      </c>
      <c r="M462" s="47">
        <f>IF(A462="",0,IF(AND(J462="Yes",E462&gt;0),E462,0))</f>
      </c>
      <c r="N462">
        <f>IF(A462="","",IF(D462="Category Pending","Needs categorization",IF(COUNTIFS($A$2:A462,A462,$B$2:B462,B462,$E$2:E462,E462)&gt;1,"Possible duplicate","")))</f>
      </c>
    </row>
    <row r="463" spans="3:14" x14ac:dyDescent="0.3">
      <c r="A463"/>
      <c r="C463" s="16"/>
      <c r="G463" s="5">
        <f>IF(A463="","","Checking")</f>
      </c>
      <c r="H463">
        <f>IF(A463="","",IFERROR(XLOOKUP(D463,Setup!$E$15:$E$79,Setup!$F$15:$F$79),"Miscellaneous"))</f>
      </c>
      <c r="I463">
        <f>IF(A463="","",IFERROR(XLOOKUP(D463,Setup!$E$15:$E$79,Setup!$G$15:$G$79),"Uncategorized"))</f>
      </c>
      <c r="J463">
        <f>IF(A463="","",IF(OR(H463="Transfers",H463="Income",D463="Transfer",D463="Category Pending",F463="Pending"),"No","Yes"))</f>
      </c>
      <c r="K463" s="4">
        <f>IF(A463="","",TEXT(IF(DAY(A463)&gt;=Setup!$B$9,DATE(YEAR(A463),MONTH(A463)+1,1),DATE(YEAR(A463),MONTH(A463),1)),"mmmm yyyy"))</f>
      </c>
      <c r="L463" s="47">
        <f>IF(A463="",0,IF(AND(J463="Yes",E463&lt;0),-E463,0))</f>
      </c>
      <c r="M463" s="47">
        <f>IF(A463="",0,IF(AND(J463="Yes",E463&gt;0),E463,0))</f>
      </c>
      <c r="N463">
        <f>IF(A463="","",IF(D463="Category Pending","Needs categorization",IF(COUNTIFS($A$2:A463,A463,$B$2:B463,B463,$E$2:E463,E463)&gt;1,"Possible duplicate","")))</f>
      </c>
    </row>
    <row r="464" spans="3:14" x14ac:dyDescent="0.3">
      <c r="A464"/>
      <c r="C464" s="16"/>
      <c r="G464" s="5">
        <f>IF(A464="","","Checking")</f>
      </c>
      <c r="H464">
        <f>IF(A464="","",IFERROR(XLOOKUP(D464,Setup!$E$15:$E$79,Setup!$F$15:$F$79),"Miscellaneous"))</f>
      </c>
      <c r="I464">
        <f>IF(A464="","",IFERROR(XLOOKUP(D464,Setup!$E$15:$E$79,Setup!$G$15:$G$79),"Uncategorized"))</f>
      </c>
      <c r="J464">
        <f>IF(A464="","",IF(OR(H464="Transfers",H464="Income",D464="Transfer",D464="Category Pending",F464="Pending"),"No","Yes"))</f>
      </c>
      <c r="K464" s="4">
        <f>IF(A464="","",TEXT(IF(DAY(A464)&gt;=Setup!$B$9,DATE(YEAR(A464),MONTH(A464)+1,1),DATE(YEAR(A464),MONTH(A464),1)),"mmmm yyyy"))</f>
      </c>
      <c r="L464" s="47">
        <f>IF(A464="",0,IF(AND(J464="Yes",E464&lt;0),-E464,0))</f>
      </c>
      <c r="M464" s="47">
        <f>IF(A464="",0,IF(AND(J464="Yes",E464&gt;0),E464,0))</f>
      </c>
      <c r="N464">
        <f>IF(A464="","",IF(D464="Category Pending","Needs categorization",IF(COUNTIFS($A$2:A464,A464,$B$2:B464,B464,$E$2:E464,E464)&gt;1,"Possible duplicate","")))</f>
      </c>
    </row>
    <row r="465" spans="3:14" x14ac:dyDescent="0.3">
      <c r="A465"/>
      <c r="C465" s="16"/>
      <c r="G465" s="5">
        <f>IF(A465="","","Checking")</f>
      </c>
      <c r="H465">
        <f>IF(A465="","",IFERROR(XLOOKUP(D465,Setup!$E$15:$E$79,Setup!$F$15:$F$79),"Miscellaneous"))</f>
      </c>
      <c r="I465">
        <f>IF(A465="","",IFERROR(XLOOKUP(D465,Setup!$E$15:$E$79,Setup!$G$15:$G$79),"Uncategorized"))</f>
      </c>
      <c r="J465">
        <f>IF(A465="","",IF(OR(H465="Transfers",H465="Income",D465="Transfer",D465="Category Pending",F465="Pending"),"No","Yes"))</f>
      </c>
      <c r="K465" s="4">
        <f>IF(A465="","",TEXT(IF(DAY(A465)&gt;=Setup!$B$9,DATE(YEAR(A465),MONTH(A465)+1,1),DATE(YEAR(A465),MONTH(A465),1)),"mmmm yyyy"))</f>
      </c>
      <c r="L465" s="47">
        <f>IF(A465="",0,IF(AND(J465="Yes",E465&lt;0),-E465,0))</f>
      </c>
      <c r="M465" s="47">
        <f>IF(A465="",0,IF(AND(J465="Yes",E465&gt;0),E465,0))</f>
      </c>
      <c r="N465">
        <f>IF(A465="","",IF(D465="Category Pending","Needs categorization",IF(COUNTIFS($A$2:A465,A465,$B$2:B465,B465,$E$2:E465,E465)&gt;1,"Possible duplicate","")))</f>
      </c>
    </row>
    <row r="466" spans="3:14" x14ac:dyDescent="0.3">
      <c r="A466"/>
      <c r="C466" s="16"/>
      <c r="G466" s="5">
        <f>IF(A466="","","Checking")</f>
      </c>
      <c r="H466">
        <f>IF(A466="","",IFERROR(XLOOKUP(D466,Setup!$E$15:$E$79,Setup!$F$15:$F$79),"Miscellaneous"))</f>
      </c>
      <c r="I466">
        <f>IF(A466="","",IFERROR(XLOOKUP(D466,Setup!$E$15:$E$79,Setup!$G$15:$G$79),"Uncategorized"))</f>
      </c>
      <c r="J466">
        <f>IF(A466="","",IF(OR(H466="Transfers",H466="Income",D466="Transfer",D466="Category Pending",F466="Pending"),"No","Yes"))</f>
      </c>
      <c r="K466" s="4">
        <f>IF(A466="","",TEXT(IF(DAY(A466)&gt;=Setup!$B$9,DATE(YEAR(A466),MONTH(A466)+1,1),DATE(YEAR(A466),MONTH(A466),1)),"mmmm yyyy"))</f>
      </c>
      <c r="L466" s="47">
        <f>IF(A466="",0,IF(AND(J466="Yes",E466&lt;0),-E466,0))</f>
      </c>
      <c r="M466" s="47">
        <f>IF(A466="",0,IF(AND(J466="Yes",E466&gt;0),E466,0))</f>
      </c>
      <c r="N466">
        <f>IF(A466="","",IF(D466="Category Pending","Needs categorization",IF(COUNTIFS($A$2:A466,A466,$B$2:B466,B466,$E$2:E466,E466)&gt;1,"Possible duplicate","")))</f>
      </c>
    </row>
    <row r="467" spans="3:14" x14ac:dyDescent="0.3">
      <c r="A467"/>
      <c r="C467" s="16"/>
      <c r="G467" s="5">
        <f>IF(A467="","","Checking")</f>
      </c>
      <c r="H467">
        <f>IF(A467="","",IFERROR(XLOOKUP(D467,Setup!$E$15:$E$79,Setup!$F$15:$F$79),"Miscellaneous"))</f>
      </c>
      <c r="I467">
        <f>IF(A467="","",IFERROR(XLOOKUP(D467,Setup!$E$15:$E$79,Setup!$G$15:$G$79),"Uncategorized"))</f>
      </c>
      <c r="J467">
        <f>IF(A467="","",IF(OR(H467="Transfers",H467="Income",D467="Transfer",D467="Category Pending",F467="Pending"),"No","Yes"))</f>
      </c>
      <c r="K467" s="4">
        <f>IF(A467="","",TEXT(IF(DAY(A467)&gt;=Setup!$B$9,DATE(YEAR(A467),MONTH(A467)+1,1),DATE(YEAR(A467),MONTH(A467),1)),"mmmm yyyy"))</f>
      </c>
      <c r="L467" s="47">
        <f>IF(A467="",0,IF(AND(J467="Yes",E467&lt;0),-E467,0))</f>
      </c>
      <c r="M467" s="47">
        <f>IF(A467="",0,IF(AND(J467="Yes",E467&gt;0),E467,0))</f>
      </c>
      <c r="N467">
        <f>IF(A467="","",IF(D467="Category Pending","Needs categorization",IF(COUNTIFS($A$2:A467,A467,$B$2:B467,B467,$E$2:E467,E467)&gt;1,"Possible duplicate","")))</f>
      </c>
    </row>
    <row r="468" spans="3:14" x14ac:dyDescent="0.3">
      <c r="A468"/>
      <c r="C468" s="16"/>
      <c r="G468" s="5">
        <f>IF(A468="","","Checking")</f>
      </c>
      <c r="H468">
        <f>IF(A468="","",IFERROR(XLOOKUP(D468,Setup!$E$15:$E$79,Setup!$F$15:$F$79),"Miscellaneous"))</f>
      </c>
      <c r="I468">
        <f>IF(A468="","",IFERROR(XLOOKUP(D468,Setup!$E$15:$E$79,Setup!$G$15:$G$79),"Uncategorized"))</f>
      </c>
      <c r="J468">
        <f>IF(A468="","",IF(OR(H468="Transfers",H468="Income",D468="Transfer",D468="Category Pending",F468="Pending"),"No","Yes"))</f>
      </c>
      <c r="K468" s="4">
        <f>IF(A468="","",TEXT(IF(DAY(A468)&gt;=Setup!$B$9,DATE(YEAR(A468),MONTH(A468)+1,1),DATE(YEAR(A468),MONTH(A468),1)),"mmmm yyyy"))</f>
      </c>
      <c r="L468" s="47">
        <f>IF(A468="",0,IF(AND(J468="Yes",E468&lt;0),-E468,0))</f>
      </c>
      <c r="M468" s="47">
        <f>IF(A468="",0,IF(AND(J468="Yes",E468&gt;0),E468,0))</f>
      </c>
      <c r="N468">
        <f>IF(A468="","",IF(D468="Category Pending","Needs categorization",IF(COUNTIFS($A$2:A468,A468,$B$2:B468,B468,$E$2:E468,E468)&gt;1,"Possible duplicate","")))</f>
      </c>
    </row>
    <row r="469" spans="3:14" x14ac:dyDescent="0.3">
      <c r="A469"/>
      <c r="C469" s="16"/>
      <c r="G469" s="5">
        <f>IF(A469="","","Checking")</f>
      </c>
      <c r="H469">
        <f>IF(A469="","",IFERROR(XLOOKUP(D469,Setup!$E$15:$E$79,Setup!$F$15:$F$79),"Miscellaneous"))</f>
      </c>
      <c r="I469">
        <f>IF(A469="","",IFERROR(XLOOKUP(D469,Setup!$E$15:$E$79,Setup!$G$15:$G$79),"Uncategorized"))</f>
      </c>
      <c r="J469">
        <f>IF(A469="","",IF(OR(H469="Transfers",H469="Income",D469="Transfer",D469="Category Pending",F469="Pending"),"No","Yes"))</f>
      </c>
      <c r="K469" s="4">
        <f>IF(A469="","",TEXT(IF(DAY(A469)&gt;=Setup!$B$9,DATE(YEAR(A469),MONTH(A469)+1,1),DATE(YEAR(A469),MONTH(A469),1)),"mmmm yyyy"))</f>
      </c>
      <c r="L469" s="47">
        <f>IF(A469="",0,IF(AND(J469="Yes",E469&lt;0),-E469,0))</f>
      </c>
      <c r="M469" s="47">
        <f>IF(A469="",0,IF(AND(J469="Yes",E469&gt;0),E469,0))</f>
      </c>
      <c r="N469">
        <f>IF(A469="","",IF(D469="Category Pending","Needs categorization",IF(COUNTIFS($A$2:A469,A469,$B$2:B469,B469,$E$2:E469,E469)&gt;1,"Possible duplicate","")))</f>
      </c>
    </row>
    <row r="470" spans="3:14" x14ac:dyDescent="0.3">
      <c r="A470"/>
      <c r="C470" s="16"/>
      <c r="G470" s="5">
        <f>IF(A470="","","Checking")</f>
      </c>
      <c r="H470">
        <f>IF(A470="","",IFERROR(XLOOKUP(D470,Setup!$E$15:$E$79,Setup!$F$15:$F$79),"Miscellaneous"))</f>
      </c>
      <c r="I470">
        <f>IF(A470="","",IFERROR(XLOOKUP(D470,Setup!$E$15:$E$79,Setup!$G$15:$G$79),"Uncategorized"))</f>
      </c>
      <c r="J470">
        <f>IF(A470="","",IF(OR(H470="Transfers",H470="Income",D470="Transfer",D470="Category Pending",F470="Pending"),"No","Yes"))</f>
      </c>
      <c r="K470" s="4">
        <f>IF(A470="","",TEXT(IF(DAY(A470)&gt;=Setup!$B$9,DATE(YEAR(A470),MONTH(A470)+1,1),DATE(YEAR(A470),MONTH(A470),1)),"mmmm yyyy"))</f>
      </c>
      <c r="L470" s="47">
        <f>IF(A470="",0,IF(AND(J470="Yes",E470&lt;0),-E470,0))</f>
      </c>
      <c r="M470" s="47">
        <f>IF(A470="",0,IF(AND(J470="Yes",E470&gt;0),E470,0))</f>
      </c>
      <c r="N470">
        <f>IF(A470="","",IF(D470="Category Pending","Needs categorization",IF(COUNTIFS($A$2:A470,A470,$B$2:B470,B470,$E$2:E470,E470)&gt;1,"Possible duplicate","")))</f>
      </c>
    </row>
    <row r="471" spans="3:14" x14ac:dyDescent="0.3">
      <c r="A471"/>
      <c r="C471" s="16"/>
      <c r="G471" s="5">
        <f>IF(A471="","","Checking")</f>
      </c>
      <c r="H471">
        <f>IF(A471="","",IFERROR(XLOOKUP(D471,Setup!$E$15:$E$79,Setup!$F$15:$F$79),"Miscellaneous"))</f>
      </c>
      <c r="I471">
        <f>IF(A471="","",IFERROR(XLOOKUP(D471,Setup!$E$15:$E$79,Setup!$G$15:$G$79),"Uncategorized"))</f>
      </c>
      <c r="J471">
        <f>IF(A471="","",IF(OR(H471="Transfers",H471="Income",D471="Transfer",D471="Category Pending",F471="Pending"),"No","Yes"))</f>
      </c>
      <c r="K471" s="4">
        <f>IF(A471="","",TEXT(IF(DAY(A471)&gt;=Setup!$B$9,DATE(YEAR(A471),MONTH(A471)+1,1),DATE(YEAR(A471),MONTH(A471),1)),"mmmm yyyy"))</f>
      </c>
      <c r="L471" s="47">
        <f>IF(A471="",0,IF(AND(J471="Yes",E471&lt;0),-E471,0))</f>
      </c>
      <c r="M471" s="47">
        <f>IF(A471="",0,IF(AND(J471="Yes",E471&gt;0),E471,0))</f>
      </c>
      <c r="N471">
        <f>IF(A471="","",IF(D471="Category Pending","Needs categorization",IF(COUNTIFS($A$2:A471,A471,$B$2:B471,B471,$E$2:E471,E471)&gt;1,"Possible duplicate","")))</f>
      </c>
    </row>
    <row r="472" spans="3:14" x14ac:dyDescent="0.3">
      <c r="A472"/>
      <c r="C472" s="16"/>
      <c r="G472" s="5">
        <f>IF(A472="","","Checking")</f>
      </c>
      <c r="H472">
        <f>IF(A472="","",IFERROR(XLOOKUP(D472,Setup!$E$15:$E$79,Setup!$F$15:$F$79),"Miscellaneous"))</f>
      </c>
      <c r="I472">
        <f>IF(A472="","",IFERROR(XLOOKUP(D472,Setup!$E$15:$E$79,Setup!$G$15:$G$79),"Uncategorized"))</f>
      </c>
      <c r="J472">
        <f>IF(A472="","",IF(OR(H472="Transfers",H472="Income",D472="Transfer",D472="Category Pending",F472="Pending"),"No","Yes"))</f>
      </c>
      <c r="K472" s="4">
        <f>IF(A472="","",TEXT(IF(DAY(A472)&gt;=Setup!$B$9,DATE(YEAR(A472),MONTH(A472)+1,1),DATE(YEAR(A472),MONTH(A472),1)),"mmmm yyyy"))</f>
      </c>
      <c r="L472" s="47">
        <f>IF(A472="",0,IF(AND(J472="Yes",E472&lt;0),-E472,0))</f>
      </c>
      <c r="M472" s="47">
        <f>IF(A472="",0,IF(AND(J472="Yes",E472&gt;0),E472,0))</f>
      </c>
      <c r="N472">
        <f>IF(A472="","",IF(D472="Category Pending","Needs categorization",IF(COUNTIFS($A$2:A472,A472,$B$2:B472,B472,$E$2:E472,E472)&gt;1,"Possible duplicate","")))</f>
      </c>
    </row>
    <row r="473" spans="3:14" x14ac:dyDescent="0.3">
      <c r="A473"/>
      <c r="C473" s="16"/>
      <c r="G473" s="5">
        <f>IF(A473="","","Checking")</f>
      </c>
      <c r="H473">
        <f>IF(A473="","",IFERROR(XLOOKUP(D473,Setup!$E$15:$E$79,Setup!$F$15:$F$79),"Miscellaneous"))</f>
      </c>
      <c r="I473">
        <f>IF(A473="","",IFERROR(XLOOKUP(D473,Setup!$E$15:$E$79,Setup!$G$15:$G$79),"Uncategorized"))</f>
      </c>
      <c r="J473">
        <f>IF(A473="","",IF(OR(H473="Transfers",H473="Income",D473="Transfer",D473="Category Pending",F473="Pending"),"No","Yes"))</f>
      </c>
      <c r="K473" s="4">
        <f>IF(A473="","",TEXT(IF(DAY(A473)&gt;=Setup!$B$9,DATE(YEAR(A473),MONTH(A473)+1,1),DATE(YEAR(A473),MONTH(A473),1)),"mmmm yyyy"))</f>
      </c>
      <c r="L473" s="47">
        <f>IF(A473="",0,IF(AND(J473="Yes",E473&lt;0),-E473,0))</f>
      </c>
      <c r="M473" s="47">
        <f>IF(A473="",0,IF(AND(J473="Yes",E473&gt;0),E473,0))</f>
      </c>
      <c r="N473">
        <f>IF(A473="","",IF(D473="Category Pending","Needs categorization",IF(COUNTIFS($A$2:A473,A473,$B$2:B473,B473,$E$2:E473,E473)&gt;1,"Possible duplicate","")))</f>
      </c>
    </row>
    <row r="474" spans="3:14" x14ac:dyDescent="0.3">
      <c r="A474"/>
      <c r="C474" s="16"/>
      <c r="G474" s="5">
        <f>IF(A474="","","Checking")</f>
      </c>
      <c r="H474">
        <f>IF(A474="","",IFERROR(XLOOKUP(D474,Setup!$E$15:$E$79,Setup!$F$15:$F$79),"Miscellaneous"))</f>
      </c>
      <c r="I474">
        <f>IF(A474="","",IFERROR(XLOOKUP(D474,Setup!$E$15:$E$79,Setup!$G$15:$G$79),"Uncategorized"))</f>
      </c>
      <c r="J474">
        <f>IF(A474="","",IF(OR(H474="Transfers",H474="Income",D474="Transfer",D474="Category Pending",F474="Pending"),"No","Yes"))</f>
      </c>
      <c r="K474" s="4">
        <f>IF(A474="","",TEXT(IF(DAY(A474)&gt;=Setup!$B$9,DATE(YEAR(A474),MONTH(A474)+1,1),DATE(YEAR(A474),MONTH(A474),1)),"mmmm yyyy"))</f>
      </c>
      <c r="L474" s="47">
        <f>IF(A474="",0,IF(AND(J474="Yes",E474&lt;0),-E474,0))</f>
      </c>
      <c r="M474" s="47">
        <f>IF(A474="",0,IF(AND(J474="Yes",E474&gt;0),E474,0))</f>
      </c>
      <c r="N474">
        <f>IF(A474="","",IF(D474="Category Pending","Needs categorization",IF(COUNTIFS($A$2:A474,A474,$B$2:B474,B474,$E$2:E474,E474)&gt;1,"Possible duplicate","")))</f>
      </c>
    </row>
    <row r="475" spans="3:14" x14ac:dyDescent="0.3">
      <c r="A475"/>
      <c r="C475" s="16"/>
      <c r="G475" s="5">
        <f>IF(A475="","","Checking")</f>
      </c>
      <c r="H475">
        <f>IF(A475="","",IFERROR(XLOOKUP(D475,Setup!$E$15:$E$79,Setup!$F$15:$F$79),"Miscellaneous"))</f>
      </c>
      <c r="I475">
        <f>IF(A475="","",IFERROR(XLOOKUP(D475,Setup!$E$15:$E$79,Setup!$G$15:$G$79),"Uncategorized"))</f>
      </c>
      <c r="J475">
        <f>IF(A475="","",IF(OR(H475="Transfers",H475="Income",D475="Transfer",D475="Category Pending",F475="Pending"),"No","Yes"))</f>
      </c>
      <c r="K475" s="4">
        <f>IF(A475="","",TEXT(IF(DAY(A475)&gt;=Setup!$B$9,DATE(YEAR(A475),MONTH(A475)+1,1),DATE(YEAR(A475),MONTH(A475),1)),"mmmm yyyy"))</f>
      </c>
      <c r="L475" s="47">
        <f>IF(A475="",0,IF(AND(J475="Yes",E475&lt;0),-E475,0))</f>
      </c>
      <c r="M475" s="47">
        <f>IF(A475="",0,IF(AND(J475="Yes",E475&gt;0),E475,0))</f>
      </c>
      <c r="N475">
        <f>IF(A475="","",IF(D475="Category Pending","Needs categorization",IF(COUNTIFS($A$2:A475,A475,$B$2:B475,B475,$E$2:E475,E475)&gt;1,"Possible duplicate","")))</f>
      </c>
    </row>
    <row r="476" spans="3:14" x14ac:dyDescent="0.3">
      <c r="A476"/>
      <c r="C476" s="16"/>
      <c r="G476" s="5">
        <f>IF(A476="","","Checking")</f>
      </c>
      <c r="H476">
        <f>IF(A476="","",IFERROR(XLOOKUP(D476,Setup!$E$15:$E$79,Setup!$F$15:$F$79),"Miscellaneous"))</f>
      </c>
      <c r="I476">
        <f>IF(A476="","",IFERROR(XLOOKUP(D476,Setup!$E$15:$E$79,Setup!$G$15:$G$79),"Uncategorized"))</f>
      </c>
      <c r="J476">
        <f>IF(A476="","",IF(OR(H476="Transfers",H476="Income",D476="Transfer",D476="Category Pending",F476="Pending"),"No","Yes"))</f>
      </c>
      <c r="K476" s="4">
        <f>IF(A476="","",TEXT(IF(DAY(A476)&gt;=Setup!$B$9,DATE(YEAR(A476),MONTH(A476)+1,1),DATE(YEAR(A476),MONTH(A476),1)),"mmmm yyyy"))</f>
      </c>
      <c r="L476" s="47">
        <f>IF(A476="",0,IF(AND(J476="Yes",E476&lt;0),-E476,0))</f>
      </c>
      <c r="M476" s="47">
        <f>IF(A476="",0,IF(AND(J476="Yes",E476&gt;0),E476,0))</f>
      </c>
      <c r="N476">
        <f>IF(A476="","",IF(D476="Category Pending","Needs categorization",IF(COUNTIFS($A$2:A476,A476,$B$2:B476,B476,$E$2:E476,E476)&gt;1,"Possible duplicate","")))</f>
      </c>
    </row>
    <row r="477" spans="3:14" x14ac:dyDescent="0.3">
      <c r="A477"/>
      <c r="C477" s="16"/>
      <c r="G477" s="5">
        <f>IF(A477="","","Checking")</f>
      </c>
      <c r="H477">
        <f>IF(A477="","",IFERROR(XLOOKUP(D477,Setup!$E$15:$E$79,Setup!$F$15:$F$79),"Miscellaneous"))</f>
      </c>
      <c r="I477">
        <f>IF(A477="","",IFERROR(XLOOKUP(D477,Setup!$E$15:$E$79,Setup!$G$15:$G$79),"Uncategorized"))</f>
      </c>
      <c r="J477">
        <f>IF(A477="","",IF(OR(H477="Transfers",H477="Income",D477="Transfer",D477="Category Pending",F477="Pending"),"No","Yes"))</f>
      </c>
      <c r="K477" s="4">
        <f>IF(A477="","",TEXT(IF(DAY(A477)&gt;=Setup!$B$9,DATE(YEAR(A477),MONTH(A477)+1,1),DATE(YEAR(A477),MONTH(A477),1)),"mmmm yyyy"))</f>
      </c>
      <c r="L477" s="47">
        <f>IF(A477="",0,IF(AND(J477="Yes",E477&lt;0),-E477,0))</f>
      </c>
      <c r="M477" s="47">
        <f>IF(A477="",0,IF(AND(J477="Yes",E477&gt;0),E477,0))</f>
      </c>
      <c r="N477">
        <f>IF(A477="","",IF(D477="Category Pending","Needs categorization",IF(COUNTIFS($A$2:A477,A477,$B$2:B477,B477,$E$2:E477,E477)&gt;1,"Possible duplicate","")))</f>
      </c>
    </row>
    <row r="478" spans="3:14" x14ac:dyDescent="0.3">
      <c r="A478"/>
      <c r="C478" s="16"/>
      <c r="G478" s="5">
        <f>IF(A478="","","Checking")</f>
      </c>
      <c r="H478">
        <f>IF(A478="","",IFERROR(XLOOKUP(D478,Setup!$E$15:$E$79,Setup!$F$15:$F$79),"Miscellaneous"))</f>
      </c>
      <c r="I478">
        <f>IF(A478="","",IFERROR(XLOOKUP(D478,Setup!$E$15:$E$79,Setup!$G$15:$G$79),"Uncategorized"))</f>
      </c>
      <c r="J478">
        <f>IF(A478="","",IF(OR(H478="Transfers",H478="Income",D478="Transfer",D478="Category Pending",F478="Pending"),"No","Yes"))</f>
      </c>
      <c r="K478" s="4">
        <f>IF(A478="","",TEXT(IF(DAY(A478)&gt;=Setup!$B$9,DATE(YEAR(A478),MONTH(A478)+1,1),DATE(YEAR(A478),MONTH(A478),1)),"mmmm yyyy"))</f>
      </c>
      <c r="L478" s="47">
        <f>IF(A478="",0,IF(AND(J478="Yes",E478&lt;0),-E478,0))</f>
      </c>
      <c r="M478" s="47">
        <f>IF(A478="",0,IF(AND(J478="Yes",E478&gt;0),E478,0))</f>
      </c>
      <c r="N478">
        <f>IF(A478="","",IF(D478="Category Pending","Needs categorization",IF(COUNTIFS($A$2:A478,A478,$B$2:B478,B478,$E$2:E478,E478)&gt;1,"Possible duplicate","")))</f>
      </c>
    </row>
    <row r="479" spans="3:14" x14ac:dyDescent="0.3">
      <c r="A479"/>
      <c r="C479" s="16"/>
      <c r="G479" s="5">
        <f>IF(A479="","","Checking")</f>
      </c>
      <c r="H479">
        <f>IF(A479="","",IFERROR(XLOOKUP(D479,Setup!$E$15:$E$79,Setup!$F$15:$F$79),"Miscellaneous"))</f>
      </c>
      <c r="I479">
        <f>IF(A479="","",IFERROR(XLOOKUP(D479,Setup!$E$15:$E$79,Setup!$G$15:$G$79),"Uncategorized"))</f>
      </c>
      <c r="J479">
        <f>IF(A479="","",IF(OR(H479="Transfers",H479="Income",D479="Transfer",D479="Category Pending",F479="Pending"),"No","Yes"))</f>
      </c>
      <c r="K479" s="4">
        <f>IF(A479="","",TEXT(IF(DAY(A479)&gt;=Setup!$B$9,DATE(YEAR(A479),MONTH(A479)+1,1),DATE(YEAR(A479),MONTH(A479),1)),"mmmm yyyy"))</f>
      </c>
      <c r="L479" s="47">
        <f>IF(A479="",0,IF(AND(J479="Yes",E479&lt;0),-E479,0))</f>
      </c>
      <c r="M479" s="47">
        <f>IF(A479="",0,IF(AND(J479="Yes",E479&gt;0),E479,0))</f>
      </c>
      <c r="N479">
        <f>IF(A479="","",IF(D479="Category Pending","Needs categorization",IF(COUNTIFS($A$2:A479,A479,$B$2:B479,B479,$E$2:E479,E479)&gt;1,"Possible duplicate","")))</f>
      </c>
    </row>
    <row r="480" spans="3:14" x14ac:dyDescent="0.3">
      <c r="A480"/>
      <c r="C480" s="16"/>
      <c r="G480" s="5">
        <f>IF(A480="","","Checking")</f>
      </c>
      <c r="H480">
        <f>IF(A480="","",IFERROR(XLOOKUP(D480,Setup!$E$15:$E$79,Setup!$F$15:$F$79),"Miscellaneous"))</f>
      </c>
      <c r="I480">
        <f>IF(A480="","",IFERROR(XLOOKUP(D480,Setup!$E$15:$E$79,Setup!$G$15:$G$79),"Uncategorized"))</f>
      </c>
      <c r="J480">
        <f>IF(A480="","",IF(OR(H480="Transfers",H480="Income",D480="Transfer",D480="Category Pending",F480="Pending"),"No","Yes"))</f>
      </c>
      <c r="K480" s="4">
        <f>IF(A480="","",TEXT(IF(DAY(A480)&gt;=Setup!$B$9,DATE(YEAR(A480),MONTH(A480)+1,1),DATE(YEAR(A480),MONTH(A480),1)),"mmmm yyyy"))</f>
      </c>
      <c r="L480" s="47">
        <f>IF(A480="",0,IF(AND(J480="Yes",E480&lt;0),-E480,0))</f>
      </c>
      <c r="M480" s="47">
        <f>IF(A480="",0,IF(AND(J480="Yes",E480&gt;0),E480,0))</f>
      </c>
      <c r="N480">
        <f>IF(A480="","",IF(D480="Category Pending","Needs categorization",IF(COUNTIFS($A$2:A480,A480,$B$2:B480,B480,$E$2:E480,E480)&gt;1,"Possible duplicate","")))</f>
      </c>
    </row>
    <row r="481" spans="3:14" x14ac:dyDescent="0.3">
      <c r="A481"/>
      <c r="C481" s="16"/>
      <c r="G481" s="5">
        <f>IF(A481="","","Checking")</f>
      </c>
      <c r="H481">
        <f>IF(A481="","",IFERROR(XLOOKUP(D481,Setup!$E$15:$E$79,Setup!$F$15:$F$79),"Miscellaneous"))</f>
      </c>
      <c r="I481">
        <f>IF(A481="","",IFERROR(XLOOKUP(D481,Setup!$E$15:$E$79,Setup!$G$15:$G$79),"Uncategorized"))</f>
      </c>
      <c r="J481">
        <f>IF(A481="","",IF(OR(H481="Transfers",H481="Income",D481="Transfer",D481="Category Pending",F481="Pending"),"No","Yes"))</f>
      </c>
      <c r="K481" s="4">
        <f>IF(A481="","",TEXT(IF(DAY(A481)&gt;=Setup!$B$9,DATE(YEAR(A481),MONTH(A481)+1,1),DATE(YEAR(A481),MONTH(A481),1)),"mmmm yyyy"))</f>
      </c>
      <c r="L481" s="47">
        <f>IF(A481="",0,IF(AND(J481="Yes",E481&lt;0),-E481,0))</f>
      </c>
      <c r="M481" s="47">
        <f>IF(A481="",0,IF(AND(J481="Yes",E481&gt;0),E481,0))</f>
      </c>
      <c r="N481">
        <f>IF(A481="","",IF(D481="Category Pending","Needs categorization",IF(COUNTIFS($A$2:A481,A481,$B$2:B481,B481,$E$2:E481,E481)&gt;1,"Possible duplicate","")))</f>
      </c>
    </row>
    <row r="482" spans="3:14" x14ac:dyDescent="0.3">
      <c r="A482"/>
      <c r="C482" s="16"/>
      <c r="G482" s="5">
        <f>IF(A482="","","Checking")</f>
      </c>
      <c r="H482">
        <f>IF(A482="","",IFERROR(XLOOKUP(D482,Setup!$E$15:$E$79,Setup!$F$15:$F$79),"Miscellaneous"))</f>
      </c>
      <c r="I482">
        <f>IF(A482="","",IFERROR(XLOOKUP(D482,Setup!$E$15:$E$79,Setup!$G$15:$G$79),"Uncategorized"))</f>
      </c>
      <c r="J482">
        <f>IF(A482="","",IF(OR(H482="Transfers",H482="Income",D482="Transfer",D482="Category Pending",F482="Pending"),"No","Yes"))</f>
      </c>
      <c r="K482" s="4">
        <f>IF(A482="","",TEXT(IF(DAY(A482)&gt;=Setup!$B$9,DATE(YEAR(A482),MONTH(A482)+1,1),DATE(YEAR(A482),MONTH(A482),1)),"mmmm yyyy"))</f>
      </c>
      <c r="L482" s="47">
        <f>IF(A482="",0,IF(AND(J482="Yes",E482&lt;0),-E482,0))</f>
      </c>
      <c r="M482" s="47">
        <f>IF(A482="",0,IF(AND(J482="Yes",E482&gt;0),E482,0))</f>
      </c>
      <c r="N482">
        <f>IF(A482="","",IF(D482="Category Pending","Needs categorization",IF(COUNTIFS($A$2:A482,A482,$B$2:B482,B482,$E$2:E482,E482)&gt;1,"Possible duplicate","")))</f>
      </c>
    </row>
    <row r="483" spans="3:14" x14ac:dyDescent="0.3">
      <c r="A483"/>
      <c r="C483" s="16"/>
      <c r="G483" s="5">
        <f>IF(A483="","","Checking")</f>
      </c>
      <c r="H483">
        <f>IF(A483="","",IFERROR(XLOOKUP(D483,Setup!$E$15:$E$79,Setup!$F$15:$F$79),"Miscellaneous"))</f>
      </c>
      <c r="I483">
        <f>IF(A483="","",IFERROR(XLOOKUP(D483,Setup!$E$15:$E$79,Setup!$G$15:$G$79),"Uncategorized"))</f>
      </c>
      <c r="J483">
        <f>IF(A483="","",IF(OR(H483="Transfers",H483="Income",D483="Transfer",D483="Category Pending",F483="Pending"),"No","Yes"))</f>
      </c>
      <c r="K483" s="4">
        <f>IF(A483="","",TEXT(IF(DAY(A483)&gt;=Setup!$B$9,DATE(YEAR(A483),MONTH(A483)+1,1),DATE(YEAR(A483),MONTH(A483),1)),"mmmm yyyy"))</f>
      </c>
      <c r="L483" s="47">
        <f>IF(A483="",0,IF(AND(J483="Yes",E483&lt;0),-E483,0))</f>
      </c>
      <c r="M483" s="47">
        <f>IF(A483="",0,IF(AND(J483="Yes",E483&gt;0),E483,0))</f>
      </c>
      <c r="N483">
        <f>IF(A483="","",IF(D483="Category Pending","Needs categorization",IF(COUNTIFS($A$2:A483,A483,$B$2:B483,B483,$E$2:E483,E483)&gt;1,"Possible duplicate","")))</f>
      </c>
    </row>
    <row r="484" spans="3:14" x14ac:dyDescent="0.3">
      <c r="A484"/>
      <c r="C484" s="16"/>
      <c r="G484" s="5">
        <f>IF(A484="","","Checking")</f>
      </c>
      <c r="H484">
        <f>IF(A484="","",IFERROR(XLOOKUP(D484,Setup!$E$15:$E$79,Setup!$F$15:$F$79),"Miscellaneous"))</f>
      </c>
      <c r="I484">
        <f>IF(A484="","",IFERROR(XLOOKUP(D484,Setup!$E$15:$E$79,Setup!$G$15:$G$79),"Uncategorized"))</f>
      </c>
      <c r="J484">
        <f>IF(A484="","",IF(OR(H484="Transfers",H484="Income",D484="Transfer",D484="Category Pending",F484="Pending"),"No","Yes"))</f>
      </c>
      <c r="K484" s="4">
        <f>IF(A484="","",TEXT(IF(DAY(A484)&gt;=Setup!$B$9,DATE(YEAR(A484),MONTH(A484)+1,1),DATE(YEAR(A484),MONTH(A484),1)),"mmmm yyyy"))</f>
      </c>
      <c r="L484" s="47">
        <f>IF(A484="",0,IF(AND(J484="Yes",E484&lt;0),-E484,0))</f>
      </c>
      <c r="M484" s="47">
        <f>IF(A484="",0,IF(AND(J484="Yes",E484&gt;0),E484,0))</f>
      </c>
      <c r="N484">
        <f>IF(A484="","",IF(D484="Category Pending","Needs categorization",IF(COUNTIFS($A$2:A484,A484,$B$2:B484,B484,$E$2:E484,E484)&gt;1,"Possible duplicate","")))</f>
      </c>
    </row>
    <row r="485" spans="3:14" x14ac:dyDescent="0.3">
      <c r="A485"/>
      <c r="C485" s="16"/>
      <c r="G485" s="5">
        <f>IF(A485="","","Checking")</f>
      </c>
      <c r="H485">
        <f>IF(A485="","",IFERROR(XLOOKUP(D485,Setup!$E$15:$E$79,Setup!$F$15:$F$79),"Miscellaneous"))</f>
      </c>
      <c r="I485">
        <f>IF(A485="","",IFERROR(XLOOKUP(D485,Setup!$E$15:$E$79,Setup!$G$15:$G$79),"Uncategorized"))</f>
      </c>
      <c r="J485">
        <f>IF(A485="","",IF(OR(H485="Transfers",H485="Income",D485="Transfer",D485="Category Pending",F485="Pending"),"No","Yes"))</f>
      </c>
      <c r="K485" s="4">
        <f>IF(A485="","",TEXT(IF(DAY(A485)&gt;=Setup!$B$9,DATE(YEAR(A485),MONTH(A485)+1,1),DATE(YEAR(A485),MONTH(A485),1)),"mmmm yyyy"))</f>
      </c>
      <c r="L485" s="47">
        <f>IF(A485="",0,IF(AND(J485="Yes",E485&lt;0),-E485,0))</f>
      </c>
      <c r="M485" s="47">
        <f>IF(A485="",0,IF(AND(J485="Yes",E485&gt;0),E485,0))</f>
      </c>
      <c r="N485">
        <f>IF(A485="","",IF(D485="Category Pending","Needs categorization",IF(COUNTIFS($A$2:A485,A485,$B$2:B485,B485,$E$2:E485,E485)&gt;1,"Possible duplicate","")))</f>
      </c>
    </row>
    <row r="486" spans="3:14" x14ac:dyDescent="0.3">
      <c r="A486"/>
      <c r="C486" s="16"/>
      <c r="G486" s="5">
        <f>IF(A486="","","Checking")</f>
      </c>
      <c r="H486">
        <f>IF(A486="","",IFERROR(XLOOKUP(D486,Setup!$E$15:$E$79,Setup!$F$15:$F$79),"Miscellaneous"))</f>
      </c>
      <c r="I486">
        <f>IF(A486="","",IFERROR(XLOOKUP(D486,Setup!$E$15:$E$79,Setup!$G$15:$G$79),"Uncategorized"))</f>
      </c>
      <c r="J486">
        <f>IF(A486="","",IF(OR(H486="Transfers",H486="Income",D486="Transfer",D486="Category Pending",F486="Pending"),"No","Yes"))</f>
      </c>
      <c r="K486" s="4">
        <f>IF(A486="","",TEXT(IF(DAY(A486)&gt;=Setup!$B$9,DATE(YEAR(A486),MONTH(A486)+1,1),DATE(YEAR(A486),MONTH(A486),1)),"mmmm yyyy"))</f>
      </c>
      <c r="L486" s="47">
        <f>IF(A486="",0,IF(AND(J486="Yes",E486&lt;0),-E486,0))</f>
      </c>
      <c r="M486" s="47">
        <f>IF(A486="",0,IF(AND(J486="Yes",E486&gt;0),E486,0))</f>
      </c>
      <c r="N486">
        <f>IF(A486="","",IF(D486="Category Pending","Needs categorization",IF(COUNTIFS($A$2:A486,A486,$B$2:B486,B486,$E$2:E486,E486)&gt;1,"Possible duplicate","")))</f>
      </c>
    </row>
    <row r="487" spans="3:14" x14ac:dyDescent="0.3">
      <c r="A487"/>
      <c r="C487" s="16"/>
      <c r="G487" s="5">
        <f>IF(A487="","","Checking")</f>
      </c>
      <c r="H487">
        <f>IF(A487="","",IFERROR(XLOOKUP(D487,Setup!$E$15:$E$79,Setup!$F$15:$F$79),"Miscellaneous"))</f>
      </c>
      <c r="I487">
        <f>IF(A487="","",IFERROR(XLOOKUP(D487,Setup!$E$15:$E$79,Setup!$G$15:$G$79),"Uncategorized"))</f>
      </c>
      <c r="J487">
        <f>IF(A487="","",IF(OR(H487="Transfers",H487="Income",D487="Transfer",D487="Category Pending",F487="Pending"),"No","Yes"))</f>
      </c>
      <c r="K487" s="4">
        <f>IF(A487="","",TEXT(IF(DAY(A487)&gt;=Setup!$B$9,DATE(YEAR(A487),MONTH(A487)+1,1),DATE(YEAR(A487),MONTH(A487),1)),"mmmm yyyy"))</f>
      </c>
      <c r="L487" s="47">
        <f>IF(A487="",0,IF(AND(J487="Yes",E487&lt;0),-E487,0))</f>
      </c>
      <c r="M487" s="47">
        <f>IF(A487="",0,IF(AND(J487="Yes",E487&gt;0),E487,0))</f>
      </c>
      <c r="N487">
        <f>IF(A487="","",IF(D487="Category Pending","Needs categorization",IF(COUNTIFS($A$2:A487,A487,$B$2:B487,B487,$E$2:E487,E487)&gt;1,"Possible duplicate","")))</f>
      </c>
    </row>
    <row r="488" spans="3:14" x14ac:dyDescent="0.3">
      <c r="A488"/>
      <c r="C488" s="16"/>
      <c r="G488" s="5">
        <f>IF(A488="","","Checking")</f>
      </c>
      <c r="H488">
        <f>IF(A488="","",IFERROR(XLOOKUP(D488,Setup!$E$15:$E$79,Setup!$F$15:$F$79),"Miscellaneous"))</f>
      </c>
      <c r="I488">
        <f>IF(A488="","",IFERROR(XLOOKUP(D488,Setup!$E$15:$E$79,Setup!$G$15:$G$79),"Uncategorized"))</f>
      </c>
      <c r="J488">
        <f>IF(A488="","",IF(OR(H488="Transfers",H488="Income",D488="Transfer",D488="Category Pending",F488="Pending"),"No","Yes"))</f>
      </c>
      <c r="K488" s="4">
        <f>IF(A488="","",TEXT(IF(DAY(A488)&gt;=Setup!$B$9,DATE(YEAR(A488),MONTH(A488)+1,1),DATE(YEAR(A488),MONTH(A488),1)),"mmmm yyyy"))</f>
      </c>
      <c r="L488" s="47">
        <f>IF(A488="",0,IF(AND(J488="Yes",E488&lt;0),-E488,0))</f>
      </c>
      <c r="M488" s="47">
        <f>IF(A488="",0,IF(AND(J488="Yes",E488&gt;0),E488,0))</f>
      </c>
      <c r="N488">
        <f>IF(A488="","",IF(D488="Category Pending","Needs categorization",IF(COUNTIFS($A$2:A488,A488,$B$2:B488,B488,$E$2:E488,E488)&gt;1,"Possible duplicate","")))</f>
      </c>
    </row>
    <row r="489" spans="3:14" x14ac:dyDescent="0.3">
      <c r="A489"/>
      <c r="C489" s="16"/>
      <c r="G489" s="5">
        <f>IF(A489="","","Checking")</f>
      </c>
      <c r="H489">
        <f>IF(A489="","",IFERROR(XLOOKUP(D489,Setup!$E$15:$E$79,Setup!$F$15:$F$79),"Miscellaneous"))</f>
      </c>
      <c r="I489">
        <f>IF(A489="","",IFERROR(XLOOKUP(D489,Setup!$E$15:$E$79,Setup!$G$15:$G$79),"Uncategorized"))</f>
      </c>
      <c r="J489">
        <f>IF(A489="","",IF(OR(H489="Transfers",H489="Income",D489="Transfer",D489="Category Pending",F489="Pending"),"No","Yes"))</f>
      </c>
      <c r="K489" s="4">
        <f>IF(A489="","",TEXT(IF(DAY(A489)&gt;=Setup!$B$9,DATE(YEAR(A489),MONTH(A489)+1,1),DATE(YEAR(A489),MONTH(A489),1)),"mmmm yyyy"))</f>
      </c>
      <c r="L489" s="47">
        <f>IF(A489="",0,IF(AND(J489="Yes",E489&lt;0),-E489,0))</f>
      </c>
      <c r="M489" s="47">
        <f>IF(A489="",0,IF(AND(J489="Yes",E489&gt;0),E489,0))</f>
      </c>
      <c r="N489">
        <f>IF(A489="","",IF(D489="Category Pending","Needs categorization",IF(COUNTIFS($A$2:A489,A489,$B$2:B489,B489,$E$2:E489,E489)&gt;1,"Possible duplicate","")))</f>
      </c>
    </row>
    <row r="490" spans="3:14" x14ac:dyDescent="0.3">
      <c r="A490"/>
      <c r="C490" s="16"/>
      <c r="G490" s="5">
        <f>IF(A490="","","Checking")</f>
      </c>
      <c r="H490">
        <f>IF(A490="","",IFERROR(XLOOKUP(D490,Setup!$E$15:$E$79,Setup!$F$15:$F$79),"Miscellaneous"))</f>
      </c>
      <c r="I490">
        <f>IF(A490="","",IFERROR(XLOOKUP(D490,Setup!$E$15:$E$79,Setup!$G$15:$G$79),"Uncategorized"))</f>
      </c>
      <c r="J490">
        <f>IF(A490="","",IF(OR(H490="Transfers",H490="Income",D490="Transfer",D490="Category Pending",F490="Pending"),"No","Yes"))</f>
      </c>
      <c r="K490" s="4">
        <f>IF(A490="","",TEXT(IF(DAY(A490)&gt;=Setup!$B$9,DATE(YEAR(A490),MONTH(A490)+1,1),DATE(YEAR(A490),MONTH(A490),1)),"mmmm yyyy"))</f>
      </c>
      <c r="L490" s="47">
        <f>IF(A490="",0,IF(AND(J490="Yes",E490&lt;0),-E490,0))</f>
      </c>
      <c r="M490" s="47">
        <f>IF(A490="",0,IF(AND(J490="Yes",E490&gt;0),E490,0))</f>
      </c>
      <c r="N490">
        <f>IF(A490="","",IF(D490="Category Pending","Needs categorization",IF(COUNTIFS($A$2:A490,A490,$B$2:B490,B490,$E$2:E490,E490)&gt;1,"Possible duplicate","")))</f>
      </c>
    </row>
    <row r="491" spans="3:14" x14ac:dyDescent="0.3">
      <c r="A491"/>
      <c r="C491" s="16"/>
      <c r="G491" s="5">
        <f>IF(A491="","","Checking")</f>
      </c>
      <c r="H491">
        <f>IF(A491="","",IFERROR(XLOOKUP(D491,Setup!$E$15:$E$79,Setup!$F$15:$F$79),"Miscellaneous"))</f>
      </c>
      <c r="I491">
        <f>IF(A491="","",IFERROR(XLOOKUP(D491,Setup!$E$15:$E$79,Setup!$G$15:$G$79),"Uncategorized"))</f>
      </c>
      <c r="J491">
        <f>IF(A491="","",IF(OR(H491="Transfers",H491="Income",D491="Transfer",D491="Category Pending",F491="Pending"),"No","Yes"))</f>
      </c>
      <c r="K491" s="4">
        <f>IF(A491="","",TEXT(IF(DAY(A491)&gt;=Setup!$B$9,DATE(YEAR(A491),MONTH(A491)+1,1),DATE(YEAR(A491),MONTH(A491),1)),"mmmm yyyy"))</f>
      </c>
      <c r="L491" s="47">
        <f>IF(A491="",0,IF(AND(J491="Yes",E491&lt;0),-E491,0))</f>
      </c>
      <c r="M491" s="47">
        <f>IF(A491="",0,IF(AND(J491="Yes",E491&gt;0),E491,0))</f>
      </c>
      <c r="N491">
        <f>IF(A491="","",IF(D491="Category Pending","Needs categorization",IF(COUNTIFS($A$2:A491,A491,$B$2:B491,B491,$E$2:E491,E491)&gt;1,"Possible duplicate","")))</f>
      </c>
    </row>
    <row r="492" spans="3:14" x14ac:dyDescent="0.3">
      <c r="A492"/>
      <c r="C492" s="16"/>
      <c r="G492" s="5">
        <f>IF(A492="","","Checking")</f>
      </c>
      <c r="H492">
        <f>IF(A492="","",IFERROR(XLOOKUP(D492,Setup!$E$15:$E$79,Setup!$F$15:$F$79),"Miscellaneous"))</f>
      </c>
      <c r="I492">
        <f>IF(A492="","",IFERROR(XLOOKUP(D492,Setup!$E$15:$E$79,Setup!$G$15:$G$79),"Uncategorized"))</f>
      </c>
      <c r="J492">
        <f>IF(A492="","",IF(OR(H492="Transfers",H492="Income",D492="Transfer",D492="Category Pending",F492="Pending"),"No","Yes"))</f>
      </c>
      <c r="K492" s="4">
        <f>IF(A492="","",TEXT(IF(DAY(A492)&gt;=Setup!$B$9,DATE(YEAR(A492),MONTH(A492)+1,1),DATE(YEAR(A492),MONTH(A492),1)),"mmmm yyyy"))</f>
      </c>
      <c r="L492" s="47">
        <f>IF(A492="",0,IF(AND(J492="Yes",E492&lt;0),-E492,0))</f>
      </c>
      <c r="M492" s="47">
        <f>IF(A492="",0,IF(AND(J492="Yes",E492&gt;0),E492,0))</f>
      </c>
      <c r="N492">
        <f>IF(A492="","",IF(D492="Category Pending","Needs categorization",IF(COUNTIFS($A$2:A492,A492,$B$2:B492,B492,$E$2:E492,E492)&gt;1,"Possible duplicate","")))</f>
      </c>
    </row>
    <row r="493" spans="3:14" x14ac:dyDescent="0.3">
      <c r="A493"/>
      <c r="C493" s="16"/>
      <c r="G493" s="5">
        <f>IF(A493="","","Checking")</f>
      </c>
      <c r="H493">
        <f>IF(A493="","",IFERROR(XLOOKUP(D493,Setup!$E$15:$E$79,Setup!$F$15:$F$79),"Miscellaneous"))</f>
      </c>
      <c r="I493">
        <f>IF(A493="","",IFERROR(XLOOKUP(D493,Setup!$E$15:$E$79,Setup!$G$15:$G$79),"Uncategorized"))</f>
      </c>
      <c r="J493">
        <f>IF(A493="","",IF(OR(H493="Transfers",H493="Income",D493="Transfer",D493="Category Pending",F493="Pending"),"No","Yes"))</f>
      </c>
      <c r="K493" s="4">
        <f>IF(A493="","",TEXT(IF(DAY(A493)&gt;=Setup!$B$9,DATE(YEAR(A493),MONTH(A493)+1,1),DATE(YEAR(A493),MONTH(A493),1)),"mmmm yyyy"))</f>
      </c>
      <c r="L493" s="47">
        <f>IF(A493="",0,IF(AND(J493="Yes",E493&lt;0),-E493,0))</f>
      </c>
      <c r="M493" s="47">
        <f>IF(A493="",0,IF(AND(J493="Yes",E493&gt;0),E493,0))</f>
      </c>
      <c r="N493">
        <f>IF(A493="","",IF(D493="Category Pending","Needs categorization",IF(COUNTIFS($A$2:A493,A493,$B$2:B493,B493,$E$2:E493,E493)&gt;1,"Possible duplicate","")))</f>
      </c>
    </row>
    <row r="494" spans="3:14" x14ac:dyDescent="0.3">
      <c r="A494"/>
      <c r="C494" s="16"/>
      <c r="G494" s="5">
        <f>IF(A494="","","Checking")</f>
      </c>
      <c r="H494">
        <f>IF(A494="","",IFERROR(XLOOKUP(D494,Setup!$E$15:$E$79,Setup!$F$15:$F$79),"Miscellaneous"))</f>
      </c>
      <c r="I494">
        <f>IF(A494="","",IFERROR(XLOOKUP(D494,Setup!$E$15:$E$79,Setup!$G$15:$G$79),"Uncategorized"))</f>
      </c>
      <c r="J494">
        <f>IF(A494="","",IF(OR(H494="Transfers",H494="Income",D494="Transfer",D494="Category Pending",F494="Pending"),"No","Yes"))</f>
      </c>
      <c r="K494" s="4">
        <f>IF(A494="","",TEXT(IF(DAY(A494)&gt;=Setup!$B$9,DATE(YEAR(A494),MONTH(A494)+1,1),DATE(YEAR(A494),MONTH(A494),1)),"mmmm yyyy"))</f>
      </c>
      <c r="L494" s="47">
        <f>IF(A494="",0,IF(AND(J494="Yes",E494&lt;0),-E494,0))</f>
      </c>
      <c r="M494" s="47">
        <f>IF(A494="",0,IF(AND(J494="Yes",E494&gt;0),E494,0))</f>
      </c>
      <c r="N494">
        <f>IF(A494="","",IF(D494="Category Pending","Needs categorization",IF(COUNTIFS($A$2:A494,A494,$B$2:B494,B494,$E$2:E494,E494)&gt;1,"Possible duplicate","")))</f>
      </c>
    </row>
    <row r="495" spans="3:14" x14ac:dyDescent="0.3">
      <c r="A495"/>
      <c r="C495" s="16"/>
      <c r="G495" s="5">
        <f>IF(A495="","","Checking")</f>
      </c>
      <c r="H495">
        <f>IF(A495="","",IFERROR(XLOOKUP(D495,Setup!$E$15:$E$79,Setup!$F$15:$F$79),"Miscellaneous"))</f>
      </c>
      <c r="I495">
        <f>IF(A495="","",IFERROR(XLOOKUP(D495,Setup!$E$15:$E$79,Setup!$G$15:$G$79),"Uncategorized"))</f>
      </c>
      <c r="J495">
        <f>IF(A495="","",IF(OR(H495="Transfers",H495="Income",D495="Transfer",D495="Category Pending",F495="Pending"),"No","Yes"))</f>
      </c>
      <c r="K495" s="4">
        <f>IF(A495="","",TEXT(IF(DAY(A495)&gt;=Setup!$B$9,DATE(YEAR(A495),MONTH(A495)+1,1),DATE(YEAR(A495),MONTH(A495),1)),"mmmm yyyy"))</f>
      </c>
      <c r="L495" s="47">
        <f>IF(A495="",0,IF(AND(J495="Yes",E495&lt;0),-E495,0))</f>
      </c>
      <c r="M495" s="47">
        <f>IF(A495="",0,IF(AND(J495="Yes",E495&gt;0),E495,0))</f>
      </c>
      <c r="N495">
        <f>IF(A495="","",IF(D495="Category Pending","Needs categorization",IF(COUNTIFS($A$2:A495,A495,$B$2:B495,B495,$E$2:E495,E495)&gt;1,"Possible duplicate","")))</f>
      </c>
    </row>
    <row r="496" spans="3:14" x14ac:dyDescent="0.3">
      <c r="A496"/>
      <c r="C496" s="16"/>
      <c r="G496" s="5">
        <f>IF(A496="","","Checking")</f>
      </c>
      <c r="H496">
        <f>IF(A496="","",IFERROR(XLOOKUP(D496,Setup!$E$15:$E$79,Setup!$F$15:$F$79),"Miscellaneous"))</f>
      </c>
      <c r="I496">
        <f>IF(A496="","",IFERROR(XLOOKUP(D496,Setup!$E$15:$E$79,Setup!$G$15:$G$79),"Uncategorized"))</f>
      </c>
      <c r="J496">
        <f>IF(A496="","",IF(OR(H496="Transfers",H496="Income",D496="Transfer",D496="Category Pending",F496="Pending"),"No","Yes"))</f>
      </c>
      <c r="K496" s="4">
        <f>IF(A496="","",TEXT(IF(DAY(A496)&gt;=Setup!$B$9,DATE(YEAR(A496),MONTH(A496)+1,1),DATE(YEAR(A496),MONTH(A496),1)),"mmmm yyyy"))</f>
      </c>
      <c r="L496" s="47">
        <f>IF(A496="",0,IF(AND(J496="Yes",E496&lt;0),-E496,0))</f>
      </c>
      <c r="M496" s="47">
        <f>IF(A496="",0,IF(AND(J496="Yes",E496&gt;0),E496,0))</f>
      </c>
      <c r="N496">
        <f>IF(A496="","",IF(D496="Category Pending","Needs categorization",IF(COUNTIFS($A$2:A496,A496,$B$2:B496,B496,$E$2:E496,E496)&gt;1,"Possible duplicate","")))</f>
      </c>
    </row>
    <row r="497" spans="3:14" x14ac:dyDescent="0.3">
      <c r="A497"/>
      <c r="C497" s="16"/>
      <c r="G497" s="5">
        <f>IF(A497="","","Checking")</f>
      </c>
      <c r="H497">
        <f>IF(A497="","",IFERROR(XLOOKUP(D497,Setup!$E$15:$E$79,Setup!$F$15:$F$79),"Miscellaneous"))</f>
      </c>
      <c r="I497">
        <f>IF(A497="","",IFERROR(XLOOKUP(D497,Setup!$E$15:$E$79,Setup!$G$15:$G$79),"Uncategorized"))</f>
      </c>
      <c r="J497">
        <f>IF(A497="","",IF(OR(H497="Transfers",H497="Income",D497="Transfer",D497="Category Pending",F497="Pending"),"No","Yes"))</f>
      </c>
      <c r="K497" s="4">
        <f>IF(A497="","",TEXT(IF(DAY(A497)&gt;=Setup!$B$9,DATE(YEAR(A497),MONTH(A497)+1,1),DATE(YEAR(A497),MONTH(A497),1)),"mmmm yyyy"))</f>
      </c>
      <c r="L497" s="47">
        <f>IF(A497="",0,IF(AND(J497="Yes",E497&lt;0),-E497,0))</f>
      </c>
      <c r="M497" s="47">
        <f>IF(A497="",0,IF(AND(J497="Yes",E497&gt;0),E497,0))</f>
      </c>
      <c r="N497">
        <f>IF(A497="","",IF(D497="Category Pending","Needs categorization",IF(COUNTIFS($A$2:A497,A497,$B$2:B497,B497,$E$2:E497,E497)&gt;1,"Possible duplicate","")))</f>
      </c>
    </row>
    <row r="498" spans="3:14" x14ac:dyDescent="0.3">
      <c r="A498"/>
      <c r="C498" s="16"/>
      <c r="G498" s="5">
        <f>IF(A498="","","Checking")</f>
      </c>
      <c r="H498">
        <f>IF(A498="","",IFERROR(XLOOKUP(D498,Setup!$E$15:$E$79,Setup!$F$15:$F$79),"Miscellaneous"))</f>
      </c>
      <c r="I498">
        <f>IF(A498="","",IFERROR(XLOOKUP(D498,Setup!$E$15:$E$79,Setup!$G$15:$G$79),"Uncategorized"))</f>
      </c>
      <c r="J498">
        <f>IF(A498="","",IF(OR(H498="Transfers",H498="Income",D498="Transfer",D498="Category Pending",F498="Pending"),"No","Yes"))</f>
      </c>
      <c r="K498" s="4">
        <f>IF(A498="","",TEXT(IF(DAY(A498)&gt;=Setup!$B$9,DATE(YEAR(A498),MONTH(A498)+1,1),DATE(YEAR(A498),MONTH(A498),1)),"mmmm yyyy"))</f>
      </c>
      <c r="L498" s="47">
        <f>IF(A498="",0,IF(AND(J498="Yes",E498&lt;0),-E498,0))</f>
      </c>
      <c r="M498" s="47">
        <f>IF(A498="",0,IF(AND(J498="Yes",E498&gt;0),E498,0))</f>
      </c>
      <c r="N498">
        <f>IF(A498="","",IF(D498="Category Pending","Needs categorization",IF(COUNTIFS($A$2:A498,A498,$B$2:B498,B498,$E$2:E498,E498)&gt;1,"Possible duplicate","")))</f>
      </c>
    </row>
    <row r="499" spans="3:14" x14ac:dyDescent="0.3">
      <c r="A499"/>
      <c r="C499" s="16"/>
      <c r="G499" s="5">
        <f>IF(A499="","","Checking")</f>
      </c>
      <c r="H499">
        <f>IF(A499="","",IFERROR(XLOOKUP(D499,Setup!$E$15:$E$79,Setup!$F$15:$F$79),"Miscellaneous"))</f>
      </c>
      <c r="I499">
        <f>IF(A499="","",IFERROR(XLOOKUP(D499,Setup!$E$15:$E$79,Setup!$G$15:$G$79),"Uncategorized"))</f>
      </c>
      <c r="J499">
        <f>IF(A499="","",IF(OR(H499="Transfers",H499="Income",D499="Transfer",D499="Category Pending",F499="Pending"),"No","Yes"))</f>
      </c>
      <c r="K499" s="4">
        <f>IF(A499="","",TEXT(IF(DAY(A499)&gt;=Setup!$B$9,DATE(YEAR(A499),MONTH(A499)+1,1),DATE(YEAR(A499),MONTH(A499),1)),"mmmm yyyy"))</f>
      </c>
      <c r="L499" s="47">
        <f>IF(A499="",0,IF(AND(J499="Yes",E499&lt;0),-E499,0))</f>
      </c>
      <c r="M499" s="47">
        <f>IF(A499="",0,IF(AND(J499="Yes",E499&gt;0),E499,0))</f>
      </c>
      <c r="N499">
        <f>IF(A499="","",IF(D499="Category Pending","Needs categorization",IF(COUNTIFS($A$2:A499,A499,$B$2:B499,B499,$E$2:E499,E499)&gt;1,"Possible duplicate","")))</f>
      </c>
    </row>
    <row r="500" spans="3:14" x14ac:dyDescent="0.3">
      <c r="A500"/>
      <c r="C500" s="16"/>
      <c r="G500" s="5">
        <f>IF(A500="","","Checking")</f>
      </c>
      <c r="H500">
        <f>IF(A500="","",IFERROR(XLOOKUP(D500,Setup!$E$15:$E$79,Setup!$F$15:$F$79),"Miscellaneous"))</f>
      </c>
      <c r="I500">
        <f>IF(A500="","",IFERROR(XLOOKUP(D500,Setup!$E$15:$E$79,Setup!$G$15:$G$79),"Uncategorized"))</f>
      </c>
      <c r="J500">
        <f>IF(A500="","",IF(OR(H500="Transfers",H500="Income",D500="Transfer",D500="Category Pending",F500="Pending"),"No","Yes"))</f>
      </c>
      <c r="K500" s="4">
        <f>IF(A500="","",TEXT(IF(DAY(A500)&gt;=Setup!$B$9,DATE(YEAR(A500),MONTH(A500)+1,1),DATE(YEAR(A500),MONTH(A500),1)),"mmmm yyyy"))</f>
      </c>
      <c r="L500" s="47">
        <f>IF(A500="",0,IF(AND(J500="Yes",E500&lt;0),-E500,0))</f>
      </c>
      <c r="M500" s="47">
        <f>IF(A500="",0,IF(AND(J500="Yes",E500&gt;0),E500,0))</f>
      </c>
      <c r="N500">
        <f>IF(A500="","",IF(D500="Category Pending","Needs categorization",IF(COUNTIFS($A$2:A500,A500,$B$2:B500,B500,$E$2:E500,E500)&gt;1,"Possible duplicate","")))</f>
      </c>
    </row>
    <row r="501" spans="3:14" x14ac:dyDescent="0.3">
      <c r="A501"/>
      <c r="C501" s="16"/>
      <c r="G501" s="5">
        <f>IF(A501="","","Checking")</f>
      </c>
      <c r="H501">
        <f>IF(A501="","",IFERROR(XLOOKUP(D501,Setup!$E$15:$E$79,Setup!$F$15:$F$79),"Miscellaneous"))</f>
      </c>
      <c r="I501">
        <f>IF(A501="","",IFERROR(XLOOKUP(D501,Setup!$E$15:$E$79,Setup!$G$15:$G$79),"Uncategorized"))</f>
      </c>
      <c r="J501">
        <f>IF(A501="","",IF(OR(H501="Transfers",H501="Income",D501="Transfer",D501="Category Pending",F501="Pending"),"No","Yes"))</f>
      </c>
      <c r="K501" s="4">
        <f>IF(A501="","",TEXT(IF(DAY(A501)&gt;=Setup!$B$9,DATE(YEAR(A501),MONTH(A501)+1,1),DATE(YEAR(A501),MONTH(A501),1)),"mmmm yyyy"))</f>
      </c>
      <c r="L501" s="47">
        <f>IF(A501="",0,IF(AND(J501="Yes",E501&lt;0),-E501,0))</f>
      </c>
      <c r="M501" s="47">
        <f>IF(A501="",0,IF(AND(J501="Yes",E501&gt;0),E501,0))</f>
      </c>
      <c r="N501">
        <f>IF(A501="","",IF(D501="Category Pending","Needs categorization",IF(COUNTIFS($A$2:A501,A501,$B$2:B501,B501,$E$2:E501,E501)&gt;1,"Possible duplicate","")))</f>
      </c>
    </row>
    <row r="502" spans="3:14" x14ac:dyDescent="0.3">
      <c r="A502"/>
      <c r="C502" s="16"/>
      <c r="G502" s="5">
        <f>IF(A502="","","Checking")</f>
      </c>
      <c r="H502">
        <f>IF(A502="","",IFERROR(XLOOKUP(D502,Setup!$E$15:$E$79,Setup!$F$15:$F$79),"Miscellaneous"))</f>
      </c>
      <c r="I502">
        <f>IF(A502="","",IFERROR(XLOOKUP(D502,Setup!$E$15:$E$79,Setup!$G$15:$G$79),"Uncategorized"))</f>
      </c>
      <c r="J502">
        <f>IF(A502="","",IF(OR(H502="Transfers",H502="Income",D502="Transfer",D502="Category Pending",F502="Pending"),"No","Yes"))</f>
      </c>
      <c r="K502" s="4">
        <f>IF(A502="","",TEXT(IF(DAY(A502)&gt;=Setup!$B$9,DATE(YEAR(A502),MONTH(A502)+1,1),DATE(YEAR(A502),MONTH(A502),1)),"mmmm yyyy"))</f>
      </c>
      <c r="L502" s="47">
        <f>IF(A502="",0,IF(AND(J502="Yes",E502&lt;0),-E502,0))</f>
      </c>
      <c r="M502" s="47">
        <f>IF(A502="",0,IF(AND(J502="Yes",E502&gt;0),E502,0))</f>
      </c>
      <c r="N502">
        <f>IF(A502="","",IF(D502="Category Pending","Needs categorization",IF(COUNTIFS($A$2:A502,A502,$B$2:B502,B502,$E$2:E502,E502)&gt;1,"Possible duplicate","")))</f>
      </c>
    </row>
    <row r="503" spans="3:14" x14ac:dyDescent="0.3">
      <c r="A503"/>
      <c r="C503" s="16"/>
      <c r="G503" s="5">
        <f>IF(A503="","","Checking")</f>
      </c>
      <c r="H503">
        <f>IF(A503="","",IFERROR(XLOOKUP(D503,Setup!$E$15:$E$79,Setup!$F$15:$F$79),"Miscellaneous"))</f>
      </c>
      <c r="I503">
        <f>IF(A503="","",IFERROR(XLOOKUP(D503,Setup!$E$15:$E$79,Setup!$G$15:$G$79),"Uncategorized"))</f>
      </c>
      <c r="J503">
        <f>IF(A503="","",IF(OR(H503="Transfers",H503="Income",D503="Transfer",D503="Category Pending",F503="Pending"),"No","Yes"))</f>
      </c>
      <c r="K503" s="4">
        <f>IF(A503="","",TEXT(IF(DAY(A503)&gt;=Setup!$B$9,DATE(YEAR(A503),MONTH(A503)+1,1),DATE(YEAR(A503),MONTH(A503),1)),"mmmm yyyy"))</f>
      </c>
      <c r="L503" s="47">
        <f>IF(A503="",0,IF(AND(J503="Yes",E503&lt;0),-E503,0))</f>
      </c>
      <c r="M503" s="47">
        <f>IF(A503="",0,IF(AND(J503="Yes",E503&gt;0),E503,0))</f>
      </c>
      <c r="N503">
        <f>IF(A503="","",IF(D503="Category Pending","Needs categorization",IF(COUNTIFS($A$2:A503,A503,$B$2:B503,B503,$E$2:E503,E503)&gt;1,"Possible duplicate","")))</f>
      </c>
    </row>
    <row r="504" spans="3:14" x14ac:dyDescent="0.3">
      <c r="A504"/>
      <c r="C504" s="16"/>
      <c r="G504" s="5">
        <f>IF(A504="","","Checking")</f>
      </c>
      <c r="H504">
        <f>IF(A504="","",IFERROR(XLOOKUP(D504,Setup!$E$15:$E$79,Setup!$F$15:$F$79),"Miscellaneous"))</f>
      </c>
      <c r="I504">
        <f>IF(A504="","",IFERROR(XLOOKUP(D504,Setup!$E$15:$E$79,Setup!$G$15:$G$79),"Uncategorized"))</f>
      </c>
      <c r="J504">
        <f>IF(A504="","",IF(OR(H504="Transfers",H504="Income",D504="Transfer",D504="Category Pending",F504="Pending"),"No","Yes"))</f>
      </c>
      <c r="K504" s="4">
        <f>IF(A504="","",TEXT(IF(DAY(A504)&gt;=Setup!$B$9,DATE(YEAR(A504),MONTH(A504)+1,1),DATE(YEAR(A504),MONTH(A504),1)),"mmmm yyyy"))</f>
      </c>
      <c r="L504" s="47">
        <f>IF(A504="",0,IF(AND(J504="Yes",E504&lt;0),-E504,0))</f>
      </c>
      <c r="M504" s="47">
        <f>IF(A504="",0,IF(AND(J504="Yes",E504&gt;0),E504,0))</f>
      </c>
      <c r="N504">
        <f>IF(A504="","",IF(D504="Category Pending","Needs categorization",IF(COUNTIFS($A$2:A504,A504,$B$2:B504,B504,$E$2:E504,E504)&gt;1,"Possible duplicate","")))</f>
      </c>
    </row>
    <row r="505" spans="3:14" x14ac:dyDescent="0.3">
      <c r="A505"/>
      <c r="C505" s="16"/>
      <c r="G505" s="5">
        <f>IF(A505="","","Checking")</f>
      </c>
      <c r="H505">
        <f>IF(A505="","",IFERROR(XLOOKUP(D505,Setup!$E$15:$E$79,Setup!$F$15:$F$79),"Miscellaneous"))</f>
      </c>
      <c r="I505">
        <f>IF(A505="","",IFERROR(XLOOKUP(D505,Setup!$E$15:$E$79,Setup!$G$15:$G$79),"Uncategorized"))</f>
      </c>
      <c r="J505">
        <f>IF(A505="","",IF(OR(H505="Transfers",H505="Income",D505="Transfer",D505="Category Pending",F505="Pending"),"No","Yes"))</f>
      </c>
      <c r="K505" s="4">
        <f>IF(A505="","",TEXT(IF(DAY(A505)&gt;=Setup!$B$9,DATE(YEAR(A505),MONTH(A505)+1,1),DATE(YEAR(A505),MONTH(A505),1)),"mmmm yyyy"))</f>
      </c>
      <c r="L505" s="47">
        <f>IF(A505="",0,IF(AND(J505="Yes",E505&lt;0),-E505,0))</f>
      </c>
      <c r="M505" s="47">
        <f>IF(A505="",0,IF(AND(J505="Yes",E505&gt;0),E505,0))</f>
      </c>
      <c r="N505">
        <f>IF(A505="","",IF(D505="Category Pending","Needs categorization",IF(COUNTIFS($A$2:A505,A505,$B$2:B505,B505,$E$2:E505,E505)&gt;1,"Possible duplicate","")))</f>
      </c>
    </row>
    <row r="506" spans="3:14" x14ac:dyDescent="0.3">
      <c r="A506"/>
      <c r="C506" s="16"/>
      <c r="G506" s="5">
        <f>IF(A506="","","Checking")</f>
      </c>
      <c r="H506">
        <f>IF(A506="","",IFERROR(XLOOKUP(D506,Setup!$E$15:$E$79,Setup!$F$15:$F$79),"Miscellaneous"))</f>
      </c>
      <c r="I506">
        <f>IF(A506="","",IFERROR(XLOOKUP(D506,Setup!$E$15:$E$79,Setup!$G$15:$G$79),"Uncategorized"))</f>
      </c>
      <c r="J506">
        <f>IF(A506="","",IF(OR(H506="Transfers",H506="Income",D506="Transfer",D506="Category Pending",F506="Pending"),"No","Yes"))</f>
      </c>
      <c r="K506" s="4">
        <f>IF(A506="","",TEXT(IF(DAY(A506)&gt;=Setup!$B$9,DATE(YEAR(A506),MONTH(A506)+1,1),DATE(YEAR(A506),MONTH(A506),1)),"mmmm yyyy"))</f>
      </c>
      <c r="L506" s="47">
        <f>IF(A506="",0,IF(AND(J506="Yes",E506&lt;0),-E506,0))</f>
      </c>
      <c r="M506" s="47">
        <f>IF(A506="",0,IF(AND(J506="Yes",E506&gt;0),E506,0))</f>
      </c>
      <c r="N506">
        <f>IF(A506="","",IF(D506="Category Pending","Needs categorization",IF(COUNTIFS($A$2:A506,A506,$B$2:B506,B506,$E$2:E506,E506)&gt;1,"Possible duplicate","")))</f>
      </c>
    </row>
    <row r="507" spans="3:14" x14ac:dyDescent="0.3">
      <c r="A507"/>
      <c r="C507" s="16"/>
      <c r="G507" s="5">
        <f>IF(A507="","","Checking")</f>
      </c>
      <c r="H507">
        <f>IF(A507="","",IFERROR(XLOOKUP(D507,Setup!$E$15:$E$79,Setup!$F$15:$F$79),"Miscellaneous"))</f>
      </c>
      <c r="I507">
        <f>IF(A507="","",IFERROR(XLOOKUP(D507,Setup!$E$15:$E$79,Setup!$G$15:$G$79),"Uncategorized"))</f>
      </c>
      <c r="J507">
        <f>IF(A507="","",IF(OR(H507="Transfers",H507="Income",D507="Transfer",D507="Category Pending",F507="Pending"),"No","Yes"))</f>
      </c>
      <c r="K507" s="4">
        <f>IF(A507="","",TEXT(IF(DAY(A507)&gt;=Setup!$B$9,DATE(YEAR(A507),MONTH(A507)+1,1),DATE(YEAR(A507),MONTH(A507),1)),"mmmm yyyy"))</f>
      </c>
      <c r="L507" s="47">
        <f>IF(A507="",0,IF(AND(J507="Yes",E507&lt;0),-E507,0))</f>
      </c>
      <c r="M507" s="47">
        <f>IF(A507="",0,IF(AND(J507="Yes",E507&gt;0),E507,0))</f>
      </c>
      <c r="N507">
        <f>IF(A507="","",IF(D507="Category Pending","Needs categorization",IF(COUNTIFS($A$2:A507,A507,$B$2:B507,B507,$E$2:E507,E507)&gt;1,"Possible duplicate","")))</f>
      </c>
    </row>
    <row r="508" spans="3:14" x14ac:dyDescent="0.3">
      <c r="A508"/>
      <c r="C508" s="16"/>
      <c r="G508" s="5">
        <f>IF(A508="","","Checking")</f>
      </c>
      <c r="H508">
        <f>IF(A508="","",IFERROR(XLOOKUP(D508,Setup!$E$15:$E$79,Setup!$F$15:$F$79),"Miscellaneous"))</f>
      </c>
      <c r="I508">
        <f>IF(A508="","",IFERROR(XLOOKUP(D508,Setup!$E$15:$E$79,Setup!$G$15:$G$79),"Uncategorized"))</f>
      </c>
      <c r="J508">
        <f>IF(A508="","",IF(OR(H508="Transfers",H508="Income",D508="Transfer",D508="Category Pending",F508="Pending"),"No","Yes"))</f>
      </c>
      <c r="K508" s="4">
        <f>IF(A508="","",TEXT(IF(DAY(A508)&gt;=Setup!$B$9,DATE(YEAR(A508),MONTH(A508)+1,1),DATE(YEAR(A508),MONTH(A508),1)),"mmmm yyyy"))</f>
      </c>
      <c r="L508" s="47">
        <f>IF(A508="",0,IF(AND(J508="Yes",E508&lt;0),-E508,0))</f>
      </c>
      <c r="M508" s="47">
        <f>IF(A508="",0,IF(AND(J508="Yes",E508&gt;0),E508,0))</f>
      </c>
      <c r="N508">
        <f>IF(A508="","",IF(D508="Category Pending","Needs categorization",IF(COUNTIFS($A$2:A508,A508,$B$2:B508,B508,$E$2:E508,E508)&gt;1,"Possible duplicate","")))</f>
      </c>
    </row>
    <row r="509" spans="3:14" x14ac:dyDescent="0.3">
      <c r="A509"/>
      <c r="C509" s="16"/>
      <c r="G509" s="5">
        <f>IF(A509="","","Checking")</f>
      </c>
      <c r="H509">
        <f>IF(A509="","",IFERROR(XLOOKUP(D509,Setup!$E$15:$E$79,Setup!$F$15:$F$79),"Miscellaneous"))</f>
      </c>
      <c r="I509">
        <f>IF(A509="","",IFERROR(XLOOKUP(D509,Setup!$E$15:$E$79,Setup!$G$15:$G$79),"Uncategorized"))</f>
      </c>
      <c r="J509">
        <f>IF(A509="","",IF(OR(H509="Transfers",H509="Income",D509="Transfer",D509="Category Pending",F509="Pending"),"No","Yes"))</f>
      </c>
      <c r="K509" s="4">
        <f>IF(A509="","",TEXT(IF(DAY(A509)&gt;=Setup!$B$9,DATE(YEAR(A509),MONTH(A509)+1,1),DATE(YEAR(A509),MONTH(A509),1)),"mmmm yyyy"))</f>
      </c>
      <c r="L509" s="47">
        <f>IF(A509="",0,IF(AND(J509="Yes",E509&lt;0),-E509,0))</f>
      </c>
      <c r="M509" s="47">
        <f>IF(A509="",0,IF(AND(J509="Yes",E509&gt;0),E509,0))</f>
      </c>
      <c r="N509">
        <f>IF(A509="","",IF(D509="Category Pending","Needs categorization",IF(COUNTIFS($A$2:A509,A509,$B$2:B509,B509,$E$2:E509,E509)&gt;1,"Possible duplicate","")))</f>
      </c>
    </row>
    <row r="510" spans="3:14" x14ac:dyDescent="0.3">
      <c r="A510"/>
      <c r="C510" s="16"/>
      <c r="G510" s="5">
        <f>IF(A510="","","Checking")</f>
      </c>
      <c r="H510">
        <f>IF(A510="","",IFERROR(XLOOKUP(D510,Setup!$E$15:$E$79,Setup!$F$15:$F$79),"Miscellaneous"))</f>
      </c>
      <c r="I510">
        <f>IF(A510="","",IFERROR(XLOOKUP(D510,Setup!$E$15:$E$79,Setup!$G$15:$G$79),"Uncategorized"))</f>
      </c>
      <c r="J510">
        <f>IF(A510="","",IF(OR(H510="Transfers",H510="Income",D510="Transfer",D510="Category Pending",F510="Pending"),"No","Yes"))</f>
      </c>
      <c r="K510" s="4">
        <f>IF(A510="","",TEXT(IF(DAY(A510)&gt;=Setup!$B$9,DATE(YEAR(A510),MONTH(A510)+1,1),DATE(YEAR(A510),MONTH(A510),1)),"mmmm yyyy"))</f>
      </c>
      <c r="L510" s="47">
        <f>IF(A510="",0,IF(AND(J510="Yes",E510&lt;0),-E510,0))</f>
      </c>
      <c r="M510" s="47">
        <f>IF(A510="",0,IF(AND(J510="Yes",E510&gt;0),E510,0))</f>
      </c>
      <c r="N510">
        <f>IF(A510="","",IF(D510="Category Pending","Needs categorization",IF(COUNTIFS($A$2:A510,A510,$B$2:B510,B510,$E$2:E510,E510)&gt;1,"Possible duplicate","")))</f>
      </c>
    </row>
    <row r="511" spans="3:14" x14ac:dyDescent="0.3">
      <c r="A511"/>
      <c r="C511" s="16"/>
      <c r="G511" s="5">
        <f>IF(A511="","","Checking")</f>
      </c>
      <c r="H511">
        <f>IF(A511="","",IFERROR(XLOOKUP(D511,Setup!$E$15:$E$79,Setup!$F$15:$F$79),"Miscellaneous"))</f>
      </c>
      <c r="I511">
        <f>IF(A511="","",IFERROR(XLOOKUP(D511,Setup!$E$15:$E$79,Setup!$G$15:$G$79),"Uncategorized"))</f>
      </c>
      <c r="J511">
        <f>IF(A511="","",IF(OR(H511="Transfers",H511="Income",D511="Transfer",D511="Category Pending",F511="Pending"),"No","Yes"))</f>
      </c>
      <c r="K511" s="4">
        <f>IF(A511="","",TEXT(IF(DAY(A511)&gt;=Setup!$B$9,DATE(YEAR(A511),MONTH(A511)+1,1),DATE(YEAR(A511),MONTH(A511),1)),"mmmm yyyy"))</f>
      </c>
      <c r="L511" s="47">
        <f>IF(A511="",0,IF(AND(J511="Yes",E511&lt;0),-E511,0))</f>
      </c>
      <c r="M511" s="47">
        <f>IF(A511="",0,IF(AND(J511="Yes",E511&gt;0),E511,0))</f>
      </c>
      <c r="N511">
        <f>IF(A511="","",IF(D511="Category Pending","Needs categorization",IF(COUNTIFS($A$2:A511,A511,$B$2:B511,B511,$E$2:E511,E511)&gt;1,"Possible duplicate","")))</f>
      </c>
    </row>
    <row r="512" spans="3:14" x14ac:dyDescent="0.3">
      <c r="A512"/>
      <c r="C512" s="16"/>
      <c r="G512" s="5">
        <f>IF(A512="","","Checking")</f>
      </c>
      <c r="H512">
        <f>IF(A512="","",IFERROR(XLOOKUP(D512,Setup!$E$15:$E$79,Setup!$F$15:$F$79),"Miscellaneous"))</f>
      </c>
      <c r="I512">
        <f>IF(A512="","",IFERROR(XLOOKUP(D512,Setup!$E$15:$E$79,Setup!$G$15:$G$79),"Uncategorized"))</f>
      </c>
      <c r="J512">
        <f>IF(A512="","",IF(OR(H512="Transfers",H512="Income",D512="Transfer",D512="Category Pending",F512="Pending"),"No","Yes"))</f>
      </c>
      <c r="K512" s="4">
        <f>IF(A512="","",TEXT(IF(DAY(A512)&gt;=Setup!$B$9,DATE(YEAR(A512),MONTH(A512)+1,1),DATE(YEAR(A512),MONTH(A512),1)),"mmmm yyyy"))</f>
      </c>
      <c r="L512" s="47">
        <f>IF(A512="",0,IF(AND(J512="Yes",E512&lt;0),-E512,0))</f>
      </c>
      <c r="M512" s="47">
        <f>IF(A512="",0,IF(AND(J512="Yes",E512&gt;0),E512,0))</f>
      </c>
      <c r="N512">
        <f>IF(A512="","",IF(D512="Category Pending","Needs categorization",IF(COUNTIFS($A$2:A512,A512,$B$2:B512,B512,$E$2:E512,E512)&gt;1,"Possible duplicate","")))</f>
      </c>
    </row>
    <row r="513" spans="3:14" x14ac:dyDescent="0.3">
      <c r="A513"/>
      <c r="C513" s="16"/>
      <c r="G513" s="5">
        <f>IF(A513="","","Checking")</f>
      </c>
      <c r="H513">
        <f>IF(A513="","",IFERROR(XLOOKUP(D513,Setup!$E$15:$E$79,Setup!$F$15:$F$79),"Miscellaneous"))</f>
      </c>
      <c r="I513">
        <f>IF(A513="","",IFERROR(XLOOKUP(D513,Setup!$E$15:$E$79,Setup!$G$15:$G$79),"Uncategorized"))</f>
      </c>
      <c r="J513">
        <f>IF(A513="","",IF(OR(H513="Transfers",H513="Income",D513="Transfer",D513="Category Pending",F513="Pending"),"No","Yes"))</f>
      </c>
      <c r="K513" s="4">
        <f>IF(A513="","",TEXT(IF(DAY(A513)&gt;=Setup!$B$9,DATE(YEAR(A513),MONTH(A513)+1,1),DATE(YEAR(A513),MONTH(A513),1)),"mmmm yyyy"))</f>
      </c>
      <c r="L513" s="47">
        <f>IF(A513="",0,IF(AND(J513="Yes",E513&lt;0),-E513,0))</f>
      </c>
      <c r="M513" s="47">
        <f>IF(A513="",0,IF(AND(J513="Yes",E513&gt;0),E513,0))</f>
      </c>
      <c r="N513">
        <f>IF(A513="","",IF(D513="Category Pending","Needs categorization",IF(COUNTIFS($A$2:A513,A513,$B$2:B513,B513,$E$2:E513,E513)&gt;1,"Possible duplicate","")))</f>
      </c>
    </row>
    <row r="514" spans="3:14" x14ac:dyDescent="0.3">
      <c r="A514"/>
      <c r="C514" s="16"/>
      <c r="G514" s="5">
        <f>IF(A514="","","Checking")</f>
      </c>
      <c r="H514">
        <f>IF(A514="","",IFERROR(XLOOKUP(D514,Setup!$E$15:$E$79,Setup!$F$15:$F$79),"Miscellaneous"))</f>
      </c>
      <c r="I514">
        <f>IF(A514="","",IFERROR(XLOOKUP(D514,Setup!$E$15:$E$79,Setup!$G$15:$G$79),"Uncategorized"))</f>
      </c>
      <c r="J514">
        <f>IF(A514="","",IF(OR(H514="Transfers",H514="Income",D514="Transfer",D514="Category Pending",F514="Pending"),"No","Yes"))</f>
      </c>
      <c r="K514" s="4">
        <f>IF(A514="","",TEXT(IF(DAY(A514)&gt;=Setup!$B$9,DATE(YEAR(A514),MONTH(A514)+1,1),DATE(YEAR(A514),MONTH(A514),1)),"mmmm yyyy"))</f>
      </c>
      <c r="L514" s="47">
        <f>IF(A514="",0,IF(AND(J514="Yes",E514&lt;0),-E514,0))</f>
      </c>
      <c r="M514" s="47">
        <f>IF(A514="",0,IF(AND(J514="Yes",E514&gt;0),E514,0))</f>
      </c>
      <c r="N514">
        <f>IF(A514="","",IF(D514="Category Pending","Needs categorization",IF(COUNTIFS($A$2:A514,A514,$B$2:B514,B514,$E$2:E514,E514)&gt;1,"Possible duplicate","")))</f>
      </c>
    </row>
    <row r="515" spans="3:14" x14ac:dyDescent="0.3">
      <c r="A515"/>
      <c r="C515" s="16"/>
      <c r="G515" s="5">
        <f>IF(A515="","","Checking")</f>
      </c>
      <c r="H515">
        <f>IF(A515="","",IFERROR(XLOOKUP(D515,Setup!$E$15:$E$79,Setup!$F$15:$F$79),"Miscellaneous"))</f>
      </c>
      <c r="I515">
        <f>IF(A515="","",IFERROR(XLOOKUP(D515,Setup!$E$15:$E$79,Setup!$G$15:$G$79),"Uncategorized"))</f>
      </c>
      <c r="J515">
        <f>IF(A515="","",IF(OR(H515="Transfers",H515="Income",D515="Transfer",D515="Category Pending",F515="Pending"),"No","Yes"))</f>
      </c>
      <c r="K515" s="4">
        <f>IF(A515="","",TEXT(IF(DAY(A515)&gt;=Setup!$B$9,DATE(YEAR(A515),MONTH(A515)+1,1),DATE(YEAR(A515),MONTH(A515),1)),"mmmm yyyy"))</f>
      </c>
      <c r="L515" s="47">
        <f>IF(A515="",0,IF(AND(J515="Yes",E515&lt;0),-E515,0))</f>
      </c>
      <c r="M515" s="47">
        <f>IF(A515="",0,IF(AND(J515="Yes",E515&gt;0),E515,0))</f>
      </c>
      <c r="N515">
        <f>IF(A515="","",IF(D515="Category Pending","Needs categorization",IF(COUNTIFS($A$2:A515,A515,$B$2:B515,B515,$E$2:E515,E515)&gt;1,"Possible duplicate","")))</f>
      </c>
    </row>
    <row r="516" spans="3:14" x14ac:dyDescent="0.3">
      <c r="A516"/>
      <c r="C516" s="16"/>
      <c r="G516" s="5">
        <f>IF(A516="","","Checking")</f>
      </c>
      <c r="H516">
        <f>IF(A516="","",IFERROR(XLOOKUP(D516,Setup!$E$15:$E$79,Setup!$F$15:$F$79),"Miscellaneous"))</f>
      </c>
      <c r="I516">
        <f>IF(A516="","",IFERROR(XLOOKUP(D516,Setup!$E$15:$E$79,Setup!$G$15:$G$79),"Uncategorized"))</f>
      </c>
      <c r="J516">
        <f>IF(A516="","",IF(OR(H516="Transfers",H516="Income",D516="Transfer",D516="Category Pending",F516="Pending"),"No","Yes"))</f>
      </c>
      <c r="K516" s="4">
        <f>IF(A516="","",TEXT(IF(DAY(A516)&gt;=Setup!$B$9,DATE(YEAR(A516),MONTH(A516)+1,1),DATE(YEAR(A516),MONTH(A516),1)),"mmmm yyyy"))</f>
      </c>
      <c r="L516" s="47">
        <f>IF(A516="",0,IF(AND(J516="Yes",E516&lt;0),-E516,0))</f>
      </c>
      <c r="M516" s="47">
        <f>IF(A516="",0,IF(AND(J516="Yes",E516&gt;0),E516,0))</f>
      </c>
      <c r="N516">
        <f>IF(A516="","",IF(D516="Category Pending","Needs categorization",IF(COUNTIFS($A$2:A516,A516,$B$2:B516,B516,$E$2:E516,E516)&gt;1,"Possible duplicate","")))</f>
      </c>
    </row>
    <row r="517" spans="3:14" x14ac:dyDescent="0.3">
      <c r="A517"/>
      <c r="C517" s="16"/>
      <c r="G517" s="5">
        <f>IF(A517="","","Checking")</f>
      </c>
      <c r="H517">
        <f>IF(A517="","",IFERROR(XLOOKUP(D517,Setup!$E$15:$E$79,Setup!$F$15:$F$79),"Miscellaneous"))</f>
      </c>
      <c r="I517">
        <f>IF(A517="","",IFERROR(XLOOKUP(D517,Setup!$E$15:$E$79,Setup!$G$15:$G$79),"Uncategorized"))</f>
      </c>
      <c r="J517">
        <f>IF(A517="","",IF(OR(H517="Transfers",H517="Income",D517="Transfer",D517="Category Pending",F517="Pending"),"No","Yes"))</f>
      </c>
      <c r="K517" s="4">
        <f>IF(A517="","",TEXT(IF(DAY(A517)&gt;=Setup!$B$9,DATE(YEAR(A517),MONTH(A517)+1,1),DATE(YEAR(A517),MONTH(A517),1)),"mmmm yyyy"))</f>
      </c>
      <c r="L517" s="47">
        <f>IF(A517="",0,IF(AND(J517="Yes",E517&lt;0),-E517,0))</f>
      </c>
      <c r="M517" s="47">
        <f>IF(A517="",0,IF(AND(J517="Yes",E517&gt;0),E517,0))</f>
      </c>
      <c r="N517">
        <f>IF(A517="","",IF(D517="Category Pending","Needs categorization",IF(COUNTIFS($A$2:A517,A517,$B$2:B517,B517,$E$2:E517,E517)&gt;1,"Possible duplicate","")))</f>
      </c>
    </row>
    <row r="518" spans="3:14" x14ac:dyDescent="0.3">
      <c r="A518"/>
      <c r="C518" s="16"/>
      <c r="G518" s="5">
        <f>IF(A518="","","Checking")</f>
      </c>
      <c r="H518">
        <f>IF(A518="","",IFERROR(XLOOKUP(D518,Setup!$E$15:$E$79,Setup!$F$15:$F$79),"Miscellaneous"))</f>
      </c>
      <c r="I518">
        <f>IF(A518="","",IFERROR(XLOOKUP(D518,Setup!$E$15:$E$79,Setup!$G$15:$G$79),"Uncategorized"))</f>
      </c>
      <c r="J518">
        <f>IF(A518="","",IF(OR(H518="Transfers",H518="Income",D518="Transfer",D518="Category Pending",F518="Pending"),"No","Yes"))</f>
      </c>
      <c r="K518" s="4">
        <f>IF(A518="","",TEXT(IF(DAY(A518)&gt;=Setup!$B$9,DATE(YEAR(A518),MONTH(A518)+1,1),DATE(YEAR(A518),MONTH(A518),1)),"mmmm yyyy"))</f>
      </c>
      <c r="L518" s="47">
        <f>IF(A518="",0,IF(AND(J518="Yes",E518&lt;0),-E518,0))</f>
      </c>
      <c r="M518" s="47">
        <f>IF(A518="",0,IF(AND(J518="Yes",E518&gt;0),E518,0))</f>
      </c>
      <c r="N518">
        <f>IF(A518="","",IF(D518="Category Pending","Needs categorization",IF(COUNTIFS($A$2:A518,A518,$B$2:B518,B518,$E$2:E518,E518)&gt;1,"Possible duplicate","")))</f>
      </c>
    </row>
    <row r="519" spans="3:14" x14ac:dyDescent="0.3">
      <c r="A519"/>
      <c r="C519" s="16"/>
      <c r="G519" s="5">
        <f>IF(A519="","","Checking")</f>
      </c>
      <c r="H519">
        <f>IF(A519="","",IFERROR(XLOOKUP(D519,Setup!$E$15:$E$79,Setup!$F$15:$F$79),"Miscellaneous"))</f>
      </c>
      <c r="I519">
        <f>IF(A519="","",IFERROR(XLOOKUP(D519,Setup!$E$15:$E$79,Setup!$G$15:$G$79),"Uncategorized"))</f>
      </c>
      <c r="J519">
        <f>IF(A519="","",IF(OR(H519="Transfers",H519="Income",D519="Transfer",D519="Category Pending",F519="Pending"),"No","Yes"))</f>
      </c>
      <c r="K519" s="4">
        <f>IF(A519="","",TEXT(IF(DAY(A519)&gt;=Setup!$B$9,DATE(YEAR(A519),MONTH(A519)+1,1),DATE(YEAR(A519),MONTH(A519),1)),"mmmm yyyy"))</f>
      </c>
      <c r="L519" s="47">
        <f>IF(A519="",0,IF(AND(J519="Yes",E519&lt;0),-E519,0))</f>
      </c>
      <c r="M519" s="47">
        <f>IF(A519="",0,IF(AND(J519="Yes",E519&gt;0),E519,0))</f>
      </c>
      <c r="N519">
        <f>IF(A519="","",IF(D519="Category Pending","Needs categorization",IF(COUNTIFS($A$2:A519,A519,$B$2:B519,B519,$E$2:E519,E519)&gt;1,"Possible duplicate","")))</f>
      </c>
    </row>
    <row r="520" spans="3:14" x14ac:dyDescent="0.3">
      <c r="A520"/>
      <c r="C520" s="16"/>
      <c r="G520" s="5">
        <f>IF(A520="","","Checking")</f>
      </c>
      <c r="H520">
        <f>IF(A520="","",IFERROR(XLOOKUP(D520,Setup!$E$15:$E$79,Setup!$F$15:$F$79),"Miscellaneous"))</f>
      </c>
      <c r="I520">
        <f>IF(A520="","",IFERROR(XLOOKUP(D520,Setup!$E$15:$E$79,Setup!$G$15:$G$79),"Uncategorized"))</f>
      </c>
      <c r="J520">
        <f>IF(A520="","",IF(OR(H520="Transfers",H520="Income",D520="Transfer",D520="Category Pending",F520="Pending"),"No","Yes"))</f>
      </c>
      <c r="K520" s="4">
        <f>IF(A520="","",TEXT(IF(DAY(A520)&gt;=Setup!$B$9,DATE(YEAR(A520),MONTH(A520)+1,1),DATE(YEAR(A520),MONTH(A520),1)),"mmmm yyyy"))</f>
      </c>
      <c r="L520" s="47">
        <f>IF(A520="",0,IF(AND(J520="Yes",E520&lt;0),-E520,0))</f>
      </c>
      <c r="M520" s="47">
        <f>IF(A520="",0,IF(AND(J520="Yes",E520&gt;0),E520,0))</f>
      </c>
      <c r="N520">
        <f>IF(A520="","",IF(D520="Category Pending","Needs categorization",IF(COUNTIFS($A$2:A520,A520,$B$2:B520,B520,$E$2:E520,E520)&gt;1,"Possible duplicate","")))</f>
      </c>
    </row>
    <row r="521" spans="3:14" x14ac:dyDescent="0.3">
      <c r="A521"/>
      <c r="C521" s="16"/>
      <c r="G521" s="5">
        <f>IF(A521="","","Checking")</f>
      </c>
      <c r="H521">
        <f>IF(A521="","",IFERROR(XLOOKUP(D521,Setup!$E$15:$E$79,Setup!$F$15:$F$79),"Miscellaneous"))</f>
      </c>
      <c r="I521">
        <f>IF(A521="","",IFERROR(XLOOKUP(D521,Setup!$E$15:$E$79,Setup!$G$15:$G$79),"Uncategorized"))</f>
      </c>
      <c r="J521">
        <f>IF(A521="","",IF(OR(H521="Transfers",H521="Income",D521="Transfer",D521="Category Pending",F521="Pending"),"No","Yes"))</f>
      </c>
      <c r="K521" s="4">
        <f>IF(A521="","",TEXT(IF(DAY(A521)&gt;=Setup!$B$9,DATE(YEAR(A521),MONTH(A521)+1,1),DATE(YEAR(A521),MONTH(A521),1)),"mmmm yyyy"))</f>
      </c>
      <c r="L521" s="47">
        <f>IF(A521="",0,IF(AND(J521="Yes",E521&lt;0),-E521,0))</f>
      </c>
      <c r="M521" s="47">
        <f>IF(A521="",0,IF(AND(J521="Yes",E521&gt;0),E521,0))</f>
      </c>
      <c r="N521">
        <f>IF(A521="","",IF(D521="Category Pending","Needs categorization",IF(COUNTIFS($A$2:A521,A521,$B$2:B521,B521,$E$2:E521,E521)&gt;1,"Possible duplicate","")))</f>
      </c>
    </row>
    <row r="522" spans="3:14" x14ac:dyDescent="0.3">
      <c r="A522"/>
      <c r="C522" s="16"/>
      <c r="G522" s="5">
        <f>IF(A522="","","Checking")</f>
      </c>
      <c r="H522">
        <f>IF(A522="","",IFERROR(XLOOKUP(D522,Setup!$E$15:$E$79,Setup!$F$15:$F$79),"Miscellaneous"))</f>
      </c>
      <c r="I522">
        <f>IF(A522="","",IFERROR(XLOOKUP(D522,Setup!$E$15:$E$79,Setup!$G$15:$G$79),"Uncategorized"))</f>
      </c>
      <c r="J522">
        <f>IF(A522="","",IF(OR(H522="Transfers",H522="Income",D522="Transfer",D522="Category Pending",F522="Pending"),"No","Yes"))</f>
      </c>
      <c r="K522" s="4">
        <f>IF(A522="","",TEXT(IF(DAY(A522)&gt;=Setup!$B$9,DATE(YEAR(A522),MONTH(A522)+1,1),DATE(YEAR(A522),MONTH(A522),1)),"mmmm yyyy"))</f>
      </c>
      <c r="L522" s="47">
        <f>IF(A522="",0,IF(AND(J522="Yes",E522&lt;0),-E522,0))</f>
      </c>
      <c r="M522" s="47">
        <f>IF(A522="",0,IF(AND(J522="Yes",E522&gt;0),E522,0))</f>
      </c>
      <c r="N522">
        <f>IF(A522="","",IF(D522="Category Pending","Needs categorization",IF(COUNTIFS($A$2:A522,A522,$B$2:B522,B522,$E$2:E522,E522)&gt;1,"Possible duplicate","")))</f>
      </c>
    </row>
    <row r="523" spans="3:14" x14ac:dyDescent="0.3">
      <c r="A523"/>
      <c r="C523" s="16"/>
      <c r="G523" s="5">
        <f>IF(A523="","","Checking")</f>
      </c>
      <c r="H523">
        <f>IF(A523="","",IFERROR(XLOOKUP(D523,Setup!$E$15:$E$79,Setup!$F$15:$F$79),"Miscellaneous"))</f>
      </c>
      <c r="I523">
        <f>IF(A523="","",IFERROR(XLOOKUP(D523,Setup!$E$15:$E$79,Setup!$G$15:$G$79),"Uncategorized"))</f>
      </c>
      <c r="J523">
        <f>IF(A523="","",IF(OR(H523="Transfers",H523="Income",D523="Transfer",D523="Category Pending",F523="Pending"),"No","Yes"))</f>
      </c>
      <c r="K523" s="4">
        <f>IF(A523="","",TEXT(IF(DAY(A523)&gt;=Setup!$B$9,DATE(YEAR(A523),MONTH(A523)+1,1),DATE(YEAR(A523),MONTH(A523),1)),"mmmm yyyy"))</f>
      </c>
      <c r="L523" s="47">
        <f>IF(A523="",0,IF(AND(J523="Yes",E523&lt;0),-E523,0))</f>
      </c>
      <c r="M523" s="47">
        <f>IF(A523="",0,IF(AND(J523="Yes",E523&gt;0),E523,0))</f>
      </c>
      <c r="N523">
        <f>IF(A523="","",IF(D523="Category Pending","Needs categorization",IF(COUNTIFS($A$2:A523,A523,$B$2:B523,B523,$E$2:E523,E523)&gt;1,"Possible duplicate","")))</f>
      </c>
    </row>
    <row r="524" spans="3:14" x14ac:dyDescent="0.3">
      <c r="A524"/>
      <c r="C524" s="16"/>
      <c r="G524" s="5">
        <f>IF(A524="","","Checking")</f>
      </c>
      <c r="H524">
        <f>IF(A524="","",IFERROR(XLOOKUP(D524,Setup!$E$15:$E$79,Setup!$F$15:$F$79),"Miscellaneous"))</f>
      </c>
      <c r="I524">
        <f>IF(A524="","",IFERROR(XLOOKUP(D524,Setup!$E$15:$E$79,Setup!$G$15:$G$79),"Uncategorized"))</f>
      </c>
      <c r="J524">
        <f>IF(A524="","",IF(OR(H524="Transfers",H524="Income",D524="Transfer",D524="Category Pending",F524="Pending"),"No","Yes"))</f>
      </c>
      <c r="K524" s="4">
        <f>IF(A524="","",TEXT(IF(DAY(A524)&gt;=Setup!$B$9,DATE(YEAR(A524),MONTH(A524)+1,1),DATE(YEAR(A524),MONTH(A524),1)),"mmmm yyyy"))</f>
      </c>
      <c r="L524" s="47">
        <f>IF(A524="",0,IF(AND(J524="Yes",E524&lt;0),-E524,0))</f>
      </c>
      <c r="M524" s="47">
        <f>IF(A524="",0,IF(AND(J524="Yes",E524&gt;0),E524,0))</f>
      </c>
      <c r="N524">
        <f>IF(A524="","",IF(D524="Category Pending","Needs categorization",IF(COUNTIFS($A$2:A524,A524,$B$2:B524,B524,$E$2:E524,E524)&gt;1,"Possible duplicate","")))</f>
      </c>
    </row>
    <row r="525" spans="3:14" x14ac:dyDescent="0.3">
      <c r="A525"/>
      <c r="C525" s="16"/>
      <c r="G525" s="5">
        <f>IF(A525="","","Checking")</f>
      </c>
      <c r="H525">
        <f>IF(A525="","",IFERROR(XLOOKUP(D525,Setup!$E$15:$E$79,Setup!$F$15:$F$79),"Miscellaneous"))</f>
      </c>
      <c r="I525">
        <f>IF(A525="","",IFERROR(XLOOKUP(D525,Setup!$E$15:$E$79,Setup!$G$15:$G$79),"Uncategorized"))</f>
      </c>
      <c r="J525">
        <f>IF(A525="","",IF(OR(H525="Transfers",H525="Income",D525="Transfer",D525="Category Pending",F525="Pending"),"No","Yes"))</f>
      </c>
      <c r="K525" s="4">
        <f>IF(A525="","",TEXT(IF(DAY(A525)&gt;=Setup!$B$9,DATE(YEAR(A525),MONTH(A525)+1,1),DATE(YEAR(A525),MONTH(A525),1)),"mmmm yyyy"))</f>
      </c>
      <c r="L525" s="47">
        <f>IF(A525="",0,IF(AND(J525="Yes",E525&lt;0),-E525,0))</f>
      </c>
      <c r="M525" s="47">
        <f>IF(A525="",0,IF(AND(J525="Yes",E525&gt;0),E525,0))</f>
      </c>
      <c r="N525">
        <f>IF(A525="","",IF(D525="Category Pending","Needs categorization",IF(COUNTIFS($A$2:A525,A525,$B$2:B525,B525,$E$2:E525,E525)&gt;1,"Possible duplicate","")))</f>
      </c>
    </row>
    <row r="526" spans="3:14" x14ac:dyDescent="0.3">
      <c r="A526"/>
      <c r="C526" s="16"/>
      <c r="G526" s="5">
        <f>IF(A526="","","Checking")</f>
      </c>
      <c r="H526">
        <f>IF(A526="","",IFERROR(XLOOKUP(D526,Setup!$E$15:$E$79,Setup!$F$15:$F$79),"Miscellaneous"))</f>
      </c>
      <c r="I526">
        <f>IF(A526="","",IFERROR(XLOOKUP(D526,Setup!$E$15:$E$79,Setup!$G$15:$G$79),"Uncategorized"))</f>
      </c>
      <c r="J526">
        <f>IF(A526="","",IF(OR(H526="Transfers",H526="Income",D526="Transfer",D526="Category Pending",F526="Pending"),"No","Yes"))</f>
      </c>
      <c r="K526" s="4">
        <f>IF(A526="","",TEXT(IF(DAY(A526)&gt;=Setup!$B$9,DATE(YEAR(A526),MONTH(A526)+1,1),DATE(YEAR(A526),MONTH(A526),1)),"mmmm yyyy"))</f>
      </c>
      <c r="L526" s="47">
        <f>IF(A526="",0,IF(AND(J526="Yes",E526&lt;0),-E526,0))</f>
      </c>
      <c r="M526" s="47">
        <f>IF(A526="",0,IF(AND(J526="Yes",E526&gt;0),E526,0))</f>
      </c>
      <c r="N526">
        <f>IF(A526="","",IF(D526="Category Pending","Needs categorization",IF(COUNTIFS($A$2:A526,A526,$B$2:B526,B526,$E$2:E526,E526)&gt;1,"Possible duplicate","")))</f>
      </c>
    </row>
    <row r="527" spans="3:14" x14ac:dyDescent="0.3">
      <c r="A527"/>
      <c r="C527" s="16"/>
      <c r="G527" s="5">
        <f>IF(A527="","","Checking")</f>
      </c>
      <c r="H527">
        <f>IF(A527="","",IFERROR(XLOOKUP(D527,Setup!$E$15:$E$79,Setup!$F$15:$F$79),"Miscellaneous"))</f>
      </c>
      <c r="I527">
        <f>IF(A527="","",IFERROR(XLOOKUP(D527,Setup!$E$15:$E$79,Setup!$G$15:$G$79),"Uncategorized"))</f>
      </c>
      <c r="J527">
        <f>IF(A527="","",IF(OR(H527="Transfers",H527="Income",D527="Transfer",D527="Category Pending",F527="Pending"),"No","Yes"))</f>
      </c>
      <c r="K527" s="4">
        <f>IF(A527="","",TEXT(IF(DAY(A527)&gt;=Setup!$B$9,DATE(YEAR(A527),MONTH(A527)+1,1),DATE(YEAR(A527),MONTH(A527),1)),"mmmm yyyy"))</f>
      </c>
      <c r="L527" s="47">
        <f>IF(A527="",0,IF(AND(J527="Yes",E527&lt;0),-E527,0))</f>
      </c>
      <c r="M527" s="47">
        <f>IF(A527="",0,IF(AND(J527="Yes",E527&gt;0),E527,0))</f>
      </c>
      <c r="N527">
        <f>IF(A527="","",IF(D527="Category Pending","Needs categorization",IF(COUNTIFS($A$2:A527,A527,$B$2:B527,B527,$E$2:E527,E527)&gt;1,"Possible duplicate","")))</f>
      </c>
    </row>
    <row r="528" spans="3:14" x14ac:dyDescent="0.3">
      <c r="A528"/>
      <c r="C528" s="16"/>
      <c r="G528" s="5">
        <f>IF(A528="","","Checking")</f>
      </c>
      <c r="H528">
        <f>IF(A528="","",IFERROR(XLOOKUP(D528,Setup!$E$15:$E$79,Setup!$F$15:$F$79),"Miscellaneous"))</f>
      </c>
      <c r="I528">
        <f>IF(A528="","",IFERROR(XLOOKUP(D528,Setup!$E$15:$E$79,Setup!$G$15:$G$79),"Uncategorized"))</f>
      </c>
      <c r="J528">
        <f>IF(A528="","",IF(OR(H528="Transfers",H528="Income",D528="Transfer",D528="Category Pending",F528="Pending"),"No","Yes"))</f>
      </c>
      <c r="K528" s="4">
        <f>IF(A528="","",TEXT(IF(DAY(A528)&gt;=Setup!$B$9,DATE(YEAR(A528),MONTH(A528)+1,1),DATE(YEAR(A528),MONTH(A528),1)),"mmmm yyyy"))</f>
      </c>
      <c r="L528" s="47">
        <f>IF(A528="",0,IF(AND(J528="Yes",E528&lt;0),-E528,0))</f>
      </c>
      <c r="M528" s="47">
        <f>IF(A528="",0,IF(AND(J528="Yes",E528&gt;0),E528,0))</f>
      </c>
      <c r="N528">
        <f>IF(A528="","",IF(D528="Category Pending","Needs categorization",IF(COUNTIFS($A$2:A528,A528,$B$2:B528,B528,$E$2:E528,E528)&gt;1,"Possible duplicate","")))</f>
      </c>
    </row>
    <row r="529" spans="3:14" x14ac:dyDescent="0.3">
      <c r="A529"/>
      <c r="C529" s="16"/>
      <c r="G529" s="5">
        <f>IF(A529="","","Checking")</f>
      </c>
      <c r="H529">
        <f>IF(A529="","",IFERROR(XLOOKUP(D529,Setup!$E$15:$E$79,Setup!$F$15:$F$79),"Miscellaneous"))</f>
      </c>
      <c r="I529">
        <f>IF(A529="","",IFERROR(XLOOKUP(D529,Setup!$E$15:$E$79,Setup!$G$15:$G$79),"Uncategorized"))</f>
      </c>
      <c r="J529">
        <f>IF(A529="","",IF(OR(H529="Transfers",H529="Income",D529="Transfer",D529="Category Pending",F529="Pending"),"No","Yes"))</f>
      </c>
      <c r="K529" s="4">
        <f>IF(A529="","",TEXT(IF(DAY(A529)&gt;=Setup!$B$9,DATE(YEAR(A529),MONTH(A529)+1,1),DATE(YEAR(A529),MONTH(A529),1)),"mmmm yyyy"))</f>
      </c>
      <c r="L529" s="47">
        <f>IF(A529="",0,IF(AND(J529="Yes",E529&lt;0),-E529,0))</f>
      </c>
      <c r="M529" s="47">
        <f>IF(A529="",0,IF(AND(J529="Yes",E529&gt;0),E529,0))</f>
      </c>
      <c r="N529">
        <f>IF(A529="","",IF(D529="Category Pending","Needs categorization",IF(COUNTIFS($A$2:A529,A529,$B$2:B529,B529,$E$2:E529,E529)&gt;1,"Possible duplicate","")))</f>
      </c>
    </row>
    <row r="530" spans="3:14" x14ac:dyDescent="0.3">
      <c r="A530"/>
      <c r="C530" s="16"/>
      <c r="G530" s="5">
        <f>IF(A530="","","Checking")</f>
      </c>
      <c r="H530">
        <f>IF(A530="","",IFERROR(XLOOKUP(D530,Setup!$E$15:$E$79,Setup!$F$15:$F$79),"Miscellaneous"))</f>
      </c>
      <c r="I530">
        <f>IF(A530="","",IFERROR(XLOOKUP(D530,Setup!$E$15:$E$79,Setup!$G$15:$G$79),"Uncategorized"))</f>
      </c>
      <c r="J530">
        <f>IF(A530="","",IF(OR(H530="Transfers",H530="Income",D530="Transfer",D530="Category Pending",F530="Pending"),"No","Yes"))</f>
      </c>
      <c r="K530" s="4">
        <f>IF(A530="","",TEXT(IF(DAY(A530)&gt;=Setup!$B$9,DATE(YEAR(A530),MONTH(A530)+1,1),DATE(YEAR(A530),MONTH(A530),1)),"mmmm yyyy"))</f>
      </c>
      <c r="L530" s="47">
        <f>IF(A530="",0,IF(AND(J530="Yes",E530&lt;0),-E530,0))</f>
      </c>
      <c r="M530" s="47">
        <f>IF(A530="",0,IF(AND(J530="Yes",E530&gt;0),E530,0))</f>
      </c>
      <c r="N530">
        <f>IF(A530="","",IF(D530="Category Pending","Needs categorization",IF(COUNTIFS($A$2:A530,A530,$B$2:B530,B530,$E$2:E530,E530)&gt;1,"Possible duplicate","")))</f>
      </c>
    </row>
    <row r="531" spans="3:14" x14ac:dyDescent="0.3">
      <c r="A531"/>
      <c r="C531" s="16"/>
      <c r="G531" s="5">
        <f>IF(A531="","","Checking")</f>
      </c>
      <c r="H531">
        <f>IF(A531="","",IFERROR(XLOOKUP(D531,Setup!$E$15:$E$79,Setup!$F$15:$F$79),"Miscellaneous"))</f>
      </c>
      <c r="I531">
        <f>IF(A531="","",IFERROR(XLOOKUP(D531,Setup!$E$15:$E$79,Setup!$G$15:$G$79),"Uncategorized"))</f>
      </c>
      <c r="J531">
        <f>IF(A531="","",IF(OR(H531="Transfers",H531="Income",D531="Transfer",D531="Category Pending",F531="Pending"),"No","Yes"))</f>
      </c>
      <c r="K531" s="4">
        <f>IF(A531="","",TEXT(IF(DAY(A531)&gt;=Setup!$B$9,DATE(YEAR(A531),MONTH(A531)+1,1),DATE(YEAR(A531),MONTH(A531),1)),"mmmm yyyy"))</f>
      </c>
      <c r="L531" s="47">
        <f>IF(A531="",0,IF(AND(J531="Yes",E531&lt;0),-E531,0))</f>
      </c>
      <c r="M531" s="47">
        <f>IF(A531="",0,IF(AND(J531="Yes",E531&gt;0),E531,0))</f>
      </c>
      <c r="N531">
        <f>IF(A531="","",IF(D531="Category Pending","Needs categorization",IF(COUNTIFS($A$2:A531,A531,$B$2:B531,B531,$E$2:E531,E531)&gt;1,"Possible duplicate","")))</f>
      </c>
    </row>
    <row r="532" spans="3:14" x14ac:dyDescent="0.3">
      <c r="A532"/>
      <c r="C532" s="16"/>
      <c r="G532" s="5">
        <f>IF(A532="","","Checking")</f>
      </c>
      <c r="H532">
        <f>IF(A532="","",IFERROR(XLOOKUP(D532,Setup!$E$15:$E$79,Setup!$F$15:$F$79),"Miscellaneous"))</f>
      </c>
      <c r="I532">
        <f>IF(A532="","",IFERROR(XLOOKUP(D532,Setup!$E$15:$E$79,Setup!$G$15:$G$79),"Uncategorized"))</f>
      </c>
      <c r="J532">
        <f>IF(A532="","",IF(OR(H532="Transfers",H532="Income",D532="Transfer",D532="Category Pending",F532="Pending"),"No","Yes"))</f>
      </c>
      <c r="K532" s="4">
        <f>IF(A532="","",TEXT(IF(DAY(A532)&gt;=Setup!$B$9,DATE(YEAR(A532),MONTH(A532)+1,1),DATE(YEAR(A532),MONTH(A532),1)),"mmmm yyyy"))</f>
      </c>
      <c r="L532" s="47">
        <f>IF(A532="",0,IF(AND(J532="Yes",E532&lt;0),-E532,0))</f>
      </c>
      <c r="M532" s="47">
        <f>IF(A532="",0,IF(AND(J532="Yes",E532&gt;0),E532,0))</f>
      </c>
      <c r="N532">
        <f>IF(A532="","",IF(D532="Category Pending","Needs categorization",IF(COUNTIFS($A$2:A532,A532,$B$2:B532,B532,$E$2:E532,E532)&gt;1,"Possible duplicate","")))</f>
      </c>
    </row>
    <row r="533" spans="3:14" x14ac:dyDescent="0.3">
      <c r="A533"/>
      <c r="C533" s="16"/>
      <c r="G533" s="5">
        <f>IF(A533="","","Checking")</f>
      </c>
      <c r="H533">
        <f>IF(A533="","",IFERROR(XLOOKUP(D533,Setup!$E$15:$E$79,Setup!$F$15:$F$79),"Miscellaneous"))</f>
      </c>
      <c r="I533">
        <f>IF(A533="","",IFERROR(XLOOKUP(D533,Setup!$E$15:$E$79,Setup!$G$15:$G$79),"Uncategorized"))</f>
      </c>
      <c r="J533">
        <f>IF(A533="","",IF(OR(H533="Transfers",H533="Income",D533="Transfer",D533="Category Pending",F533="Pending"),"No","Yes"))</f>
      </c>
      <c r="K533" s="4">
        <f>IF(A533="","",TEXT(IF(DAY(A533)&gt;=Setup!$B$9,DATE(YEAR(A533),MONTH(A533)+1,1),DATE(YEAR(A533),MONTH(A533),1)),"mmmm yyyy"))</f>
      </c>
      <c r="L533" s="47">
        <f>IF(A533="",0,IF(AND(J533="Yes",E533&lt;0),-E533,0))</f>
      </c>
      <c r="M533" s="47">
        <f>IF(A533="",0,IF(AND(J533="Yes",E533&gt;0),E533,0))</f>
      </c>
      <c r="N533">
        <f>IF(A533="","",IF(D533="Category Pending","Needs categorization",IF(COUNTIFS($A$2:A533,A533,$B$2:B533,B533,$E$2:E533,E533)&gt;1,"Possible duplicate","")))</f>
      </c>
    </row>
    <row r="534" spans="3:14" x14ac:dyDescent="0.3">
      <c r="A534"/>
      <c r="C534" s="16"/>
      <c r="G534" s="5">
        <f>IF(A534="","","Checking")</f>
      </c>
      <c r="H534">
        <f>IF(A534="","",IFERROR(XLOOKUP(D534,Setup!$E$15:$E$79,Setup!$F$15:$F$79),"Miscellaneous"))</f>
      </c>
      <c r="I534">
        <f>IF(A534="","",IFERROR(XLOOKUP(D534,Setup!$E$15:$E$79,Setup!$G$15:$G$79),"Uncategorized"))</f>
      </c>
      <c r="J534">
        <f>IF(A534="","",IF(OR(H534="Transfers",H534="Income",D534="Transfer",D534="Category Pending",F534="Pending"),"No","Yes"))</f>
      </c>
      <c r="K534" s="4">
        <f>IF(A534="","",TEXT(IF(DAY(A534)&gt;=Setup!$B$9,DATE(YEAR(A534),MONTH(A534)+1,1),DATE(YEAR(A534),MONTH(A534),1)),"mmmm yyyy"))</f>
      </c>
      <c r="L534" s="47">
        <f>IF(A534="",0,IF(AND(J534="Yes",E534&lt;0),-E534,0))</f>
      </c>
      <c r="M534" s="47">
        <f>IF(A534="",0,IF(AND(J534="Yes",E534&gt;0),E534,0))</f>
      </c>
      <c r="N534">
        <f>IF(A534="","",IF(D534="Category Pending","Needs categorization",IF(COUNTIFS($A$2:A534,A534,$B$2:B534,B534,$E$2:E534,E534)&gt;1,"Possible duplicate","")))</f>
      </c>
    </row>
    <row r="535" spans="3:14" x14ac:dyDescent="0.3">
      <c r="A535"/>
      <c r="C535" s="16"/>
      <c r="G535" s="5">
        <f>IF(A535="","","Checking")</f>
      </c>
      <c r="H535">
        <f>IF(A535="","",IFERROR(XLOOKUP(D535,Setup!$E$15:$E$79,Setup!$F$15:$F$79),"Miscellaneous"))</f>
      </c>
      <c r="I535">
        <f>IF(A535="","",IFERROR(XLOOKUP(D535,Setup!$E$15:$E$79,Setup!$G$15:$G$79),"Uncategorized"))</f>
      </c>
      <c r="J535">
        <f>IF(A535="","",IF(OR(H535="Transfers",H535="Income",D535="Transfer",D535="Category Pending",F535="Pending"),"No","Yes"))</f>
      </c>
      <c r="K535" s="4">
        <f>IF(A535="","",TEXT(IF(DAY(A535)&gt;=Setup!$B$9,DATE(YEAR(A535),MONTH(A535)+1,1),DATE(YEAR(A535),MONTH(A535),1)),"mmmm yyyy"))</f>
      </c>
      <c r="L535" s="47">
        <f>IF(A535="",0,IF(AND(J535="Yes",E535&lt;0),-E535,0))</f>
      </c>
      <c r="M535" s="47">
        <f>IF(A535="",0,IF(AND(J535="Yes",E535&gt;0),E535,0))</f>
      </c>
      <c r="N535">
        <f>IF(A535="","",IF(D535="Category Pending","Needs categorization",IF(COUNTIFS($A$2:A535,A535,$B$2:B535,B535,$E$2:E535,E535)&gt;1,"Possible duplicate","")))</f>
      </c>
    </row>
    <row r="536" spans="3:14" x14ac:dyDescent="0.3">
      <c r="A536"/>
      <c r="C536" s="16"/>
      <c r="G536" s="5">
        <f>IF(A536="","","Checking")</f>
      </c>
      <c r="H536">
        <f>IF(A536="","",IFERROR(XLOOKUP(D536,Setup!$E$15:$E$79,Setup!$F$15:$F$79),"Miscellaneous"))</f>
      </c>
      <c r="I536">
        <f>IF(A536="","",IFERROR(XLOOKUP(D536,Setup!$E$15:$E$79,Setup!$G$15:$G$79),"Uncategorized"))</f>
      </c>
      <c r="J536">
        <f>IF(A536="","",IF(OR(H536="Transfers",H536="Income",D536="Transfer",D536="Category Pending",F536="Pending"),"No","Yes"))</f>
      </c>
      <c r="K536" s="4">
        <f>IF(A536="","",TEXT(IF(DAY(A536)&gt;=Setup!$B$9,DATE(YEAR(A536),MONTH(A536)+1,1),DATE(YEAR(A536),MONTH(A536),1)),"mmmm yyyy"))</f>
      </c>
      <c r="L536" s="47">
        <f>IF(A536="",0,IF(AND(J536="Yes",E536&lt;0),-E536,0))</f>
      </c>
      <c r="M536" s="47">
        <f>IF(A536="",0,IF(AND(J536="Yes",E536&gt;0),E536,0))</f>
      </c>
      <c r="N536">
        <f>IF(A536="","",IF(D536="Category Pending","Needs categorization",IF(COUNTIFS($A$2:A536,A536,$B$2:B536,B536,$E$2:E536,E536)&gt;1,"Possible duplicate","")))</f>
      </c>
    </row>
    <row r="537" spans="3:14" x14ac:dyDescent="0.3">
      <c r="A537"/>
      <c r="C537" s="16"/>
      <c r="G537" s="5">
        <f>IF(A537="","","Checking")</f>
      </c>
      <c r="H537">
        <f>IF(A537="","",IFERROR(XLOOKUP(D537,Setup!$E$15:$E$79,Setup!$F$15:$F$79),"Miscellaneous"))</f>
      </c>
      <c r="I537">
        <f>IF(A537="","",IFERROR(XLOOKUP(D537,Setup!$E$15:$E$79,Setup!$G$15:$G$79),"Uncategorized"))</f>
      </c>
      <c r="J537">
        <f>IF(A537="","",IF(OR(H537="Transfers",H537="Income",D537="Transfer",D537="Category Pending",F537="Pending"),"No","Yes"))</f>
      </c>
      <c r="K537" s="4">
        <f>IF(A537="","",TEXT(IF(DAY(A537)&gt;=Setup!$B$9,DATE(YEAR(A537),MONTH(A537)+1,1),DATE(YEAR(A537),MONTH(A537),1)),"mmmm yyyy"))</f>
      </c>
      <c r="L537" s="47">
        <f>IF(A537="",0,IF(AND(J537="Yes",E537&lt;0),-E537,0))</f>
      </c>
      <c r="M537" s="47">
        <f>IF(A537="",0,IF(AND(J537="Yes",E537&gt;0),E537,0))</f>
      </c>
      <c r="N537">
        <f>IF(A537="","",IF(D537="Category Pending","Needs categorization",IF(COUNTIFS($A$2:A537,A537,$B$2:B537,B537,$E$2:E537,E537)&gt;1,"Possible duplicate","")))</f>
      </c>
    </row>
    <row r="538" spans="3:14" x14ac:dyDescent="0.3">
      <c r="A538"/>
      <c r="C538" s="16"/>
      <c r="G538" s="5">
        <f>IF(A538="","","Checking")</f>
      </c>
      <c r="H538">
        <f>IF(A538="","",IFERROR(XLOOKUP(D538,Setup!$E$15:$E$79,Setup!$F$15:$F$79),"Miscellaneous"))</f>
      </c>
      <c r="I538">
        <f>IF(A538="","",IFERROR(XLOOKUP(D538,Setup!$E$15:$E$79,Setup!$G$15:$G$79),"Uncategorized"))</f>
      </c>
      <c r="J538">
        <f>IF(A538="","",IF(OR(H538="Transfers",H538="Income",D538="Transfer",D538="Category Pending",F538="Pending"),"No","Yes"))</f>
      </c>
      <c r="K538" s="4">
        <f>IF(A538="","",TEXT(IF(DAY(A538)&gt;=Setup!$B$9,DATE(YEAR(A538),MONTH(A538)+1,1),DATE(YEAR(A538),MONTH(A538),1)),"mmmm yyyy"))</f>
      </c>
      <c r="L538" s="47">
        <f>IF(A538="",0,IF(AND(J538="Yes",E538&lt;0),-E538,0))</f>
      </c>
      <c r="M538" s="47">
        <f>IF(A538="",0,IF(AND(J538="Yes",E538&gt;0),E538,0))</f>
      </c>
      <c r="N538">
        <f>IF(A538="","",IF(D538="Category Pending","Needs categorization",IF(COUNTIFS($A$2:A538,A538,$B$2:B538,B538,$E$2:E538,E538)&gt;1,"Possible duplicate","")))</f>
      </c>
    </row>
    <row r="539" spans="3:14" x14ac:dyDescent="0.3">
      <c r="A539"/>
      <c r="C539" s="16"/>
      <c r="G539" s="5">
        <f>IF(A539="","","Checking")</f>
      </c>
      <c r="H539">
        <f>IF(A539="","",IFERROR(XLOOKUP(D539,Setup!$E$15:$E$79,Setup!$F$15:$F$79),"Miscellaneous"))</f>
      </c>
      <c r="I539">
        <f>IF(A539="","",IFERROR(XLOOKUP(D539,Setup!$E$15:$E$79,Setup!$G$15:$G$79),"Uncategorized"))</f>
      </c>
      <c r="J539">
        <f>IF(A539="","",IF(OR(H539="Transfers",H539="Income",D539="Transfer",D539="Category Pending",F539="Pending"),"No","Yes"))</f>
      </c>
      <c r="K539" s="4">
        <f>IF(A539="","",TEXT(IF(DAY(A539)&gt;=Setup!$B$9,DATE(YEAR(A539),MONTH(A539)+1,1),DATE(YEAR(A539),MONTH(A539),1)),"mmmm yyyy"))</f>
      </c>
      <c r="L539" s="47">
        <f>IF(A539="",0,IF(AND(J539="Yes",E539&lt;0),-E539,0))</f>
      </c>
      <c r="M539" s="47">
        <f>IF(A539="",0,IF(AND(J539="Yes",E539&gt;0),E539,0))</f>
      </c>
      <c r="N539">
        <f>IF(A539="","",IF(D539="Category Pending","Needs categorization",IF(COUNTIFS($A$2:A539,A539,$B$2:B539,B539,$E$2:E539,E539)&gt;1,"Possible duplicate","")))</f>
      </c>
    </row>
    <row r="540" spans="3:14" x14ac:dyDescent="0.3">
      <c r="A540"/>
      <c r="C540" s="16"/>
      <c r="G540" s="5">
        <f>IF(A540="","","Checking")</f>
      </c>
      <c r="H540">
        <f>IF(A540="","",IFERROR(XLOOKUP(D540,Setup!$E$15:$E$79,Setup!$F$15:$F$79),"Miscellaneous"))</f>
      </c>
      <c r="I540">
        <f>IF(A540="","",IFERROR(XLOOKUP(D540,Setup!$E$15:$E$79,Setup!$G$15:$G$79),"Uncategorized"))</f>
      </c>
      <c r="J540">
        <f>IF(A540="","",IF(OR(H540="Transfers",H540="Income",D540="Transfer",D540="Category Pending",F540="Pending"),"No","Yes"))</f>
      </c>
      <c r="K540" s="4">
        <f>IF(A540="","",TEXT(IF(DAY(A540)&gt;=Setup!$B$9,DATE(YEAR(A540),MONTH(A540)+1,1),DATE(YEAR(A540),MONTH(A540),1)),"mmmm yyyy"))</f>
      </c>
      <c r="L540" s="47">
        <f>IF(A540="",0,IF(AND(J540="Yes",E540&lt;0),-E540,0))</f>
      </c>
      <c r="M540" s="47">
        <f>IF(A540="",0,IF(AND(J540="Yes",E540&gt;0),E540,0))</f>
      </c>
      <c r="N540">
        <f>IF(A540="","",IF(D540="Category Pending","Needs categorization",IF(COUNTIFS($A$2:A540,A540,$B$2:B540,B540,$E$2:E540,E540)&gt;1,"Possible duplicate","")))</f>
      </c>
    </row>
    <row r="541" spans="3:14" x14ac:dyDescent="0.3">
      <c r="A541"/>
      <c r="C541" s="16"/>
      <c r="G541" s="5">
        <f>IF(A541="","","Checking")</f>
      </c>
      <c r="H541">
        <f>IF(A541="","",IFERROR(XLOOKUP(D541,Setup!$E$15:$E$79,Setup!$F$15:$F$79),"Miscellaneous"))</f>
      </c>
      <c r="I541">
        <f>IF(A541="","",IFERROR(XLOOKUP(D541,Setup!$E$15:$E$79,Setup!$G$15:$G$79),"Uncategorized"))</f>
      </c>
      <c r="J541">
        <f>IF(A541="","",IF(OR(H541="Transfers",H541="Income",D541="Transfer",D541="Category Pending",F541="Pending"),"No","Yes"))</f>
      </c>
      <c r="K541" s="4">
        <f>IF(A541="","",TEXT(IF(DAY(A541)&gt;=Setup!$B$9,DATE(YEAR(A541),MONTH(A541)+1,1),DATE(YEAR(A541),MONTH(A541),1)),"mmmm yyyy"))</f>
      </c>
      <c r="L541" s="47">
        <f>IF(A541="",0,IF(AND(J541="Yes",E541&lt;0),-E541,0))</f>
      </c>
      <c r="M541" s="47">
        <f>IF(A541="",0,IF(AND(J541="Yes",E541&gt;0),E541,0))</f>
      </c>
      <c r="N541">
        <f>IF(A541="","",IF(D541="Category Pending","Needs categorization",IF(COUNTIFS($A$2:A541,A541,$B$2:B541,B541,$E$2:E541,E541)&gt;1,"Possible duplicate","")))</f>
      </c>
    </row>
    <row r="542" spans="3:14" x14ac:dyDescent="0.3">
      <c r="A542"/>
      <c r="C542" s="16"/>
      <c r="G542" s="5">
        <f>IF(A542="","","Checking")</f>
      </c>
      <c r="H542">
        <f>IF(A542="","",IFERROR(XLOOKUP(D542,Setup!$E$15:$E$79,Setup!$F$15:$F$79),"Miscellaneous"))</f>
      </c>
      <c r="I542">
        <f>IF(A542="","",IFERROR(XLOOKUP(D542,Setup!$E$15:$E$79,Setup!$G$15:$G$79),"Uncategorized"))</f>
      </c>
      <c r="J542">
        <f>IF(A542="","",IF(OR(H542="Transfers",H542="Income",D542="Transfer",D542="Category Pending",F542="Pending"),"No","Yes"))</f>
      </c>
      <c r="K542" s="4">
        <f>IF(A542="","",TEXT(IF(DAY(A542)&gt;=Setup!$B$9,DATE(YEAR(A542),MONTH(A542)+1,1),DATE(YEAR(A542),MONTH(A542),1)),"mmmm yyyy"))</f>
      </c>
      <c r="L542" s="47">
        <f>IF(A542="",0,IF(AND(J542="Yes",E542&lt;0),-E542,0))</f>
      </c>
      <c r="M542" s="47">
        <f>IF(A542="",0,IF(AND(J542="Yes",E542&gt;0),E542,0))</f>
      </c>
      <c r="N542">
        <f>IF(A542="","",IF(D542="Category Pending","Needs categorization",IF(COUNTIFS($A$2:A542,A542,$B$2:B542,B542,$E$2:E542,E542)&gt;1,"Possible duplicate","")))</f>
      </c>
    </row>
    <row r="543" spans="3:14" x14ac:dyDescent="0.3">
      <c r="A543"/>
      <c r="C543" s="16"/>
      <c r="G543" s="5">
        <f>IF(A543="","","Checking")</f>
      </c>
      <c r="H543">
        <f>IF(A543="","",IFERROR(XLOOKUP(D543,Setup!$E$15:$E$79,Setup!$F$15:$F$79),"Miscellaneous"))</f>
      </c>
      <c r="I543">
        <f>IF(A543="","",IFERROR(XLOOKUP(D543,Setup!$E$15:$E$79,Setup!$G$15:$G$79),"Uncategorized"))</f>
      </c>
      <c r="J543">
        <f>IF(A543="","",IF(OR(H543="Transfers",H543="Income",D543="Transfer",D543="Category Pending",F543="Pending"),"No","Yes"))</f>
      </c>
      <c r="K543" s="4">
        <f>IF(A543="","",TEXT(IF(DAY(A543)&gt;=Setup!$B$9,DATE(YEAR(A543),MONTH(A543)+1,1),DATE(YEAR(A543),MONTH(A543),1)),"mmmm yyyy"))</f>
      </c>
      <c r="L543" s="47">
        <f>IF(A543="",0,IF(AND(J543="Yes",E543&lt;0),-E543,0))</f>
      </c>
      <c r="M543" s="47">
        <f>IF(A543="",0,IF(AND(J543="Yes",E543&gt;0),E543,0))</f>
      </c>
      <c r="N543">
        <f>IF(A543="","",IF(D543="Category Pending","Needs categorization",IF(COUNTIFS($A$2:A543,A543,$B$2:B543,B543,$E$2:E543,E543)&gt;1,"Possible duplicate","")))</f>
      </c>
    </row>
    <row r="544" spans="3:14" x14ac:dyDescent="0.3">
      <c r="A544"/>
      <c r="C544" s="16"/>
      <c r="G544" s="5">
        <f>IF(A544="","","Checking")</f>
      </c>
      <c r="H544">
        <f>IF(A544="","",IFERROR(XLOOKUP(D544,Setup!$E$15:$E$79,Setup!$F$15:$F$79),"Miscellaneous"))</f>
      </c>
      <c r="I544">
        <f>IF(A544="","",IFERROR(XLOOKUP(D544,Setup!$E$15:$E$79,Setup!$G$15:$G$79),"Uncategorized"))</f>
      </c>
      <c r="J544">
        <f>IF(A544="","",IF(OR(H544="Transfers",H544="Income",D544="Transfer",D544="Category Pending",F544="Pending"),"No","Yes"))</f>
      </c>
      <c r="K544" s="4">
        <f>IF(A544="","",TEXT(IF(DAY(A544)&gt;=Setup!$B$9,DATE(YEAR(A544),MONTH(A544)+1,1),DATE(YEAR(A544),MONTH(A544),1)),"mmmm yyyy"))</f>
      </c>
      <c r="L544" s="47">
        <f>IF(A544="",0,IF(AND(J544="Yes",E544&lt;0),-E544,0))</f>
      </c>
      <c r="M544" s="47">
        <f>IF(A544="",0,IF(AND(J544="Yes",E544&gt;0),E544,0))</f>
      </c>
      <c r="N544">
        <f>IF(A544="","",IF(D544="Category Pending","Needs categorization",IF(COUNTIFS($A$2:A544,A544,$B$2:B544,B544,$E$2:E544,E544)&gt;1,"Possible duplicate","")))</f>
      </c>
    </row>
    <row r="545" spans="3:14" x14ac:dyDescent="0.3">
      <c r="A545"/>
      <c r="C545" s="16"/>
      <c r="G545" s="5">
        <f>IF(A545="","","Checking")</f>
      </c>
      <c r="H545">
        <f>IF(A545="","",IFERROR(XLOOKUP(D545,Setup!$E$15:$E$79,Setup!$F$15:$F$79),"Miscellaneous"))</f>
      </c>
      <c r="I545">
        <f>IF(A545="","",IFERROR(XLOOKUP(D545,Setup!$E$15:$E$79,Setup!$G$15:$G$79),"Uncategorized"))</f>
      </c>
      <c r="J545">
        <f>IF(A545="","",IF(OR(H545="Transfers",H545="Income",D545="Transfer",D545="Category Pending",F545="Pending"),"No","Yes"))</f>
      </c>
      <c r="K545" s="4">
        <f>IF(A545="","",TEXT(IF(DAY(A545)&gt;=Setup!$B$9,DATE(YEAR(A545),MONTH(A545)+1,1),DATE(YEAR(A545),MONTH(A545),1)),"mmmm yyyy"))</f>
      </c>
      <c r="L545" s="47">
        <f>IF(A545="",0,IF(AND(J545="Yes",E545&lt;0),-E545,0))</f>
      </c>
      <c r="M545" s="47">
        <f>IF(A545="",0,IF(AND(J545="Yes",E545&gt;0),E545,0))</f>
      </c>
      <c r="N545">
        <f>IF(A545="","",IF(D545="Category Pending","Needs categorization",IF(COUNTIFS($A$2:A545,A545,$B$2:B545,B545,$E$2:E545,E545)&gt;1,"Possible duplicate","")))</f>
      </c>
    </row>
    <row r="546" spans="3:14" x14ac:dyDescent="0.3">
      <c r="A546"/>
      <c r="C546" s="16"/>
      <c r="G546" s="5">
        <f>IF(A546="","","Checking")</f>
      </c>
      <c r="H546">
        <f>IF(A546="","",IFERROR(XLOOKUP(D546,Setup!$E$15:$E$79,Setup!$F$15:$F$79),"Miscellaneous"))</f>
      </c>
      <c r="I546">
        <f>IF(A546="","",IFERROR(XLOOKUP(D546,Setup!$E$15:$E$79,Setup!$G$15:$G$79),"Uncategorized"))</f>
      </c>
      <c r="J546">
        <f>IF(A546="","",IF(OR(H546="Transfers",H546="Income",D546="Transfer",D546="Category Pending",F546="Pending"),"No","Yes"))</f>
      </c>
      <c r="K546" s="4">
        <f>IF(A546="","",TEXT(IF(DAY(A546)&gt;=Setup!$B$9,DATE(YEAR(A546),MONTH(A546)+1,1),DATE(YEAR(A546),MONTH(A546),1)),"mmmm yyyy"))</f>
      </c>
      <c r="L546" s="47">
        <f>IF(A546="",0,IF(AND(J546="Yes",E546&lt;0),-E546,0))</f>
      </c>
      <c r="M546" s="47">
        <f>IF(A546="",0,IF(AND(J546="Yes",E546&gt;0),E546,0))</f>
      </c>
      <c r="N546">
        <f>IF(A546="","",IF(D546="Category Pending","Needs categorization",IF(COUNTIFS($A$2:A546,A546,$B$2:B546,B546,$E$2:E546,E546)&gt;1,"Possible duplicate","")))</f>
      </c>
    </row>
    <row r="547" spans="3:14" x14ac:dyDescent="0.3">
      <c r="A547"/>
      <c r="C547" s="16"/>
      <c r="G547" s="5">
        <f>IF(A547="","","Checking")</f>
      </c>
      <c r="H547">
        <f>IF(A547="","",IFERROR(XLOOKUP(D547,Setup!$E$15:$E$79,Setup!$F$15:$F$79),"Miscellaneous"))</f>
      </c>
      <c r="I547">
        <f>IF(A547="","",IFERROR(XLOOKUP(D547,Setup!$E$15:$E$79,Setup!$G$15:$G$79),"Uncategorized"))</f>
      </c>
      <c r="J547">
        <f>IF(A547="","",IF(OR(H547="Transfers",H547="Income",D547="Transfer",D547="Category Pending",F547="Pending"),"No","Yes"))</f>
      </c>
      <c r="K547" s="4">
        <f>IF(A547="","",TEXT(IF(DAY(A547)&gt;=Setup!$B$9,DATE(YEAR(A547),MONTH(A547)+1,1),DATE(YEAR(A547),MONTH(A547),1)),"mmmm yyyy"))</f>
      </c>
      <c r="L547" s="47">
        <f>IF(A547="",0,IF(AND(J547="Yes",E547&lt;0),-E547,0))</f>
      </c>
      <c r="M547" s="47">
        <f>IF(A547="",0,IF(AND(J547="Yes",E547&gt;0),E547,0))</f>
      </c>
      <c r="N547">
        <f>IF(A547="","",IF(D547="Category Pending","Needs categorization",IF(COUNTIFS($A$2:A547,A547,$B$2:B547,B547,$E$2:E547,E547)&gt;1,"Possible duplicate","")))</f>
      </c>
    </row>
    <row r="548" spans="3:14" x14ac:dyDescent="0.3">
      <c r="A548"/>
      <c r="C548" s="16"/>
      <c r="G548" s="5">
        <f>IF(A548="","","Checking")</f>
      </c>
      <c r="H548">
        <f>IF(A548="","",IFERROR(XLOOKUP(D548,Setup!$E$15:$E$79,Setup!$F$15:$F$79),"Miscellaneous"))</f>
      </c>
      <c r="I548">
        <f>IF(A548="","",IFERROR(XLOOKUP(D548,Setup!$E$15:$E$79,Setup!$G$15:$G$79),"Uncategorized"))</f>
      </c>
      <c r="J548">
        <f>IF(A548="","",IF(OR(H548="Transfers",H548="Income",D548="Transfer",D548="Category Pending",F548="Pending"),"No","Yes"))</f>
      </c>
      <c r="K548" s="4">
        <f>IF(A548="","",TEXT(IF(DAY(A548)&gt;=Setup!$B$9,DATE(YEAR(A548),MONTH(A548)+1,1),DATE(YEAR(A548),MONTH(A548),1)),"mmmm yyyy"))</f>
      </c>
      <c r="L548" s="47">
        <f>IF(A548="",0,IF(AND(J548="Yes",E548&lt;0),-E548,0))</f>
      </c>
      <c r="M548" s="47">
        <f>IF(A548="",0,IF(AND(J548="Yes",E548&gt;0),E548,0))</f>
      </c>
      <c r="N548">
        <f>IF(A548="","",IF(D548="Category Pending","Needs categorization",IF(COUNTIFS($A$2:A548,A548,$B$2:B548,B548,$E$2:E548,E548)&gt;1,"Possible duplicate","")))</f>
      </c>
    </row>
    <row r="549" spans="3:14" x14ac:dyDescent="0.3">
      <c r="A549"/>
      <c r="C549" s="16"/>
      <c r="G549" s="5">
        <f>IF(A549="","","Checking")</f>
      </c>
      <c r="H549">
        <f>IF(A549="","",IFERROR(XLOOKUP(D549,Setup!$E$15:$E$79,Setup!$F$15:$F$79),"Miscellaneous"))</f>
      </c>
      <c r="I549">
        <f>IF(A549="","",IFERROR(XLOOKUP(D549,Setup!$E$15:$E$79,Setup!$G$15:$G$79),"Uncategorized"))</f>
      </c>
      <c r="J549">
        <f>IF(A549="","",IF(OR(H549="Transfers",H549="Income",D549="Transfer",D549="Category Pending",F549="Pending"),"No","Yes"))</f>
      </c>
      <c r="K549" s="4">
        <f>IF(A549="","",TEXT(IF(DAY(A549)&gt;=Setup!$B$9,DATE(YEAR(A549),MONTH(A549)+1,1),DATE(YEAR(A549),MONTH(A549),1)),"mmmm yyyy"))</f>
      </c>
      <c r="L549" s="47">
        <f>IF(A549="",0,IF(AND(J549="Yes",E549&lt;0),-E549,0))</f>
      </c>
      <c r="M549" s="47">
        <f>IF(A549="",0,IF(AND(J549="Yes",E549&gt;0),E549,0))</f>
      </c>
      <c r="N549">
        <f>IF(A549="","",IF(D549="Category Pending","Needs categorization",IF(COUNTIFS($A$2:A549,A549,$B$2:B549,B549,$E$2:E549,E549)&gt;1,"Possible duplicate","")))</f>
      </c>
    </row>
    <row r="550" spans="3:14" x14ac:dyDescent="0.3">
      <c r="A550"/>
      <c r="C550" s="16"/>
      <c r="G550" s="5">
        <f>IF(A550="","","Checking")</f>
      </c>
      <c r="H550">
        <f>IF(A550="","",IFERROR(XLOOKUP(D550,Setup!$E$15:$E$79,Setup!$F$15:$F$79),"Miscellaneous"))</f>
      </c>
      <c r="I550">
        <f>IF(A550="","",IFERROR(XLOOKUP(D550,Setup!$E$15:$E$79,Setup!$G$15:$G$79),"Uncategorized"))</f>
      </c>
      <c r="J550">
        <f>IF(A550="","",IF(OR(H550="Transfers",H550="Income",D550="Transfer",D550="Category Pending",F550="Pending"),"No","Yes"))</f>
      </c>
      <c r="K550" s="4">
        <f>IF(A550="","",TEXT(IF(DAY(A550)&gt;=Setup!$B$9,DATE(YEAR(A550),MONTH(A550)+1,1),DATE(YEAR(A550),MONTH(A550),1)),"mmmm yyyy"))</f>
      </c>
      <c r="L550" s="47">
        <f>IF(A550="",0,IF(AND(J550="Yes",E550&lt;0),-E550,0))</f>
      </c>
      <c r="M550" s="47">
        <f>IF(A550="",0,IF(AND(J550="Yes",E550&gt;0),E550,0))</f>
      </c>
      <c r="N550">
        <f>IF(A550="","",IF(D550="Category Pending","Needs categorization",IF(COUNTIFS($A$2:A550,A550,$B$2:B550,B550,$E$2:E550,E550)&gt;1,"Possible duplicate","")))</f>
      </c>
    </row>
    <row r="551" spans="3:14" x14ac:dyDescent="0.3">
      <c r="A551"/>
      <c r="C551" s="16"/>
      <c r="G551" s="5">
        <f>IF(A551="","","Checking")</f>
      </c>
      <c r="H551">
        <f>IF(A551="","",IFERROR(XLOOKUP(D551,Setup!$E$15:$E$79,Setup!$F$15:$F$79),"Miscellaneous"))</f>
      </c>
      <c r="I551">
        <f>IF(A551="","",IFERROR(XLOOKUP(D551,Setup!$E$15:$E$79,Setup!$G$15:$G$79),"Uncategorized"))</f>
      </c>
      <c r="J551">
        <f>IF(A551="","",IF(OR(H551="Transfers",H551="Income",D551="Transfer",D551="Category Pending",F551="Pending"),"No","Yes"))</f>
      </c>
      <c r="K551" s="4">
        <f>IF(A551="","",TEXT(IF(DAY(A551)&gt;=Setup!$B$9,DATE(YEAR(A551),MONTH(A551)+1,1),DATE(YEAR(A551),MONTH(A551),1)),"mmmm yyyy"))</f>
      </c>
      <c r="L551" s="47">
        <f>IF(A551="",0,IF(AND(J551="Yes",E551&lt;0),-E551,0))</f>
      </c>
      <c r="M551" s="47">
        <f>IF(A551="",0,IF(AND(J551="Yes",E551&gt;0),E551,0))</f>
      </c>
      <c r="N551">
        <f>IF(A551="","",IF(D551="Category Pending","Needs categorization",IF(COUNTIFS($A$2:A551,A551,$B$2:B551,B551,$E$2:E551,E551)&gt;1,"Possible duplicate","")))</f>
      </c>
    </row>
    <row r="552" spans="3:14" x14ac:dyDescent="0.3">
      <c r="A552"/>
      <c r="C552" s="16"/>
      <c r="G552" s="5">
        <f>IF(A552="","","Checking")</f>
      </c>
      <c r="H552">
        <f>IF(A552="","",IFERROR(XLOOKUP(D552,Setup!$E$15:$E$79,Setup!$F$15:$F$79),"Miscellaneous"))</f>
      </c>
      <c r="I552">
        <f>IF(A552="","",IFERROR(XLOOKUP(D552,Setup!$E$15:$E$79,Setup!$G$15:$G$79),"Uncategorized"))</f>
      </c>
      <c r="J552">
        <f>IF(A552="","",IF(OR(H552="Transfers",H552="Income",D552="Transfer",D552="Category Pending",F552="Pending"),"No","Yes"))</f>
      </c>
      <c r="K552" s="4">
        <f>IF(A552="","",TEXT(IF(DAY(A552)&gt;=Setup!$B$9,DATE(YEAR(A552),MONTH(A552)+1,1),DATE(YEAR(A552),MONTH(A552),1)),"mmmm yyyy"))</f>
      </c>
      <c r="L552" s="47">
        <f>IF(A552="",0,IF(AND(J552="Yes",E552&lt;0),-E552,0))</f>
      </c>
      <c r="M552" s="47">
        <f>IF(A552="",0,IF(AND(J552="Yes",E552&gt;0),E552,0))</f>
      </c>
      <c r="N552">
        <f>IF(A552="","",IF(D552="Category Pending","Needs categorization",IF(COUNTIFS($A$2:A552,A552,$B$2:B552,B552,$E$2:E552,E552)&gt;1,"Possible duplicate","")))</f>
      </c>
    </row>
    <row r="553" spans="3:14" x14ac:dyDescent="0.3">
      <c r="A553"/>
      <c r="C553" s="16"/>
      <c r="G553" s="5">
        <f>IF(A553="","","Checking")</f>
      </c>
      <c r="H553">
        <f>IF(A553="","",IFERROR(XLOOKUP(D553,Setup!$E$15:$E$79,Setup!$F$15:$F$79),"Miscellaneous"))</f>
      </c>
      <c r="I553">
        <f>IF(A553="","",IFERROR(XLOOKUP(D553,Setup!$E$15:$E$79,Setup!$G$15:$G$79),"Uncategorized"))</f>
      </c>
      <c r="J553">
        <f>IF(A553="","",IF(OR(H553="Transfers",H553="Income",D553="Transfer",D553="Category Pending",F553="Pending"),"No","Yes"))</f>
      </c>
      <c r="K553" s="4">
        <f>IF(A553="","",TEXT(IF(DAY(A553)&gt;=Setup!$B$9,DATE(YEAR(A553),MONTH(A553)+1,1),DATE(YEAR(A553),MONTH(A553),1)),"mmmm yyyy"))</f>
      </c>
      <c r="L553" s="47">
        <f>IF(A553="",0,IF(AND(J553="Yes",E553&lt;0),-E553,0))</f>
      </c>
      <c r="M553" s="47">
        <f>IF(A553="",0,IF(AND(J553="Yes",E553&gt;0),E553,0))</f>
      </c>
      <c r="N553">
        <f>IF(A553="","",IF(D553="Category Pending","Needs categorization",IF(COUNTIFS($A$2:A553,A553,$B$2:B553,B553,$E$2:E553,E553)&gt;1,"Possible duplicate","")))</f>
      </c>
    </row>
    <row r="554" spans="3:14" x14ac:dyDescent="0.3">
      <c r="A554"/>
      <c r="C554" s="16"/>
      <c r="G554" s="5">
        <f>IF(A554="","","Checking")</f>
      </c>
      <c r="H554">
        <f>IF(A554="","",IFERROR(XLOOKUP(D554,Setup!$E$15:$E$79,Setup!$F$15:$F$79),"Miscellaneous"))</f>
      </c>
      <c r="I554">
        <f>IF(A554="","",IFERROR(XLOOKUP(D554,Setup!$E$15:$E$79,Setup!$G$15:$G$79),"Uncategorized"))</f>
      </c>
      <c r="J554">
        <f>IF(A554="","",IF(OR(H554="Transfers",H554="Income",D554="Transfer",D554="Category Pending",F554="Pending"),"No","Yes"))</f>
      </c>
      <c r="K554" s="4">
        <f>IF(A554="","",TEXT(IF(DAY(A554)&gt;=Setup!$B$9,DATE(YEAR(A554),MONTH(A554)+1,1),DATE(YEAR(A554),MONTH(A554),1)),"mmmm yyyy"))</f>
      </c>
      <c r="L554" s="47">
        <f>IF(A554="",0,IF(AND(J554="Yes",E554&lt;0),-E554,0))</f>
      </c>
      <c r="M554" s="47">
        <f>IF(A554="",0,IF(AND(J554="Yes",E554&gt;0),E554,0))</f>
      </c>
      <c r="N554">
        <f>IF(A554="","",IF(D554="Category Pending","Needs categorization",IF(COUNTIFS($A$2:A554,A554,$B$2:B554,B554,$E$2:E554,E554)&gt;1,"Possible duplicate","")))</f>
      </c>
    </row>
    <row r="555" spans="3:14" x14ac:dyDescent="0.3">
      <c r="A555"/>
      <c r="C555" s="16"/>
      <c r="G555" s="5">
        <f>IF(A555="","","Checking")</f>
      </c>
      <c r="H555">
        <f>IF(A555="","",IFERROR(XLOOKUP(D555,Setup!$E$15:$E$79,Setup!$F$15:$F$79),"Miscellaneous"))</f>
      </c>
      <c r="I555">
        <f>IF(A555="","",IFERROR(XLOOKUP(D555,Setup!$E$15:$E$79,Setup!$G$15:$G$79),"Uncategorized"))</f>
      </c>
      <c r="J555">
        <f>IF(A555="","",IF(OR(H555="Transfers",H555="Income",D555="Transfer",D555="Category Pending",F555="Pending"),"No","Yes"))</f>
      </c>
      <c r="K555" s="4">
        <f>IF(A555="","",TEXT(IF(DAY(A555)&gt;=Setup!$B$9,DATE(YEAR(A555),MONTH(A555)+1,1),DATE(YEAR(A555),MONTH(A555),1)),"mmmm yyyy"))</f>
      </c>
      <c r="L555" s="47">
        <f>IF(A555="",0,IF(AND(J555="Yes",E555&lt;0),-E555,0))</f>
      </c>
      <c r="M555" s="47">
        <f>IF(A555="",0,IF(AND(J555="Yes",E555&gt;0),E555,0))</f>
      </c>
      <c r="N555">
        <f>IF(A555="","",IF(D555="Category Pending","Needs categorization",IF(COUNTIFS($A$2:A555,A555,$B$2:B555,B555,$E$2:E555,E555)&gt;1,"Possible duplicate","")))</f>
      </c>
    </row>
    <row r="556" spans="3:14" x14ac:dyDescent="0.3">
      <c r="A556"/>
      <c r="C556" s="16"/>
      <c r="G556" s="5">
        <f>IF(A556="","","Checking")</f>
      </c>
      <c r="H556">
        <f>IF(A556="","",IFERROR(XLOOKUP(D556,Setup!$E$15:$E$79,Setup!$F$15:$F$79),"Miscellaneous"))</f>
      </c>
      <c r="I556">
        <f>IF(A556="","",IFERROR(XLOOKUP(D556,Setup!$E$15:$E$79,Setup!$G$15:$G$79),"Uncategorized"))</f>
      </c>
      <c r="J556">
        <f>IF(A556="","",IF(OR(H556="Transfers",H556="Income",D556="Transfer",D556="Category Pending",F556="Pending"),"No","Yes"))</f>
      </c>
      <c r="K556" s="4">
        <f>IF(A556="","",TEXT(IF(DAY(A556)&gt;=Setup!$B$9,DATE(YEAR(A556),MONTH(A556)+1,1),DATE(YEAR(A556),MONTH(A556),1)),"mmmm yyyy"))</f>
      </c>
      <c r="L556" s="47">
        <f>IF(A556="",0,IF(AND(J556="Yes",E556&lt;0),-E556,0))</f>
      </c>
      <c r="M556" s="47">
        <f>IF(A556="",0,IF(AND(J556="Yes",E556&gt;0),E556,0))</f>
      </c>
      <c r="N556">
        <f>IF(A556="","",IF(D556="Category Pending","Needs categorization",IF(COUNTIFS($A$2:A556,A556,$B$2:B556,B556,$E$2:E556,E556)&gt;1,"Possible duplicate","")))</f>
      </c>
    </row>
    <row r="557" spans="3:14" x14ac:dyDescent="0.3">
      <c r="A557"/>
      <c r="C557" s="16"/>
      <c r="G557" s="5">
        <f>IF(A557="","","Checking")</f>
      </c>
      <c r="H557">
        <f>IF(A557="","",IFERROR(XLOOKUP(D557,Setup!$E$15:$E$79,Setup!$F$15:$F$79),"Miscellaneous"))</f>
      </c>
      <c r="I557">
        <f>IF(A557="","",IFERROR(XLOOKUP(D557,Setup!$E$15:$E$79,Setup!$G$15:$G$79),"Uncategorized"))</f>
      </c>
      <c r="J557">
        <f>IF(A557="","",IF(OR(H557="Transfers",H557="Income",D557="Transfer",D557="Category Pending",F557="Pending"),"No","Yes"))</f>
      </c>
      <c r="K557" s="4">
        <f>IF(A557="","",TEXT(IF(DAY(A557)&gt;=Setup!$B$9,DATE(YEAR(A557),MONTH(A557)+1,1),DATE(YEAR(A557),MONTH(A557),1)),"mmmm yyyy"))</f>
      </c>
      <c r="L557" s="47">
        <f>IF(A557="",0,IF(AND(J557="Yes",E557&lt;0),-E557,0))</f>
      </c>
      <c r="M557" s="47">
        <f>IF(A557="",0,IF(AND(J557="Yes",E557&gt;0),E557,0))</f>
      </c>
      <c r="N557">
        <f>IF(A557="","",IF(D557="Category Pending","Needs categorization",IF(COUNTIFS($A$2:A557,A557,$B$2:B557,B557,$E$2:E557,E557)&gt;1,"Possible duplicate","")))</f>
      </c>
    </row>
    <row r="558" spans="3:14" x14ac:dyDescent="0.3">
      <c r="A558"/>
      <c r="C558" s="16"/>
      <c r="G558" s="5">
        <f>IF(A558="","","Checking")</f>
      </c>
      <c r="H558">
        <f>IF(A558="","",IFERROR(XLOOKUP(D558,Setup!$E$15:$E$79,Setup!$F$15:$F$79),"Miscellaneous"))</f>
      </c>
      <c r="I558">
        <f>IF(A558="","",IFERROR(XLOOKUP(D558,Setup!$E$15:$E$79,Setup!$G$15:$G$79),"Uncategorized"))</f>
      </c>
      <c r="J558">
        <f>IF(A558="","",IF(OR(H558="Transfers",H558="Income",D558="Transfer",D558="Category Pending",F558="Pending"),"No","Yes"))</f>
      </c>
      <c r="K558" s="4">
        <f>IF(A558="","",TEXT(IF(DAY(A558)&gt;=Setup!$B$9,DATE(YEAR(A558),MONTH(A558)+1,1),DATE(YEAR(A558),MONTH(A558),1)),"mmmm yyyy"))</f>
      </c>
      <c r="L558" s="47">
        <f>IF(A558="",0,IF(AND(J558="Yes",E558&lt;0),-E558,0))</f>
      </c>
      <c r="M558" s="47">
        <f>IF(A558="",0,IF(AND(J558="Yes",E558&gt;0),E558,0))</f>
      </c>
      <c r="N558">
        <f>IF(A558="","",IF(D558="Category Pending","Needs categorization",IF(COUNTIFS($A$2:A558,A558,$B$2:B558,B558,$E$2:E558,E558)&gt;1,"Possible duplicate","")))</f>
      </c>
    </row>
    <row r="559" spans="3:14" x14ac:dyDescent="0.3">
      <c r="A559"/>
      <c r="C559" s="16"/>
      <c r="G559" s="5">
        <f>IF(A559="","","Checking")</f>
      </c>
      <c r="H559">
        <f>IF(A559="","",IFERROR(XLOOKUP(D559,Setup!$E$15:$E$79,Setup!$F$15:$F$79),"Miscellaneous"))</f>
      </c>
      <c r="I559">
        <f>IF(A559="","",IFERROR(XLOOKUP(D559,Setup!$E$15:$E$79,Setup!$G$15:$G$79),"Uncategorized"))</f>
      </c>
      <c r="J559">
        <f>IF(A559="","",IF(OR(H559="Transfers",H559="Income",D559="Transfer",D559="Category Pending",F559="Pending"),"No","Yes"))</f>
      </c>
      <c r="K559" s="4">
        <f>IF(A559="","",TEXT(IF(DAY(A559)&gt;=Setup!$B$9,DATE(YEAR(A559),MONTH(A559)+1,1),DATE(YEAR(A559),MONTH(A559),1)),"mmmm yyyy"))</f>
      </c>
      <c r="L559" s="47">
        <f>IF(A559="",0,IF(AND(J559="Yes",E559&lt;0),-E559,0))</f>
      </c>
      <c r="M559" s="47">
        <f>IF(A559="",0,IF(AND(J559="Yes",E559&gt;0),E559,0))</f>
      </c>
      <c r="N559">
        <f>IF(A559="","",IF(D559="Category Pending","Needs categorization",IF(COUNTIFS($A$2:A559,A559,$B$2:B559,B559,$E$2:E559,E559)&gt;1,"Possible duplicate","")))</f>
      </c>
    </row>
    <row r="560" spans="3:14" x14ac:dyDescent="0.3">
      <c r="A560"/>
      <c r="C560" s="16"/>
      <c r="G560" s="5">
        <f>IF(A560="","","Checking")</f>
      </c>
      <c r="H560">
        <f>IF(A560="","",IFERROR(XLOOKUP(D560,Setup!$E$15:$E$79,Setup!$F$15:$F$79),"Miscellaneous"))</f>
      </c>
      <c r="I560">
        <f>IF(A560="","",IFERROR(XLOOKUP(D560,Setup!$E$15:$E$79,Setup!$G$15:$G$79),"Uncategorized"))</f>
      </c>
      <c r="J560">
        <f>IF(A560="","",IF(OR(H560="Transfers",H560="Income",D560="Transfer",D560="Category Pending",F560="Pending"),"No","Yes"))</f>
      </c>
      <c r="K560" s="4">
        <f>IF(A560="","",TEXT(IF(DAY(A560)&gt;=Setup!$B$9,DATE(YEAR(A560),MONTH(A560)+1,1),DATE(YEAR(A560),MONTH(A560),1)),"mmmm yyyy"))</f>
      </c>
      <c r="L560" s="47">
        <f>IF(A560="",0,IF(AND(J560="Yes",E560&lt;0),-E560,0))</f>
      </c>
      <c r="M560" s="47">
        <f>IF(A560="",0,IF(AND(J560="Yes",E560&gt;0),E560,0))</f>
      </c>
      <c r="N560">
        <f>IF(A560="","",IF(D560="Category Pending","Needs categorization",IF(COUNTIFS($A$2:A560,A560,$B$2:B560,B560,$E$2:E560,E560)&gt;1,"Possible duplicate","")))</f>
      </c>
    </row>
    <row r="561" spans="3:14" x14ac:dyDescent="0.3">
      <c r="A561"/>
      <c r="C561" s="16"/>
      <c r="G561" s="5">
        <f>IF(A561="","","Checking")</f>
      </c>
      <c r="H561">
        <f>IF(A561="","",IFERROR(XLOOKUP(D561,Setup!$E$15:$E$79,Setup!$F$15:$F$79),"Miscellaneous"))</f>
      </c>
      <c r="I561">
        <f>IF(A561="","",IFERROR(XLOOKUP(D561,Setup!$E$15:$E$79,Setup!$G$15:$G$79),"Uncategorized"))</f>
      </c>
      <c r="J561">
        <f>IF(A561="","",IF(OR(H561="Transfers",H561="Income",D561="Transfer",D561="Category Pending",F561="Pending"),"No","Yes"))</f>
      </c>
      <c r="K561" s="4">
        <f>IF(A561="","",TEXT(IF(DAY(A561)&gt;=Setup!$B$9,DATE(YEAR(A561),MONTH(A561)+1,1),DATE(YEAR(A561),MONTH(A561),1)),"mmmm yyyy"))</f>
      </c>
      <c r="L561" s="47">
        <f>IF(A561="",0,IF(AND(J561="Yes",E561&lt;0),-E561,0))</f>
      </c>
      <c r="M561" s="47">
        <f>IF(A561="",0,IF(AND(J561="Yes",E561&gt;0),E561,0))</f>
      </c>
      <c r="N561">
        <f>IF(A561="","",IF(D561="Category Pending","Needs categorization",IF(COUNTIFS($A$2:A561,A561,$B$2:B561,B561,$E$2:E561,E561)&gt;1,"Possible duplicate","")))</f>
      </c>
    </row>
    <row r="562" spans="3:14" x14ac:dyDescent="0.3">
      <c r="A562"/>
      <c r="C562" s="16"/>
      <c r="G562" s="5">
        <f>IF(A562="","","Checking")</f>
      </c>
      <c r="H562">
        <f>IF(A562="","",IFERROR(XLOOKUP(D562,Setup!$E$15:$E$79,Setup!$F$15:$F$79),"Miscellaneous"))</f>
      </c>
      <c r="I562">
        <f>IF(A562="","",IFERROR(XLOOKUP(D562,Setup!$E$15:$E$79,Setup!$G$15:$G$79),"Uncategorized"))</f>
      </c>
      <c r="J562">
        <f>IF(A562="","",IF(OR(H562="Transfers",H562="Income",D562="Transfer",D562="Category Pending",F562="Pending"),"No","Yes"))</f>
      </c>
      <c r="K562" s="4">
        <f>IF(A562="","",TEXT(IF(DAY(A562)&gt;=Setup!$B$9,DATE(YEAR(A562),MONTH(A562)+1,1),DATE(YEAR(A562),MONTH(A562),1)),"mmmm yyyy"))</f>
      </c>
      <c r="L562" s="47">
        <f>IF(A562="",0,IF(AND(J562="Yes",E562&lt;0),-E562,0))</f>
      </c>
      <c r="M562" s="47">
        <f>IF(A562="",0,IF(AND(J562="Yes",E562&gt;0),E562,0))</f>
      </c>
      <c r="N562">
        <f>IF(A562="","",IF(D562="Category Pending","Needs categorization",IF(COUNTIFS($A$2:A562,A562,$B$2:B562,B562,$E$2:E562,E562)&gt;1,"Possible duplicate","")))</f>
      </c>
    </row>
    <row r="563" spans="3:14" x14ac:dyDescent="0.3">
      <c r="A563"/>
      <c r="C563" s="16"/>
      <c r="G563" s="5">
        <f>IF(A563="","","Checking")</f>
      </c>
      <c r="H563">
        <f>IF(A563="","",IFERROR(XLOOKUP(D563,Setup!$E$15:$E$79,Setup!$F$15:$F$79),"Miscellaneous"))</f>
      </c>
      <c r="I563">
        <f>IF(A563="","",IFERROR(XLOOKUP(D563,Setup!$E$15:$E$79,Setup!$G$15:$G$79),"Uncategorized"))</f>
      </c>
      <c r="J563">
        <f>IF(A563="","",IF(OR(H563="Transfers",H563="Income",D563="Transfer",D563="Category Pending",F563="Pending"),"No","Yes"))</f>
      </c>
      <c r="K563" s="4">
        <f>IF(A563="","",TEXT(IF(DAY(A563)&gt;=Setup!$B$9,DATE(YEAR(A563),MONTH(A563)+1,1),DATE(YEAR(A563),MONTH(A563),1)),"mmmm yyyy"))</f>
      </c>
      <c r="L563" s="47">
        <f>IF(A563="",0,IF(AND(J563="Yes",E563&lt;0),-E563,0))</f>
      </c>
      <c r="M563" s="47">
        <f>IF(A563="",0,IF(AND(J563="Yes",E563&gt;0),E563,0))</f>
      </c>
      <c r="N563">
        <f>IF(A563="","",IF(D563="Category Pending","Needs categorization",IF(COUNTIFS($A$2:A563,A563,$B$2:B563,B563,$E$2:E563,E563)&gt;1,"Possible duplicate","")))</f>
      </c>
    </row>
    <row r="564" spans="3:14" x14ac:dyDescent="0.3">
      <c r="A564"/>
      <c r="C564" s="16"/>
      <c r="G564" s="5">
        <f>IF(A564="","","Checking")</f>
      </c>
      <c r="H564">
        <f>IF(A564="","",IFERROR(XLOOKUP(D564,Setup!$E$15:$E$79,Setup!$F$15:$F$79),"Miscellaneous"))</f>
      </c>
      <c r="I564">
        <f>IF(A564="","",IFERROR(XLOOKUP(D564,Setup!$E$15:$E$79,Setup!$G$15:$G$79),"Uncategorized"))</f>
      </c>
      <c r="J564">
        <f>IF(A564="","",IF(OR(H564="Transfers",H564="Income",D564="Transfer",D564="Category Pending",F564="Pending"),"No","Yes"))</f>
      </c>
      <c r="K564" s="4">
        <f>IF(A564="","",TEXT(IF(DAY(A564)&gt;=Setup!$B$9,DATE(YEAR(A564),MONTH(A564)+1,1),DATE(YEAR(A564),MONTH(A564),1)),"mmmm yyyy"))</f>
      </c>
      <c r="L564" s="47">
        <f>IF(A564="",0,IF(AND(J564="Yes",E564&lt;0),-E564,0))</f>
      </c>
      <c r="M564" s="47">
        <f>IF(A564="",0,IF(AND(J564="Yes",E564&gt;0),E564,0))</f>
      </c>
      <c r="N564">
        <f>IF(A564="","",IF(D564="Category Pending","Needs categorization",IF(COUNTIFS($A$2:A564,A564,$B$2:B564,B564,$E$2:E564,E564)&gt;1,"Possible duplicate","")))</f>
      </c>
    </row>
    <row r="565" spans="3:14" x14ac:dyDescent="0.3">
      <c r="A565"/>
      <c r="C565" s="16"/>
      <c r="G565" s="5">
        <f>IF(A565="","","Checking")</f>
      </c>
      <c r="H565">
        <f>IF(A565="","",IFERROR(XLOOKUP(D565,Setup!$E$15:$E$79,Setup!$F$15:$F$79),"Miscellaneous"))</f>
      </c>
      <c r="I565">
        <f>IF(A565="","",IFERROR(XLOOKUP(D565,Setup!$E$15:$E$79,Setup!$G$15:$G$79),"Uncategorized"))</f>
      </c>
      <c r="J565">
        <f>IF(A565="","",IF(OR(H565="Transfers",H565="Income",D565="Transfer",D565="Category Pending",F565="Pending"),"No","Yes"))</f>
      </c>
      <c r="K565" s="4">
        <f>IF(A565="","",TEXT(IF(DAY(A565)&gt;=Setup!$B$9,DATE(YEAR(A565),MONTH(A565)+1,1),DATE(YEAR(A565),MONTH(A565),1)),"mmmm yyyy"))</f>
      </c>
      <c r="L565" s="47">
        <f>IF(A565="",0,IF(AND(J565="Yes",E565&lt;0),-E565,0))</f>
      </c>
      <c r="M565" s="47">
        <f>IF(A565="",0,IF(AND(J565="Yes",E565&gt;0),E565,0))</f>
      </c>
      <c r="N565">
        <f>IF(A565="","",IF(D565="Category Pending","Needs categorization",IF(COUNTIFS($A$2:A565,A565,$B$2:B565,B565,$E$2:E565,E565)&gt;1,"Possible duplicate","")))</f>
      </c>
    </row>
    <row r="566" spans="3:14" x14ac:dyDescent="0.3">
      <c r="A566"/>
      <c r="C566" s="16"/>
      <c r="G566" s="5">
        <f>IF(A566="","","Checking")</f>
      </c>
      <c r="H566">
        <f>IF(A566="","",IFERROR(XLOOKUP(D566,Setup!$E$15:$E$79,Setup!$F$15:$F$79),"Miscellaneous"))</f>
      </c>
      <c r="I566">
        <f>IF(A566="","",IFERROR(XLOOKUP(D566,Setup!$E$15:$E$79,Setup!$G$15:$G$79),"Uncategorized"))</f>
      </c>
      <c r="J566">
        <f>IF(A566="","",IF(OR(H566="Transfers",H566="Income",D566="Transfer",D566="Category Pending",F566="Pending"),"No","Yes"))</f>
      </c>
      <c r="K566" s="4">
        <f>IF(A566="","",TEXT(IF(DAY(A566)&gt;=Setup!$B$9,DATE(YEAR(A566),MONTH(A566)+1,1),DATE(YEAR(A566),MONTH(A566),1)),"mmmm yyyy"))</f>
      </c>
      <c r="L566" s="47">
        <f>IF(A566="",0,IF(AND(J566="Yes",E566&lt;0),-E566,0))</f>
      </c>
      <c r="M566" s="47">
        <f>IF(A566="",0,IF(AND(J566="Yes",E566&gt;0),E566,0))</f>
      </c>
      <c r="N566">
        <f>IF(A566="","",IF(D566="Category Pending","Needs categorization",IF(COUNTIFS($A$2:A566,A566,$B$2:B566,B566,$E$2:E566,E566)&gt;1,"Possible duplicate","")))</f>
      </c>
    </row>
    <row r="567" spans="3:14" x14ac:dyDescent="0.3">
      <c r="A567"/>
      <c r="C567" s="16"/>
      <c r="G567" s="5">
        <f>IF(A567="","","Checking")</f>
      </c>
      <c r="H567">
        <f>IF(A567="","",IFERROR(XLOOKUP(D567,Setup!$E$15:$E$79,Setup!$F$15:$F$79),"Miscellaneous"))</f>
      </c>
      <c r="I567">
        <f>IF(A567="","",IFERROR(XLOOKUP(D567,Setup!$E$15:$E$79,Setup!$G$15:$G$79),"Uncategorized"))</f>
      </c>
      <c r="J567">
        <f>IF(A567="","",IF(OR(H567="Transfers",H567="Income",D567="Transfer",D567="Category Pending",F567="Pending"),"No","Yes"))</f>
      </c>
      <c r="K567" s="4">
        <f>IF(A567="","",TEXT(IF(DAY(A567)&gt;=Setup!$B$9,DATE(YEAR(A567),MONTH(A567)+1,1),DATE(YEAR(A567),MONTH(A567),1)),"mmmm yyyy"))</f>
      </c>
      <c r="L567" s="47">
        <f>IF(A567="",0,IF(AND(J567="Yes",E567&lt;0),-E567,0))</f>
      </c>
      <c r="M567" s="47">
        <f>IF(A567="",0,IF(AND(J567="Yes",E567&gt;0),E567,0))</f>
      </c>
      <c r="N567">
        <f>IF(A567="","",IF(D567="Category Pending","Needs categorization",IF(COUNTIFS($A$2:A567,A567,$B$2:B567,B567,$E$2:E567,E567)&gt;1,"Possible duplicate","")))</f>
      </c>
    </row>
    <row r="568" spans="3:14" x14ac:dyDescent="0.3">
      <c r="A568"/>
      <c r="C568" s="16"/>
      <c r="G568" s="5">
        <f>IF(A568="","","Checking")</f>
      </c>
      <c r="H568">
        <f>IF(A568="","",IFERROR(XLOOKUP(D568,Setup!$E$15:$E$79,Setup!$F$15:$F$79),"Miscellaneous"))</f>
      </c>
      <c r="I568">
        <f>IF(A568="","",IFERROR(XLOOKUP(D568,Setup!$E$15:$E$79,Setup!$G$15:$G$79),"Uncategorized"))</f>
      </c>
      <c r="J568">
        <f>IF(A568="","",IF(OR(H568="Transfers",H568="Income",D568="Transfer",D568="Category Pending",F568="Pending"),"No","Yes"))</f>
      </c>
      <c r="K568" s="4">
        <f>IF(A568="","",TEXT(IF(DAY(A568)&gt;=Setup!$B$9,DATE(YEAR(A568),MONTH(A568)+1,1),DATE(YEAR(A568),MONTH(A568),1)),"mmmm yyyy"))</f>
      </c>
      <c r="L568" s="47">
        <f>IF(A568="",0,IF(AND(J568="Yes",E568&lt;0),-E568,0))</f>
      </c>
      <c r="M568" s="47">
        <f>IF(A568="",0,IF(AND(J568="Yes",E568&gt;0),E568,0))</f>
      </c>
      <c r="N568">
        <f>IF(A568="","",IF(D568="Category Pending","Needs categorization",IF(COUNTIFS($A$2:A568,A568,$B$2:B568,B568,$E$2:E568,E568)&gt;1,"Possible duplicate","")))</f>
      </c>
    </row>
    <row r="569" spans="3:14" x14ac:dyDescent="0.3">
      <c r="A569"/>
      <c r="C569" s="16"/>
      <c r="G569" s="5">
        <f>IF(A569="","","Checking")</f>
      </c>
      <c r="H569">
        <f>IF(A569="","",IFERROR(XLOOKUP(D569,Setup!$E$15:$E$79,Setup!$F$15:$F$79),"Miscellaneous"))</f>
      </c>
      <c r="I569">
        <f>IF(A569="","",IFERROR(XLOOKUP(D569,Setup!$E$15:$E$79,Setup!$G$15:$G$79),"Uncategorized"))</f>
      </c>
      <c r="J569">
        <f>IF(A569="","",IF(OR(H569="Transfers",H569="Income",D569="Transfer",D569="Category Pending",F569="Pending"),"No","Yes"))</f>
      </c>
      <c r="K569" s="4">
        <f>IF(A569="","",TEXT(IF(DAY(A569)&gt;=Setup!$B$9,DATE(YEAR(A569),MONTH(A569)+1,1),DATE(YEAR(A569),MONTH(A569),1)),"mmmm yyyy"))</f>
      </c>
      <c r="L569" s="47">
        <f>IF(A569="",0,IF(AND(J569="Yes",E569&lt;0),-E569,0))</f>
      </c>
      <c r="M569" s="47">
        <f>IF(A569="",0,IF(AND(J569="Yes",E569&gt;0),E569,0))</f>
      </c>
      <c r="N569">
        <f>IF(A569="","",IF(D569="Category Pending","Needs categorization",IF(COUNTIFS($A$2:A569,A569,$B$2:B569,B569,$E$2:E569,E569)&gt;1,"Possible duplicate","")))</f>
      </c>
    </row>
    <row r="570" spans="3:14" x14ac:dyDescent="0.3">
      <c r="A570"/>
      <c r="C570" s="16"/>
      <c r="G570" s="5">
        <f>IF(A570="","","Checking")</f>
      </c>
      <c r="H570">
        <f>IF(A570="","",IFERROR(XLOOKUP(D570,Setup!$E$15:$E$79,Setup!$F$15:$F$79),"Miscellaneous"))</f>
      </c>
      <c r="I570">
        <f>IF(A570="","",IFERROR(XLOOKUP(D570,Setup!$E$15:$E$79,Setup!$G$15:$G$79),"Uncategorized"))</f>
      </c>
      <c r="J570">
        <f>IF(A570="","",IF(OR(H570="Transfers",H570="Income",D570="Transfer",D570="Category Pending",F570="Pending"),"No","Yes"))</f>
      </c>
      <c r="K570" s="4">
        <f>IF(A570="","",TEXT(IF(DAY(A570)&gt;=Setup!$B$9,DATE(YEAR(A570),MONTH(A570)+1,1),DATE(YEAR(A570),MONTH(A570),1)),"mmmm yyyy"))</f>
      </c>
      <c r="L570" s="47">
        <f>IF(A570="",0,IF(AND(J570="Yes",E570&lt;0),-E570,0))</f>
      </c>
      <c r="M570" s="47">
        <f>IF(A570="",0,IF(AND(J570="Yes",E570&gt;0),E570,0))</f>
      </c>
      <c r="N570">
        <f>IF(A570="","",IF(D570="Category Pending","Needs categorization",IF(COUNTIFS($A$2:A570,A570,$B$2:B570,B570,$E$2:E570,E570)&gt;1,"Possible duplicate","")))</f>
      </c>
    </row>
    <row r="571" spans="3:14" x14ac:dyDescent="0.3">
      <c r="A571"/>
      <c r="C571" s="16"/>
      <c r="G571" s="5">
        <f>IF(A571="","","Checking")</f>
      </c>
      <c r="H571">
        <f>IF(A571="","",IFERROR(XLOOKUP(D571,Setup!$E$15:$E$79,Setup!$F$15:$F$79),"Miscellaneous"))</f>
      </c>
      <c r="I571">
        <f>IF(A571="","",IFERROR(XLOOKUP(D571,Setup!$E$15:$E$79,Setup!$G$15:$G$79),"Uncategorized"))</f>
      </c>
      <c r="J571">
        <f>IF(A571="","",IF(OR(H571="Transfers",H571="Income",D571="Transfer",D571="Category Pending",F571="Pending"),"No","Yes"))</f>
      </c>
      <c r="K571" s="4">
        <f>IF(A571="","",TEXT(IF(DAY(A571)&gt;=Setup!$B$9,DATE(YEAR(A571),MONTH(A571)+1,1),DATE(YEAR(A571),MONTH(A571),1)),"mmmm yyyy"))</f>
      </c>
      <c r="L571" s="47">
        <f>IF(A571="",0,IF(AND(J571="Yes",E571&lt;0),-E571,0))</f>
      </c>
      <c r="M571" s="47">
        <f>IF(A571="",0,IF(AND(J571="Yes",E571&gt;0),E571,0))</f>
      </c>
      <c r="N571">
        <f>IF(A571="","",IF(D571="Category Pending","Needs categorization",IF(COUNTIFS($A$2:A571,A571,$B$2:B571,B571,$E$2:E571,E571)&gt;1,"Possible duplicate","")))</f>
      </c>
    </row>
    <row r="572" spans="3:14" x14ac:dyDescent="0.3">
      <c r="A572"/>
      <c r="C572" s="16"/>
      <c r="G572" s="5">
        <f>IF(A572="","","Checking")</f>
      </c>
      <c r="H572">
        <f>IF(A572="","",IFERROR(XLOOKUP(D572,Setup!$E$15:$E$79,Setup!$F$15:$F$79),"Miscellaneous"))</f>
      </c>
      <c r="I572">
        <f>IF(A572="","",IFERROR(XLOOKUP(D572,Setup!$E$15:$E$79,Setup!$G$15:$G$79),"Uncategorized"))</f>
      </c>
      <c r="J572">
        <f>IF(A572="","",IF(OR(H572="Transfers",H572="Income",D572="Transfer",D572="Category Pending",F572="Pending"),"No","Yes"))</f>
      </c>
      <c r="K572" s="4">
        <f>IF(A572="","",TEXT(IF(DAY(A572)&gt;=Setup!$B$9,DATE(YEAR(A572),MONTH(A572)+1,1),DATE(YEAR(A572),MONTH(A572),1)),"mmmm yyyy"))</f>
      </c>
      <c r="L572" s="47">
        <f>IF(A572="",0,IF(AND(J572="Yes",E572&lt;0),-E572,0))</f>
      </c>
      <c r="M572" s="47">
        <f>IF(A572="",0,IF(AND(J572="Yes",E572&gt;0),E572,0))</f>
      </c>
      <c r="N572">
        <f>IF(A572="","",IF(D572="Category Pending","Needs categorization",IF(COUNTIFS($A$2:A572,A572,$B$2:B572,B572,$E$2:E572,E572)&gt;1,"Possible duplicate","")))</f>
      </c>
    </row>
    <row r="573" spans="3:14" x14ac:dyDescent="0.3">
      <c r="A573"/>
      <c r="C573" s="16"/>
      <c r="G573" s="5">
        <f>IF(A573="","","Checking")</f>
      </c>
      <c r="H573">
        <f>IF(A573="","",IFERROR(XLOOKUP(D573,Setup!$E$15:$E$79,Setup!$F$15:$F$79),"Miscellaneous"))</f>
      </c>
      <c r="I573">
        <f>IF(A573="","",IFERROR(XLOOKUP(D573,Setup!$E$15:$E$79,Setup!$G$15:$G$79),"Uncategorized"))</f>
      </c>
      <c r="J573">
        <f>IF(A573="","",IF(OR(H573="Transfers",H573="Income",D573="Transfer",D573="Category Pending",F573="Pending"),"No","Yes"))</f>
      </c>
      <c r="K573" s="4">
        <f>IF(A573="","",TEXT(IF(DAY(A573)&gt;=Setup!$B$9,DATE(YEAR(A573),MONTH(A573)+1,1),DATE(YEAR(A573),MONTH(A573),1)),"mmmm yyyy"))</f>
      </c>
      <c r="L573" s="47">
        <f>IF(A573="",0,IF(AND(J573="Yes",E573&lt;0),-E573,0))</f>
      </c>
      <c r="M573" s="47">
        <f>IF(A573="",0,IF(AND(J573="Yes",E573&gt;0),E573,0))</f>
      </c>
      <c r="N573">
        <f>IF(A573="","",IF(D573="Category Pending","Needs categorization",IF(COUNTIFS($A$2:A573,A573,$B$2:B573,B573,$E$2:E573,E573)&gt;1,"Possible duplicate","")))</f>
      </c>
    </row>
    <row r="574" spans="3:14" x14ac:dyDescent="0.3">
      <c r="A574"/>
      <c r="C574" s="16"/>
      <c r="G574" s="5">
        <f>IF(A574="","","Checking")</f>
      </c>
      <c r="H574">
        <f>IF(A574="","",IFERROR(XLOOKUP(D574,Setup!$E$15:$E$79,Setup!$F$15:$F$79),"Miscellaneous"))</f>
      </c>
      <c r="I574">
        <f>IF(A574="","",IFERROR(XLOOKUP(D574,Setup!$E$15:$E$79,Setup!$G$15:$G$79),"Uncategorized"))</f>
      </c>
      <c r="J574">
        <f>IF(A574="","",IF(OR(H574="Transfers",H574="Income",D574="Transfer",D574="Category Pending",F574="Pending"),"No","Yes"))</f>
      </c>
      <c r="K574" s="4">
        <f>IF(A574="","",TEXT(IF(DAY(A574)&gt;=Setup!$B$9,DATE(YEAR(A574),MONTH(A574)+1,1),DATE(YEAR(A574),MONTH(A574),1)),"mmmm yyyy"))</f>
      </c>
      <c r="L574" s="47">
        <f>IF(A574="",0,IF(AND(J574="Yes",E574&lt;0),-E574,0))</f>
      </c>
      <c r="M574" s="47">
        <f>IF(A574="",0,IF(AND(J574="Yes",E574&gt;0),E574,0))</f>
      </c>
      <c r="N574">
        <f>IF(A574="","",IF(D574="Category Pending","Needs categorization",IF(COUNTIFS($A$2:A574,A574,$B$2:B574,B574,$E$2:E574,E574)&gt;1,"Possible duplicate","")))</f>
      </c>
    </row>
    <row r="575" spans="3:14" x14ac:dyDescent="0.3">
      <c r="A575"/>
      <c r="C575" s="16"/>
      <c r="G575" s="5">
        <f>IF(A575="","","Checking")</f>
      </c>
      <c r="H575">
        <f>IF(A575="","",IFERROR(XLOOKUP(D575,Setup!$E$15:$E$79,Setup!$F$15:$F$79),"Miscellaneous"))</f>
      </c>
      <c r="I575">
        <f>IF(A575="","",IFERROR(XLOOKUP(D575,Setup!$E$15:$E$79,Setup!$G$15:$G$79),"Uncategorized"))</f>
      </c>
      <c r="J575">
        <f>IF(A575="","",IF(OR(H575="Transfers",H575="Income",D575="Transfer",D575="Category Pending",F575="Pending"),"No","Yes"))</f>
      </c>
      <c r="K575" s="4">
        <f>IF(A575="","",TEXT(IF(DAY(A575)&gt;=Setup!$B$9,DATE(YEAR(A575),MONTH(A575)+1,1),DATE(YEAR(A575),MONTH(A575),1)),"mmmm yyyy"))</f>
      </c>
      <c r="L575" s="47">
        <f>IF(A575="",0,IF(AND(J575="Yes",E575&lt;0),-E575,0))</f>
      </c>
      <c r="M575" s="47">
        <f>IF(A575="",0,IF(AND(J575="Yes",E575&gt;0),E575,0))</f>
      </c>
      <c r="N575">
        <f>IF(A575="","",IF(D575="Category Pending","Needs categorization",IF(COUNTIFS($A$2:A575,A575,$B$2:B575,B575,$E$2:E575,E575)&gt;1,"Possible duplicate","")))</f>
      </c>
    </row>
    <row r="576" spans="3:14" x14ac:dyDescent="0.3">
      <c r="A576"/>
      <c r="C576" s="16"/>
      <c r="G576" s="5">
        <f>IF(A576="","","Checking")</f>
      </c>
      <c r="H576">
        <f>IF(A576="","",IFERROR(XLOOKUP(D576,Setup!$E$15:$E$79,Setup!$F$15:$F$79),"Miscellaneous"))</f>
      </c>
      <c r="I576">
        <f>IF(A576="","",IFERROR(XLOOKUP(D576,Setup!$E$15:$E$79,Setup!$G$15:$G$79),"Uncategorized"))</f>
      </c>
      <c r="J576">
        <f>IF(A576="","",IF(OR(H576="Transfers",H576="Income",D576="Transfer",D576="Category Pending",F576="Pending"),"No","Yes"))</f>
      </c>
      <c r="K576" s="4">
        <f>IF(A576="","",TEXT(IF(DAY(A576)&gt;=Setup!$B$9,DATE(YEAR(A576),MONTH(A576)+1,1),DATE(YEAR(A576),MONTH(A576),1)),"mmmm yyyy"))</f>
      </c>
      <c r="L576" s="47">
        <f>IF(A576="",0,IF(AND(J576="Yes",E576&lt;0),-E576,0))</f>
      </c>
      <c r="M576" s="47">
        <f>IF(A576="",0,IF(AND(J576="Yes",E576&gt;0),E576,0))</f>
      </c>
      <c r="N576">
        <f>IF(A576="","",IF(D576="Category Pending","Needs categorization",IF(COUNTIFS($A$2:A576,A576,$B$2:B576,B576,$E$2:E576,E576)&gt;1,"Possible duplicate","")))</f>
      </c>
    </row>
    <row r="577" spans="3:14" x14ac:dyDescent="0.3">
      <c r="A577"/>
      <c r="C577" s="16"/>
      <c r="G577" s="5">
        <f>IF(A577="","","Checking")</f>
      </c>
      <c r="H577">
        <f>IF(A577="","",IFERROR(XLOOKUP(D577,Setup!$E$15:$E$79,Setup!$F$15:$F$79),"Miscellaneous"))</f>
      </c>
      <c r="I577">
        <f>IF(A577="","",IFERROR(XLOOKUP(D577,Setup!$E$15:$E$79,Setup!$G$15:$G$79),"Uncategorized"))</f>
      </c>
      <c r="J577">
        <f>IF(A577="","",IF(OR(H577="Transfers",H577="Income",D577="Transfer",D577="Category Pending",F577="Pending"),"No","Yes"))</f>
      </c>
      <c r="K577" s="4">
        <f>IF(A577="","",TEXT(IF(DAY(A577)&gt;=Setup!$B$9,DATE(YEAR(A577),MONTH(A577)+1,1),DATE(YEAR(A577),MONTH(A577),1)),"mmmm yyyy"))</f>
      </c>
      <c r="L577" s="47">
        <f>IF(A577="",0,IF(AND(J577="Yes",E577&lt;0),-E577,0))</f>
      </c>
      <c r="M577" s="47">
        <f>IF(A577="",0,IF(AND(J577="Yes",E577&gt;0),E577,0))</f>
      </c>
      <c r="N577">
        <f>IF(A577="","",IF(D577="Category Pending","Needs categorization",IF(COUNTIFS($A$2:A577,A577,$B$2:B577,B577,$E$2:E577,E577)&gt;1,"Possible duplicate","")))</f>
      </c>
    </row>
    <row r="578" spans="3:14" x14ac:dyDescent="0.3">
      <c r="A578"/>
      <c r="C578" s="16"/>
      <c r="G578" s="5">
        <f>IF(A578="","","Checking")</f>
      </c>
      <c r="H578">
        <f>IF(A578="","",IFERROR(XLOOKUP(D578,Setup!$E$15:$E$79,Setup!$F$15:$F$79),"Miscellaneous"))</f>
      </c>
      <c r="I578">
        <f>IF(A578="","",IFERROR(XLOOKUP(D578,Setup!$E$15:$E$79,Setup!$G$15:$G$79),"Uncategorized"))</f>
      </c>
      <c r="J578">
        <f>IF(A578="","",IF(OR(H578="Transfers",H578="Income",D578="Transfer",D578="Category Pending",F578="Pending"),"No","Yes"))</f>
      </c>
      <c r="K578" s="4">
        <f>IF(A578="","",TEXT(IF(DAY(A578)&gt;=Setup!$B$9,DATE(YEAR(A578),MONTH(A578)+1,1),DATE(YEAR(A578),MONTH(A578),1)),"mmmm yyyy"))</f>
      </c>
      <c r="L578" s="47">
        <f>IF(A578="",0,IF(AND(J578="Yes",E578&lt;0),-E578,0))</f>
      </c>
      <c r="M578" s="47">
        <f>IF(A578="",0,IF(AND(J578="Yes",E578&gt;0),E578,0))</f>
      </c>
      <c r="N578">
        <f>IF(A578="","",IF(D578="Category Pending","Needs categorization",IF(COUNTIFS($A$2:A578,A578,$B$2:B578,B578,$E$2:E578,E578)&gt;1,"Possible duplicate","")))</f>
      </c>
    </row>
    <row r="579" spans="3:14" x14ac:dyDescent="0.3">
      <c r="A579"/>
      <c r="C579" s="16"/>
      <c r="G579" s="5">
        <f>IF(A579="","","Checking")</f>
      </c>
      <c r="H579">
        <f>IF(A579="","",IFERROR(XLOOKUP(D579,Setup!$E$15:$E$79,Setup!$F$15:$F$79),"Miscellaneous"))</f>
      </c>
      <c r="I579">
        <f>IF(A579="","",IFERROR(XLOOKUP(D579,Setup!$E$15:$E$79,Setup!$G$15:$G$79),"Uncategorized"))</f>
      </c>
      <c r="J579">
        <f>IF(A579="","",IF(OR(H579="Transfers",H579="Income",D579="Transfer",D579="Category Pending",F579="Pending"),"No","Yes"))</f>
      </c>
      <c r="K579" s="4">
        <f>IF(A579="","",TEXT(IF(DAY(A579)&gt;=Setup!$B$9,DATE(YEAR(A579),MONTH(A579)+1,1),DATE(YEAR(A579),MONTH(A579),1)),"mmmm yyyy"))</f>
      </c>
      <c r="L579" s="47">
        <f>IF(A579="",0,IF(AND(J579="Yes",E579&lt;0),-E579,0))</f>
      </c>
      <c r="M579" s="47">
        <f>IF(A579="",0,IF(AND(J579="Yes",E579&gt;0),E579,0))</f>
      </c>
      <c r="N579">
        <f>IF(A579="","",IF(D579="Category Pending","Needs categorization",IF(COUNTIFS($A$2:A579,A579,$B$2:B579,B579,$E$2:E579,E579)&gt;1,"Possible duplicate","")))</f>
      </c>
    </row>
    <row r="580" spans="3:14" x14ac:dyDescent="0.3">
      <c r="A580"/>
      <c r="C580" s="16"/>
      <c r="G580" s="5">
        <f>IF(A580="","","Checking")</f>
      </c>
      <c r="H580">
        <f>IF(A580="","",IFERROR(XLOOKUP(D580,Setup!$E$15:$E$79,Setup!$F$15:$F$79),"Miscellaneous"))</f>
      </c>
      <c r="I580">
        <f>IF(A580="","",IFERROR(XLOOKUP(D580,Setup!$E$15:$E$79,Setup!$G$15:$G$79),"Uncategorized"))</f>
      </c>
      <c r="J580">
        <f>IF(A580="","",IF(OR(H580="Transfers",H580="Income",D580="Transfer",D580="Category Pending",F580="Pending"),"No","Yes"))</f>
      </c>
      <c r="K580" s="4">
        <f>IF(A580="","",TEXT(IF(DAY(A580)&gt;=Setup!$B$9,DATE(YEAR(A580),MONTH(A580)+1,1),DATE(YEAR(A580),MONTH(A580),1)),"mmmm yyyy"))</f>
      </c>
      <c r="L580" s="47">
        <f>IF(A580="",0,IF(AND(J580="Yes",E580&lt;0),-E580,0))</f>
      </c>
      <c r="M580" s="47">
        <f>IF(A580="",0,IF(AND(J580="Yes",E580&gt;0),E580,0))</f>
      </c>
      <c r="N580">
        <f>IF(A580="","",IF(D580="Category Pending","Needs categorization",IF(COUNTIFS($A$2:A580,A580,$B$2:B580,B580,$E$2:E580,E580)&gt;1,"Possible duplicate","")))</f>
      </c>
    </row>
    <row r="581" spans="3:14" x14ac:dyDescent="0.3">
      <c r="A581"/>
      <c r="C581" s="16"/>
      <c r="G581" s="5">
        <f>IF(A581="","","Checking")</f>
      </c>
      <c r="H581">
        <f>IF(A581="","",IFERROR(XLOOKUP(D581,Setup!$E$15:$E$79,Setup!$F$15:$F$79),"Miscellaneous"))</f>
      </c>
      <c r="I581">
        <f>IF(A581="","",IFERROR(XLOOKUP(D581,Setup!$E$15:$E$79,Setup!$G$15:$G$79),"Uncategorized"))</f>
      </c>
      <c r="J581">
        <f>IF(A581="","",IF(OR(H581="Transfers",H581="Income",D581="Transfer",D581="Category Pending",F581="Pending"),"No","Yes"))</f>
      </c>
      <c r="K581" s="4">
        <f>IF(A581="","",TEXT(IF(DAY(A581)&gt;=Setup!$B$9,DATE(YEAR(A581),MONTH(A581)+1,1),DATE(YEAR(A581),MONTH(A581),1)),"mmmm yyyy"))</f>
      </c>
      <c r="L581" s="47">
        <f>IF(A581="",0,IF(AND(J581="Yes",E581&lt;0),-E581,0))</f>
      </c>
      <c r="M581" s="47">
        <f>IF(A581="",0,IF(AND(J581="Yes",E581&gt;0),E581,0))</f>
      </c>
      <c r="N581">
        <f>IF(A581="","",IF(D581="Category Pending","Needs categorization",IF(COUNTIFS($A$2:A581,A581,$B$2:B581,B581,$E$2:E581,E581)&gt;1,"Possible duplicate","")))</f>
      </c>
    </row>
    <row r="582" spans="3:14" x14ac:dyDescent="0.3">
      <c r="A582"/>
      <c r="C582" s="16"/>
      <c r="G582" s="5">
        <f>IF(A582="","","Checking")</f>
      </c>
      <c r="H582">
        <f>IF(A582="","",IFERROR(XLOOKUP(D582,Setup!$E$15:$E$79,Setup!$F$15:$F$79),"Miscellaneous"))</f>
      </c>
      <c r="I582">
        <f>IF(A582="","",IFERROR(XLOOKUP(D582,Setup!$E$15:$E$79,Setup!$G$15:$G$79),"Uncategorized"))</f>
      </c>
      <c r="J582">
        <f>IF(A582="","",IF(OR(H582="Transfers",H582="Income",D582="Transfer",D582="Category Pending",F582="Pending"),"No","Yes"))</f>
      </c>
      <c r="K582" s="4">
        <f>IF(A582="","",TEXT(IF(DAY(A582)&gt;=Setup!$B$9,DATE(YEAR(A582),MONTH(A582)+1,1),DATE(YEAR(A582),MONTH(A582),1)),"mmmm yyyy"))</f>
      </c>
      <c r="L582" s="47">
        <f>IF(A582="",0,IF(AND(J582="Yes",E582&lt;0),-E582,0))</f>
      </c>
      <c r="M582" s="47">
        <f>IF(A582="",0,IF(AND(J582="Yes",E582&gt;0),E582,0))</f>
      </c>
      <c r="N582">
        <f>IF(A582="","",IF(D582="Category Pending","Needs categorization",IF(COUNTIFS($A$2:A582,A582,$B$2:B582,B582,$E$2:E582,E582)&gt;1,"Possible duplicate","")))</f>
      </c>
    </row>
    <row r="583" spans="3:14" x14ac:dyDescent="0.3">
      <c r="A583"/>
      <c r="C583" s="16"/>
      <c r="G583" s="5">
        <f>IF(A583="","","Checking")</f>
      </c>
      <c r="H583">
        <f>IF(A583="","",IFERROR(XLOOKUP(D583,Setup!$E$15:$E$79,Setup!$F$15:$F$79),"Miscellaneous"))</f>
      </c>
      <c r="I583">
        <f>IF(A583="","",IFERROR(XLOOKUP(D583,Setup!$E$15:$E$79,Setup!$G$15:$G$79),"Uncategorized"))</f>
      </c>
      <c r="J583">
        <f>IF(A583="","",IF(OR(H583="Transfers",H583="Income",D583="Transfer",D583="Category Pending",F583="Pending"),"No","Yes"))</f>
      </c>
      <c r="K583" s="4">
        <f>IF(A583="","",TEXT(IF(DAY(A583)&gt;=Setup!$B$9,DATE(YEAR(A583),MONTH(A583)+1,1),DATE(YEAR(A583),MONTH(A583),1)),"mmmm yyyy"))</f>
      </c>
      <c r="L583" s="47">
        <f>IF(A583="",0,IF(AND(J583="Yes",E583&lt;0),-E583,0))</f>
      </c>
      <c r="M583" s="47">
        <f>IF(A583="",0,IF(AND(J583="Yes",E583&gt;0),E583,0))</f>
      </c>
      <c r="N583">
        <f>IF(A583="","",IF(D583="Category Pending","Needs categorization",IF(COUNTIFS($A$2:A583,A583,$B$2:B583,B583,$E$2:E583,E583)&gt;1,"Possible duplicate","")))</f>
      </c>
    </row>
    <row r="584" spans="3:14" x14ac:dyDescent="0.3">
      <c r="A584"/>
      <c r="C584" s="16"/>
      <c r="G584" s="5">
        <f>IF(A584="","","Checking")</f>
      </c>
      <c r="H584">
        <f>IF(A584="","",IFERROR(XLOOKUP(D584,Setup!$E$15:$E$79,Setup!$F$15:$F$79),"Miscellaneous"))</f>
      </c>
      <c r="I584">
        <f>IF(A584="","",IFERROR(XLOOKUP(D584,Setup!$E$15:$E$79,Setup!$G$15:$G$79),"Uncategorized"))</f>
      </c>
      <c r="J584">
        <f>IF(A584="","",IF(OR(H584="Transfers",H584="Income",D584="Transfer",D584="Category Pending",F584="Pending"),"No","Yes"))</f>
      </c>
      <c r="K584" s="4">
        <f>IF(A584="","",TEXT(IF(DAY(A584)&gt;=Setup!$B$9,DATE(YEAR(A584),MONTH(A584)+1,1),DATE(YEAR(A584),MONTH(A584),1)),"mmmm yyyy"))</f>
      </c>
      <c r="L584" s="47">
        <f>IF(A584="",0,IF(AND(J584="Yes",E584&lt;0),-E584,0))</f>
      </c>
      <c r="M584" s="47">
        <f>IF(A584="",0,IF(AND(J584="Yes",E584&gt;0),E584,0))</f>
      </c>
      <c r="N584">
        <f>IF(A584="","",IF(D584="Category Pending","Needs categorization",IF(COUNTIFS($A$2:A584,A584,$B$2:B584,B584,$E$2:E584,E584)&gt;1,"Possible duplicate","")))</f>
      </c>
    </row>
    <row r="585" spans="3:14" x14ac:dyDescent="0.3">
      <c r="A585"/>
      <c r="C585" s="16"/>
      <c r="G585" s="5">
        <f>IF(A585="","","Checking")</f>
      </c>
      <c r="H585">
        <f>IF(A585="","",IFERROR(XLOOKUP(D585,Setup!$E$15:$E$79,Setup!$F$15:$F$79),"Miscellaneous"))</f>
      </c>
      <c r="I585">
        <f>IF(A585="","",IFERROR(XLOOKUP(D585,Setup!$E$15:$E$79,Setup!$G$15:$G$79),"Uncategorized"))</f>
      </c>
      <c r="J585">
        <f>IF(A585="","",IF(OR(H585="Transfers",H585="Income",D585="Transfer",D585="Category Pending",F585="Pending"),"No","Yes"))</f>
      </c>
      <c r="K585" s="4">
        <f>IF(A585="","",TEXT(IF(DAY(A585)&gt;=Setup!$B$9,DATE(YEAR(A585),MONTH(A585)+1,1),DATE(YEAR(A585),MONTH(A585),1)),"mmmm yyyy"))</f>
      </c>
      <c r="L585" s="47">
        <f>IF(A585="",0,IF(AND(J585="Yes",E585&lt;0),-E585,0))</f>
      </c>
      <c r="M585" s="47">
        <f>IF(A585="",0,IF(AND(J585="Yes",E585&gt;0),E585,0))</f>
      </c>
      <c r="N585">
        <f>IF(A585="","",IF(D585="Category Pending","Needs categorization",IF(COUNTIFS($A$2:A585,A585,$B$2:B585,B585,$E$2:E585,E585)&gt;1,"Possible duplicate","")))</f>
      </c>
    </row>
    <row r="586" spans="3:14" x14ac:dyDescent="0.3">
      <c r="A586"/>
      <c r="C586" s="16"/>
      <c r="G586" s="5">
        <f>IF(A586="","","Checking")</f>
      </c>
      <c r="H586">
        <f>IF(A586="","",IFERROR(XLOOKUP(D586,Setup!$E$15:$E$79,Setup!$F$15:$F$79),"Miscellaneous"))</f>
      </c>
      <c r="I586">
        <f>IF(A586="","",IFERROR(XLOOKUP(D586,Setup!$E$15:$E$79,Setup!$G$15:$G$79),"Uncategorized"))</f>
      </c>
      <c r="J586">
        <f>IF(A586="","",IF(OR(H586="Transfers",H586="Income",D586="Transfer",D586="Category Pending",F586="Pending"),"No","Yes"))</f>
      </c>
      <c r="K586" s="4">
        <f>IF(A586="","",TEXT(IF(DAY(A586)&gt;=Setup!$B$9,DATE(YEAR(A586),MONTH(A586)+1,1),DATE(YEAR(A586),MONTH(A586),1)),"mmmm yyyy"))</f>
      </c>
      <c r="L586" s="47">
        <f>IF(A586="",0,IF(AND(J586="Yes",E586&lt;0),-E586,0))</f>
      </c>
      <c r="M586" s="47">
        <f>IF(A586="",0,IF(AND(J586="Yes",E586&gt;0),E586,0))</f>
      </c>
      <c r="N586">
        <f>IF(A586="","",IF(D586="Category Pending","Needs categorization",IF(COUNTIFS($A$2:A586,A586,$B$2:B586,B586,$E$2:E586,E586)&gt;1,"Possible duplicate","")))</f>
      </c>
    </row>
    <row r="587" spans="3:14" x14ac:dyDescent="0.3">
      <c r="A587"/>
      <c r="C587" s="16"/>
      <c r="G587" s="5">
        <f>IF(A587="","","Checking")</f>
      </c>
      <c r="H587">
        <f>IF(A587="","",IFERROR(XLOOKUP(D587,Setup!$E$15:$E$79,Setup!$F$15:$F$79),"Miscellaneous"))</f>
      </c>
      <c r="I587">
        <f>IF(A587="","",IFERROR(XLOOKUP(D587,Setup!$E$15:$E$79,Setup!$G$15:$G$79),"Uncategorized"))</f>
      </c>
      <c r="J587">
        <f>IF(A587="","",IF(OR(H587="Transfers",H587="Income",D587="Transfer",D587="Category Pending",F587="Pending"),"No","Yes"))</f>
      </c>
      <c r="K587" s="4">
        <f>IF(A587="","",TEXT(IF(DAY(A587)&gt;=Setup!$B$9,DATE(YEAR(A587),MONTH(A587)+1,1),DATE(YEAR(A587),MONTH(A587),1)),"mmmm yyyy"))</f>
      </c>
      <c r="L587" s="47">
        <f>IF(A587="",0,IF(AND(J587="Yes",E587&lt;0),-E587,0))</f>
      </c>
      <c r="M587" s="47">
        <f>IF(A587="",0,IF(AND(J587="Yes",E587&gt;0),E587,0))</f>
      </c>
      <c r="N587">
        <f>IF(A587="","",IF(D587="Category Pending","Needs categorization",IF(COUNTIFS($A$2:A587,A587,$B$2:B587,B587,$E$2:E587,E587)&gt;1,"Possible duplicate","")))</f>
      </c>
    </row>
    <row r="588" spans="3:14" x14ac:dyDescent="0.3">
      <c r="A588"/>
      <c r="C588" s="16"/>
      <c r="G588" s="5">
        <f>IF(A588="","","Checking")</f>
      </c>
      <c r="H588">
        <f>IF(A588="","",IFERROR(XLOOKUP(D588,Setup!$E$15:$E$79,Setup!$F$15:$F$79),"Miscellaneous"))</f>
      </c>
      <c r="I588">
        <f>IF(A588="","",IFERROR(XLOOKUP(D588,Setup!$E$15:$E$79,Setup!$G$15:$G$79),"Uncategorized"))</f>
      </c>
      <c r="J588">
        <f>IF(A588="","",IF(OR(H588="Transfers",H588="Income",D588="Transfer",D588="Category Pending",F588="Pending"),"No","Yes"))</f>
      </c>
      <c r="K588" s="4">
        <f>IF(A588="","",TEXT(IF(DAY(A588)&gt;=Setup!$B$9,DATE(YEAR(A588),MONTH(A588)+1,1),DATE(YEAR(A588),MONTH(A588),1)),"mmmm yyyy"))</f>
      </c>
      <c r="L588" s="47">
        <f>IF(A588="",0,IF(AND(J588="Yes",E588&lt;0),-E588,0))</f>
      </c>
      <c r="M588" s="47">
        <f>IF(A588="",0,IF(AND(J588="Yes",E588&gt;0),E588,0))</f>
      </c>
      <c r="N588">
        <f>IF(A588="","",IF(D588="Category Pending","Needs categorization",IF(COUNTIFS($A$2:A588,A588,$B$2:B588,B588,$E$2:E588,E588)&gt;1,"Possible duplicate","")))</f>
      </c>
    </row>
    <row r="589" spans="3:14" x14ac:dyDescent="0.3">
      <c r="A589"/>
      <c r="C589" s="16"/>
      <c r="G589" s="5">
        <f>IF(A589="","","Checking")</f>
      </c>
      <c r="H589">
        <f>IF(A589="","",IFERROR(XLOOKUP(D589,Setup!$E$15:$E$79,Setup!$F$15:$F$79),"Miscellaneous"))</f>
      </c>
      <c r="I589">
        <f>IF(A589="","",IFERROR(XLOOKUP(D589,Setup!$E$15:$E$79,Setup!$G$15:$G$79),"Uncategorized"))</f>
      </c>
      <c r="J589">
        <f>IF(A589="","",IF(OR(H589="Transfers",H589="Income",D589="Transfer",D589="Category Pending",F589="Pending"),"No","Yes"))</f>
      </c>
      <c r="K589" s="4">
        <f>IF(A589="","",TEXT(IF(DAY(A589)&gt;=Setup!$B$9,DATE(YEAR(A589),MONTH(A589)+1,1),DATE(YEAR(A589),MONTH(A589),1)),"mmmm yyyy"))</f>
      </c>
      <c r="L589" s="47">
        <f>IF(A589="",0,IF(AND(J589="Yes",E589&lt;0),-E589,0))</f>
      </c>
      <c r="M589" s="47">
        <f>IF(A589="",0,IF(AND(J589="Yes",E589&gt;0),E589,0))</f>
      </c>
      <c r="N589">
        <f>IF(A589="","",IF(D589="Category Pending","Needs categorization",IF(COUNTIFS($A$2:A589,A589,$B$2:B589,B589,$E$2:E589,E589)&gt;1,"Possible duplicate","")))</f>
      </c>
    </row>
    <row r="590" spans="3:14" x14ac:dyDescent="0.3">
      <c r="A590"/>
      <c r="C590" s="16"/>
      <c r="G590" s="5">
        <f>IF(A590="","","Checking")</f>
      </c>
      <c r="H590">
        <f>IF(A590="","",IFERROR(XLOOKUP(D590,Setup!$E$15:$E$79,Setup!$F$15:$F$79),"Miscellaneous"))</f>
      </c>
      <c r="I590">
        <f>IF(A590="","",IFERROR(XLOOKUP(D590,Setup!$E$15:$E$79,Setup!$G$15:$G$79),"Uncategorized"))</f>
      </c>
      <c r="J590">
        <f>IF(A590="","",IF(OR(H590="Transfers",H590="Income",D590="Transfer",D590="Category Pending",F590="Pending"),"No","Yes"))</f>
      </c>
      <c r="K590" s="4">
        <f>IF(A590="","",TEXT(IF(DAY(A590)&gt;=Setup!$B$9,DATE(YEAR(A590),MONTH(A590)+1,1),DATE(YEAR(A590),MONTH(A590),1)),"mmmm yyyy"))</f>
      </c>
      <c r="L590" s="47">
        <f>IF(A590="",0,IF(AND(J590="Yes",E590&lt;0),-E590,0))</f>
      </c>
      <c r="M590" s="47">
        <f>IF(A590="",0,IF(AND(J590="Yes",E590&gt;0),E590,0))</f>
      </c>
      <c r="N590">
        <f>IF(A590="","",IF(D590="Category Pending","Needs categorization",IF(COUNTIFS($A$2:A590,A590,$B$2:B590,B590,$E$2:E590,E590)&gt;1,"Possible duplicate","")))</f>
      </c>
    </row>
    <row r="591" spans="3:14" x14ac:dyDescent="0.3">
      <c r="A591"/>
      <c r="C591" s="16"/>
      <c r="G591" s="5">
        <f>IF(A591="","","Checking")</f>
      </c>
      <c r="H591">
        <f>IF(A591="","",IFERROR(XLOOKUP(D591,Setup!$E$15:$E$79,Setup!$F$15:$F$79),"Miscellaneous"))</f>
      </c>
      <c r="I591">
        <f>IF(A591="","",IFERROR(XLOOKUP(D591,Setup!$E$15:$E$79,Setup!$G$15:$G$79),"Uncategorized"))</f>
      </c>
      <c r="J591">
        <f>IF(A591="","",IF(OR(H591="Transfers",H591="Income",D591="Transfer",D591="Category Pending",F591="Pending"),"No","Yes"))</f>
      </c>
      <c r="K591" s="4">
        <f>IF(A591="","",TEXT(IF(DAY(A591)&gt;=Setup!$B$9,DATE(YEAR(A591),MONTH(A591)+1,1),DATE(YEAR(A591),MONTH(A591),1)),"mmmm yyyy"))</f>
      </c>
      <c r="L591" s="47">
        <f>IF(A591="",0,IF(AND(J591="Yes",E591&lt;0),-E591,0))</f>
      </c>
      <c r="M591" s="47">
        <f>IF(A591="",0,IF(AND(J591="Yes",E591&gt;0),E591,0))</f>
      </c>
      <c r="N591">
        <f>IF(A591="","",IF(D591="Category Pending","Needs categorization",IF(COUNTIFS($A$2:A591,A591,$B$2:B591,B591,$E$2:E591,E591)&gt;1,"Possible duplicate","")))</f>
      </c>
    </row>
    <row r="592" spans="3:14" x14ac:dyDescent="0.3">
      <c r="A592"/>
      <c r="C592" s="16"/>
      <c r="G592" s="5">
        <f>IF(A592="","","Checking")</f>
      </c>
      <c r="H592">
        <f>IF(A592="","",IFERROR(XLOOKUP(D592,Setup!$E$15:$E$79,Setup!$F$15:$F$79),"Miscellaneous"))</f>
      </c>
      <c r="I592">
        <f>IF(A592="","",IFERROR(XLOOKUP(D592,Setup!$E$15:$E$79,Setup!$G$15:$G$79),"Uncategorized"))</f>
      </c>
      <c r="J592">
        <f>IF(A592="","",IF(OR(H592="Transfers",H592="Income",D592="Transfer",D592="Category Pending",F592="Pending"),"No","Yes"))</f>
      </c>
      <c r="K592" s="4">
        <f>IF(A592="","",TEXT(IF(DAY(A592)&gt;=Setup!$B$9,DATE(YEAR(A592),MONTH(A592)+1,1),DATE(YEAR(A592),MONTH(A592),1)),"mmmm yyyy"))</f>
      </c>
      <c r="L592" s="47">
        <f>IF(A592="",0,IF(AND(J592="Yes",E592&lt;0),-E592,0))</f>
      </c>
      <c r="M592" s="47">
        <f>IF(A592="",0,IF(AND(J592="Yes",E592&gt;0),E592,0))</f>
      </c>
      <c r="N592">
        <f>IF(A592="","",IF(D592="Category Pending","Needs categorization",IF(COUNTIFS($A$2:A592,A592,$B$2:B592,B592,$E$2:E592,E592)&gt;1,"Possible duplicate","")))</f>
      </c>
    </row>
    <row r="593" spans="3:14" x14ac:dyDescent="0.3">
      <c r="A593"/>
      <c r="C593" s="16"/>
      <c r="G593" s="5">
        <f>IF(A593="","","Checking")</f>
      </c>
      <c r="H593">
        <f>IF(A593="","",IFERROR(XLOOKUP(D593,Setup!$E$15:$E$79,Setup!$F$15:$F$79),"Miscellaneous"))</f>
      </c>
      <c r="I593">
        <f>IF(A593="","",IFERROR(XLOOKUP(D593,Setup!$E$15:$E$79,Setup!$G$15:$G$79),"Uncategorized"))</f>
      </c>
      <c r="J593">
        <f>IF(A593="","",IF(OR(H593="Transfers",H593="Income",D593="Transfer",D593="Category Pending",F593="Pending"),"No","Yes"))</f>
      </c>
      <c r="K593" s="4">
        <f>IF(A593="","",TEXT(IF(DAY(A593)&gt;=Setup!$B$9,DATE(YEAR(A593),MONTH(A593)+1,1),DATE(YEAR(A593),MONTH(A593),1)),"mmmm yyyy"))</f>
      </c>
      <c r="L593" s="47">
        <f>IF(A593="",0,IF(AND(J593="Yes",E593&lt;0),-E593,0))</f>
      </c>
      <c r="M593" s="47">
        <f>IF(A593="",0,IF(AND(J593="Yes",E593&gt;0),E593,0))</f>
      </c>
      <c r="N593">
        <f>IF(A593="","",IF(D593="Category Pending","Needs categorization",IF(COUNTIFS($A$2:A593,A593,$B$2:B593,B593,$E$2:E593,E593)&gt;1,"Possible duplicate","")))</f>
      </c>
    </row>
    <row r="594" spans="3:14" x14ac:dyDescent="0.3">
      <c r="A594"/>
      <c r="C594" s="16"/>
      <c r="G594" s="5">
        <f>IF(A594="","","Checking")</f>
      </c>
      <c r="H594">
        <f>IF(A594="","",IFERROR(XLOOKUP(D594,Setup!$E$15:$E$79,Setup!$F$15:$F$79),"Miscellaneous"))</f>
      </c>
      <c r="I594">
        <f>IF(A594="","",IFERROR(XLOOKUP(D594,Setup!$E$15:$E$79,Setup!$G$15:$G$79),"Uncategorized"))</f>
      </c>
      <c r="J594">
        <f>IF(A594="","",IF(OR(H594="Transfers",H594="Income",D594="Transfer",D594="Category Pending",F594="Pending"),"No","Yes"))</f>
      </c>
      <c r="K594" s="4">
        <f>IF(A594="","",TEXT(IF(DAY(A594)&gt;=Setup!$B$9,DATE(YEAR(A594),MONTH(A594)+1,1),DATE(YEAR(A594),MONTH(A594),1)),"mmmm yyyy"))</f>
      </c>
      <c r="L594" s="47">
        <f>IF(A594="",0,IF(AND(J594="Yes",E594&lt;0),-E594,0))</f>
      </c>
      <c r="M594" s="47">
        <f>IF(A594="",0,IF(AND(J594="Yes",E594&gt;0),E594,0))</f>
      </c>
      <c r="N594">
        <f>IF(A594="","",IF(D594="Category Pending","Needs categorization",IF(COUNTIFS($A$2:A594,A594,$B$2:B594,B594,$E$2:E594,E594)&gt;1,"Possible duplicate","")))</f>
      </c>
    </row>
    <row r="595" spans="3:14" x14ac:dyDescent="0.3">
      <c r="A595"/>
      <c r="C595" s="16"/>
      <c r="G595" s="5">
        <f>IF(A595="","","Checking")</f>
      </c>
      <c r="H595">
        <f>IF(A595="","",IFERROR(XLOOKUP(D595,Setup!$E$15:$E$79,Setup!$F$15:$F$79),"Miscellaneous"))</f>
      </c>
      <c r="I595">
        <f>IF(A595="","",IFERROR(XLOOKUP(D595,Setup!$E$15:$E$79,Setup!$G$15:$G$79),"Uncategorized"))</f>
      </c>
      <c r="J595">
        <f>IF(A595="","",IF(OR(H595="Transfers",H595="Income",D595="Transfer",D595="Category Pending",F595="Pending"),"No","Yes"))</f>
      </c>
      <c r="K595" s="4">
        <f>IF(A595="","",TEXT(IF(DAY(A595)&gt;=Setup!$B$9,DATE(YEAR(A595),MONTH(A595)+1,1),DATE(YEAR(A595),MONTH(A595),1)),"mmmm yyyy"))</f>
      </c>
      <c r="L595" s="47">
        <f>IF(A595="",0,IF(AND(J595="Yes",E595&lt;0),-E595,0))</f>
      </c>
      <c r="M595" s="47">
        <f>IF(A595="",0,IF(AND(J595="Yes",E595&gt;0),E595,0))</f>
      </c>
      <c r="N595">
        <f>IF(A595="","",IF(D595="Category Pending","Needs categorization",IF(COUNTIFS($A$2:A595,A595,$B$2:B595,B595,$E$2:E595,E595)&gt;1,"Possible duplicate","")))</f>
      </c>
    </row>
    <row r="596" spans="3:14" x14ac:dyDescent="0.3">
      <c r="A596"/>
      <c r="C596" s="16"/>
      <c r="G596" s="5">
        <f>IF(A596="","","Checking")</f>
      </c>
      <c r="H596">
        <f>IF(A596="","",IFERROR(XLOOKUP(D596,Setup!$E$15:$E$79,Setup!$F$15:$F$79),"Miscellaneous"))</f>
      </c>
      <c r="I596">
        <f>IF(A596="","",IFERROR(XLOOKUP(D596,Setup!$E$15:$E$79,Setup!$G$15:$G$79),"Uncategorized"))</f>
      </c>
      <c r="J596">
        <f>IF(A596="","",IF(OR(H596="Transfers",H596="Income",D596="Transfer",D596="Category Pending",F596="Pending"),"No","Yes"))</f>
      </c>
      <c r="K596" s="4">
        <f>IF(A596="","",TEXT(IF(DAY(A596)&gt;=Setup!$B$9,DATE(YEAR(A596),MONTH(A596)+1,1),DATE(YEAR(A596),MONTH(A596),1)),"mmmm yyyy"))</f>
      </c>
      <c r="L596" s="47">
        <f>IF(A596="",0,IF(AND(J596="Yes",E596&lt;0),-E596,0))</f>
      </c>
      <c r="M596" s="47">
        <f>IF(A596="",0,IF(AND(J596="Yes",E596&gt;0),E596,0))</f>
      </c>
      <c r="N596">
        <f>IF(A596="","",IF(D596="Category Pending","Needs categorization",IF(COUNTIFS($A$2:A596,A596,$B$2:B596,B596,$E$2:E596,E596)&gt;1,"Possible duplicate","")))</f>
      </c>
    </row>
    <row r="597" spans="3:14" x14ac:dyDescent="0.3">
      <c r="A597"/>
      <c r="C597" s="16"/>
      <c r="G597" s="5">
        <f>IF(A597="","","Checking")</f>
      </c>
      <c r="H597">
        <f>IF(A597="","",IFERROR(XLOOKUP(D597,Setup!$E$15:$E$79,Setup!$F$15:$F$79),"Miscellaneous"))</f>
      </c>
      <c r="I597">
        <f>IF(A597="","",IFERROR(XLOOKUP(D597,Setup!$E$15:$E$79,Setup!$G$15:$G$79),"Uncategorized"))</f>
      </c>
      <c r="J597">
        <f>IF(A597="","",IF(OR(H597="Transfers",H597="Income",D597="Transfer",D597="Category Pending",F597="Pending"),"No","Yes"))</f>
      </c>
      <c r="K597" s="4">
        <f>IF(A597="","",TEXT(IF(DAY(A597)&gt;=Setup!$B$9,DATE(YEAR(A597),MONTH(A597)+1,1),DATE(YEAR(A597),MONTH(A597),1)),"mmmm yyyy"))</f>
      </c>
      <c r="L597" s="47">
        <f>IF(A597="",0,IF(AND(J597="Yes",E597&lt;0),-E597,0))</f>
      </c>
      <c r="M597" s="47">
        <f>IF(A597="",0,IF(AND(J597="Yes",E597&gt;0),E597,0))</f>
      </c>
      <c r="N597">
        <f>IF(A597="","",IF(D597="Category Pending","Needs categorization",IF(COUNTIFS($A$2:A597,A597,$B$2:B597,B597,$E$2:E597,E597)&gt;1,"Possible duplicate","")))</f>
      </c>
    </row>
    <row r="598" spans="3:14" x14ac:dyDescent="0.3">
      <c r="A598"/>
      <c r="C598" s="16"/>
      <c r="G598" s="5">
        <f>IF(A598="","","Checking")</f>
      </c>
      <c r="H598">
        <f>IF(A598="","",IFERROR(XLOOKUP(D598,Setup!$E$15:$E$79,Setup!$F$15:$F$79),"Miscellaneous"))</f>
      </c>
      <c r="I598">
        <f>IF(A598="","",IFERROR(XLOOKUP(D598,Setup!$E$15:$E$79,Setup!$G$15:$G$79),"Uncategorized"))</f>
      </c>
      <c r="J598">
        <f>IF(A598="","",IF(OR(H598="Transfers",H598="Income",D598="Transfer",D598="Category Pending",F598="Pending"),"No","Yes"))</f>
      </c>
      <c r="K598" s="4">
        <f>IF(A598="","",TEXT(IF(DAY(A598)&gt;=Setup!$B$9,DATE(YEAR(A598),MONTH(A598)+1,1),DATE(YEAR(A598),MONTH(A598),1)),"mmmm yyyy"))</f>
      </c>
      <c r="L598" s="47">
        <f>IF(A598="",0,IF(AND(J598="Yes",E598&lt;0),-E598,0))</f>
      </c>
      <c r="M598" s="47">
        <f>IF(A598="",0,IF(AND(J598="Yes",E598&gt;0),E598,0))</f>
      </c>
      <c r="N598">
        <f>IF(A598="","",IF(D598="Category Pending","Needs categorization",IF(COUNTIFS($A$2:A598,A598,$B$2:B598,B598,$E$2:E598,E598)&gt;1,"Possible duplicate","")))</f>
      </c>
    </row>
    <row r="599" spans="3:14" x14ac:dyDescent="0.3">
      <c r="A599"/>
      <c r="C599" s="16"/>
      <c r="G599" s="5">
        <f>IF(A599="","","Checking")</f>
      </c>
      <c r="H599">
        <f>IF(A599="","",IFERROR(XLOOKUP(D599,Setup!$E$15:$E$79,Setup!$F$15:$F$79),"Miscellaneous"))</f>
      </c>
      <c r="I599">
        <f>IF(A599="","",IFERROR(XLOOKUP(D599,Setup!$E$15:$E$79,Setup!$G$15:$G$79),"Uncategorized"))</f>
      </c>
      <c r="J599">
        <f>IF(A599="","",IF(OR(H599="Transfers",H599="Income",D599="Transfer",D599="Category Pending",F599="Pending"),"No","Yes"))</f>
      </c>
      <c r="K599" s="4">
        <f>IF(A599="","",TEXT(IF(DAY(A599)&gt;=Setup!$B$9,DATE(YEAR(A599),MONTH(A599)+1,1),DATE(YEAR(A599),MONTH(A599),1)),"mmmm yyyy"))</f>
      </c>
      <c r="L599" s="47">
        <f>IF(A599="",0,IF(AND(J599="Yes",E599&lt;0),-E599,0))</f>
      </c>
      <c r="M599" s="47">
        <f>IF(A599="",0,IF(AND(J599="Yes",E599&gt;0),E599,0))</f>
      </c>
      <c r="N599">
        <f>IF(A599="","",IF(D599="Category Pending","Needs categorization",IF(COUNTIFS($A$2:A599,A599,$B$2:B599,B599,$E$2:E599,E599)&gt;1,"Possible duplicate","")))</f>
      </c>
    </row>
    <row r="600" spans="3:14" x14ac:dyDescent="0.3">
      <c r="A600"/>
      <c r="C600" s="16"/>
      <c r="G600" s="5">
        <f>IF(A600="","","Checking")</f>
      </c>
      <c r="H600">
        <f>IF(A600="","",IFERROR(XLOOKUP(D600,Setup!$E$15:$E$79,Setup!$F$15:$F$79),"Miscellaneous"))</f>
      </c>
      <c r="I600">
        <f>IF(A600="","",IFERROR(XLOOKUP(D600,Setup!$E$15:$E$79,Setup!$G$15:$G$79),"Uncategorized"))</f>
      </c>
      <c r="J600">
        <f>IF(A600="","",IF(OR(H600="Transfers",H600="Income",D600="Transfer",D600="Category Pending",F600="Pending"),"No","Yes"))</f>
      </c>
      <c r="K600" s="4">
        <f>IF(A600="","",TEXT(IF(DAY(A600)&gt;=Setup!$B$9,DATE(YEAR(A600),MONTH(A600)+1,1),DATE(YEAR(A600),MONTH(A600),1)),"mmmm yyyy"))</f>
      </c>
      <c r="L600" s="47">
        <f>IF(A600="",0,IF(AND(J600="Yes",E600&lt;0),-E600,0))</f>
      </c>
      <c r="M600" s="47">
        <f>IF(A600="",0,IF(AND(J600="Yes",E600&gt;0),E600,0))</f>
      </c>
      <c r="N600">
        <f>IF(A600="","",IF(D600="Category Pending","Needs categorization",IF(COUNTIFS($A$2:A600,A600,$B$2:B600,B600,$E$2:E600,E600)&gt;1,"Possible duplicate","")))</f>
      </c>
    </row>
    <row r="601" spans="3:14" x14ac:dyDescent="0.3">
      <c r="A601"/>
      <c r="C601" s="16"/>
      <c r="G601" s="5">
        <f>IF(A601="","","Checking")</f>
      </c>
      <c r="H601">
        <f>IF(A601="","",IFERROR(XLOOKUP(D601,Setup!$E$15:$E$79,Setup!$F$15:$F$79),"Miscellaneous"))</f>
      </c>
      <c r="I601">
        <f>IF(A601="","",IFERROR(XLOOKUP(D601,Setup!$E$15:$E$79,Setup!$G$15:$G$79),"Uncategorized"))</f>
      </c>
      <c r="J601">
        <f>IF(A601="","",IF(OR(H601="Transfers",H601="Income",D601="Transfer",D601="Category Pending",F601="Pending"),"No","Yes"))</f>
      </c>
      <c r="K601" s="4">
        <f>IF(A601="","",TEXT(IF(DAY(A601)&gt;=Setup!$B$9,DATE(YEAR(A601),MONTH(A601)+1,1),DATE(YEAR(A601),MONTH(A601),1)),"mmmm yyyy"))</f>
      </c>
      <c r="L601" s="47">
        <f>IF(A601="",0,IF(AND(J601="Yes",E601&lt;0),-E601,0))</f>
      </c>
      <c r="M601" s="47">
        <f>IF(A601="",0,IF(AND(J601="Yes",E601&gt;0),E601,0))</f>
      </c>
      <c r="N601">
        <f>IF(A601="","",IF(D601="Category Pending","Needs categorization",IF(COUNTIFS($A$2:A601,A601,$B$2:B601,B601,$E$2:E601,E601)&gt;1,"Possible duplicate","")))</f>
      </c>
    </row>
    <row r="602" spans="3:14" x14ac:dyDescent="0.3">
      <c r="A602"/>
      <c r="C602" s="16"/>
      <c r="G602" s="5">
        <f>IF(A602="","","Checking")</f>
      </c>
      <c r="H602">
        <f>IF(A602="","",IFERROR(XLOOKUP(D602,Setup!$E$15:$E$79,Setup!$F$15:$F$79),"Miscellaneous"))</f>
      </c>
      <c r="I602">
        <f>IF(A602="","",IFERROR(XLOOKUP(D602,Setup!$E$15:$E$79,Setup!$G$15:$G$79),"Uncategorized"))</f>
      </c>
      <c r="J602">
        <f>IF(A602="","",IF(OR(H602="Transfers",H602="Income",D602="Transfer",D602="Category Pending",F602="Pending"),"No","Yes"))</f>
      </c>
      <c r="K602" s="4">
        <f>IF(A602="","",TEXT(IF(DAY(A602)&gt;=Setup!$B$9,DATE(YEAR(A602),MONTH(A602)+1,1),DATE(YEAR(A602),MONTH(A602),1)),"mmmm yyyy"))</f>
      </c>
      <c r="L602" s="47">
        <f>IF(A602="",0,IF(AND(J602="Yes",E602&lt;0),-E602,0))</f>
      </c>
      <c r="M602" s="47">
        <f>IF(A602="",0,IF(AND(J602="Yes",E602&gt;0),E602,0))</f>
      </c>
      <c r="N602">
        <f>IF(A602="","",IF(D602="Category Pending","Needs categorization",IF(COUNTIFS($A$2:A602,A602,$B$2:B602,B602,$E$2:E602,E602)&gt;1,"Possible duplicate","")))</f>
      </c>
    </row>
    <row r="603" spans="3:14" x14ac:dyDescent="0.3">
      <c r="A603"/>
      <c r="C603" s="16"/>
      <c r="G603" s="5">
        <f>IF(A603="","","Checking")</f>
      </c>
      <c r="H603">
        <f>IF(A603="","",IFERROR(XLOOKUP(D603,Setup!$E$15:$E$79,Setup!$F$15:$F$79),"Miscellaneous"))</f>
      </c>
      <c r="I603">
        <f>IF(A603="","",IFERROR(XLOOKUP(D603,Setup!$E$15:$E$79,Setup!$G$15:$G$79),"Uncategorized"))</f>
      </c>
      <c r="J603">
        <f>IF(A603="","",IF(OR(H603="Transfers",H603="Income",D603="Transfer",D603="Category Pending",F603="Pending"),"No","Yes"))</f>
      </c>
      <c r="K603" s="4">
        <f>IF(A603="","",TEXT(IF(DAY(A603)&gt;=Setup!$B$9,DATE(YEAR(A603),MONTH(A603)+1,1),DATE(YEAR(A603),MONTH(A603),1)),"mmmm yyyy"))</f>
      </c>
      <c r="L603" s="47">
        <f>IF(A603="",0,IF(AND(J603="Yes",E603&lt;0),-E603,0))</f>
      </c>
      <c r="M603" s="47">
        <f>IF(A603="",0,IF(AND(J603="Yes",E603&gt;0),E603,0))</f>
      </c>
      <c r="N603">
        <f>IF(A603="","",IF(D603="Category Pending","Needs categorization",IF(COUNTIFS($A$2:A603,A603,$B$2:B603,B603,$E$2:E603,E603)&gt;1,"Possible duplicate","")))</f>
      </c>
    </row>
    <row r="604" spans="3:14" x14ac:dyDescent="0.3">
      <c r="A604"/>
      <c r="C604" s="16"/>
      <c r="G604" s="5">
        <f>IF(A604="","","Checking")</f>
      </c>
      <c r="H604">
        <f>IF(A604="","",IFERROR(XLOOKUP(D604,Setup!$E$15:$E$79,Setup!$F$15:$F$79),"Miscellaneous"))</f>
      </c>
      <c r="I604">
        <f>IF(A604="","",IFERROR(XLOOKUP(D604,Setup!$E$15:$E$79,Setup!$G$15:$G$79),"Uncategorized"))</f>
      </c>
      <c r="J604">
        <f>IF(A604="","",IF(OR(H604="Transfers",H604="Income",D604="Transfer",D604="Category Pending",F604="Pending"),"No","Yes"))</f>
      </c>
      <c r="K604" s="4">
        <f>IF(A604="","",TEXT(IF(DAY(A604)&gt;=Setup!$B$9,DATE(YEAR(A604),MONTH(A604)+1,1),DATE(YEAR(A604),MONTH(A604),1)),"mmmm yyyy"))</f>
      </c>
      <c r="L604" s="47">
        <f>IF(A604="",0,IF(AND(J604="Yes",E604&lt;0),-E604,0))</f>
      </c>
      <c r="M604" s="47">
        <f>IF(A604="",0,IF(AND(J604="Yes",E604&gt;0),E604,0))</f>
      </c>
      <c r="N604">
        <f>IF(A604="","",IF(D604="Category Pending","Needs categorization",IF(COUNTIFS($A$2:A604,A604,$B$2:B604,B604,$E$2:E604,E604)&gt;1,"Possible duplicate","")))</f>
      </c>
    </row>
    <row r="605" spans="3:14" x14ac:dyDescent="0.3">
      <c r="A605"/>
      <c r="C605" s="16"/>
      <c r="G605" s="5">
        <f>IF(A605="","","Checking")</f>
      </c>
      <c r="H605">
        <f>IF(A605="","",IFERROR(XLOOKUP(D605,Setup!$E$15:$E$79,Setup!$F$15:$F$79),"Miscellaneous"))</f>
      </c>
      <c r="I605">
        <f>IF(A605="","",IFERROR(XLOOKUP(D605,Setup!$E$15:$E$79,Setup!$G$15:$G$79),"Uncategorized"))</f>
      </c>
      <c r="J605">
        <f>IF(A605="","",IF(OR(H605="Transfers",H605="Income",D605="Transfer",D605="Category Pending",F605="Pending"),"No","Yes"))</f>
      </c>
      <c r="K605" s="4">
        <f>IF(A605="","",TEXT(IF(DAY(A605)&gt;=Setup!$B$9,DATE(YEAR(A605),MONTH(A605)+1,1),DATE(YEAR(A605),MONTH(A605),1)),"mmmm yyyy"))</f>
      </c>
      <c r="L605" s="47">
        <f>IF(A605="",0,IF(AND(J605="Yes",E605&lt;0),-E605,0))</f>
      </c>
      <c r="M605" s="47">
        <f>IF(A605="",0,IF(AND(J605="Yes",E605&gt;0),E605,0))</f>
      </c>
      <c r="N605">
        <f>IF(A605="","",IF(D605="Category Pending","Needs categorization",IF(COUNTIFS($A$2:A605,A605,$B$2:B605,B605,$E$2:E605,E605)&gt;1,"Possible duplicate","")))</f>
      </c>
    </row>
    <row r="606" spans="3:14" x14ac:dyDescent="0.3">
      <c r="A606"/>
      <c r="C606" s="16"/>
      <c r="G606" s="5">
        <f>IF(A606="","","Checking")</f>
      </c>
      <c r="H606">
        <f>IF(A606="","",IFERROR(XLOOKUP(D606,Setup!$E$15:$E$79,Setup!$F$15:$F$79),"Miscellaneous"))</f>
      </c>
      <c r="I606">
        <f>IF(A606="","",IFERROR(XLOOKUP(D606,Setup!$E$15:$E$79,Setup!$G$15:$G$79),"Uncategorized"))</f>
      </c>
      <c r="J606">
        <f>IF(A606="","",IF(OR(H606="Transfers",H606="Income",D606="Transfer",D606="Category Pending",F606="Pending"),"No","Yes"))</f>
      </c>
      <c r="K606" s="4">
        <f>IF(A606="","",TEXT(IF(DAY(A606)&gt;=Setup!$B$9,DATE(YEAR(A606),MONTH(A606)+1,1),DATE(YEAR(A606),MONTH(A606),1)),"mmmm yyyy"))</f>
      </c>
      <c r="L606" s="47">
        <f>IF(A606="",0,IF(AND(J606="Yes",E606&lt;0),-E606,0))</f>
      </c>
      <c r="M606" s="47">
        <f>IF(A606="",0,IF(AND(J606="Yes",E606&gt;0),E606,0))</f>
      </c>
      <c r="N606">
        <f>IF(A606="","",IF(D606="Category Pending","Needs categorization",IF(COUNTIFS($A$2:A606,A606,$B$2:B606,B606,$E$2:E606,E606)&gt;1,"Possible duplicate","")))</f>
      </c>
    </row>
    <row r="607" spans="3:14" x14ac:dyDescent="0.3">
      <c r="A607"/>
      <c r="C607" s="16"/>
      <c r="G607" s="5">
        <f>IF(A607="","","Checking")</f>
      </c>
      <c r="H607">
        <f>IF(A607="","",IFERROR(XLOOKUP(D607,Setup!$E$15:$E$79,Setup!$F$15:$F$79),"Miscellaneous"))</f>
      </c>
      <c r="I607">
        <f>IF(A607="","",IFERROR(XLOOKUP(D607,Setup!$E$15:$E$79,Setup!$G$15:$G$79),"Uncategorized"))</f>
      </c>
      <c r="J607">
        <f>IF(A607="","",IF(OR(H607="Transfers",H607="Income",D607="Transfer",D607="Category Pending",F607="Pending"),"No","Yes"))</f>
      </c>
      <c r="K607" s="4">
        <f>IF(A607="","",TEXT(IF(DAY(A607)&gt;=Setup!$B$9,DATE(YEAR(A607),MONTH(A607)+1,1),DATE(YEAR(A607),MONTH(A607),1)),"mmmm yyyy"))</f>
      </c>
      <c r="L607" s="47">
        <f>IF(A607="",0,IF(AND(J607="Yes",E607&lt;0),-E607,0))</f>
      </c>
      <c r="M607" s="47">
        <f>IF(A607="",0,IF(AND(J607="Yes",E607&gt;0),E607,0))</f>
      </c>
      <c r="N607">
        <f>IF(A607="","",IF(D607="Category Pending","Needs categorization",IF(COUNTIFS($A$2:A607,A607,$B$2:B607,B607,$E$2:E607,E607)&gt;1,"Possible duplicate","")))</f>
      </c>
    </row>
    <row r="608" spans="3:14" x14ac:dyDescent="0.3">
      <c r="A608"/>
      <c r="C608" s="16"/>
      <c r="G608" s="5">
        <f>IF(A608="","","Checking")</f>
      </c>
      <c r="H608">
        <f>IF(A608="","",IFERROR(XLOOKUP(D608,Setup!$E$15:$E$79,Setup!$F$15:$F$79),"Miscellaneous"))</f>
      </c>
      <c r="I608">
        <f>IF(A608="","",IFERROR(XLOOKUP(D608,Setup!$E$15:$E$79,Setup!$G$15:$G$79),"Uncategorized"))</f>
      </c>
      <c r="J608">
        <f>IF(A608="","",IF(OR(H608="Transfers",H608="Income",D608="Transfer",D608="Category Pending",F608="Pending"),"No","Yes"))</f>
      </c>
      <c r="K608" s="4">
        <f>IF(A608="","",TEXT(IF(DAY(A608)&gt;=Setup!$B$9,DATE(YEAR(A608),MONTH(A608)+1,1),DATE(YEAR(A608),MONTH(A608),1)),"mmmm yyyy"))</f>
      </c>
      <c r="L608" s="47">
        <f>IF(A608="",0,IF(AND(J608="Yes",E608&lt;0),-E608,0))</f>
      </c>
      <c r="M608" s="47">
        <f>IF(A608="",0,IF(AND(J608="Yes",E608&gt;0),E608,0))</f>
      </c>
      <c r="N608">
        <f>IF(A608="","",IF(D608="Category Pending","Needs categorization",IF(COUNTIFS($A$2:A608,A608,$B$2:B608,B608,$E$2:E608,E608)&gt;1,"Possible duplicate","")))</f>
      </c>
    </row>
    <row r="609" spans="3:14" x14ac:dyDescent="0.3">
      <c r="A609"/>
      <c r="C609" s="16"/>
      <c r="G609" s="5">
        <f>IF(A609="","","Checking")</f>
      </c>
      <c r="H609">
        <f>IF(A609="","",IFERROR(XLOOKUP(D609,Setup!$E$15:$E$79,Setup!$F$15:$F$79),"Miscellaneous"))</f>
      </c>
      <c r="I609">
        <f>IF(A609="","",IFERROR(XLOOKUP(D609,Setup!$E$15:$E$79,Setup!$G$15:$G$79),"Uncategorized"))</f>
      </c>
      <c r="J609">
        <f>IF(A609="","",IF(OR(H609="Transfers",H609="Income",D609="Transfer",D609="Category Pending",F609="Pending"),"No","Yes"))</f>
      </c>
      <c r="K609" s="4">
        <f>IF(A609="","",TEXT(IF(DAY(A609)&gt;=Setup!$B$9,DATE(YEAR(A609),MONTH(A609)+1,1),DATE(YEAR(A609),MONTH(A609),1)),"mmmm yyyy"))</f>
      </c>
      <c r="L609" s="47">
        <f>IF(A609="",0,IF(AND(J609="Yes",E609&lt;0),-E609,0))</f>
      </c>
      <c r="M609" s="47">
        <f>IF(A609="",0,IF(AND(J609="Yes",E609&gt;0),E609,0))</f>
      </c>
      <c r="N609">
        <f>IF(A609="","",IF(D609="Category Pending","Needs categorization",IF(COUNTIFS($A$2:A609,A609,$B$2:B609,B609,$E$2:E609,E609)&gt;1,"Possible duplicate","")))</f>
      </c>
    </row>
    <row r="610" spans="3:14" x14ac:dyDescent="0.3">
      <c r="A610"/>
      <c r="C610" s="16"/>
      <c r="G610" s="5">
        <f>IF(A610="","","Checking")</f>
      </c>
      <c r="H610">
        <f>IF(A610="","",IFERROR(XLOOKUP(D610,Setup!$E$15:$E$79,Setup!$F$15:$F$79),"Miscellaneous"))</f>
      </c>
      <c r="I610">
        <f>IF(A610="","",IFERROR(XLOOKUP(D610,Setup!$E$15:$E$79,Setup!$G$15:$G$79),"Uncategorized"))</f>
      </c>
      <c r="J610">
        <f>IF(A610="","",IF(OR(H610="Transfers",H610="Income",D610="Transfer",D610="Category Pending",F610="Pending"),"No","Yes"))</f>
      </c>
      <c r="K610" s="4">
        <f>IF(A610="","",TEXT(IF(DAY(A610)&gt;=Setup!$B$9,DATE(YEAR(A610),MONTH(A610)+1,1),DATE(YEAR(A610),MONTH(A610),1)),"mmmm yyyy"))</f>
      </c>
      <c r="L610" s="47">
        <f>IF(A610="",0,IF(AND(J610="Yes",E610&lt;0),-E610,0))</f>
      </c>
      <c r="M610" s="47">
        <f>IF(A610="",0,IF(AND(J610="Yes",E610&gt;0),E610,0))</f>
      </c>
      <c r="N610">
        <f>IF(A610="","",IF(D610="Category Pending","Needs categorization",IF(COUNTIFS($A$2:A610,A610,$B$2:B610,B610,$E$2:E610,E610)&gt;1,"Possible duplicate","")))</f>
      </c>
    </row>
    <row r="611" spans="3:14" x14ac:dyDescent="0.3">
      <c r="A611"/>
      <c r="C611" s="16"/>
      <c r="G611" s="5">
        <f>IF(A611="","","Checking")</f>
      </c>
      <c r="H611">
        <f>IF(A611="","",IFERROR(XLOOKUP(D611,Setup!$E$15:$E$79,Setup!$F$15:$F$79),"Miscellaneous"))</f>
      </c>
      <c r="I611">
        <f>IF(A611="","",IFERROR(XLOOKUP(D611,Setup!$E$15:$E$79,Setup!$G$15:$G$79),"Uncategorized"))</f>
      </c>
      <c r="J611">
        <f>IF(A611="","",IF(OR(H611="Transfers",H611="Income",D611="Transfer",D611="Category Pending",F611="Pending"),"No","Yes"))</f>
      </c>
      <c r="K611" s="4">
        <f>IF(A611="","",TEXT(IF(DAY(A611)&gt;=Setup!$B$9,DATE(YEAR(A611),MONTH(A611)+1,1),DATE(YEAR(A611),MONTH(A611),1)),"mmmm yyyy"))</f>
      </c>
      <c r="L611" s="47">
        <f>IF(A611="",0,IF(AND(J611="Yes",E611&lt;0),-E611,0))</f>
      </c>
      <c r="M611" s="47">
        <f>IF(A611="",0,IF(AND(J611="Yes",E611&gt;0),E611,0))</f>
      </c>
      <c r="N611">
        <f>IF(A611="","",IF(D611="Category Pending","Needs categorization",IF(COUNTIFS($A$2:A611,A611,$B$2:B611,B611,$E$2:E611,E611)&gt;1,"Possible duplicate","")))</f>
      </c>
    </row>
    <row r="612" spans="3:14" x14ac:dyDescent="0.3">
      <c r="A612"/>
      <c r="C612" s="16"/>
      <c r="G612" s="5">
        <f>IF(A612="","","Checking")</f>
      </c>
      <c r="H612">
        <f>IF(A612="","",IFERROR(XLOOKUP(D612,Setup!$E$15:$E$79,Setup!$F$15:$F$79),"Miscellaneous"))</f>
      </c>
      <c r="I612">
        <f>IF(A612="","",IFERROR(XLOOKUP(D612,Setup!$E$15:$E$79,Setup!$G$15:$G$79),"Uncategorized"))</f>
      </c>
      <c r="J612">
        <f>IF(A612="","",IF(OR(H612="Transfers",H612="Income",D612="Transfer",D612="Category Pending",F612="Pending"),"No","Yes"))</f>
      </c>
      <c r="K612" s="4">
        <f>IF(A612="","",TEXT(IF(DAY(A612)&gt;=Setup!$B$9,DATE(YEAR(A612),MONTH(A612)+1,1),DATE(YEAR(A612),MONTH(A612),1)),"mmmm yyyy"))</f>
      </c>
      <c r="L612" s="47">
        <f>IF(A612="",0,IF(AND(J612="Yes",E612&lt;0),-E612,0))</f>
      </c>
      <c r="M612" s="47">
        <f>IF(A612="",0,IF(AND(J612="Yes",E612&gt;0),E612,0))</f>
      </c>
      <c r="N612">
        <f>IF(A612="","",IF(D612="Category Pending","Needs categorization",IF(COUNTIFS($A$2:A612,A612,$B$2:B612,B612,$E$2:E612,E612)&gt;1,"Possible duplicate","")))</f>
      </c>
    </row>
    <row r="613" spans="3:14" x14ac:dyDescent="0.3">
      <c r="A613"/>
      <c r="C613" s="16"/>
      <c r="G613" s="5">
        <f>IF(A613="","","Checking")</f>
      </c>
      <c r="H613">
        <f>IF(A613="","",IFERROR(XLOOKUP(D613,Setup!$E$15:$E$79,Setup!$F$15:$F$79),"Miscellaneous"))</f>
      </c>
      <c r="I613">
        <f>IF(A613="","",IFERROR(XLOOKUP(D613,Setup!$E$15:$E$79,Setup!$G$15:$G$79),"Uncategorized"))</f>
      </c>
      <c r="J613">
        <f>IF(A613="","",IF(OR(H613="Transfers",H613="Income",D613="Transfer",D613="Category Pending",F613="Pending"),"No","Yes"))</f>
      </c>
      <c r="K613" s="4">
        <f>IF(A613="","",TEXT(IF(DAY(A613)&gt;=Setup!$B$9,DATE(YEAR(A613),MONTH(A613)+1,1),DATE(YEAR(A613),MONTH(A613),1)),"mmmm yyyy"))</f>
      </c>
      <c r="L613" s="47">
        <f>IF(A613="",0,IF(AND(J613="Yes",E613&lt;0),-E613,0))</f>
      </c>
      <c r="M613" s="47">
        <f>IF(A613="",0,IF(AND(J613="Yes",E613&gt;0),E613,0))</f>
      </c>
      <c r="N613">
        <f>IF(A613="","",IF(D613="Category Pending","Needs categorization",IF(COUNTIFS($A$2:A613,A613,$B$2:B613,B613,$E$2:E613,E613)&gt;1,"Possible duplicate","")))</f>
      </c>
    </row>
    <row r="614" spans="3:14" x14ac:dyDescent="0.3">
      <c r="A614"/>
      <c r="C614" s="16"/>
      <c r="G614" s="5">
        <f>IF(A614="","","Checking")</f>
      </c>
      <c r="H614">
        <f>IF(A614="","",IFERROR(XLOOKUP(D614,Setup!$E$15:$E$79,Setup!$F$15:$F$79),"Miscellaneous"))</f>
      </c>
      <c r="I614">
        <f>IF(A614="","",IFERROR(XLOOKUP(D614,Setup!$E$15:$E$79,Setup!$G$15:$G$79),"Uncategorized"))</f>
      </c>
      <c r="J614">
        <f>IF(A614="","",IF(OR(H614="Transfers",H614="Income",D614="Transfer",D614="Category Pending",F614="Pending"),"No","Yes"))</f>
      </c>
      <c r="K614" s="4">
        <f>IF(A614="","",TEXT(IF(DAY(A614)&gt;=Setup!$B$9,DATE(YEAR(A614),MONTH(A614)+1,1),DATE(YEAR(A614),MONTH(A614),1)),"mmmm yyyy"))</f>
      </c>
      <c r="L614" s="47">
        <f>IF(A614="",0,IF(AND(J614="Yes",E614&lt;0),-E614,0))</f>
      </c>
      <c r="M614" s="47">
        <f>IF(A614="",0,IF(AND(J614="Yes",E614&gt;0),E614,0))</f>
      </c>
      <c r="N614">
        <f>IF(A614="","",IF(D614="Category Pending","Needs categorization",IF(COUNTIFS($A$2:A614,A614,$B$2:B614,B614,$E$2:E614,E614)&gt;1,"Possible duplicate","")))</f>
      </c>
    </row>
    <row r="615" spans="3:14" x14ac:dyDescent="0.3">
      <c r="A615"/>
      <c r="C615" s="16"/>
      <c r="G615" s="5">
        <f>IF(A615="","","Checking")</f>
      </c>
      <c r="H615">
        <f>IF(A615="","",IFERROR(XLOOKUP(D615,Setup!$E$15:$E$79,Setup!$F$15:$F$79),"Miscellaneous"))</f>
      </c>
      <c r="I615">
        <f>IF(A615="","",IFERROR(XLOOKUP(D615,Setup!$E$15:$E$79,Setup!$G$15:$G$79),"Uncategorized"))</f>
      </c>
      <c r="J615">
        <f>IF(A615="","",IF(OR(H615="Transfers",H615="Income",D615="Transfer",D615="Category Pending",F615="Pending"),"No","Yes"))</f>
      </c>
      <c r="K615" s="4">
        <f>IF(A615="","",TEXT(IF(DAY(A615)&gt;=Setup!$B$9,DATE(YEAR(A615),MONTH(A615)+1,1),DATE(YEAR(A615),MONTH(A615),1)),"mmmm yyyy"))</f>
      </c>
      <c r="L615" s="47">
        <f>IF(A615="",0,IF(AND(J615="Yes",E615&lt;0),-E615,0))</f>
      </c>
      <c r="M615" s="47">
        <f>IF(A615="",0,IF(AND(J615="Yes",E615&gt;0),E615,0))</f>
      </c>
      <c r="N615">
        <f>IF(A615="","",IF(D615="Category Pending","Needs categorization",IF(COUNTIFS($A$2:A615,A615,$B$2:B615,B615,$E$2:E615,E615)&gt;1,"Possible duplicate","")))</f>
      </c>
    </row>
    <row r="616" spans="3:14" x14ac:dyDescent="0.3">
      <c r="A616"/>
      <c r="C616" s="16"/>
      <c r="G616" s="5">
        <f>IF(A616="","","Checking")</f>
      </c>
      <c r="H616">
        <f>IF(A616="","",IFERROR(XLOOKUP(D616,Setup!$E$15:$E$79,Setup!$F$15:$F$79),"Miscellaneous"))</f>
      </c>
      <c r="I616">
        <f>IF(A616="","",IFERROR(XLOOKUP(D616,Setup!$E$15:$E$79,Setup!$G$15:$G$79),"Uncategorized"))</f>
      </c>
      <c r="J616">
        <f>IF(A616="","",IF(OR(H616="Transfers",H616="Income",D616="Transfer",D616="Category Pending",F616="Pending"),"No","Yes"))</f>
      </c>
      <c r="K616" s="4">
        <f>IF(A616="","",TEXT(IF(DAY(A616)&gt;=Setup!$B$9,DATE(YEAR(A616),MONTH(A616)+1,1),DATE(YEAR(A616),MONTH(A616),1)),"mmmm yyyy"))</f>
      </c>
      <c r="L616" s="47">
        <f>IF(A616="",0,IF(AND(J616="Yes",E616&lt;0),-E616,0))</f>
      </c>
      <c r="M616" s="47">
        <f>IF(A616="",0,IF(AND(J616="Yes",E616&gt;0),E616,0))</f>
      </c>
      <c r="N616">
        <f>IF(A616="","",IF(D616="Category Pending","Needs categorization",IF(COUNTIFS($A$2:A616,A616,$B$2:B616,B616,$E$2:E616,E616)&gt;1,"Possible duplicate","")))</f>
      </c>
    </row>
    <row r="617" spans="3:14" x14ac:dyDescent="0.3">
      <c r="A617"/>
      <c r="C617" s="16"/>
      <c r="G617" s="5">
        <f>IF(A617="","","Checking")</f>
      </c>
      <c r="H617">
        <f>IF(A617="","",IFERROR(XLOOKUP(D617,Setup!$E$15:$E$79,Setup!$F$15:$F$79),"Miscellaneous"))</f>
      </c>
      <c r="I617">
        <f>IF(A617="","",IFERROR(XLOOKUP(D617,Setup!$E$15:$E$79,Setup!$G$15:$G$79),"Uncategorized"))</f>
      </c>
      <c r="J617">
        <f>IF(A617="","",IF(OR(H617="Transfers",H617="Income",D617="Transfer",D617="Category Pending",F617="Pending"),"No","Yes"))</f>
      </c>
      <c r="K617" s="4">
        <f>IF(A617="","",TEXT(IF(DAY(A617)&gt;=Setup!$B$9,DATE(YEAR(A617),MONTH(A617)+1,1),DATE(YEAR(A617),MONTH(A617),1)),"mmmm yyyy"))</f>
      </c>
      <c r="L617" s="47">
        <f>IF(A617="",0,IF(AND(J617="Yes",E617&lt;0),-E617,0))</f>
      </c>
      <c r="M617" s="47">
        <f>IF(A617="",0,IF(AND(J617="Yes",E617&gt;0),E617,0))</f>
      </c>
      <c r="N617">
        <f>IF(A617="","",IF(D617="Category Pending","Needs categorization",IF(COUNTIFS($A$2:A617,A617,$B$2:B617,B617,$E$2:E617,E617)&gt;1,"Possible duplicate","")))</f>
      </c>
    </row>
    <row r="618" spans="3:14" x14ac:dyDescent="0.3">
      <c r="A618"/>
      <c r="C618" s="16"/>
      <c r="G618" s="5">
        <f>IF(A618="","","Checking")</f>
      </c>
      <c r="H618">
        <f>IF(A618="","",IFERROR(XLOOKUP(D618,Setup!$E$15:$E$79,Setup!$F$15:$F$79),"Miscellaneous"))</f>
      </c>
      <c r="I618">
        <f>IF(A618="","",IFERROR(XLOOKUP(D618,Setup!$E$15:$E$79,Setup!$G$15:$G$79),"Uncategorized"))</f>
      </c>
      <c r="J618">
        <f>IF(A618="","",IF(OR(H618="Transfers",H618="Income",D618="Transfer",D618="Category Pending",F618="Pending"),"No","Yes"))</f>
      </c>
      <c r="K618" s="4">
        <f>IF(A618="","",TEXT(IF(DAY(A618)&gt;=Setup!$B$9,DATE(YEAR(A618),MONTH(A618)+1,1),DATE(YEAR(A618),MONTH(A618),1)),"mmmm yyyy"))</f>
      </c>
      <c r="L618" s="47">
        <f>IF(A618="",0,IF(AND(J618="Yes",E618&lt;0),-E618,0))</f>
      </c>
      <c r="M618" s="47">
        <f>IF(A618="",0,IF(AND(J618="Yes",E618&gt;0),E618,0))</f>
      </c>
      <c r="N618">
        <f>IF(A618="","",IF(D618="Category Pending","Needs categorization",IF(COUNTIFS($A$2:A618,A618,$B$2:B618,B618,$E$2:E618,E618)&gt;1,"Possible duplicate","")))</f>
      </c>
    </row>
    <row r="619" spans="3:14" x14ac:dyDescent="0.3">
      <c r="A619"/>
      <c r="C619" s="16"/>
      <c r="G619" s="5">
        <f>IF(A619="","","Checking")</f>
      </c>
      <c r="H619">
        <f>IF(A619="","",IFERROR(XLOOKUP(D619,Setup!$E$15:$E$79,Setup!$F$15:$F$79),"Miscellaneous"))</f>
      </c>
      <c r="I619">
        <f>IF(A619="","",IFERROR(XLOOKUP(D619,Setup!$E$15:$E$79,Setup!$G$15:$G$79),"Uncategorized"))</f>
      </c>
      <c r="J619">
        <f>IF(A619="","",IF(OR(H619="Transfers",H619="Income",D619="Transfer",D619="Category Pending",F619="Pending"),"No","Yes"))</f>
      </c>
      <c r="K619" s="4">
        <f>IF(A619="","",TEXT(IF(DAY(A619)&gt;=Setup!$B$9,DATE(YEAR(A619),MONTH(A619)+1,1),DATE(YEAR(A619),MONTH(A619),1)),"mmmm yyyy"))</f>
      </c>
      <c r="L619" s="47">
        <f>IF(A619="",0,IF(AND(J619="Yes",E619&lt;0),-E619,0))</f>
      </c>
      <c r="M619" s="47">
        <f>IF(A619="",0,IF(AND(J619="Yes",E619&gt;0),E619,0))</f>
      </c>
      <c r="N619">
        <f>IF(A619="","",IF(D619="Category Pending","Needs categorization",IF(COUNTIFS($A$2:A619,A619,$B$2:B619,B619,$E$2:E619,E619)&gt;1,"Possible duplicate","")))</f>
      </c>
    </row>
    <row r="620" spans="3:14" x14ac:dyDescent="0.3">
      <c r="A620"/>
      <c r="C620" s="16"/>
      <c r="G620" s="5">
        <f>IF(A620="","","Checking")</f>
      </c>
      <c r="H620">
        <f>IF(A620="","",IFERROR(XLOOKUP(D620,Setup!$E$15:$E$79,Setup!$F$15:$F$79),"Miscellaneous"))</f>
      </c>
      <c r="I620">
        <f>IF(A620="","",IFERROR(XLOOKUP(D620,Setup!$E$15:$E$79,Setup!$G$15:$G$79),"Uncategorized"))</f>
      </c>
      <c r="J620">
        <f>IF(A620="","",IF(OR(H620="Transfers",H620="Income",D620="Transfer",D620="Category Pending",F620="Pending"),"No","Yes"))</f>
      </c>
      <c r="K620" s="4">
        <f>IF(A620="","",TEXT(IF(DAY(A620)&gt;=Setup!$B$9,DATE(YEAR(A620),MONTH(A620)+1,1),DATE(YEAR(A620),MONTH(A620),1)),"mmmm yyyy"))</f>
      </c>
      <c r="L620" s="47">
        <f>IF(A620="",0,IF(AND(J620="Yes",E620&lt;0),-E620,0))</f>
      </c>
      <c r="M620" s="47">
        <f>IF(A620="",0,IF(AND(J620="Yes",E620&gt;0),E620,0))</f>
      </c>
      <c r="N620">
        <f>IF(A620="","",IF(D620="Category Pending","Needs categorization",IF(COUNTIFS($A$2:A620,A620,$B$2:B620,B620,$E$2:E620,E620)&gt;1,"Possible duplicate","")))</f>
      </c>
    </row>
    <row r="621" spans="3:14" x14ac:dyDescent="0.3">
      <c r="A621"/>
      <c r="C621" s="16"/>
      <c r="G621" s="5">
        <f>IF(A621="","","Checking")</f>
      </c>
      <c r="H621">
        <f>IF(A621="","",IFERROR(XLOOKUP(D621,Setup!$E$15:$E$79,Setup!$F$15:$F$79),"Miscellaneous"))</f>
      </c>
      <c r="I621">
        <f>IF(A621="","",IFERROR(XLOOKUP(D621,Setup!$E$15:$E$79,Setup!$G$15:$G$79),"Uncategorized"))</f>
      </c>
      <c r="J621">
        <f>IF(A621="","",IF(OR(H621="Transfers",H621="Income",D621="Transfer",D621="Category Pending",F621="Pending"),"No","Yes"))</f>
      </c>
      <c r="K621" s="4">
        <f>IF(A621="","",TEXT(IF(DAY(A621)&gt;=Setup!$B$9,DATE(YEAR(A621),MONTH(A621)+1,1),DATE(YEAR(A621),MONTH(A621),1)),"mmmm yyyy"))</f>
      </c>
      <c r="L621" s="47">
        <f>IF(A621="",0,IF(AND(J621="Yes",E621&lt;0),-E621,0))</f>
      </c>
      <c r="M621" s="47">
        <f>IF(A621="",0,IF(AND(J621="Yes",E621&gt;0),E621,0))</f>
      </c>
      <c r="N621">
        <f>IF(A621="","",IF(D621="Category Pending","Needs categorization",IF(COUNTIFS($A$2:A621,A621,$B$2:B621,B621,$E$2:E621,E621)&gt;1,"Possible duplicate","")))</f>
      </c>
    </row>
    <row r="622" spans="3:14" x14ac:dyDescent="0.3">
      <c r="A622"/>
      <c r="C622" s="16"/>
      <c r="G622" s="5">
        <f>IF(A622="","","Checking")</f>
      </c>
      <c r="H622">
        <f>IF(A622="","",IFERROR(XLOOKUP(D622,Setup!$E$15:$E$79,Setup!$F$15:$F$79),"Miscellaneous"))</f>
      </c>
      <c r="I622">
        <f>IF(A622="","",IFERROR(XLOOKUP(D622,Setup!$E$15:$E$79,Setup!$G$15:$G$79),"Uncategorized"))</f>
      </c>
      <c r="J622">
        <f>IF(A622="","",IF(OR(H622="Transfers",H622="Income",D622="Transfer",D622="Category Pending",F622="Pending"),"No","Yes"))</f>
      </c>
      <c r="K622" s="4">
        <f>IF(A622="","",TEXT(IF(DAY(A622)&gt;=Setup!$B$9,DATE(YEAR(A622),MONTH(A622)+1,1),DATE(YEAR(A622),MONTH(A622),1)),"mmmm yyyy"))</f>
      </c>
      <c r="L622" s="47">
        <f>IF(A622="",0,IF(AND(J622="Yes",E622&lt;0),-E622,0))</f>
      </c>
      <c r="M622" s="47">
        <f>IF(A622="",0,IF(AND(J622="Yes",E622&gt;0),E622,0))</f>
      </c>
      <c r="N622">
        <f>IF(A622="","",IF(D622="Category Pending","Needs categorization",IF(COUNTIFS($A$2:A622,A622,$B$2:B622,B622,$E$2:E622,E622)&gt;1,"Possible duplicate","")))</f>
      </c>
    </row>
    <row r="623" spans="3:14" x14ac:dyDescent="0.3">
      <c r="A623"/>
      <c r="C623" s="16"/>
      <c r="G623" s="5">
        <f>IF(A623="","","Checking")</f>
      </c>
      <c r="H623">
        <f>IF(A623="","",IFERROR(XLOOKUP(D623,Setup!$E$15:$E$79,Setup!$F$15:$F$79),"Miscellaneous"))</f>
      </c>
      <c r="I623">
        <f>IF(A623="","",IFERROR(XLOOKUP(D623,Setup!$E$15:$E$79,Setup!$G$15:$G$79),"Uncategorized"))</f>
      </c>
      <c r="J623">
        <f>IF(A623="","",IF(OR(H623="Transfers",H623="Income",D623="Transfer",D623="Category Pending",F623="Pending"),"No","Yes"))</f>
      </c>
      <c r="K623" s="4">
        <f>IF(A623="","",TEXT(IF(DAY(A623)&gt;=Setup!$B$9,DATE(YEAR(A623),MONTH(A623)+1,1),DATE(YEAR(A623),MONTH(A623),1)),"mmmm yyyy"))</f>
      </c>
      <c r="L623" s="47">
        <f>IF(A623="",0,IF(AND(J623="Yes",E623&lt;0),-E623,0))</f>
      </c>
      <c r="M623" s="47">
        <f>IF(A623="",0,IF(AND(J623="Yes",E623&gt;0),E623,0))</f>
      </c>
      <c r="N623">
        <f>IF(A623="","",IF(D623="Category Pending","Needs categorization",IF(COUNTIFS($A$2:A623,A623,$B$2:B623,B623,$E$2:E623,E623)&gt;1,"Possible duplicate","")))</f>
      </c>
    </row>
    <row r="624" spans="3:14" x14ac:dyDescent="0.3">
      <c r="A624"/>
      <c r="C624" s="16"/>
      <c r="G624" s="5">
        <f>IF(A624="","","Checking")</f>
      </c>
      <c r="H624">
        <f>IF(A624="","",IFERROR(XLOOKUP(D624,Setup!$E$15:$E$79,Setup!$F$15:$F$79),"Miscellaneous"))</f>
      </c>
      <c r="I624">
        <f>IF(A624="","",IFERROR(XLOOKUP(D624,Setup!$E$15:$E$79,Setup!$G$15:$G$79),"Uncategorized"))</f>
      </c>
      <c r="J624">
        <f>IF(A624="","",IF(OR(H624="Transfers",H624="Income",D624="Transfer",D624="Category Pending",F624="Pending"),"No","Yes"))</f>
      </c>
      <c r="K624" s="4">
        <f>IF(A624="","",TEXT(IF(DAY(A624)&gt;=Setup!$B$9,DATE(YEAR(A624),MONTH(A624)+1,1),DATE(YEAR(A624),MONTH(A624),1)),"mmmm yyyy"))</f>
      </c>
      <c r="L624" s="47">
        <f>IF(A624="",0,IF(AND(J624="Yes",E624&lt;0),-E624,0))</f>
      </c>
      <c r="M624" s="47">
        <f>IF(A624="",0,IF(AND(J624="Yes",E624&gt;0),E624,0))</f>
      </c>
      <c r="N624">
        <f>IF(A624="","",IF(D624="Category Pending","Needs categorization",IF(COUNTIFS($A$2:A624,A624,$B$2:B624,B624,$E$2:E624,E624)&gt;1,"Possible duplicate","")))</f>
      </c>
    </row>
    <row r="625" spans="3:14" x14ac:dyDescent="0.3">
      <c r="A625"/>
      <c r="C625" s="16"/>
      <c r="G625" s="5">
        <f>IF(A625="","","Checking")</f>
      </c>
      <c r="H625">
        <f>IF(A625="","",IFERROR(XLOOKUP(D625,Setup!$E$15:$E$79,Setup!$F$15:$F$79),"Miscellaneous"))</f>
      </c>
      <c r="I625">
        <f>IF(A625="","",IFERROR(XLOOKUP(D625,Setup!$E$15:$E$79,Setup!$G$15:$G$79),"Uncategorized"))</f>
      </c>
      <c r="J625">
        <f>IF(A625="","",IF(OR(H625="Transfers",H625="Income",D625="Transfer",D625="Category Pending",F625="Pending"),"No","Yes"))</f>
      </c>
      <c r="K625" s="4">
        <f>IF(A625="","",TEXT(IF(DAY(A625)&gt;=Setup!$B$9,DATE(YEAR(A625),MONTH(A625)+1,1),DATE(YEAR(A625),MONTH(A625),1)),"mmmm yyyy"))</f>
      </c>
      <c r="L625" s="47">
        <f>IF(A625="",0,IF(AND(J625="Yes",E625&lt;0),-E625,0))</f>
      </c>
      <c r="M625" s="47">
        <f>IF(A625="",0,IF(AND(J625="Yes",E625&gt;0),E625,0))</f>
      </c>
      <c r="N625">
        <f>IF(A625="","",IF(D625="Category Pending","Needs categorization",IF(COUNTIFS($A$2:A625,A625,$B$2:B625,B625,$E$2:E625,E625)&gt;1,"Possible duplicate","")))</f>
      </c>
    </row>
    <row r="626" spans="3:14" x14ac:dyDescent="0.3">
      <c r="A626"/>
      <c r="C626" s="16"/>
      <c r="G626" s="5">
        <f>IF(A626="","","Checking")</f>
      </c>
      <c r="H626">
        <f>IF(A626="","",IFERROR(XLOOKUP(D626,Setup!$E$15:$E$79,Setup!$F$15:$F$79),"Miscellaneous"))</f>
      </c>
      <c r="I626">
        <f>IF(A626="","",IFERROR(XLOOKUP(D626,Setup!$E$15:$E$79,Setup!$G$15:$G$79),"Uncategorized"))</f>
      </c>
      <c r="J626">
        <f>IF(A626="","",IF(OR(H626="Transfers",H626="Income",D626="Transfer",D626="Category Pending",F626="Pending"),"No","Yes"))</f>
      </c>
      <c r="K626" s="4">
        <f>IF(A626="","",TEXT(IF(DAY(A626)&gt;=Setup!$B$9,DATE(YEAR(A626),MONTH(A626)+1,1),DATE(YEAR(A626),MONTH(A626),1)),"mmmm yyyy"))</f>
      </c>
      <c r="L626" s="47">
        <f>IF(A626="",0,IF(AND(J626="Yes",E626&lt;0),-E626,0))</f>
      </c>
      <c r="M626" s="47">
        <f>IF(A626="",0,IF(AND(J626="Yes",E626&gt;0),E626,0))</f>
      </c>
      <c r="N626">
        <f>IF(A626="","",IF(D626="Category Pending","Needs categorization",IF(COUNTIFS($A$2:A626,A626,$B$2:B626,B626,$E$2:E626,E626)&gt;1,"Possible duplicate","")))</f>
      </c>
    </row>
    <row r="627" spans="3:14" x14ac:dyDescent="0.3">
      <c r="A627"/>
      <c r="C627" s="16"/>
      <c r="G627" s="5">
        <f>IF(A627="","","Checking")</f>
      </c>
      <c r="H627">
        <f>IF(A627="","",IFERROR(XLOOKUP(D627,Setup!$E$15:$E$79,Setup!$F$15:$F$79),"Miscellaneous"))</f>
      </c>
      <c r="I627">
        <f>IF(A627="","",IFERROR(XLOOKUP(D627,Setup!$E$15:$E$79,Setup!$G$15:$G$79),"Uncategorized"))</f>
      </c>
      <c r="J627">
        <f>IF(A627="","",IF(OR(H627="Transfers",H627="Income",D627="Transfer",D627="Category Pending",F627="Pending"),"No","Yes"))</f>
      </c>
      <c r="K627" s="4">
        <f>IF(A627="","",TEXT(IF(DAY(A627)&gt;=Setup!$B$9,DATE(YEAR(A627),MONTH(A627)+1,1),DATE(YEAR(A627),MONTH(A627),1)),"mmmm yyyy"))</f>
      </c>
      <c r="L627" s="47">
        <f>IF(A627="",0,IF(AND(J627="Yes",E627&lt;0),-E627,0))</f>
      </c>
      <c r="M627" s="47">
        <f>IF(A627="",0,IF(AND(J627="Yes",E627&gt;0),E627,0))</f>
      </c>
      <c r="N627">
        <f>IF(A627="","",IF(D627="Category Pending","Needs categorization",IF(COUNTIFS($A$2:A627,A627,$B$2:B627,B627,$E$2:E627,E627)&gt;1,"Possible duplicate","")))</f>
      </c>
    </row>
    <row r="628" spans="3:14" x14ac:dyDescent="0.3">
      <c r="A628"/>
      <c r="C628" s="16"/>
      <c r="G628" s="5">
        <f>IF(A628="","","Checking")</f>
      </c>
      <c r="H628">
        <f>IF(A628="","",IFERROR(XLOOKUP(D628,Setup!$E$15:$E$79,Setup!$F$15:$F$79),"Miscellaneous"))</f>
      </c>
      <c r="I628">
        <f>IF(A628="","",IFERROR(XLOOKUP(D628,Setup!$E$15:$E$79,Setup!$G$15:$G$79),"Uncategorized"))</f>
      </c>
      <c r="J628">
        <f>IF(A628="","",IF(OR(H628="Transfers",H628="Income",D628="Transfer",D628="Category Pending",F628="Pending"),"No","Yes"))</f>
      </c>
      <c r="K628" s="4">
        <f>IF(A628="","",TEXT(IF(DAY(A628)&gt;=Setup!$B$9,DATE(YEAR(A628),MONTH(A628)+1,1),DATE(YEAR(A628),MONTH(A628),1)),"mmmm yyyy"))</f>
      </c>
      <c r="L628" s="47">
        <f>IF(A628="",0,IF(AND(J628="Yes",E628&lt;0),-E628,0))</f>
      </c>
      <c r="M628" s="47">
        <f>IF(A628="",0,IF(AND(J628="Yes",E628&gt;0),E628,0))</f>
      </c>
      <c r="N628">
        <f>IF(A628="","",IF(D628="Category Pending","Needs categorization",IF(COUNTIFS($A$2:A628,A628,$B$2:B628,B628,$E$2:E628,E628)&gt;1,"Possible duplicate","")))</f>
      </c>
    </row>
    <row r="629" spans="3:14" x14ac:dyDescent="0.3">
      <c r="A629"/>
      <c r="C629" s="16"/>
      <c r="G629" s="5">
        <f>IF(A629="","","Checking")</f>
      </c>
      <c r="H629">
        <f>IF(A629="","",IFERROR(XLOOKUP(D629,Setup!$E$15:$E$79,Setup!$F$15:$F$79),"Miscellaneous"))</f>
      </c>
      <c r="I629">
        <f>IF(A629="","",IFERROR(XLOOKUP(D629,Setup!$E$15:$E$79,Setup!$G$15:$G$79),"Uncategorized"))</f>
      </c>
      <c r="J629">
        <f>IF(A629="","",IF(OR(H629="Transfers",H629="Income",D629="Transfer",D629="Category Pending",F629="Pending"),"No","Yes"))</f>
      </c>
      <c r="K629" s="4">
        <f>IF(A629="","",TEXT(IF(DAY(A629)&gt;=Setup!$B$9,DATE(YEAR(A629),MONTH(A629)+1,1),DATE(YEAR(A629),MONTH(A629),1)),"mmmm yyyy"))</f>
      </c>
      <c r="L629" s="47">
        <f>IF(A629="",0,IF(AND(J629="Yes",E629&lt;0),-E629,0))</f>
      </c>
      <c r="M629" s="47">
        <f>IF(A629="",0,IF(AND(J629="Yes",E629&gt;0),E629,0))</f>
      </c>
      <c r="N629">
        <f>IF(A629="","",IF(D629="Category Pending","Needs categorization",IF(COUNTIFS($A$2:A629,A629,$B$2:B629,B629,$E$2:E629,E629)&gt;1,"Possible duplicate","")))</f>
      </c>
    </row>
    <row r="630" spans="3:14" x14ac:dyDescent="0.3">
      <c r="A630"/>
      <c r="C630" s="16"/>
      <c r="G630" s="5">
        <f>IF(A630="","","Checking")</f>
      </c>
      <c r="H630">
        <f>IF(A630="","",IFERROR(XLOOKUP(D630,Setup!$E$15:$E$79,Setup!$F$15:$F$79),"Miscellaneous"))</f>
      </c>
      <c r="I630">
        <f>IF(A630="","",IFERROR(XLOOKUP(D630,Setup!$E$15:$E$79,Setup!$G$15:$G$79),"Uncategorized"))</f>
      </c>
      <c r="J630">
        <f>IF(A630="","",IF(OR(H630="Transfers",H630="Income",D630="Transfer",D630="Category Pending",F630="Pending"),"No","Yes"))</f>
      </c>
      <c r="K630" s="4">
        <f>IF(A630="","",TEXT(IF(DAY(A630)&gt;=Setup!$B$9,DATE(YEAR(A630),MONTH(A630)+1,1),DATE(YEAR(A630),MONTH(A630),1)),"mmmm yyyy"))</f>
      </c>
      <c r="L630" s="47">
        <f>IF(A630="",0,IF(AND(J630="Yes",E630&lt;0),-E630,0))</f>
      </c>
      <c r="M630" s="47">
        <f>IF(A630="",0,IF(AND(J630="Yes",E630&gt;0),E630,0))</f>
      </c>
      <c r="N630">
        <f>IF(A630="","",IF(D630="Category Pending","Needs categorization",IF(COUNTIFS($A$2:A630,A630,$B$2:B630,B630,$E$2:E630,E630)&gt;1,"Possible duplicate","")))</f>
      </c>
    </row>
    <row r="631" spans="3:14" x14ac:dyDescent="0.3">
      <c r="A631"/>
      <c r="C631" s="16"/>
      <c r="G631" s="5">
        <f>IF(A631="","","Checking")</f>
      </c>
      <c r="H631">
        <f>IF(A631="","",IFERROR(XLOOKUP(D631,Setup!$E$15:$E$79,Setup!$F$15:$F$79),"Miscellaneous"))</f>
      </c>
      <c r="I631">
        <f>IF(A631="","",IFERROR(XLOOKUP(D631,Setup!$E$15:$E$79,Setup!$G$15:$G$79),"Uncategorized"))</f>
      </c>
      <c r="J631">
        <f>IF(A631="","",IF(OR(H631="Transfers",H631="Income",D631="Transfer",D631="Category Pending",F631="Pending"),"No","Yes"))</f>
      </c>
      <c r="K631" s="4">
        <f>IF(A631="","",TEXT(IF(DAY(A631)&gt;=Setup!$B$9,DATE(YEAR(A631),MONTH(A631)+1,1),DATE(YEAR(A631),MONTH(A631),1)),"mmmm yyyy"))</f>
      </c>
      <c r="L631" s="47">
        <f>IF(A631="",0,IF(AND(J631="Yes",E631&lt;0),-E631,0))</f>
      </c>
      <c r="M631" s="47">
        <f>IF(A631="",0,IF(AND(J631="Yes",E631&gt;0),E631,0))</f>
      </c>
      <c r="N631">
        <f>IF(A631="","",IF(D631="Category Pending","Needs categorization",IF(COUNTIFS($A$2:A631,A631,$B$2:B631,B631,$E$2:E631,E631)&gt;1,"Possible duplicate","")))</f>
      </c>
    </row>
    <row r="632" spans="3:14" x14ac:dyDescent="0.3">
      <c r="A632"/>
      <c r="C632" s="16"/>
      <c r="G632" s="5">
        <f>IF(A632="","","Checking")</f>
      </c>
      <c r="H632">
        <f>IF(A632="","",IFERROR(XLOOKUP(D632,Setup!$E$15:$E$79,Setup!$F$15:$F$79),"Miscellaneous"))</f>
      </c>
      <c r="I632">
        <f>IF(A632="","",IFERROR(XLOOKUP(D632,Setup!$E$15:$E$79,Setup!$G$15:$G$79),"Uncategorized"))</f>
      </c>
      <c r="J632">
        <f>IF(A632="","",IF(OR(H632="Transfers",H632="Income",D632="Transfer",D632="Category Pending",F632="Pending"),"No","Yes"))</f>
      </c>
      <c r="K632" s="4">
        <f>IF(A632="","",TEXT(IF(DAY(A632)&gt;=Setup!$B$9,DATE(YEAR(A632),MONTH(A632)+1,1),DATE(YEAR(A632),MONTH(A632),1)),"mmmm yyyy"))</f>
      </c>
      <c r="L632" s="47">
        <f>IF(A632="",0,IF(AND(J632="Yes",E632&lt;0),-E632,0))</f>
      </c>
      <c r="M632" s="47">
        <f>IF(A632="",0,IF(AND(J632="Yes",E632&gt;0),E632,0))</f>
      </c>
      <c r="N632">
        <f>IF(A632="","",IF(D632="Category Pending","Needs categorization",IF(COUNTIFS($A$2:A632,A632,$B$2:B632,B632,$E$2:E632,E632)&gt;1,"Possible duplicate","")))</f>
      </c>
    </row>
    <row r="633" spans="3:14" x14ac:dyDescent="0.3">
      <c r="A633"/>
      <c r="C633" s="16"/>
      <c r="G633" s="5">
        <f>IF(A633="","","Checking")</f>
      </c>
      <c r="H633">
        <f>IF(A633="","",IFERROR(XLOOKUP(D633,Setup!$E$15:$E$79,Setup!$F$15:$F$79),"Miscellaneous"))</f>
      </c>
      <c r="I633">
        <f>IF(A633="","",IFERROR(XLOOKUP(D633,Setup!$E$15:$E$79,Setup!$G$15:$G$79),"Uncategorized"))</f>
      </c>
      <c r="J633">
        <f>IF(A633="","",IF(OR(H633="Transfers",H633="Income",D633="Transfer",D633="Category Pending",F633="Pending"),"No","Yes"))</f>
      </c>
      <c r="K633" s="4">
        <f>IF(A633="","",TEXT(IF(DAY(A633)&gt;=Setup!$B$9,DATE(YEAR(A633),MONTH(A633)+1,1),DATE(YEAR(A633),MONTH(A633),1)),"mmmm yyyy"))</f>
      </c>
      <c r="L633" s="47">
        <f>IF(A633="",0,IF(AND(J633="Yes",E633&lt;0),-E633,0))</f>
      </c>
      <c r="M633" s="47">
        <f>IF(A633="",0,IF(AND(J633="Yes",E633&gt;0),E633,0))</f>
      </c>
      <c r="N633">
        <f>IF(A633="","",IF(D633="Category Pending","Needs categorization",IF(COUNTIFS($A$2:A633,A633,$B$2:B633,B633,$E$2:E633,E633)&gt;1,"Possible duplicate","")))</f>
      </c>
    </row>
    <row r="634" spans="3:14" x14ac:dyDescent="0.3">
      <c r="A634"/>
      <c r="C634" s="16"/>
      <c r="G634" s="5">
        <f>IF(A634="","","Checking")</f>
      </c>
      <c r="H634">
        <f>IF(A634="","",IFERROR(XLOOKUP(D634,Setup!$E$15:$E$79,Setup!$F$15:$F$79),"Miscellaneous"))</f>
      </c>
      <c r="I634">
        <f>IF(A634="","",IFERROR(XLOOKUP(D634,Setup!$E$15:$E$79,Setup!$G$15:$G$79),"Uncategorized"))</f>
      </c>
      <c r="J634">
        <f>IF(A634="","",IF(OR(H634="Transfers",H634="Income",D634="Transfer",D634="Category Pending",F634="Pending"),"No","Yes"))</f>
      </c>
      <c r="K634" s="4">
        <f>IF(A634="","",TEXT(IF(DAY(A634)&gt;=Setup!$B$9,DATE(YEAR(A634),MONTH(A634)+1,1),DATE(YEAR(A634),MONTH(A634),1)),"mmmm yyyy"))</f>
      </c>
      <c r="L634" s="47">
        <f>IF(A634="",0,IF(AND(J634="Yes",E634&lt;0),-E634,0))</f>
      </c>
      <c r="M634" s="47">
        <f>IF(A634="",0,IF(AND(J634="Yes",E634&gt;0),E634,0))</f>
      </c>
      <c r="N634">
        <f>IF(A634="","",IF(D634="Category Pending","Needs categorization",IF(COUNTIFS($A$2:A634,A634,$B$2:B634,B634,$E$2:E634,E634)&gt;1,"Possible duplicate","")))</f>
      </c>
    </row>
    <row r="635" spans="3:14" x14ac:dyDescent="0.3">
      <c r="A635"/>
      <c r="C635" s="16"/>
      <c r="G635" s="5">
        <f>IF(A635="","","Checking")</f>
      </c>
      <c r="H635">
        <f>IF(A635="","",IFERROR(XLOOKUP(D635,Setup!$E$15:$E$79,Setup!$F$15:$F$79),"Miscellaneous"))</f>
      </c>
      <c r="I635">
        <f>IF(A635="","",IFERROR(XLOOKUP(D635,Setup!$E$15:$E$79,Setup!$G$15:$G$79),"Uncategorized"))</f>
      </c>
      <c r="J635">
        <f>IF(A635="","",IF(OR(H635="Transfers",H635="Income",D635="Transfer",D635="Category Pending",F635="Pending"),"No","Yes"))</f>
      </c>
      <c r="K635" s="4">
        <f>IF(A635="","",TEXT(IF(DAY(A635)&gt;=Setup!$B$9,DATE(YEAR(A635),MONTH(A635)+1,1),DATE(YEAR(A635),MONTH(A635),1)),"mmmm yyyy"))</f>
      </c>
      <c r="L635" s="47">
        <f>IF(A635="",0,IF(AND(J635="Yes",E635&lt;0),-E635,0))</f>
      </c>
      <c r="M635" s="47">
        <f>IF(A635="",0,IF(AND(J635="Yes",E635&gt;0),E635,0))</f>
      </c>
      <c r="N635">
        <f>IF(A635="","",IF(D635="Category Pending","Needs categorization",IF(COUNTIFS($A$2:A635,A635,$B$2:B635,B635,$E$2:E635,E635)&gt;1,"Possible duplicate","")))</f>
      </c>
    </row>
    <row r="636" spans="3:14" x14ac:dyDescent="0.3">
      <c r="A636"/>
      <c r="C636" s="16"/>
      <c r="G636" s="5">
        <f>IF(A636="","","Checking")</f>
      </c>
      <c r="H636">
        <f>IF(A636="","",IFERROR(XLOOKUP(D636,Setup!$E$15:$E$79,Setup!$F$15:$F$79),"Miscellaneous"))</f>
      </c>
      <c r="I636">
        <f>IF(A636="","",IFERROR(XLOOKUP(D636,Setup!$E$15:$E$79,Setup!$G$15:$G$79),"Uncategorized"))</f>
      </c>
      <c r="J636">
        <f>IF(A636="","",IF(OR(H636="Transfers",H636="Income",D636="Transfer",D636="Category Pending",F636="Pending"),"No","Yes"))</f>
      </c>
      <c r="K636" s="4">
        <f>IF(A636="","",TEXT(IF(DAY(A636)&gt;=Setup!$B$9,DATE(YEAR(A636),MONTH(A636)+1,1),DATE(YEAR(A636),MONTH(A636),1)),"mmmm yyyy"))</f>
      </c>
      <c r="L636" s="47">
        <f>IF(A636="",0,IF(AND(J636="Yes",E636&lt;0),-E636,0))</f>
      </c>
      <c r="M636" s="47">
        <f>IF(A636="",0,IF(AND(J636="Yes",E636&gt;0),E636,0))</f>
      </c>
      <c r="N636">
        <f>IF(A636="","",IF(D636="Category Pending","Needs categorization",IF(COUNTIFS($A$2:A636,A636,$B$2:B636,B636,$E$2:E636,E636)&gt;1,"Possible duplicate","")))</f>
      </c>
    </row>
    <row r="637" spans="3:14" x14ac:dyDescent="0.3">
      <c r="A637"/>
      <c r="C637" s="16"/>
      <c r="G637" s="5">
        <f>IF(A637="","","Checking")</f>
      </c>
      <c r="H637">
        <f>IF(A637="","",IFERROR(XLOOKUP(D637,Setup!$E$15:$E$79,Setup!$F$15:$F$79),"Miscellaneous"))</f>
      </c>
      <c r="I637">
        <f>IF(A637="","",IFERROR(XLOOKUP(D637,Setup!$E$15:$E$79,Setup!$G$15:$G$79),"Uncategorized"))</f>
      </c>
      <c r="J637">
        <f>IF(A637="","",IF(OR(H637="Transfers",H637="Income",D637="Transfer",D637="Category Pending",F637="Pending"),"No","Yes"))</f>
      </c>
      <c r="K637" s="4">
        <f>IF(A637="","",TEXT(IF(DAY(A637)&gt;=Setup!$B$9,DATE(YEAR(A637),MONTH(A637)+1,1),DATE(YEAR(A637),MONTH(A637),1)),"mmmm yyyy"))</f>
      </c>
      <c r="L637" s="47">
        <f>IF(A637="",0,IF(AND(J637="Yes",E637&lt;0),-E637,0))</f>
      </c>
      <c r="M637" s="47">
        <f>IF(A637="",0,IF(AND(J637="Yes",E637&gt;0),E637,0))</f>
      </c>
      <c r="N637">
        <f>IF(A637="","",IF(D637="Category Pending","Needs categorization",IF(COUNTIFS($A$2:A637,A637,$B$2:B637,B637,$E$2:E637,E637)&gt;1,"Possible duplicate","")))</f>
      </c>
    </row>
    <row r="638" spans="3:14" x14ac:dyDescent="0.3">
      <c r="A638"/>
      <c r="C638" s="16"/>
      <c r="G638" s="5">
        <f>IF(A638="","","Checking")</f>
      </c>
      <c r="H638">
        <f>IF(A638="","",IFERROR(XLOOKUP(D638,Setup!$E$15:$E$79,Setup!$F$15:$F$79),"Miscellaneous"))</f>
      </c>
      <c r="I638">
        <f>IF(A638="","",IFERROR(XLOOKUP(D638,Setup!$E$15:$E$79,Setup!$G$15:$G$79),"Uncategorized"))</f>
      </c>
      <c r="J638">
        <f>IF(A638="","",IF(OR(H638="Transfers",H638="Income",D638="Transfer",D638="Category Pending",F638="Pending"),"No","Yes"))</f>
      </c>
      <c r="K638" s="4">
        <f>IF(A638="","",TEXT(IF(DAY(A638)&gt;=Setup!$B$9,DATE(YEAR(A638),MONTH(A638)+1,1),DATE(YEAR(A638),MONTH(A638),1)),"mmmm yyyy"))</f>
      </c>
      <c r="L638" s="47">
        <f>IF(A638="",0,IF(AND(J638="Yes",E638&lt;0),-E638,0))</f>
      </c>
      <c r="M638" s="47">
        <f>IF(A638="",0,IF(AND(J638="Yes",E638&gt;0),E638,0))</f>
      </c>
      <c r="N638">
        <f>IF(A638="","",IF(D638="Category Pending","Needs categorization",IF(COUNTIFS($A$2:A638,A638,$B$2:B638,B638,$E$2:E638,E638)&gt;1,"Possible duplicate","")))</f>
      </c>
    </row>
    <row r="639" spans="3:14" x14ac:dyDescent="0.3">
      <c r="A639"/>
      <c r="C639" s="16"/>
      <c r="G639" s="5">
        <f>IF(A639="","","Checking")</f>
      </c>
      <c r="H639">
        <f>IF(A639="","",IFERROR(XLOOKUP(D639,Setup!$E$15:$E$79,Setup!$F$15:$F$79),"Miscellaneous"))</f>
      </c>
      <c r="I639">
        <f>IF(A639="","",IFERROR(XLOOKUP(D639,Setup!$E$15:$E$79,Setup!$G$15:$G$79),"Uncategorized"))</f>
      </c>
      <c r="J639">
        <f>IF(A639="","",IF(OR(H639="Transfers",H639="Income",D639="Transfer",D639="Category Pending",F639="Pending"),"No","Yes"))</f>
      </c>
      <c r="K639" s="4">
        <f>IF(A639="","",TEXT(IF(DAY(A639)&gt;=Setup!$B$9,DATE(YEAR(A639),MONTH(A639)+1,1),DATE(YEAR(A639),MONTH(A639),1)),"mmmm yyyy"))</f>
      </c>
      <c r="L639" s="47">
        <f>IF(A639="",0,IF(AND(J639="Yes",E639&lt;0),-E639,0))</f>
      </c>
      <c r="M639" s="47">
        <f>IF(A639="",0,IF(AND(J639="Yes",E639&gt;0),E639,0))</f>
      </c>
      <c r="N639">
        <f>IF(A639="","",IF(D639="Category Pending","Needs categorization",IF(COUNTIFS($A$2:A639,A639,$B$2:B639,B639,$E$2:E639,E639)&gt;1,"Possible duplicate","")))</f>
      </c>
    </row>
    <row r="640" spans="3:14" x14ac:dyDescent="0.3">
      <c r="A640"/>
      <c r="C640" s="16"/>
      <c r="G640" s="5">
        <f>IF(A640="","","Checking")</f>
      </c>
      <c r="H640">
        <f>IF(A640="","",IFERROR(XLOOKUP(D640,Setup!$E$15:$E$79,Setup!$F$15:$F$79),"Miscellaneous"))</f>
      </c>
      <c r="I640">
        <f>IF(A640="","",IFERROR(XLOOKUP(D640,Setup!$E$15:$E$79,Setup!$G$15:$G$79),"Uncategorized"))</f>
      </c>
      <c r="J640">
        <f>IF(A640="","",IF(OR(H640="Transfers",H640="Income",D640="Transfer",D640="Category Pending",F640="Pending"),"No","Yes"))</f>
      </c>
      <c r="K640" s="4">
        <f>IF(A640="","",TEXT(IF(DAY(A640)&gt;=Setup!$B$9,DATE(YEAR(A640),MONTH(A640)+1,1),DATE(YEAR(A640),MONTH(A640),1)),"mmmm yyyy"))</f>
      </c>
      <c r="L640" s="47">
        <f>IF(A640="",0,IF(AND(J640="Yes",E640&lt;0),-E640,0))</f>
      </c>
      <c r="M640" s="47">
        <f>IF(A640="",0,IF(AND(J640="Yes",E640&gt;0),E640,0))</f>
      </c>
      <c r="N640">
        <f>IF(A640="","",IF(D640="Category Pending","Needs categorization",IF(COUNTIFS($A$2:A640,A640,$B$2:B640,B640,$E$2:E640,E640)&gt;1,"Possible duplicate","")))</f>
      </c>
    </row>
    <row r="641" spans="3:14" x14ac:dyDescent="0.3">
      <c r="A641"/>
      <c r="C641" s="16"/>
      <c r="G641" s="5">
        <f>IF(A641="","","Checking")</f>
      </c>
      <c r="H641">
        <f>IF(A641="","",IFERROR(XLOOKUP(D641,Setup!$E$15:$E$79,Setup!$F$15:$F$79),"Miscellaneous"))</f>
      </c>
      <c r="I641">
        <f>IF(A641="","",IFERROR(XLOOKUP(D641,Setup!$E$15:$E$79,Setup!$G$15:$G$79),"Uncategorized"))</f>
      </c>
      <c r="J641">
        <f>IF(A641="","",IF(OR(H641="Transfers",H641="Income",D641="Transfer",D641="Category Pending",F641="Pending"),"No","Yes"))</f>
      </c>
      <c r="K641" s="4">
        <f>IF(A641="","",TEXT(IF(DAY(A641)&gt;=Setup!$B$9,DATE(YEAR(A641),MONTH(A641)+1,1),DATE(YEAR(A641),MONTH(A641),1)),"mmmm yyyy"))</f>
      </c>
      <c r="L641" s="47">
        <f>IF(A641="",0,IF(AND(J641="Yes",E641&lt;0),-E641,0))</f>
      </c>
      <c r="M641" s="47">
        <f>IF(A641="",0,IF(AND(J641="Yes",E641&gt;0),E641,0))</f>
      </c>
      <c r="N641">
        <f>IF(A641="","",IF(D641="Category Pending","Needs categorization",IF(COUNTIFS($A$2:A641,A641,$B$2:B641,B641,$E$2:E641,E641)&gt;1,"Possible duplicate","")))</f>
      </c>
    </row>
    <row r="642" spans="3:14" x14ac:dyDescent="0.3">
      <c r="A642"/>
      <c r="C642" s="16"/>
      <c r="G642" s="5">
        <f>IF(A642="","","Checking")</f>
      </c>
      <c r="H642">
        <f>IF(A642="","",IFERROR(XLOOKUP(D642,Setup!$E$15:$E$79,Setup!$F$15:$F$79),"Miscellaneous"))</f>
      </c>
      <c r="I642">
        <f>IF(A642="","",IFERROR(XLOOKUP(D642,Setup!$E$15:$E$79,Setup!$G$15:$G$79),"Uncategorized"))</f>
      </c>
      <c r="J642">
        <f>IF(A642="","",IF(OR(H642="Transfers",H642="Income",D642="Transfer",D642="Category Pending",F642="Pending"),"No","Yes"))</f>
      </c>
      <c r="K642" s="4">
        <f>IF(A642="","",TEXT(IF(DAY(A642)&gt;=Setup!$B$9,DATE(YEAR(A642),MONTH(A642)+1,1),DATE(YEAR(A642),MONTH(A642),1)),"mmmm yyyy"))</f>
      </c>
      <c r="L642" s="47">
        <f>IF(A642="",0,IF(AND(J642="Yes",E642&lt;0),-E642,0))</f>
      </c>
      <c r="M642" s="47">
        <f>IF(A642="",0,IF(AND(J642="Yes",E642&gt;0),E642,0))</f>
      </c>
      <c r="N642">
        <f>IF(A642="","",IF(D642="Category Pending","Needs categorization",IF(COUNTIFS($A$2:A642,A642,$B$2:B642,B642,$E$2:E642,E642)&gt;1,"Possible duplicate","")))</f>
      </c>
    </row>
    <row r="643" spans="3:14" x14ac:dyDescent="0.3">
      <c r="A643"/>
      <c r="C643" s="16"/>
      <c r="G643" s="5">
        <f>IF(A643="","","Checking")</f>
      </c>
      <c r="H643">
        <f>IF(A643="","",IFERROR(XLOOKUP(D643,Setup!$E$15:$E$79,Setup!$F$15:$F$79),"Miscellaneous"))</f>
      </c>
      <c r="I643">
        <f>IF(A643="","",IFERROR(XLOOKUP(D643,Setup!$E$15:$E$79,Setup!$G$15:$G$79),"Uncategorized"))</f>
      </c>
      <c r="J643">
        <f>IF(A643="","",IF(OR(H643="Transfers",H643="Income",D643="Transfer",D643="Category Pending",F643="Pending"),"No","Yes"))</f>
      </c>
      <c r="K643" s="4">
        <f>IF(A643="","",TEXT(IF(DAY(A643)&gt;=Setup!$B$9,DATE(YEAR(A643),MONTH(A643)+1,1),DATE(YEAR(A643),MONTH(A643),1)),"mmmm yyyy"))</f>
      </c>
      <c r="L643" s="47">
        <f>IF(A643="",0,IF(AND(J643="Yes",E643&lt;0),-E643,0))</f>
      </c>
      <c r="M643" s="47">
        <f>IF(A643="",0,IF(AND(J643="Yes",E643&gt;0),E643,0))</f>
      </c>
      <c r="N643">
        <f>IF(A643="","",IF(D643="Category Pending","Needs categorization",IF(COUNTIFS($A$2:A643,A643,$B$2:B643,B643,$E$2:E643,E643)&gt;1,"Possible duplicate","")))</f>
      </c>
    </row>
    <row r="644" spans="3:14" x14ac:dyDescent="0.3">
      <c r="A644"/>
      <c r="C644" s="16"/>
      <c r="G644" s="5">
        <f>IF(A644="","","Checking")</f>
      </c>
      <c r="H644">
        <f>IF(A644="","",IFERROR(XLOOKUP(D644,Setup!$E$15:$E$79,Setup!$F$15:$F$79),"Miscellaneous"))</f>
      </c>
      <c r="I644">
        <f>IF(A644="","",IFERROR(XLOOKUP(D644,Setup!$E$15:$E$79,Setup!$G$15:$G$79),"Uncategorized"))</f>
      </c>
      <c r="J644">
        <f>IF(A644="","",IF(OR(H644="Transfers",H644="Income",D644="Transfer",D644="Category Pending",F644="Pending"),"No","Yes"))</f>
      </c>
      <c r="K644" s="4">
        <f>IF(A644="","",TEXT(IF(DAY(A644)&gt;=Setup!$B$9,DATE(YEAR(A644),MONTH(A644)+1,1),DATE(YEAR(A644),MONTH(A644),1)),"mmmm yyyy"))</f>
      </c>
      <c r="L644" s="47">
        <f>IF(A644="",0,IF(AND(J644="Yes",E644&lt;0),-E644,0))</f>
      </c>
      <c r="M644" s="47">
        <f>IF(A644="",0,IF(AND(J644="Yes",E644&gt;0),E644,0))</f>
      </c>
      <c r="N644">
        <f>IF(A644="","",IF(D644="Category Pending","Needs categorization",IF(COUNTIFS($A$2:A644,A644,$B$2:B644,B644,$E$2:E644,E644)&gt;1,"Possible duplicate","")))</f>
      </c>
    </row>
    <row r="645" spans="3:14" x14ac:dyDescent="0.3">
      <c r="A645"/>
      <c r="C645" s="16"/>
      <c r="G645" s="5">
        <f>IF(A645="","","Checking")</f>
      </c>
      <c r="H645">
        <f>IF(A645="","",IFERROR(XLOOKUP(D645,Setup!$E$15:$E$79,Setup!$F$15:$F$79),"Miscellaneous"))</f>
      </c>
      <c r="I645">
        <f>IF(A645="","",IFERROR(XLOOKUP(D645,Setup!$E$15:$E$79,Setup!$G$15:$G$79),"Uncategorized"))</f>
      </c>
      <c r="J645">
        <f>IF(A645="","",IF(OR(H645="Transfers",H645="Income",D645="Transfer",D645="Category Pending",F645="Pending"),"No","Yes"))</f>
      </c>
      <c r="K645" s="4">
        <f>IF(A645="","",TEXT(IF(DAY(A645)&gt;=Setup!$B$9,DATE(YEAR(A645),MONTH(A645)+1,1),DATE(YEAR(A645),MONTH(A645),1)),"mmmm yyyy"))</f>
      </c>
      <c r="L645" s="47">
        <f>IF(A645="",0,IF(AND(J645="Yes",E645&lt;0),-E645,0))</f>
      </c>
      <c r="M645" s="47">
        <f>IF(A645="",0,IF(AND(J645="Yes",E645&gt;0),E645,0))</f>
      </c>
      <c r="N645">
        <f>IF(A645="","",IF(D645="Category Pending","Needs categorization",IF(COUNTIFS($A$2:A645,A645,$B$2:B645,B645,$E$2:E645,E645)&gt;1,"Possible duplicate","")))</f>
      </c>
    </row>
    <row r="646" spans="3:14" x14ac:dyDescent="0.3">
      <c r="A646"/>
      <c r="C646" s="16"/>
      <c r="G646" s="5">
        <f>IF(A646="","","Checking")</f>
      </c>
      <c r="H646">
        <f>IF(A646="","",IFERROR(XLOOKUP(D646,Setup!$E$15:$E$79,Setup!$F$15:$F$79),"Miscellaneous"))</f>
      </c>
      <c r="I646">
        <f>IF(A646="","",IFERROR(XLOOKUP(D646,Setup!$E$15:$E$79,Setup!$G$15:$G$79),"Uncategorized"))</f>
      </c>
      <c r="J646">
        <f>IF(A646="","",IF(OR(H646="Transfers",H646="Income",D646="Transfer",D646="Category Pending",F646="Pending"),"No","Yes"))</f>
      </c>
      <c r="K646" s="4">
        <f>IF(A646="","",TEXT(IF(DAY(A646)&gt;=Setup!$B$9,DATE(YEAR(A646),MONTH(A646)+1,1),DATE(YEAR(A646),MONTH(A646),1)),"mmmm yyyy"))</f>
      </c>
      <c r="L646" s="47">
        <f>IF(A646="",0,IF(AND(J646="Yes",E646&lt;0),-E646,0))</f>
      </c>
      <c r="M646" s="47">
        <f>IF(A646="",0,IF(AND(J646="Yes",E646&gt;0),E646,0))</f>
      </c>
      <c r="N646">
        <f>IF(A646="","",IF(D646="Category Pending","Needs categorization",IF(COUNTIFS($A$2:A646,A646,$B$2:B646,B646,$E$2:E646,E646)&gt;1,"Possible duplicate","")))</f>
      </c>
    </row>
    <row r="647" spans="3:14" x14ac:dyDescent="0.3">
      <c r="A647"/>
      <c r="C647" s="16"/>
      <c r="G647" s="5">
        <f>IF(A647="","","Checking")</f>
      </c>
      <c r="H647">
        <f>IF(A647="","",IFERROR(XLOOKUP(D647,Setup!$E$15:$E$79,Setup!$F$15:$F$79),"Miscellaneous"))</f>
      </c>
      <c r="I647">
        <f>IF(A647="","",IFERROR(XLOOKUP(D647,Setup!$E$15:$E$79,Setup!$G$15:$G$79),"Uncategorized"))</f>
      </c>
      <c r="J647">
        <f>IF(A647="","",IF(OR(H647="Transfers",H647="Income",D647="Transfer",D647="Category Pending",F647="Pending"),"No","Yes"))</f>
      </c>
      <c r="K647" s="4">
        <f>IF(A647="","",TEXT(IF(DAY(A647)&gt;=Setup!$B$9,DATE(YEAR(A647),MONTH(A647)+1,1),DATE(YEAR(A647),MONTH(A647),1)),"mmmm yyyy"))</f>
      </c>
      <c r="L647" s="47">
        <f>IF(A647="",0,IF(AND(J647="Yes",E647&lt;0),-E647,0))</f>
      </c>
      <c r="M647" s="47">
        <f>IF(A647="",0,IF(AND(J647="Yes",E647&gt;0),E647,0))</f>
      </c>
      <c r="N647">
        <f>IF(A647="","",IF(D647="Category Pending","Needs categorization",IF(COUNTIFS($A$2:A647,A647,$B$2:B647,B647,$E$2:E647,E647)&gt;1,"Possible duplicate","")))</f>
      </c>
    </row>
    <row r="648" spans="3:14" x14ac:dyDescent="0.3">
      <c r="A648"/>
      <c r="C648" s="16"/>
      <c r="G648" s="5">
        <f>IF(A648="","","Checking")</f>
      </c>
      <c r="H648">
        <f>IF(A648="","",IFERROR(XLOOKUP(D648,Setup!$E$15:$E$79,Setup!$F$15:$F$79),"Miscellaneous"))</f>
      </c>
      <c r="I648">
        <f>IF(A648="","",IFERROR(XLOOKUP(D648,Setup!$E$15:$E$79,Setup!$G$15:$G$79),"Uncategorized"))</f>
      </c>
      <c r="J648">
        <f>IF(A648="","",IF(OR(H648="Transfers",H648="Income",D648="Transfer",D648="Category Pending",F648="Pending"),"No","Yes"))</f>
      </c>
      <c r="K648" s="4">
        <f>IF(A648="","",TEXT(IF(DAY(A648)&gt;=Setup!$B$9,DATE(YEAR(A648),MONTH(A648)+1,1),DATE(YEAR(A648),MONTH(A648),1)),"mmmm yyyy"))</f>
      </c>
      <c r="L648" s="47">
        <f>IF(A648="",0,IF(AND(J648="Yes",E648&lt;0),-E648,0))</f>
      </c>
      <c r="M648" s="47">
        <f>IF(A648="",0,IF(AND(J648="Yes",E648&gt;0),E648,0))</f>
      </c>
      <c r="N648">
        <f>IF(A648="","",IF(D648="Category Pending","Needs categorization",IF(COUNTIFS($A$2:A648,A648,$B$2:B648,B648,$E$2:E648,E648)&gt;1,"Possible duplicate","")))</f>
      </c>
    </row>
    <row r="649" spans="3:14" x14ac:dyDescent="0.3">
      <c r="A649"/>
      <c r="C649" s="16"/>
      <c r="G649" s="5">
        <f>IF(A649="","","Checking")</f>
      </c>
      <c r="H649">
        <f>IF(A649="","",IFERROR(XLOOKUP(D649,Setup!$E$15:$E$79,Setup!$F$15:$F$79),"Miscellaneous"))</f>
      </c>
      <c r="I649">
        <f>IF(A649="","",IFERROR(XLOOKUP(D649,Setup!$E$15:$E$79,Setup!$G$15:$G$79),"Uncategorized"))</f>
      </c>
      <c r="J649">
        <f>IF(A649="","",IF(OR(H649="Transfers",H649="Income",D649="Transfer",D649="Category Pending",F649="Pending"),"No","Yes"))</f>
      </c>
      <c r="K649" s="4">
        <f>IF(A649="","",TEXT(IF(DAY(A649)&gt;=Setup!$B$9,DATE(YEAR(A649),MONTH(A649)+1,1),DATE(YEAR(A649),MONTH(A649),1)),"mmmm yyyy"))</f>
      </c>
      <c r="L649" s="47">
        <f>IF(A649="",0,IF(AND(J649="Yes",E649&lt;0),-E649,0))</f>
      </c>
      <c r="M649" s="47">
        <f>IF(A649="",0,IF(AND(J649="Yes",E649&gt;0),E649,0))</f>
      </c>
      <c r="N649">
        <f>IF(A649="","",IF(D649="Category Pending","Needs categorization",IF(COUNTIFS($A$2:A649,A649,$B$2:B649,B649,$E$2:E649,E649)&gt;1,"Possible duplicate","")))</f>
      </c>
    </row>
    <row r="650" spans="3:14" x14ac:dyDescent="0.3">
      <c r="A650"/>
      <c r="C650" s="16"/>
      <c r="G650" s="5">
        <f>IF(A650="","","Checking")</f>
      </c>
      <c r="H650">
        <f>IF(A650="","",IFERROR(XLOOKUP(D650,Setup!$E$15:$E$79,Setup!$F$15:$F$79),"Miscellaneous"))</f>
      </c>
      <c r="I650">
        <f>IF(A650="","",IFERROR(XLOOKUP(D650,Setup!$E$15:$E$79,Setup!$G$15:$G$79),"Uncategorized"))</f>
      </c>
      <c r="J650">
        <f>IF(A650="","",IF(OR(H650="Transfers",H650="Income",D650="Transfer",D650="Category Pending",F650="Pending"),"No","Yes"))</f>
      </c>
      <c r="K650" s="4">
        <f>IF(A650="","",TEXT(IF(DAY(A650)&gt;=Setup!$B$9,DATE(YEAR(A650),MONTH(A650)+1,1),DATE(YEAR(A650),MONTH(A650),1)),"mmmm yyyy"))</f>
      </c>
      <c r="L650" s="47">
        <f>IF(A650="",0,IF(AND(J650="Yes",E650&lt;0),-E650,0))</f>
      </c>
      <c r="M650" s="47">
        <f>IF(A650="",0,IF(AND(J650="Yes",E650&gt;0),E650,0))</f>
      </c>
      <c r="N650">
        <f>IF(A650="","",IF(D650="Category Pending","Needs categorization",IF(COUNTIFS($A$2:A650,A650,$B$2:B650,B650,$E$2:E650,E650)&gt;1,"Possible duplicate","")))</f>
      </c>
    </row>
    <row r="651" spans="3:14" x14ac:dyDescent="0.3">
      <c r="A651"/>
      <c r="C651" s="16"/>
      <c r="G651" s="5">
        <f>IF(A651="","","Checking")</f>
      </c>
      <c r="H651">
        <f>IF(A651="","",IFERROR(XLOOKUP(D651,Setup!$E$15:$E$79,Setup!$F$15:$F$79),"Miscellaneous"))</f>
      </c>
      <c r="I651">
        <f>IF(A651="","",IFERROR(XLOOKUP(D651,Setup!$E$15:$E$79,Setup!$G$15:$G$79),"Uncategorized"))</f>
      </c>
      <c r="J651">
        <f>IF(A651="","",IF(OR(H651="Transfers",H651="Income",D651="Transfer",D651="Category Pending",F651="Pending"),"No","Yes"))</f>
      </c>
      <c r="K651" s="4">
        <f>IF(A651="","",TEXT(IF(DAY(A651)&gt;=Setup!$B$9,DATE(YEAR(A651),MONTH(A651)+1,1),DATE(YEAR(A651),MONTH(A651),1)),"mmmm yyyy"))</f>
      </c>
      <c r="L651" s="47">
        <f>IF(A651="",0,IF(AND(J651="Yes",E651&lt;0),-E651,0))</f>
      </c>
      <c r="M651" s="47">
        <f>IF(A651="",0,IF(AND(J651="Yes",E651&gt;0),E651,0))</f>
      </c>
      <c r="N651">
        <f>IF(A651="","",IF(D651="Category Pending","Needs categorization",IF(COUNTIFS($A$2:A651,A651,$B$2:B651,B651,$E$2:E651,E651)&gt;1,"Possible duplicate","")))</f>
      </c>
    </row>
    <row r="652" spans="3:14" x14ac:dyDescent="0.3">
      <c r="A652"/>
      <c r="C652" s="16"/>
      <c r="G652" s="5">
        <f>IF(A652="","","Checking")</f>
      </c>
      <c r="H652">
        <f>IF(A652="","",IFERROR(XLOOKUP(D652,Setup!$E$15:$E$79,Setup!$F$15:$F$79),"Miscellaneous"))</f>
      </c>
      <c r="I652">
        <f>IF(A652="","",IFERROR(XLOOKUP(D652,Setup!$E$15:$E$79,Setup!$G$15:$G$79),"Uncategorized"))</f>
      </c>
      <c r="J652">
        <f>IF(A652="","",IF(OR(H652="Transfers",H652="Income",D652="Transfer",D652="Category Pending",F652="Pending"),"No","Yes"))</f>
      </c>
      <c r="K652" s="4">
        <f>IF(A652="","",TEXT(IF(DAY(A652)&gt;=Setup!$B$9,DATE(YEAR(A652),MONTH(A652)+1,1),DATE(YEAR(A652),MONTH(A652),1)),"mmmm yyyy"))</f>
      </c>
      <c r="L652" s="47">
        <f>IF(A652="",0,IF(AND(J652="Yes",E652&lt;0),-E652,0))</f>
      </c>
      <c r="M652" s="47">
        <f>IF(A652="",0,IF(AND(J652="Yes",E652&gt;0),E652,0))</f>
      </c>
      <c r="N652">
        <f>IF(A652="","",IF(D652="Category Pending","Needs categorization",IF(COUNTIFS($A$2:A652,A652,$B$2:B652,B652,$E$2:E652,E652)&gt;1,"Possible duplicate","")))</f>
      </c>
    </row>
    <row r="653" spans="3:14" x14ac:dyDescent="0.3">
      <c r="A653"/>
      <c r="C653" s="16"/>
      <c r="G653" s="5">
        <f>IF(A653="","","Checking")</f>
      </c>
      <c r="H653">
        <f>IF(A653="","",IFERROR(XLOOKUP(D653,Setup!$E$15:$E$79,Setup!$F$15:$F$79),"Miscellaneous"))</f>
      </c>
      <c r="I653">
        <f>IF(A653="","",IFERROR(XLOOKUP(D653,Setup!$E$15:$E$79,Setup!$G$15:$G$79),"Uncategorized"))</f>
      </c>
      <c r="J653">
        <f>IF(A653="","",IF(OR(H653="Transfers",H653="Income",D653="Transfer",D653="Category Pending",F653="Pending"),"No","Yes"))</f>
      </c>
      <c r="K653" s="4">
        <f>IF(A653="","",TEXT(IF(DAY(A653)&gt;=Setup!$B$9,DATE(YEAR(A653),MONTH(A653)+1,1),DATE(YEAR(A653),MONTH(A653),1)),"mmmm yyyy"))</f>
      </c>
      <c r="L653" s="47">
        <f>IF(A653="",0,IF(AND(J653="Yes",E653&lt;0),-E653,0))</f>
      </c>
      <c r="M653" s="47">
        <f>IF(A653="",0,IF(AND(J653="Yes",E653&gt;0),E653,0))</f>
      </c>
      <c r="N653">
        <f>IF(A653="","",IF(D653="Category Pending","Needs categorization",IF(COUNTIFS($A$2:A653,A653,$B$2:B653,B653,$E$2:E653,E653)&gt;1,"Possible duplicate","")))</f>
      </c>
    </row>
    <row r="654" spans="3:14" x14ac:dyDescent="0.3">
      <c r="A654"/>
      <c r="C654" s="16"/>
      <c r="G654" s="5">
        <f>IF(A654="","","Checking")</f>
      </c>
      <c r="H654">
        <f>IF(A654="","",IFERROR(XLOOKUP(D654,Setup!$E$15:$E$79,Setup!$F$15:$F$79),"Miscellaneous"))</f>
      </c>
      <c r="I654">
        <f>IF(A654="","",IFERROR(XLOOKUP(D654,Setup!$E$15:$E$79,Setup!$G$15:$G$79),"Uncategorized"))</f>
      </c>
      <c r="J654">
        <f>IF(A654="","",IF(OR(H654="Transfers",H654="Income",D654="Transfer",D654="Category Pending",F654="Pending"),"No","Yes"))</f>
      </c>
      <c r="K654" s="4">
        <f>IF(A654="","",TEXT(IF(DAY(A654)&gt;=Setup!$B$9,DATE(YEAR(A654),MONTH(A654)+1,1),DATE(YEAR(A654),MONTH(A654),1)),"mmmm yyyy"))</f>
      </c>
      <c r="L654" s="47">
        <f>IF(A654="",0,IF(AND(J654="Yes",E654&lt;0),-E654,0))</f>
      </c>
      <c r="M654" s="47">
        <f>IF(A654="",0,IF(AND(J654="Yes",E654&gt;0),E654,0))</f>
      </c>
      <c r="N654">
        <f>IF(A654="","",IF(D654="Category Pending","Needs categorization",IF(COUNTIFS($A$2:A654,A654,$B$2:B654,B654,$E$2:E654,E654)&gt;1,"Possible duplicate","")))</f>
      </c>
    </row>
    <row r="655" spans="3:14" x14ac:dyDescent="0.3">
      <c r="A655"/>
      <c r="C655" s="16"/>
      <c r="G655" s="5">
        <f>IF(A655="","","Checking")</f>
      </c>
      <c r="H655">
        <f>IF(A655="","",IFERROR(XLOOKUP(D655,Setup!$E$15:$E$79,Setup!$F$15:$F$79),"Miscellaneous"))</f>
      </c>
      <c r="I655">
        <f>IF(A655="","",IFERROR(XLOOKUP(D655,Setup!$E$15:$E$79,Setup!$G$15:$G$79),"Uncategorized"))</f>
      </c>
      <c r="J655">
        <f>IF(A655="","",IF(OR(H655="Transfers",H655="Income",D655="Transfer",D655="Category Pending",F655="Pending"),"No","Yes"))</f>
      </c>
      <c r="K655" s="4">
        <f>IF(A655="","",TEXT(IF(DAY(A655)&gt;=Setup!$B$9,DATE(YEAR(A655),MONTH(A655)+1,1),DATE(YEAR(A655),MONTH(A655),1)),"mmmm yyyy"))</f>
      </c>
      <c r="L655" s="47">
        <f>IF(A655="",0,IF(AND(J655="Yes",E655&lt;0),-E655,0))</f>
      </c>
      <c r="M655" s="47">
        <f>IF(A655="",0,IF(AND(J655="Yes",E655&gt;0),E655,0))</f>
      </c>
      <c r="N655">
        <f>IF(A655="","",IF(D655="Category Pending","Needs categorization",IF(COUNTIFS($A$2:A655,A655,$B$2:B655,B655,$E$2:E655,E655)&gt;1,"Possible duplicate","")))</f>
      </c>
    </row>
    <row r="656" spans="3:14" x14ac:dyDescent="0.3">
      <c r="A656"/>
      <c r="C656" s="16"/>
      <c r="G656" s="5">
        <f>IF(A656="","","Checking")</f>
      </c>
      <c r="H656">
        <f>IF(A656="","",IFERROR(XLOOKUP(D656,Setup!$E$15:$E$79,Setup!$F$15:$F$79),"Miscellaneous"))</f>
      </c>
      <c r="I656">
        <f>IF(A656="","",IFERROR(XLOOKUP(D656,Setup!$E$15:$E$79,Setup!$G$15:$G$79),"Uncategorized"))</f>
      </c>
      <c r="J656">
        <f>IF(A656="","",IF(OR(H656="Transfers",H656="Income",D656="Transfer",D656="Category Pending",F656="Pending"),"No","Yes"))</f>
      </c>
      <c r="K656" s="4">
        <f>IF(A656="","",TEXT(IF(DAY(A656)&gt;=Setup!$B$9,DATE(YEAR(A656),MONTH(A656)+1,1),DATE(YEAR(A656),MONTH(A656),1)),"mmmm yyyy"))</f>
      </c>
      <c r="L656" s="47">
        <f>IF(A656="",0,IF(AND(J656="Yes",E656&lt;0),-E656,0))</f>
      </c>
      <c r="M656" s="47">
        <f>IF(A656="",0,IF(AND(J656="Yes",E656&gt;0),E656,0))</f>
      </c>
      <c r="N656">
        <f>IF(A656="","",IF(D656="Category Pending","Needs categorization",IF(COUNTIFS($A$2:A656,A656,$B$2:B656,B656,$E$2:E656,E656)&gt;1,"Possible duplicate","")))</f>
      </c>
    </row>
    <row r="657" spans="3:14" x14ac:dyDescent="0.3">
      <c r="A657"/>
      <c r="C657" s="16"/>
      <c r="G657" s="5">
        <f>IF(A657="","","Checking")</f>
      </c>
      <c r="H657">
        <f>IF(A657="","",IFERROR(XLOOKUP(D657,Setup!$E$15:$E$79,Setup!$F$15:$F$79),"Miscellaneous"))</f>
      </c>
      <c r="I657">
        <f>IF(A657="","",IFERROR(XLOOKUP(D657,Setup!$E$15:$E$79,Setup!$G$15:$G$79),"Uncategorized"))</f>
      </c>
      <c r="J657">
        <f>IF(A657="","",IF(OR(H657="Transfers",H657="Income",D657="Transfer",D657="Category Pending",F657="Pending"),"No","Yes"))</f>
      </c>
      <c r="K657" s="4">
        <f>IF(A657="","",TEXT(IF(DAY(A657)&gt;=Setup!$B$9,DATE(YEAR(A657),MONTH(A657)+1,1),DATE(YEAR(A657),MONTH(A657),1)),"mmmm yyyy"))</f>
      </c>
      <c r="L657" s="47">
        <f>IF(A657="",0,IF(AND(J657="Yes",E657&lt;0),-E657,0))</f>
      </c>
      <c r="M657" s="47">
        <f>IF(A657="",0,IF(AND(J657="Yes",E657&gt;0),E657,0))</f>
      </c>
      <c r="N657">
        <f>IF(A657="","",IF(D657="Category Pending","Needs categorization",IF(COUNTIFS($A$2:A657,A657,$B$2:B657,B657,$E$2:E657,E657)&gt;1,"Possible duplicate","")))</f>
      </c>
    </row>
    <row r="658" spans="3:14" x14ac:dyDescent="0.3">
      <c r="A658"/>
      <c r="C658" s="16"/>
      <c r="G658" s="5">
        <f>IF(A658="","","Checking")</f>
      </c>
      <c r="H658">
        <f>IF(A658="","",IFERROR(XLOOKUP(D658,Setup!$E$15:$E$79,Setup!$F$15:$F$79),"Miscellaneous"))</f>
      </c>
      <c r="I658">
        <f>IF(A658="","",IFERROR(XLOOKUP(D658,Setup!$E$15:$E$79,Setup!$G$15:$G$79),"Uncategorized"))</f>
      </c>
      <c r="J658">
        <f>IF(A658="","",IF(OR(H658="Transfers",H658="Income",D658="Transfer",D658="Category Pending",F658="Pending"),"No","Yes"))</f>
      </c>
      <c r="K658" s="4">
        <f>IF(A658="","",TEXT(IF(DAY(A658)&gt;=Setup!$B$9,DATE(YEAR(A658),MONTH(A658)+1,1),DATE(YEAR(A658),MONTH(A658),1)),"mmmm yyyy"))</f>
      </c>
      <c r="L658" s="47">
        <f>IF(A658="",0,IF(AND(J658="Yes",E658&lt;0),-E658,0))</f>
      </c>
      <c r="M658" s="47">
        <f>IF(A658="",0,IF(AND(J658="Yes",E658&gt;0),E658,0))</f>
      </c>
      <c r="N658">
        <f>IF(A658="","",IF(D658="Category Pending","Needs categorization",IF(COUNTIFS($A$2:A658,A658,$B$2:B658,B658,$E$2:E658,E658)&gt;1,"Possible duplicate","")))</f>
      </c>
    </row>
    <row r="659" spans="3:14" x14ac:dyDescent="0.3">
      <c r="A659"/>
      <c r="C659" s="16"/>
      <c r="G659" s="5">
        <f>IF(A659="","","Checking")</f>
      </c>
      <c r="H659">
        <f>IF(A659="","",IFERROR(XLOOKUP(D659,Setup!$E$15:$E$79,Setup!$F$15:$F$79),"Miscellaneous"))</f>
      </c>
      <c r="I659">
        <f>IF(A659="","",IFERROR(XLOOKUP(D659,Setup!$E$15:$E$79,Setup!$G$15:$G$79),"Uncategorized"))</f>
      </c>
      <c r="J659">
        <f>IF(A659="","",IF(OR(H659="Transfers",H659="Income",D659="Transfer",D659="Category Pending",F659="Pending"),"No","Yes"))</f>
      </c>
      <c r="K659" s="4">
        <f>IF(A659="","",TEXT(IF(DAY(A659)&gt;=Setup!$B$9,DATE(YEAR(A659),MONTH(A659)+1,1),DATE(YEAR(A659),MONTH(A659),1)),"mmmm yyyy"))</f>
      </c>
      <c r="L659" s="47">
        <f>IF(A659="",0,IF(AND(J659="Yes",E659&lt;0),-E659,0))</f>
      </c>
      <c r="M659" s="47">
        <f>IF(A659="",0,IF(AND(J659="Yes",E659&gt;0),E659,0))</f>
      </c>
      <c r="N659">
        <f>IF(A659="","",IF(D659="Category Pending","Needs categorization",IF(COUNTIFS($A$2:A659,A659,$B$2:B659,B659,$E$2:E659,E659)&gt;1,"Possible duplicate","")))</f>
      </c>
    </row>
    <row r="660" spans="3:14" x14ac:dyDescent="0.3">
      <c r="A660"/>
      <c r="C660" s="16"/>
      <c r="G660" s="5">
        <f>IF(A660="","","Checking")</f>
      </c>
      <c r="H660">
        <f>IF(A660="","",IFERROR(XLOOKUP(D660,Setup!$E$15:$E$79,Setup!$F$15:$F$79),"Miscellaneous"))</f>
      </c>
      <c r="I660">
        <f>IF(A660="","",IFERROR(XLOOKUP(D660,Setup!$E$15:$E$79,Setup!$G$15:$G$79),"Uncategorized"))</f>
      </c>
      <c r="J660">
        <f>IF(A660="","",IF(OR(H660="Transfers",H660="Income",D660="Transfer",D660="Category Pending",F660="Pending"),"No","Yes"))</f>
      </c>
      <c r="K660" s="4">
        <f>IF(A660="","",TEXT(IF(DAY(A660)&gt;=Setup!$B$9,DATE(YEAR(A660),MONTH(A660)+1,1),DATE(YEAR(A660),MONTH(A660),1)),"mmmm yyyy"))</f>
      </c>
      <c r="L660" s="47">
        <f>IF(A660="",0,IF(AND(J660="Yes",E660&lt;0),-E660,0))</f>
      </c>
      <c r="M660" s="47">
        <f>IF(A660="",0,IF(AND(J660="Yes",E660&gt;0),E660,0))</f>
      </c>
      <c r="N660">
        <f>IF(A660="","",IF(D660="Category Pending","Needs categorization",IF(COUNTIFS($A$2:A660,A660,$B$2:B660,B660,$E$2:E660,E660)&gt;1,"Possible duplicate","")))</f>
      </c>
    </row>
    <row r="661" spans="3:14" x14ac:dyDescent="0.3">
      <c r="A661"/>
      <c r="C661" s="16"/>
      <c r="G661" s="5">
        <f>IF(A661="","","Checking")</f>
      </c>
      <c r="H661">
        <f>IF(A661="","",IFERROR(XLOOKUP(D661,Setup!$E$15:$E$79,Setup!$F$15:$F$79),"Miscellaneous"))</f>
      </c>
      <c r="I661">
        <f>IF(A661="","",IFERROR(XLOOKUP(D661,Setup!$E$15:$E$79,Setup!$G$15:$G$79),"Uncategorized"))</f>
      </c>
      <c r="J661">
        <f>IF(A661="","",IF(OR(H661="Transfers",H661="Income",D661="Transfer",D661="Category Pending",F661="Pending"),"No","Yes"))</f>
      </c>
      <c r="K661" s="4">
        <f>IF(A661="","",TEXT(IF(DAY(A661)&gt;=Setup!$B$9,DATE(YEAR(A661),MONTH(A661)+1,1),DATE(YEAR(A661),MONTH(A661),1)),"mmmm yyyy"))</f>
      </c>
      <c r="L661" s="47">
        <f>IF(A661="",0,IF(AND(J661="Yes",E661&lt;0),-E661,0))</f>
      </c>
      <c r="M661" s="47">
        <f>IF(A661="",0,IF(AND(J661="Yes",E661&gt;0),E661,0))</f>
      </c>
      <c r="N661">
        <f>IF(A661="","",IF(D661="Category Pending","Needs categorization",IF(COUNTIFS($A$2:A661,A661,$B$2:B661,B661,$E$2:E661,E661)&gt;1,"Possible duplicate","")))</f>
      </c>
    </row>
    <row r="662" spans="3:14" x14ac:dyDescent="0.3">
      <c r="A662"/>
      <c r="C662" s="16"/>
      <c r="G662" s="5">
        <f>IF(A662="","","Checking")</f>
      </c>
      <c r="H662">
        <f>IF(A662="","",IFERROR(XLOOKUP(D662,Setup!$E$15:$E$79,Setup!$F$15:$F$79),"Miscellaneous"))</f>
      </c>
      <c r="I662">
        <f>IF(A662="","",IFERROR(XLOOKUP(D662,Setup!$E$15:$E$79,Setup!$G$15:$G$79),"Uncategorized"))</f>
      </c>
      <c r="J662">
        <f>IF(A662="","",IF(OR(H662="Transfers",H662="Income",D662="Transfer",D662="Category Pending",F662="Pending"),"No","Yes"))</f>
      </c>
      <c r="K662" s="4">
        <f>IF(A662="","",TEXT(IF(DAY(A662)&gt;=Setup!$B$9,DATE(YEAR(A662),MONTH(A662)+1,1),DATE(YEAR(A662),MONTH(A662),1)),"mmmm yyyy"))</f>
      </c>
      <c r="L662" s="47">
        <f>IF(A662="",0,IF(AND(J662="Yes",E662&lt;0),-E662,0))</f>
      </c>
      <c r="M662" s="47">
        <f>IF(A662="",0,IF(AND(J662="Yes",E662&gt;0),E662,0))</f>
      </c>
      <c r="N662">
        <f>IF(A662="","",IF(D662="Category Pending","Needs categorization",IF(COUNTIFS($A$2:A662,A662,$B$2:B662,B662,$E$2:E662,E662)&gt;1,"Possible duplicate","")))</f>
      </c>
    </row>
    <row r="663" spans="3:14" x14ac:dyDescent="0.3">
      <c r="A663"/>
      <c r="C663" s="16"/>
      <c r="G663" s="5">
        <f>IF(A663="","","Checking")</f>
      </c>
      <c r="H663">
        <f>IF(A663="","",IFERROR(XLOOKUP(D663,Setup!$E$15:$E$79,Setup!$F$15:$F$79),"Miscellaneous"))</f>
      </c>
      <c r="I663">
        <f>IF(A663="","",IFERROR(XLOOKUP(D663,Setup!$E$15:$E$79,Setup!$G$15:$G$79),"Uncategorized"))</f>
      </c>
      <c r="J663">
        <f>IF(A663="","",IF(OR(H663="Transfers",H663="Income",D663="Transfer",D663="Category Pending",F663="Pending"),"No","Yes"))</f>
      </c>
      <c r="K663" s="4">
        <f>IF(A663="","",TEXT(IF(DAY(A663)&gt;=Setup!$B$9,DATE(YEAR(A663),MONTH(A663)+1,1),DATE(YEAR(A663),MONTH(A663),1)),"mmmm yyyy"))</f>
      </c>
      <c r="L663" s="47">
        <f>IF(A663="",0,IF(AND(J663="Yes",E663&lt;0),-E663,0))</f>
      </c>
      <c r="M663" s="47">
        <f>IF(A663="",0,IF(AND(J663="Yes",E663&gt;0),E663,0))</f>
      </c>
      <c r="N663">
        <f>IF(A663="","",IF(D663="Category Pending","Needs categorization",IF(COUNTIFS($A$2:A663,A663,$B$2:B663,B663,$E$2:E663,E663)&gt;1,"Possible duplicate","")))</f>
      </c>
    </row>
    <row r="664" spans="3:14" x14ac:dyDescent="0.3">
      <c r="A664"/>
      <c r="C664" s="16"/>
      <c r="G664" s="5">
        <f>IF(A664="","","Checking")</f>
      </c>
      <c r="H664">
        <f>IF(A664="","",IFERROR(XLOOKUP(D664,Setup!$E$15:$E$79,Setup!$F$15:$F$79),"Miscellaneous"))</f>
      </c>
      <c r="I664">
        <f>IF(A664="","",IFERROR(XLOOKUP(D664,Setup!$E$15:$E$79,Setup!$G$15:$G$79),"Uncategorized"))</f>
      </c>
      <c r="J664">
        <f>IF(A664="","",IF(OR(H664="Transfers",H664="Income",D664="Transfer",D664="Category Pending",F664="Pending"),"No","Yes"))</f>
      </c>
      <c r="K664" s="4">
        <f>IF(A664="","",TEXT(IF(DAY(A664)&gt;=Setup!$B$9,DATE(YEAR(A664),MONTH(A664)+1,1),DATE(YEAR(A664),MONTH(A664),1)),"mmmm yyyy"))</f>
      </c>
      <c r="L664" s="47">
        <f>IF(A664="",0,IF(AND(J664="Yes",E664&lt;0),-E664,0))</f>
      </c>
      <c r="M664" s="47">
        <f>IF(A664="",0,IF(AND(J664="Yes",E664&gt;0),E664,0))</f>
      </c>
      <c r="N664">
        <f>IF(A664="","",IF(D664="Category Pending","Needs categorization",IF(COUNTIFS($A$2:A664,A664,$B$2:B664,B664,$E$2:E664,E664)&gt;1,"Possible duplicate","")))</f>
      </c>
    </row>
    <row r="665" spans="3:14" x14ac:dyDescent="0.3">
      <c r="A665"/>
      <c r="C665" s="16"/>
      <c r="G665" s="5">
        <f>IF(A665="","","Checking")</f>
      </c>
      <c r="H665">
        <f>IF(A665="","",IFERROR(XLOOKUP(D665,Setup!$E$15:$E$79,Setup!$F$15:$F$79),"Miscellaneous"))</f>
      </c>
      <c r="I665">
        <f>IF(A665="","",IFERROR(XLOOKUP(D665,Setup!$E$15:$E$79,Setup!$G$15:$G$79),"Uncategorized"))</f>
      </c>
      <c r="J665">
        <f>IF(A665="","",IF(OR(H665="Transfers",H665="Income",D665="Transfer",D665="Category Pending",F665="Pending"),"No","Yes"))</f>
      </c>
      <c r="K665" s="4">
        <f>IF(A665="","",TEXT(IF(DAY(A665)&gt;=Setup!$B$9,DATE(YEAR(A665),MONTH(A665)+1,1),DATE(YEAR(A665),MONTH(A665),1)),"mmmm yyyy"))</f>
      </c>
      <c r="L665" s="47">
        <f>IF(A665="",0,IF(AND(J665="Yes",E665&lt;0),-E665,0))</f>
      </c>
      <c r="M665" s="47">
        <f>IF(A665="",0,IF(AND(J665="Yes",E665&gt;0),E665,0))</f>
      </c>
      <c r="N665">
        <f>IF(A665="","",IF(D665="Category Pending","Needs categorization",IF(COUNTIFS($A$2:A665,A665,$B$2:B665,B665,$E$2:E665,E665)&gt;1,"Possible duplicate","")))</f>
      </c>
    </row>
    <row r="666" spans="3:14" x14ac:dyDescent="0.3">
      <c r="A666"/>
      <c r="C666" s="16"/>
      <c r="G666" s="5">
        <f>IF(A666="","","Checking")</f>
      </c>
      <c r="H666">
        <f>IF(A666="","",IFERROR(XLOOKUP(D666,Setup!$E$15:$E$79,Setup!$F$15:$F$79),"Miscellaneous"))</f>
      </c>
      <c r="I666">
        <f>IF(A666="","",IFERROR(XLOOKUP(D666,Setup!$E$15:$E$79,Setup!$G$15:$G$79),"Uncategorized"))</f>
      </c>
      <c r="J666">
        <f>IF(A666="","",IF(OR(H666="Transfers",H666="Income",D666="Transfer",D666="Category Pending",F666="Pending"),"No","Yes"))</f>
      </c>
      <c r="K666" s="4">
        <f>IF(A666="","",TEXT(IF(DAY(A666)&gt;=Setup!$B$9,DATE(YEAR(A666),MONTH(A666)+1,1),DATE(YEAR(A666),MONTH(A666),1)),"mmmm yyyy"))</f>
      </c>
      <c r="L666" s="47">
        <f>IF(A666="",0,IF(AND(J666="Yes",E666&lt;0),-E666,0))</f>
      </c>
      <c r="M666" s="47">
        <f>IF(A666="",0,IF(AND(J666="Yes",E666&gt;0),E666,0))</f>
      </c>
      <c r="N666">
        <f>IF(A666="","",IF(D666="Category Pending","Needs categorization",IF(COUNTIFS($A$2:A666,A666,$B$2:B666,B666,$E$2:E666,E666)&gt;1,"Possible duplicate","")))</f>
      </c>
    </row>
    <row r="667" spans="3:14" x14ac:dyDescent="0.3">
      <c r="A667"/>
      <c r="C667" s="16"/>
      <c r="G667" s="5">
        <f>IF(A667="","","Checking")</f>
      </c>
      <c r="H667">
        <f>IF(A667="","",IFERROR(XLOOKUP(D667,Setup!$E$15:$E$79,Setup!$F$15:$F$79),"Miscellaneous"))</f>
      </c>
      <c r="I667">
        <f>IF(A667="","",IFERROR(XLOOKUP(D667,Setup!$E$15:$E$79,Setup!$G$15:$G$79),"Uncategorized"))</f>
      </c>
      <c r="J667">
        <f>IF(A667="","",IF(OR(H667="Transfers",H667="Income",D667="Transfer",D667="Category Pending",F667="Pending"),"No","Yes"))</f>
      </c>
      <c r="K667" s="4">
        <f>IF(A667="","",TEXT(IF(DAY(A667)&gt;=Setup!$B$9,DATE(YEAR(A667),MONTH(A667)+1,1),DATE(YEAR(A667),MONTH(A667),1)),"mmmm yyyy"))</f>
      </c>
      <c r="L667" s="47">
        <f>IF(A667="",0,IF(AND(J667="Yes",E667&lt;0),-E667,0))</f>
      </c>
      <c r="M667" s="47">
        <f>IF(A667="",0,IF(AND(J667="Yes",E667&gt;0),E667,0))</f>
      </c>
      <c r="N667">
        <f>IF(A667="","",IF(D667="Category Pending","Needs categorization",IF(COUNTIFS($A$2:A667,A667,$B$2:B667,B667,$E$2:E667,E667)&gt;1,"Possible duplicate","")))</f>
      </c>
    </row>
    <row r="668" spans="3:14" x14ac:dyDescent="0.3">
      <c r="A668"/>
      <c r="C668" s="16"/>
      <c r="G668" s="5">
        <f>IF(A668="","","Checking")</f>
      </c>
      <c r="H668">
        <f>IF(A668="","",IFERROR(XLOOKUP(D668,Setup!$E$15:$E$79,Setup!$F$15:$F$79),"Miscellaneous"))</f>
      </c>
      <c r="I668">
        <f>IF(A668="","",IFERROR(XLOOKUP(D668,Setup!$E$15:$E$79,Setup!$G$15:$G$79),"Uncategorized"))</f>
      </c>
      <c r="J668">
        <f>IF(A668="","",IF(OR(H668="Transfers",H668="Income",D668="Transfer",D668="Category Pending",F668="Pending"),"No","Yes"))</f>
      </c>
      <c r="K668" s="4">
        <f>IF(A668="","",TEXT(IF(DAY(A668)&gt;=Setup!$B$9,DATE(YEAR(A668),MONTH(A668)+1,1),DATE(YEAR(A668),MONTH(A668),1)),"mmmm yyyy"))</f>
      </c>
      <c r="L668" s="47">
        <f>IF(A668="",0,IF(AND(J668="Yes",E668&lt;0),-E668,0))</f>
      </c>
      <c r="M668" s="47">
        <f>IF(A668="",0,IF(AND(J668="Yes",E668&gt;0),E668,0))</f>
      </c>
      <c r="N668">
        <f>IF(A668="","",IF(D668="Category Pending","Needs categorization",IF(COUNTIFS($A$2:A668,A668,$B$2:B668,B668,$E$2:E668,E668)&gt;1,"Possible duplicate","")))</f>
      </c>
    </row>
    <row r="669" spans="3:14" x14ac:dyDescent="0.3">
      <c r="A669"/>
      <c r="C669" s="16"/>
      <c r="G669" s="5">
        <f>IF(A669="","","Checking")</f>
      </c>
      <c r="H669">
        <f>IF(A669="","",IFERROR(XLOOKUP(D669,Setup!$E$15:$E$79,Setup!$F$15:$F$79),"Miscellaneous"))</f>
      </c>
      <c r="I669">
        <f>IF(A669="","",IFERROR(XLOOKUP(D669,Setup!$E$15:$E$79,Setup!$G$15:$G$79),"Uncategorized"))</f>
      </c>
      <c r="J669">
        <f>IF(A669="","",IF(OR(H669="Transfers",H669="Income",D669="Transfer",D669="Category Pending",F669="Pending"),"No","Yes"))</f>
      </c>
      <c r="K669" s="4">
        <f>IF(A669="","",TEXT(IF(DAY(A669)&gt;=Setup!$B$9,DATE(YEAR(A669),MONTH(A669)+1,1),DATE(YEAR(A669),MONTH(A669),1)),"mmmm yyyy"))</f>
      </c>
      <c r="L669" s="47">
        <f>IF(A669="",0,IF(AND(J669="Yes",E669&lt;0),-E669,0))</f>
      </c>
      <c r="M669" s="47">
        <f>IF(A669="",0,IF(AND(J669="Yes",E669&gt;0),E669,0))</f>
      </c>
      <c r="N669">
        <f>IF(A669="","",IF(D669="Category Pending","Needs categorization",IF(COUNTIFS($A$2:A669,A669,$B$2:B669,B669,$E$2:E669,E669)&gt;1,"Possible duplicate","")))</f>
      </c>
    </row>
    <row r="670" spans="3:14" x14ac:dyDescent="0.3">
      <c r="A670"/>
      <c r="C670" s="16"/>
      <c r="G670" s="5">
        <f>IF(A670="","","Checking")</f>
      </c>
      <c r="H670">
        <f>IF(A670="","",IFERROR(XLOOKUP(D670,Setup!$E$15:$E$79,Setup!$F$15:$F$79),"Miscellaneous"))</f>
      </c>
      <c r="I670">
        <f>IF(A670="","",IFERROR(XLOOKUP(D670,Setup!$E$15:$E$79,Setup!$G$15:$G$79),"Uncategorized"))</f>
      </c>
      <c r="J670">
        <f>IF(A670="","",IF(OR(H670="Transfers",H670="Income",D670="Transfer",D670="Category Pending",F670="Pending"),"No","Yes"))</f>
      </c>
      <c r="K670" s="4">
        <f>IF(A670="","",TEXT(IF(DAY(A670)&gt;=Setup!$B$9,DATE(YEAR(A670),MONTH(A670)+1,1),DATE(YEAR(A670),MONTH(A670),1)),"mmmm yyyy"))</f>
      </c>
      <c r="L670" s="47">
        <f>IF(A670="",0,IF(AND(J670="Yes",E670&lt;0),-E670,0))</f>
      </c>
      <c r="M670" s="47">
        <f>IF(A670="",0,IF(AND(J670="Yes",E670&gt;0),E670,0))</f>
      </c>
      <c r="N670">
        <f>IF(A670="","",IF(D670="Category Pending","Needs categorization",IF(COUNTIFS($A$2:A670,A670,$B$2:B670,B670,$E$2:E670,E670)&gt;1,"Possible duplicate","")))</f>
      </c>
    </row>
    <row r="671" spans="3:14" x14ac:dyDescent="0.3">
      <c r="A671"/>
      <c r="C671" s="16"/>
      <c r="G671" s="5">
        <f>IF(A671="","","Checking")</f>
      </c>
      <c r="H671">
        <f>IF(A671="","",IFERROR(XLOOKUP(D671,Setup!$E$15:$E$79,Setup!$F$15:$F$79),"Miscellaneous"))</f>
      </c>
      <c r="I671">
        <f>IF(A671="","",IFERROR(XLOOKUP(D671,Setup!$E$15:$E$79,Setup!$G$15:$G$79),"Uncategorized"))</f>
      </c>
      <c r="J671">
        <f>IF(A671="","",IF(OR(H671="Transfers",H671="Income",D671="Transfer",D671="Category Pending",F671="Pending"),"No","Yes"))</f>
      </c>
      <c r="K671" s="4">
        <f>IF(A671="","",TEXT(IF(DAY(A671)&gt;=Setup!$B$9,DATE(YEAR(A671),MONTH(A671)+1,1),DATE(YEAR(A671),MONTH(A671),1)),"mmmm yyyy"))</f>
      </c>
      <c r="L671" s="47">
        <f>IF(A671="",0,IF(AND(J671="Yes",E671&lt;0),-E671,0))</f>
      </c>
      <c r="M671" s="47">
        <f>IF(A671="",0,IF(AND(J671="Yes",E671&gt;0),E671,0))</f>
      </c>
      <c r="N671">
        <f>IF(A671="","",IF(D671="Category Pending","Needs categorization",IF(COUNTIFS($A$2:A671,A671,$B$2:B671,B671,$E$2:E671,E671)&gt;1,"Possible duplicate","")))</f>
      </c>
    </row>
    <row r="672" spans="3:14" x14ac:dyDescent="0.3">
      <c r="A672"/>
      <c r="C672" s="16"/>
      <c r="G672" s="5">
        <f>IF(A672="","","Checking")</f>
      </c>
      <c r="H672">
        <f>IF(A672="","",IFERROR(XLOOKUP(D672,Setup!$E$15:$E$79,Setup!$F$15:$F$79),"Miscellaneous"))</f>
      </c>
      <c r="I672">
        <f>IF(A672="","",IFERROR(XLOOKUP(D672,Setup!$E$15:$E$79,Setup!$G$15:$G$79),"Uncategorized"))</f>
      </c>
      <c r="J672">
        <f>IF(A672="","",IF(OR(H672="Transfers",H672="Income",D672="Transfer",D672="Category Pending",F672="Pending"),"No","Yes"))</f>
      </c>
      <c r="K672" s="4">
        <f>IF(A672="","",TEXT(IF(DAY(A672)&gt;=Setup!$B$9,DATE(YEAR(A672),MONTH(A672)+1,1),DATE(YEAR(A672),MONTH(A672),1)),"mmmm yyyy"))</f>
      </c>
      <c r="L672" s="47">
        <f>IF(A672="",0,IF(AND(J672="Yes",E672&lt;0),-E672,0))</f>
      </c>
      <c r="M672" s="47">
        <f>IF(A672="",0,IF(AND(J672="Yes",E672&gt;0),E672,0))</f>
      </c>
      <c r="N672">
        <f>IF(A672="","",IF(D672="Category Pending","Needs categorization",IF(COUNTIFS($A$2:A672,A672,$B$2:B672,B672,$E$2:E672,E672)&gt;1,"Possible duplicate","")))</f>
      </c>
    </row>
    <row r="673" spans="3:14" x14ac:dyDescent="0.3">
      <c r="A673"/>
      <c r="C673" s="16"/>
      <c r="G673" s="5">
        <f>IF(A673="","","Checking")</f>
      </c>
      <c r="H673">
        <f>IF(A673="","",IFERROR(XLOOKUP(D673,Setup!$E$15:$E$79,Setup!$F$15:$F$79),"Miscellaneous"))</f>
      </c>
      <c r="I673">
        <f>IF(A673="","",IFERROR(XLOOKUP(D673,Setup!$E$15:$E$79,Setup!$G$15:$G$79),"Uncategorized"))</f>
      </c>
      <c r="J673">
        <f>IF(A673="","",IF(OR(H673="Transfers",H673="Income",D673="Transfer",D673="Category Pending",F673="Pending"),"No","Yes"))</f>
      </c>
      <c r="K673" s="4">
        <f>IF(A673="","",TEXT(IF(DAY(A673)&gt;=Setup!$B$9,DATE(YEAR(A673),MONTH(A673)+1,1),DATE(YEAR(A673),MONTH(A673),1)),"mmmm yyyy"))</f>
      </c>
      <c r="L673" s="47">
        <f>IF(A673="",0,IF(AND(J673="Yes",E673&lt;0),-E673,0))</f>
      </c>
      <c r="M673" s="47">
        <f>IF(A673="",0,IF(AND(J673="Yes",E673&gt;0),E673,0))</f>
      </c>
      <c r="N673">
        <f>IF(A673="","",IF(D673="Category Pending","Needs categorization",IF(COUNTIFS($A$2:A673,A673,$B$2:B673,B673,$E$2:E673,E673)&gt;1,"Possible duplicate","")))</f>
      </c>
    </row>
    <row r="674" spans="3:14" x14ac:dyDescent="0.3">
      <c r="A674"/>
      <c r="C674" s="16"/>
      <c r="G674" s="5">
        <f>IF(A674="","","Checking")</f>
      </c>
      <c r="H674">
        <f>IF(A674="","",IFERROR(XLOOKUP(D674,Setup!$E$15:$E$79,Setup!$F$15:$F$79),"Miscellaneous"))</f>
      </c>
      <c r="I674">
        <f>IF(A674="","",IFERROR(XLOOKUP(D674,Setup!$E$15:$E$79,Setup!$G$15:$G$79),"Uncategorized"))</f>
      </c>
      <c r="J674">
        <f>IF(A674="","",IF(OR(H674="Transfers",H674="Income",D674="Transfer",D674="Category Pending",F674="Pending"),"No","Yes"))</f>
      </c>
      <c r="K674" s="4">
        <f>IF(A674="","",TEXT(IF(DAY(A674)&gt;=Setup!$B$9,DATE(YEAR(A674),MONTH(A674)+1,1),DATE(YEAR(A674),MONTH(A674),1)),"mmmm yyyy"))</f>
      </c>
      <c r="L674" s="47">
        <f>IF(A674="",0,IF(AND(J674="Yes",E674&lt;0),-E674,0))</f>
      </c>
      <c r="M674" s="47">
        <f>IF(A674="",0,IF(AND(J674="Yes",E674&gt;0),E674,0))</f>
      </c>
      <c r="N674">
        <f>IF(A674="","",IF(D674="Category Pending","Needs categorization",IF(COUNTIFS($A$2:A674,A674,$B$2:B674,B674,$E$2:E674,E674)&gt;1,"Possible duplicate","")))</f>
      </c>
    </row>
    <row r="675" spans="3:14" x14ac:dyDescent="0.3">
      <c r="A675"/>
      <c r="C675" s="16"/>
      <c r="G675" s="5">
        <f>IF(A675="","","Checking")</f>
      </c>
      <c r="H675">
        <f>IF(A675="","",IFERROR(XLOOKUP(D675,Setup!$E$15:$E$79,Setup!$F$15:$F$79),"Miscellaneous"))</f>
      </c>
      <c r="I675">
        <f>IF(A675="","",IFERROR(XLOOKUP(D675,Setup!$E$15:$E$79,Setup!$G$15:$G$79),"Uncategorized"))</f>
      </c>
      <c r="J675">
        <f>IF(A675="","",IF(OR(H675="Transfers",H675="Income",D675="Transfer",D675="Category Pending",F675="Pending"),"No","Yes"))</f>
      </c>
      <c r="K675" s="4">
        <f>IF(A675="","",TEXT(IF(DAY(A675)&gt;=Setup!$B$9,DATE(YEAR(A675),MONTH(A675)+1,1),DATE(YEAR(A675),MONTH(A675),1)),"mmmm yyyy"))</f>
      </c>
      <c r="L675" s="47">
        <f>IF(A675="",0,IF(AND(J675="Yes",E675&lt;0),-E675,0))</f>
      </c>
      <c r="M675" s="47">
        <f>IF(A675="",0,IF(AND(J675="Yes",E675&gt;0),E675,0))</f>
      </c>
      <c r="N675">
        <f>IF(A675="","",IF(D675="Category Pending","Needs categorization",IF(COUNTIFS($A$2:A675,A675,$B$2:B675,B675,$E$2:E675,E675)&gt;1,"Possible duplicate","")))</f>
      </c>
    </row>
    <row r="676" spans="3:14" x14ac:dyDescent="0.3">
      <c r="A676"/>
      <c r="C676" s="16"/>
      <c r="G676" s="5">
        <f>IF(A676="","","Checking")</f>
      </c>
      <c r="H676">
        <f>IF(A676="","",IFERROR(XLOOKUP(D676,Setup!$E$15:$E$79,Setup!$F$15:$F$79),"Miscellaneous"))</f>
      </c>
      <c r="I676">
        <f>IF(A676="","",IFERROR(XLOOKUP(D676,Setup!$E$15:$E$79,Setup!$G$15:$G$79),"Uncategorized"))</f>
      </c>
      <c r="J676">
        <f>IF(A676="","",IF(OR(H676="Transfers",H676="Income",D676="Transfer",D676="Category Pending",F676="Pending"),"No","Yes"))</f>
      </c>
      <c r="K676" s="4">
        <f>IF(A676="","",TEXT(IF(DAY(A676)&gt;=Setup!$B$9,DATE(YEAR(A676),MONTH(A676)+1,1),DATE(YEAR(A676),MONTH(A676),1)),"mmmm yyyy"))</f>
      </c>
      <c r="L676" s="47">
        <f>IF(A676="",0,IF(AND(J676="Yes",E676&lt;0),-E676,0))</f>
      </c>
      <c r="M676" s="47">
        <f>IF(A676="",0,IF(AND(J676="Yes",E676&gt;0),E676,0))</f>
      </c>
      <c r="N676">
        <f>IF(A676="","",IF(D676="Category Pending","Needs categorization",IF(COUNTIFS($A$2:A676,A676,$B$2:B676,B676,$E$2:E676,E676)&gt;1,"Possible duplicate","")))</f>
      </c>
    </row>
    <row r="677" spans="3:14" x14ac:dyDescent="0.3">
      <c r="A677"/>
      <c r="C677" s="16"/>
      <c r="G677" s="5">
        <f>IF(A677="","","Checking")</f>
      </c>
      <c r="H677">
        <f>IF(A677="","",IFERROR(XLOOKUP(D677,Setup!$E$15:$E$79,Setup!$F$15:$F$79),"Miscellaneous"))</f>
      </c>
      <c r="I677">
        <f>IF(A677="","",IFERROR(XLOOKUP(D677,Setup!$E$15:$E$79,Setup!$G$15:$G$79),"Uncategorized"))</f>
      </c>
      <c r="J677">
        <f>IF(A677="","",IF(OR(H677="Transfers",H677="Income",D677="Transfer",D677="Category Pending",F677="Pending"),"No","Yes"))</f>
      </c>
      <c r="K677" s="4">
        <f>IF(A677="","",TEXT(IF(DAY(A677)&gt;=Setup!$B$9,DATE(YEAR(A677),MONTH(A677)+1,1),DATE(YEAR(A677),MONTH(A677),1)),"mmmm yyyy"))</f>
      </c>
      <c r="L677" s="47">
        <f>IF(A677="",0,IF(AND(J677="Yes",E677&lt;0),-E677,0))</f>
      </c>
      <c r="M677" s="47">
        <f>IF(A677="",0,IF(AND(J677="Yes",E677&gt;0),E677,0))</f>
      </c>
      <c r="N677">
        <f>IF(A677="","",IF(D677="Category Pending","Needs categorization",IF(COUNTIFS($A$2:A677,A677,$B$2:B677,B677,$E$2:E677,E677)&gt;1,"Possible duplicate","")))</f>
      </c>
    </row>
    <row r="678" spans="3:14" x14ac:dyDescent="0.3">
      <c r="A678"/>
      <c r="C678" s="16"/>
      <c r="G678" s="5">
        <f>IF(A678="","","Checking")</f>
      </c>
      <c r="H678">
        <f>IF(A678="","",IFERROR(XLOOKUP(D678,Setup!$E$15:$E$79,Setup!$F$15:$F$79),"Miscellaneous"))</f>
      </c>
      <c r="I678">
        <f>IF(A678="","",IFERROR(XLOOKUP(D678,Setup!$E$15:$E$79,Setup!$G$15:$G$79),"Uncategorized"))</f>
      </c>
      <c r="J678">
        <f>IF(A678="","",IF(OR(H678="Transfers",H678="Income",D678="Transfer",D678="Category Pending",F678="Pending"),"No","Yes"))</f>
      </c>
      <c r="K678" s="4">
        <f>IF(A678="","",TEXT(IF(DAY(A678)&gt;=Setup!$B$9,DATE(YEAR(A678),MONTH(A678)+1,1),DATE(YEAR(A678),MONTH(A678),1)),"mmmm yyyy"))</f>
      </c>
      <c r="L678" s="47">
        <f>IF(A678="",0,IF(AND(J678="Yes",E678&lt;0),-E678,0))</f>
      </c>
      <c r="M678" s="47">
        <f>IF(A678="",0,IF(AND(J678="Yes",E678&gt;0),E678,0))</f>
      </c>
      <c r="N678">
        <f>IF(A678="","",IF(D678="Category Pending","Needs categorization",IF(COUNTIFS($A$2:A678,A678,$B$2:B678,B678,$E$2:E678,E678)&gt;1,"Possible duplicate","")))</f>
      </c>
    </row>
    <row r="679" spans="3:14" x14ac:dyDescent="0.3">
      <c r="A679"/>
      <c r="C679" s="16"/>
      <c r="G679" s="5">
        <f>IF(A679="","","Checking")</f>
      </c>
      <c r="H679">
        <f>IF(A679="","",IFERROR(XLOOKUP(D679,Setup!$E$15:$E$79,Setup!$F$15:$F$79),"Miscellaneous"))</f>
      </c>
      <c r="I679">
        <f>IF(A679="","",IFERROR(XLOOKUP(D679,Setup!$E$15:$E$79,Setup!$G$15:$G$79),"Uncategorized"))</f>
      </c>
      <c r="J679">
        <f>IF(A679="","",IF(OR(H679="Transfers",H679="Income",D679="Transfer",D679="Category Pending",F679="Pending"),"No","Yes"))</f>
      </c>
      <c r="K679" s="4">
        <f>IF(A679="","",TEXT(IF(DAY(A679)&gt;=Setup!$B$9,DATE(YEAR(A679),MONTH(A679)+1,1),DATE(YEAR(A679),MONTH(A679),1)),"mmmm yyyy"))</f>
      </c>
      <c r="L679" s="47">
        <f>IF(A679="",0,IF(AND(J679="Yes",E679&lt;0),-E679,0))</f>
      </c>
      <c r="M679" s="47">
        <f>IF(A679="",0,IF(AND(J679="Yes",E679&gt;0),E679,0))</f>
      </c>
      <c r="N679">
        <f>IF(A679="","",IF(D679="Category Pending","Needs categorization",IF(COUNTIFS($A$2:A679,A679,$B$2:B679,B679,$E$2:E679,E679)&gt;1,"Possible duplicate","")))</f>
      </c>
    </row>
    <row r="680" spans="3:14" x14ac:dyDescent="0.3">
      <c r="A680"/>
      <c r="C680" s="16"/>
      <c r="G680" s="5">
        <f>IF(A680="","","Checking")</f>
      </c>
      <c r="H680">
        <f>IF(A680="","",IFERROR(XLOOKUP(D680,Setup!$E$15:$E$79,Setup!$F$15:$F$79),"Miscellaneous"))</f>
      </c>
      <c r="I680">
        <f>IF(A680="","",IFERROR(XLOOKUP(D680,Setup!$E$15:$E$79,Setup!$G$15:$G$79),"Uncategorized"))</f>
      </c>
      <c r="J680">
        <f>IF(A680="","",IF(OR(H680="Transfers",H680="Income",D680="Transfer",D680="Category Pending",F680="Pending"),"No","Yes"))</f>
      </c>
      <c r="K680" s="4">
        <f>IF(A680="","",TEXT(IF(DAY(A680)&gt;=Setup!$B$9,DATE(YEAR(A680),MONTH(A680)+1,1),DATE(YEAR(A680),MONTH(A680),1)),"mmmm yyyy"))</f>
      </c>
      <c r="L680" s="47">
        <f>IF(A680="",0,IF(AND(J680="Yes",E680&lt;0),-E680,0))</f>
      </c>
      <c r="M680" s="47">
        <f>IF(A680="",0,IF(AND(J680="Yes",E680&gt;0),E680,0))</f>
      </c>
      <c r="N680">
        <f>IF(A680="","",IF(D680="Category Pending","Needs categorization",IF(COUNTIFS($A$2:A680,A680,$B$2:B680,B680,$E$2:E680,E680)&gt;1,"Possible duplicate","")))</f>
      </c>
    </row>
    <row r="681" spans="3:14" x14ac:dyDescent="0.3">
      <c r="A681"/>
      <c r="C681" s="16"/>
      <c r="G681" s="5">
        <f>IF(A681="","","Checking")</f>
      </c>
      <c r="H681">
        <f>IF(A681="","",IFERROR(XLOOKUP(D681,Setup!$E$15:$E$79,Setup!$F$15:$F$79),"Miscellaneous"))</f>
      </c>
      <c r="I681">
        <f>IF(A681="","",IFERROR(XLOOKUP(D681,Setup!$E$15:$E$79,Setup!$G$15:$G$79),"Uncategorized"))</f>
      </c>
      <c r="J681">
        <f>IF(A681="","",IF(OR(H681="Transfers",H681="Income",D681="Transfer",D681="Category Pending",F681="Pending"),"No","Yes"))</f>
      </c>
      <c r="K681" s="4">
        <f>IF(A681="","",TEXT(IF(DAY(A681)&gt;=Setup!$B$9,DATE(YEAR(A681),MONTH(A681)+1,1),DATE(YEAR(A681),MONTH(A681),1)),"mmmm yyyy"))</f>
      </c>
      <c r="L681" s="47">
        <f>IF(A681="",0,IF(AND(J681="Yes",E681&lt;0),-E681,0))</f>
      </c>
      <c r="M681" s="47">
        <f>IF(A681="",0,IF(AND(J681="Yes",E681&gt;0),E681,0))</f>
      </c>
      <c r="N681">
        <f>IF(A681="","",IF(D681="Category Pending","Needs categorization",IF(COUNTIFS($A$2:A681,A681,$B$2:B681,B681,$E$2:E681,E681)&gt;1,"Possible duplicate","")))</f>
      </c>
    </row>
    <row r="682" spans="3:14" x14ac:dyDescent="0.3">
      <c r="A682"/>
      <c r="C682" s="16"/>
      <c r="G682" s="5">
        <f>IF(A682="","","Checking")</f>
      </c>
      <c r="H682">
        <f>IF(A682="","",IFERROR(XLOOKUP(D682,Setup!$E$15:$E$79,Setup!$F$15:$F$79),"Miscellaneous"))</f>
      </c>
      <c r="I682">
        <f>IF(A682="","",IFERROR(XLOOKUP(D682,Setup!$E$15:$E$79,Setup!$G$15:$G$79),"Uncategorized"))</f>
      </c>
      <c r="J682">
        <f>IF(A682="","",IF(OR(H682="Transfers",H682="Income",D682="Transfer",D682="Category Pending",F682="Pending"),"No","Yes"))</f>
      </c>
      <c r="K682" s="4">
        <f>IF(A682="","",TEXT(IF(DAY(A682)&gt;=Setup!$B$9,DATE(YEAR(A682),MONTH(A682)+1,1),DATE(YEAR(A682),MONTH(A682),1)),"mmmm yyyy"))</f>
      </c>
      <c r="L682" s="47">
        <f>IF(A682="",0,IF(AND(J682="Yes",E682&lt;0),-E682,0))</f>
      </c>
      <c r="M682" s="47">
        <f>IF(A682="",0,IF(AND(J682="Yes",E682&gt;0),E682,0))</f>
      </c>
      <c r="N682">
        <f>IF(A682="","",IF(D682="Category Pending","Needs categorization",IF(COUNTIFS($A$2:A682,A682,$B$2:B682,B682,$E$2:E682,E682)&gt;1,"Possible duplicate","")))</f>
      </c>
    </row>
    <row r="683" spans="3:14" x14ac:dyDescent="0.3">
      <c r="A683"/>
      <c r="C683" s="16"/>
      <c r="G683" s="5">
        <f>IF(A683="","","Checking")</f>
      </c>
      <c r="H683">
        <f>IF(A683="","",IFERROR(XLOOKUP(D683,Setup!$E$15:$E$79,Setup!$F$15:$F$79),"Miscellaneous"))</f>
      </c>
      <c r="I683">
        <f>IF(A683="","",IFERROR(XLOOKUP(D683,Setup!$E$15:$E$79,Setup!$G$15:$G$79),"Uncategorized"))</f>
      </c>
      <c r="J683">
        <f>IF(A683="","",IF(OR(H683="Transfers",H683="Income",D683="Transfer",D683="Category Pending",F683="Pending"),"No","Yes"))</f>
      </c>
      <c r="K683" s="4">
        <f>IF(A683="","",TEXT(IF(DAY(A683)&gt;=Setup!$B$9,DATE(YEAR(A683),MONTH(A683)+1,1),DATE(YEAR(A683),MONTH(A683),1)),"mmmm yyyy"))</f>
      </c>
      <c r="L683" s="47">
        <f>IF(A683="",0,IF(AND(J683="Yes",E683&lt;0),-E683,0))</f>
      </c>
      <c r="M683" s="47">
        <f>IF(A683="",0,IF(AND(J683="Yes",E683&gt;0),E683,0))</f>
      </c>
      <c r="N683">
        <f>IF(A683="","",IF(D683="Category Pending","Needs categorization",IF(COUNTIFS($A$2:A683,A683,$B$2:B683,B683,$E$2:E683,E683)&gt;1,"Possible duplicate","")))</f>
      </c>
    </row>
    <row r="684" spans="3:14" x14ac:dyDescent="0.3">
      <c r="A684"/>
      <c r="C684" s="16"/>
      <c r="G684" s="5">
        <f>IF(A684="","","Checking")</f>
      </c>
      <c r="H684">
        <f>IF(A684="","",IFERROR(XLOOKUP(D684,Setup!$E$15:$E$79,Setup!$F$15:$F$79),"Miscellaneous"))</f>
      </c>
      <c r="I684">
        <f>IF(A684="","",IFERROR(XLOOKUP(D684,Setup!$E$15:$E$79,Setup!$G$15:$G$79),"Uncategorized"))</f>
      </c>
      <c r="J684">
        <f>IF(A684="","",IF(OR(H684="Transfers",H684="Income",D684="Transfer",D684="Category Pending",F684="Pending"),"No","Yes"))</f>
      </c>
      <c r="K684" s="4">
        <f>IF(A684="","",TEXT(IF(DAY(A684)&gt;=Setup!$B$9,DATE(YEAR(A684),MONTH(A684)+1,1),DATE(YEAR(A684),MONTH(A684),1)),"mmmm yyyy"))</f>
      </c>
      <c r="L684" s="47">
        <f>IF(A684="",0,IF(AND(J684="Yes",E684&lt;0),-E684,0))</f>
      </c>
      <c r="M684" s="47">
        <f>IF(A684="",0,IF(AND(J684="Yes",E684&gt;0),E684,0))</f>
      </c>
      <c r="N684">
        <f>IF(A684="","",IF(D684="Category Pending","Needs categorization",IF(COUNTIFS($A$2:A684,A684,$B$2:B684,B684,$E$2:E684,E684)&gt;1,"Possible duplicate","")))</f>
      </c>
    </row>
    <row r="685" spans="3:14" x14ac:dyDescent="0.3">
      <c r="A685"/>
      <c r="C685" s="16"/>
      <c r="G685" s="5">
        <f>IF(A685="","","Checking")</f>
      </c>
      <c r="H685">
        <f>IF(A685="","",IFERROR(XLOOKUP(D685,Setup!$E$15:$E$79,Setup!$F$15:$F$79),"Miscellaneous"))</f>
      </c>
      <c r="I685">
        <f>IF(A685="","",IFERROR(XLOOKUP(D685,Setup!$E$15:$E$79,Setup!$G$15:$G$79),"Uncategorized"))</f>
      </c>
      <c r="J685">
        <f>IF(A685="","",IF(OR(H685="Transfers",H685="Income",D685="Transfer",D685="Category Pending",F685="Pending"),"No","Yes"))</f>
      </c>
      <c r="K685" s="4">
        <f>IF(A685="","",TEXT(IF(DAY(A685)&gt;=Setup!$B$9,DATE(YEAR(A685),MONTH(A685)+1,1),DATE(YEAR(A685),MONTH(A685),1)),"mmmm yyyy"))</f>
      </c>
      <c r="L685" s="47">
        <f>IF(A685="",0,IF(AND(J685="Yes",E685&lt;0),-E685,0))</f>
      </c>
      <c r="M685" s="47">
        <f>IF(A685="",0,IF(AND(J685="Yes",E685&gt;0),E685,0))</f>
      </c>
      <c r="N685">
        <f>IF(A685="","",IF(D685="Category Pending","Needs categorization",IF(COUNTIFS($A$2:A685,A685,$B$2:B685,B685,$E$2:E685,E685)&gt;1,"Possible duplicate","")))</f>
      </c>
    </row>
    <row r="686" spans="3:14" x14ac:dyDescent="0.3">
      <c r="A686"/>
      <c r="C686" s="16"/>
      <c r="G686" s="5">
        <f>IF(A686="","","Checking")</f>
      </c>
      <c r="H686">
        <f>IF(A686="","",IFERROR(XLOOKUP(D686,Setup!$E$15:$E$79,Setup!$F$15:$F$79),"Miscellaneous"))</f>
      </c>
      <c r="I686">
        <f>IF(A686="","",IFERROR(XLOOKUP(D686,Setup!$E$15:$E$79,Setup!$G$15:$G$79),"Uncategorized"))</f>
      </c>
      <c r="J686">
        <f>IF(A686="","",IF(OR(H686="Transfers",H686="Income",D686="Transfer",D686="Category Pending",F686="Pending"),"No","Yes"))</f>
      </c>
      <c r="K686" s="4">
        <f>IF(A686="","",TEXT(IF(DAY(A686)&gt;=Setup!$B$9,DATE(YEAR(A686),MONTH(A686)+1,1),DATE(YEAR(A686),MONTH(A686),1)),"mmmm yyyy"))</f>
      </c>
      <c r="L686" s="47">
        <f>IF(A686="",0,IF(AND(J686="Yes",E686&lt;0),-E686,0))</f>
      </c>
      <c r="M686" s="47">
        <f>IF(A686="",0,IF(AND(J686="Yes",E686&gt;0),E686,0))</f>
      </c>
      <c r="N686">
        <f>IF(A686="","",IF(D686="Category Pending","Needs categorization",IF(COUNTIFS($A$2:A686,A686,$B$2:B686,B686,$E$2:E686,E686)&gt;1,"Possible duplicate","")))</f>
      </c>
    </row>
    <row r="687" spans="3:14" x14ac:dyDescent="0.3">
      <c r="A687"/>
      <c r="C687" s="16"/>
      <c r="G687" s="5">
        <f>IF(A687="","","Checking")</f>
      </c>
      <c r="H687">
        <f>IF(A687="","",IFERROR(XLOOKUP(D687,Setup!$E$15:$E$79,Setup!$F$15:$F$79),"Miscellaneous"))</f>
      </c>
      <c r="I687">
        <f>IF(A687="","",IFERROR(XLOOKUP(D687,Setup!$E$15:$E$79,Setup!$G$15:$G$79),"Uncategorized"))</f>
      </c>
      <c r="J687">
        <f>IF(A687="","",IF(OR(H687="Transfers",H687="Income",D687="Transfer",D687="Category Pending",F687="Pending"),"No","Yes"))</f>
      </c>
      <c r="K687" s="4">
        <f>IF(A687="","",TEXT(IF(DAY(A687)&gt;=Setup!$B$9,DATE(YEAR(A687),MONTH(A687)+1,1),DATE(YEAR(A687),MONTH(A687),1)),"mmmm yyyy"))</f>
      </c>
      <c r="L687" s="47">
        <f>IF(A687="",0,IF(AND(J687="Yes",E687&lt;0),-E687,0))</f>
      </c>
      <c r="M687" s="47">
        <f>IF(A687="",0,IF(AND(J687="Yes",E687&gt;0),E687,0))</f>
      </c>
      <c r="N687">
        <f>IF(A687="","",IF(D687="Category Pending","Needs categorization",IF(COUNTIFS($A$2:A687,A687,$B$2:B687,B687,$E$2:E687,E687)&gt;1,"Possible duplicate","")))</f>
      </c>
    </row>
    <row r="688" spans="3:14" x14ac:dyDescent="0.3">
      <c r="A688"/>
      <c r="C688" s="16"/>
      <c r="G688" s="5">
        <f>IF(A688="","","Checking")</f>
      </c>
      <c r="H688">
        <f>IF(A688="","",IFERROR(XLOOKUP(D688,Setup!$E$15:$E$79,Setup!$F$15:$F$79),"Miscellaneous"))</f>
      </c>
      <c r="I688">
        <f>IF(A688="","",IFERROR(XLOOKUP(D688,Setup!$E$15:$E$79,Setup!$G$15:$G$79),"Uncategorized"))</f>
      </c>
      <c r="J688">
        <f>IF(A688="","",IF(OR(H688="Transfers",H688="Income",D688="Transfer",D688="Category Pending",F688="Pending"),"No","Yes"))</f>
      </c>
      <c r="K688" s="4">
        <f>IF(A688="","",TEXT(IF(DAY(A688)&gt;=Setup!$B$9,DATE(YEAR(A688),MONTH(A688)+1,1),DATE(YEAR(A688),MONTH(A688),1)),"mmmm yyyy"))</f>
      </c>
      <c r="L688" s="47">
        <f>IF(A688="",0,IF(AND(J688="Yes",E688&lt;0),-E688,0))</f>
      </c>
      <c r="M688" s="47">
        <f>IF(A688="",0,IF(AND(J688="Yes",E688&gt;0),E688,0))</f>
      </c>
      <c r="N688">
        <f>IF(A688="","",IF(D688="Category Pending","Needs categorization",IF(COUNTIFS($A$2:A688,A688,$B$2:B688,B688,$E$2:E688,E688)&gt;1,"Possible duplicate","")))</f>
      </c>
    </row>
    <row r="689" spans="3:14" x14ac:dyDescent="0.3">
      <c r="A689"/>
      <c r="C689" s="16"/>
      <c r="G689" s="5">
        <f>IF(A689="","","Checking")</f>
      </c>
      <c r="H689">
        <f>IF(A689="","",IFERROR(XLOOKUP(D689,Setup!$E$15:$E$79,Setup!$F$15:$F$79),"Miscellaneous"))</f>
      </c>
      <c r="I689">
        <f>IF(A689="","",IFERROR(XLOOKUP(D689,Setup!$E$15:$E$79,Setup!$G$15:$G$79),"Uncategorized"))</f>
      </c>
      <c r="J689">
        <f>IF(A689="","",IF(OR(H689="Transfers",H689="Income",D689="Transfer",D689="Category Pending",F689="Pending"),"No","Yes"))</f>
      </c>
      <c r="K689" s="4">
        <f>IF(A689="","",TEXT(IF(DAY(A689)&gt;=Setup!$B$9,DATE(YEAR(A689),MONTH(A689)+1,1),DATE(YEAR(A689),MONTH(A689),1)),"mmmm yyyy"))</f>
      </c>
      <c r="L689" s="47">
        <f>IF(A689="",0,IF(AND(J689="Yes",E689&lt;0),-E689,0))</f>
      </c>
      <c r="M689" s="47">
        <f>IF(A689="",0,IF(AND(J689="Yes",E689&gt;0),E689,0))</f>
      </c>
      <c r="N689">
        <f>IF(A689="","",IF(D689="Category Pending","Needs categorization",IF(COUNTIFS($A$2:A689,A689,$B$2:B689,B689,$E$2:E689,E689)&gt;1,"Possible duplicate","")))</f>
      </c>
    </row>
    <row r="690" spans="3:14" x14ac:dyDescent="0.3">
      <c r="A690"/>
      <c r="C690" s="16"/>
      <c r="G690" s="5">
        <f>IF(A690="","","Checking")</f>
      </c>
      <c r="H690">
        <f>IF(A690="","",IFERROR(XLOOKUP(D690,Setup!$E$15:$E$79,Setup!$F$15:$F$79),"Miscellaneous"))</f>
      </c>
      <c r="I690">
        <f>IF(A690="","",IFERROR(XLOOKUP(D690,Setup!$E$15:$E$79,Setup!$G$15:$G$79),"Uncategorized"))</f>
      </c>
      <c r="J690">
        <f>IF(A690="","",IF(OR(H690="Transfers",H690="Income",D690="Transfer",D690="Category Pending",F690="Pending"),"No","Yes"))</f>
      </c>
      <c r="K690" s="4">
        <f>IF(A690="","",TEXT(IF(DAY(A690)&gt;=Setup!$B$9,DATE(YEAR(A690),MONTH(A690)+1,1),DATE(YEAR(A690),MONTH(A690),1)),"mmmm yyyy"))</f>
      </c>
      <c r="L690" s="47">
        <f>IF(A690="",0,IF(AND(J690="Yes",E690&lt;0),-E690,0))</f>
      </c>
      <c r="M690" s="47">
        <f>IF(A690="",0,IF(AND(J690="Yes",E690&gt;0),E690,0))</f>
      </c>
      <c r="N690">
        <f>IF(A690="","",IF(D690="Category Pending","Needs categorization",IF(COUNTIFS($A$2:A690,A690,$B$2:B690,B690,$E$2:E690,E690)&gt;1,"Possible duplicate","")))</f>
      </c>
    </row>
    <row r="691" spans="3:14" x14ac:dyDescent="0.3">
      <c r="A691"/>
      <c r="C691" s="16"/>
      <c r="G691" s="5">
        <f>IF(A691="","","Checking")</f>
      </c>
      <c r="H691">
        <f>IF(A691="","",IFERROR(XLOOKUP(D691,Setup!$E$15:$E$79,Setup!$F$15:$F$79),"Miscellaneous"))</f>
      </c>
      <c r="I691">
        <f>IF(A691="","",IFERROR(XLOOKUP(D691,Setup!$E$15:$E$79,Setup!$G$15:$G$79),"Uncategorized"))</f>
      </c>
      <c r="J691">
        <f>IF(A691="","",IF(OR(H691="Transfers",H691="Income",D691="Transfer",D691="Category Pending",F691="Pending"),"No","Yes"))</f>
      </c>
      <c r="K691" s="4">
        <f>IF(A691="","",TEXT(IF(DAY(A691)&gt;=Setup!$B$9,DATE(YEAR(A691),MONTH(A691)+1,1),DATE(YEAR(A691),MONTH(A691),1)),"mmmm yyyy"))</f>
      </c>
      <c r="L691" s="47">
        <f>IF(A691="",0,IF(AND(J691="Yes",E691&lt;0),-E691,0))</f>
      </c>
      <c r="M691" s="47">
        <f>IF(A691="",0,IF(AND(J691="Yes",E691&gt;0),E691,0))</f>
      </c>
      <c r="N691">
        <f>IF(A691="","",IF(D691="Category Pending","Needs categorization",IF(COUNTIFS($A$2:A691,A691,$B$2:B691,B691,$E$2:E691,E691)&gt;1,"Possible duplicate","")))</f>
      </c>
    </row>
    <row r="692" spans="3:14" x14ac:dyDescent="0.3">
      <c r="A692"/>
      <c r="C692" s="16"/>
      <c r="G692" s="5">
        <f>IF(A692="","","Checking")</f>
      </c>
      <c r="H692">
        <f>IF(A692="","",IFERROR(XLOOKUP(D692,Setup!$E$15:$E$79,Setup!$F$15:$F$79),"Miscellaneous"))</f>
      </c>
      <c r="I692">
        <f>IF(A692="","",IFERROR(XLOOKUP(D692,Setup!$E$15:$E$79,Setup!$G$15:$G$79),"Uncategorized"))</f>
      </c>
      <c r="J692">
        <f>IF(A692="","",IF(OR(H692="Transfers",H692="Income",D692="Transfer",D692="Category Pending",F692="Pending"),"No","Yes"))</f>
      </c>
      <c r="K692" s="4">
        <f>IF(A692="","",TEXT(IF(DAY(A692)&gt;=Setup!$B$9,DATE(YEAR(A692),MONTH(A692)+1,1),DATE(YEAR(A692),MONTH(A692),1)),"mmmm yyyy"))</f>
      </c>
      <c r="L692" s="47">
        <f>IF(A692="",0,IF(AND(J692="Yes",E692&lt;0),-E692,0))</f>
      </c>
      <c r="M692" s="47">
        <f>IF(A692="",0,IF(AND(J692="Yes",E692&gt;0),E692,0))</f>
      </c>
      <c r="N692">
        <f>IF(A692="","",IF(D692="Category Pending","Needs categorization",IF(COUNTIFS($A$2:A692,A692,$B$2:B692,B692,$E$2:E692,E692)&gt;1,"Possible duplicate","")))</f>
      </c>
    </row>
    <row r="693" spans="3:14" x14ac:dyDescent="0.3">
      <c r="A693"/>
      <c r="C693" s="16"/>
      <c r="G693" s="5">
        <f>IF(A693="","","Checking")</f>
      </c>
      <c r="H693">
        <f>IF(A693="","",IFERROR(XLOOKUP(D693,Setup!$E$15:$E$79,Setup!$F$15:$F$79),"Miscellaneous"))</f>
      </c>
      <c r="I693">
        <f>IF(A693="","",IFERROR(XLOOKUP(D693,Setup!$E$15:$E$79,Setup!$G$15:$G$79),"Uncategorized"))</f>
      </c>
      <c r="J693">
        <f>IF(A693="","",IF(OR(H693="Transfers",H693="Income",D693="Transfer",D693="Category Pending",F693="Pending"),"No","Yes"))</f>
      </c>
      <c r="K693" s="4">
        <f>IF(A693="","",TEXT(IF(DAY(A693)&gt;=Setup!$B$9,DATE(YEAR(A693),MONTH(A693)+1,1),DATE(YEAR(A693),MONTH(A693),1)),"mmmm yyyy"))</f>
      </c>
      <c r="L693" s="47">
        <f>IF(A693="",0,IF(AND(J693="Yes",E693&lt;0),-E693,0))</f>
      </c>
      <c r="M693" s="47">
        <f>IF(A693="",0,IF(AND(J693="Yes",E693&gt;0),E693,0))</f>
      </c>
      <c r="N693">
        <f>IF(A693="","",IF(D693="Category Pending","Needs categorization",IF(COUNTIFS($A$2:A693,A693,$B$2:B693,B693,$E$2:E693,E693)&gt;1,"Possible duplicate","")))</f>
      </c>
    </row>
    <row r="694" spans="3:14" x14ac:dyDescent="0.3">
      <c r="A694"/>
      <c r="C694" s="16"/>
      <c r="G694" s="5">
        <f>IF(A694="","","Checking")</f>
      </c>
      <c r="H694">
        <f>IF(A694="","",IFERROR(XLOOKUP(D694,Setup!$E$15:$E$79,Setup!$F$15:$F$79),"Miscellaneous"))</f>
      </c>
      <c r="I694">
        <f>IF(A694="","",IFERROR(XLOOKUP(D694,Setup!$E$15:$E$79,Setup!$G$15:$G$79),"Uncategorized"))</f>
      </c>
      <c r="J694">
        <f>IF(A694="","",IF(OR(H694="Transfers",H694="Income",D694="Transfer",D694="Category Pending",F694="Pending"),"No","Yes"))</f>
      </c>
      <c r="K694" s="4">
        <f>IF(A694="","",TEXT(IF(DAY(A694)&gt;=Setup!$B$9,DATE(YEAR(A694),MONTH(A694)+1,1),DATE(YEAR(A694),MONTH(A694),1)),"mmmm yyyy"))</f>
      </c>
      <c r="L694" s="47">
        <f>IF(A694="",0,IF(AND(J694="Yes",E694&lt;0),-E694,0))</f>
      </c>
      <c r="M694" s="47">
        <f>IF(A694="",0,IF(AND(J694="Yes",E694&gt;0),E694,0))</f>
      </c>
      <c r="N694">
        <f>IF(A694="","",IF(D694="Category Pending","Needs categorization",IF(COUNTIFS($A$2:A694,A694,$B$2:B694,B694,$E$2:E694,E694)&gt;1,"Possible duplicate","")))</f>
      </c>
    </row>
    <row r="695" spans="3:14" x14ac:dyDescent="0.3">
      <c r="A695"/>
      <c r="C695" s="16"/>
      <c r="G695" s="5">
        <f>IF(A695="","","Checking")</f>
      </c>
      <c r="H695">
        <f>IF(A695="","",IFERROR(XLOOKUP(D695,Setup!$E$15:$E$79,Setup!$F$15:$F$79),"Miscellaneous"))</f>
      </c>
      <c r="I695">
        <f>IF(A695="","",IFERROR(XLOOKUP(D695,Setup!$E$15:$E$79,Setup!$G$15:$G$79),"Uncategorized"))</f>
      </c>
      <c r="J695">
        <f>IF(A695="","",IF(OR(H695="Transfers",H695="Income",D695="Transfer",D695="Category Pending",F695="Pending"),"No","Yes"))</f>
      </c>
      <c r="K695" s="4">
        <f>IF(A695="","",TEXT(IF(DAY(A695)&gt;=Setup!$B$9,DATE(YEAR(A695),MONTH(A695)+1,1),DATE(YEAR(A695),MONTH(A695),1)),"mmmm yyyy"))</f>
      </c>
      <c r="L695" s="47">
        <f>IF(A695="",0,IF(AND(J695="Yes",E695&lt;0),-E695,0))</f>
      </c>
      <c r="M695" s="47">
        <f>IF(A695="",0,IF(AND(J695="Yes",E695&gt;0),E695,0))</f>
      </c>
      <c r="N695">
        <f>IF(A695="","",IF(D695="Category Pending","Needs categorization",IF(COUNTIFS($A$2:A695,A695,$B$2:B695,B695,$E$2:E695,E695)&gt;1,"Possible duplicate","")))</f>
      </c>
    </row>
    <row r="696" spans="3:14" x14ac:dyDescent="0.3">
      <c r="A696"/>
      <c r="C696" s="16"/>
      <c r="G696" s="5">
        <f>IF(A696="","","Checking")</f>
      </c>
      <c r="H696">
        <f>IF(A696="","",IFERROR(XLOOKUP(D696,Setup!$E$15:$E$79,Setup!$F$15:$F$79),"Miscellaneous"))</f>
      </c>
      <c r="I696">
        <f>IF(A696="","",IFERROR(XLOOKUP(D696,Setup!$E$15:$E$79,Setup!$G$15:$G$79),"Uncategorized"))</f>
      </c>
      <c r="J696">
        <f>IF(A696="","",IF(OR(H696="Transfers",H696="Income",D696="Transfer",D696="Category Pending",F696="Pending"),"No","Yes"))</f>
      </c>
      <c r="K696" s="4">
        <f>IF(A696="","",TEXT(IF(DAY(A696)&gt;=Setup!$B$9,DATE(YEAR(A696),MONTH(A696)+1,1),DATE(YEAR(A696),MONTH(A696),1)),"mmmm yyyy"))</f>
      </c>
      <c r="L696" s="47">
        <f>IF(A696="",0,IF(AND(J696="Yes",E696&lt;0),-E696,0))</f>
      </c>
      <c r="M696" s="47">
        <f>IF(A696="",0,IF(AND(J696="Yes",E696&gt;0),E696,0))</f>
      </c>
      <c r="N696">
        <f>IF(A696="","",IF(D696="Category Pending","Needs categorization",IF(COUNTIFS($A$2:A696,A696,$B$2:B696,B696,$E$2:E696,E696)&gt;1,"Possible duplicate","")))</f>
      </c>
    </row>
    <row r="697" spans="3:14" x14ac:dyDescent="0.3">
      <c r="A697"/>
      <c r="C697" s="16"/>
      <c r="G697" s="5">
        <f>IF(A697="","","Checking")</f>
      </c>
      <c r="H697">
        <f>IF(A697="","",IFERROR(XLOOKUP(D697,Setup!$E$15:$E$79,Setup!$F$15:$F$79),"Miscellaneous"))</f>
      </c>
      <c r="I697">
        <f>IF(A697="","",IFERROR(XLOOKUP(D697,Setup!$E$15:$E$79,Setup!$G$15:$G$79),"Uncategorized"))</f>
      </c>
      <c r="J697">
        <f>IF(A697="","",IF(OR(H697="Transfers",H697="Income",D697="Transfer",D697="Category Pending",F697="Pending"),"No","Yes"))</f>
      </c>
      <c r="K697" s="4">
        <f>IF(A697="","",TEXT(IF(DAY(A697)&gt;=Setup!$B$9,DATE(YEAR(A697),MONTH(A697)+1,1),DATE(YEAR(A697),MONTH(A697),1)),"mmmm yyyy"))</f>
      </c>
      <c r="L697" s="47">
        <f>IF(A697="",0,IF(AND(J697="Yes",E697&lt;0),-E697,0))</f>
      </c>
      <c r="M697" s="47">
        <f>IF(A697="",0,IF(AND(J697="Yes",E697&gt;0),E697,0))</f>
      </c>
      <c r="N697">
        <f>IF(A697="","",IF(D697="Category Pending","Needs categorization",IF(COUNTIFS($A$2:A697,A697,$B$2:B697,B697,$E$2:E697,E697)&gt;1,"Possible duplicate","")))</f>
      </c>
    </row>
    <row r="698" spans="3:14" x14ac:dyDescent="0.3">
      <c r="A698"/>
      <c r="C698" s="16"/>
      <c r="G698" s="5">
        <f>IF(A698="","","Checking")</f>
      </c>
      <c r="H698">
        <f>IF(A698="","",IFERROR(XLOOKUP(D698,Setup!$E$15:$E$79,Setup!$F$15:$F$79),"Miscellaneous"))</f>
      </c>
      <c r="I698">
        <f>IF(A698="","",IFERROR(XLOOKUP(D698,Setup!$E$15:$E$79,Setup!$G$15:$G$79),"Uncategorized"))</f>
      </c>
      <c r="J698">
        <f>IF(A698="","",IF(OR(H698="Transfers",H698="Income",D698="Transfer",D698="Category Pending",F698="Pending"),"No","Yes"))</f>
      </c>
      <c r="K698" s="4">
        <f>IF(A698="","",TEXT(IF(DAY(A698)&gt;=Setup!$B$9,DATE(YEAR(A698),MONTH(A698)+1,1),DATE(YEAR(A698),MONTH(A698),1)),"mmmm yyyy"))</f>
      </c>
      <c r="L698" s="47">
        <f>IF(A698="",0,IF(AND(J698="Yes",E698&lt;0),-E698,0))</f>
      </c>
      <c r="M698" s="47">
        <f>IF(A698="",0,IF(AND(J698="Yes",E698&gt;0),E698,0))</f>
      </c>
      <c r="N698">
        <f>IF(A698="","",IF(D698="Category Pending","Needs categorization",IF(COUNTIFS($A$2:A698,A698,$B$2:B698,B698,$E$2:E698,E698)&gt;1,"Possible duplicate","")))</f>
      </c>
    </row>
    <row r="699" spans="3:14" x14ac:dyDescent="0.3">
      <c r="A699"/>
      <c r="C699" s="16"/>
      <c r="G699" s="5">
        <f>IF(A699="","","Checking")</f>
      </c>
      <c r="H699">
        <f>IF(A699="","",IFERROR(XLOOKUP(D699,Setup!$E$15:$E$79,Setup!$F$15:$F$79),"Miscellaneous"))</f>
      </c>
      <c r="I699">
        <f>IF(A699="","",IFERROR(XLOOKUP(D699,Setup!$E$15:$E$79,Setup!$G$15:$G$79),"Uncategorized"))</f>
      </c>
      <c r="J699">
        <f>IF(A699="","",IF(OR(H699="Transfers",H699="Income",D699="Transfer",D699="Category Pending",F699="Pending"),"No","Yes"))</f>
      </c>
      <c r="K699" s="4">
        <f>IF(A699="","",TEXT(IF(DAY(A699)&gt;=Setup!$B$9,DATE(YEAR(A699),MONTH(A699)+1,1),DATE(YEAR(A699),MONTH(A699),1)),"mmmm yyyy"))</f>
      </c>
      <c r="L699" s="47">
        <f>IF(A699="",0,IF(AND(J699="Yes",E699&lt;0),-E699,0))</f>
      </c>
      <c r="M699" s="47">
        <f>IF(A699="",0,IF(AND(J699="Yes",E699&gt;0),E699,0))</f>
      </c>
      <c r="N699">
        <f>IF(A699="","",IF(D699="Category Pending","Needs categorization",IF(COUNTIFS($A$2:A699,A699,$B$2:B699,B699,$E$2:E699,E699)&gt;1,"Possible duplicate","")))</f>
      </c>
    </row>
    <row r="700" spans="3:14" x14ac:dyDescent="0.3">
      <c r="A700"/>
      <c r="C700" s="16"/>
      <c r="G700" s="5">
        <f>IF(A700="","","Checking")</f>
      </c>
      <c r="H700">
        <f>IF(A700="","",IFERROR(XLOOKUP(D700,Setup!$E$15:$E$79,Setup!$F$15:$F$79),"Miscellaneous"))</f>
      </c>
      <c r="I700">
        <f>IF(A700="","",IFERROR(XLOOKUP(D700,Setup!$E$15:$E$79,Setup!$G$15:$G$79),"Uncategorized"))</f>
      </c>
      <c r="J700">
        <f>IF(A700="","",IF(OR(H700="Transfers",H700="Income",D700="Transfer",D700="Category Pending",F700="Pending"),"No","Yes"))</f>
      </c>
      <c r="K700" s="4">
        <f>IF(A700="","",TEXT(IF(DAY(A700)&gt;=Setup!$B$9,DATE(YEAR(A700),MONTH(A700)+1,1),DATE(YEAR(A700),MONTH(A700),1)),"mmmm yyyy"))</f>
      </c>
      <c r="L700" s="47">
        <f>IF(A700="",0,IF(AND(J700="Yes",E700&lt;0),-E700,0))</f>
      </c>
      <c r="M700" s="47">
        <f>IF(A700="",0,IF(AND(J700="Yes",E700&gt;0),E700,0))</f>
      </c>
      <c r="N700">
        <f>IF(A700="","",IF(D700="Category Pending","Needs categorization",IF(COUNTIFS($A$2:A700,A700,$B$2:B700,B700,$E$2:E700,E700)&gt;1,"Possible duplicate","")))</f>
      </c>
    </row>
    <row r="701" spans="3:14" x14ac:dyDescent="0.3">
      <c r="A701"/>
      <c r="C701" s="16"/>
      <c r="G701" s="5">
        <f>IF(A701="","","Checking")</f>
      </c>
      <c r="H701">
        <f>IF(A701="","",IFERROR(XLOOKUP(D701,Setup!$E$15:$E$79,Setup!$F$15:$F$79),"Miscellaneous"))</f>
      </c>
      <c r="I701">
        <f>IF(A701="","",IFERROR(XLOOKUP(D701,Setup!$E$15:$E$79,Setup!$G$15:$G$79),"Uncategorized"))</f>
      </c>
      <c r="J701">
        <f>IF(A701="","",IF(OR(H701="Transfers",H701="Income",D701="Transfer",D701="Category Pending",F701="Pending"),"No","Yes"))</f>
      </c>
      <c r="K701" s="4">
        <f>IF(A701="","",TEXT(IF(DAY(A701)&gt;=Setup!$B$9,DATE(YEAR(A701),MONTH(A701)+1,1),DATE(YEAR(A701),MONTH(A701),1)),"mmmm yyyy"))</f>
      </c>
      <c r="L701" s="47">
        <f>IF(A701="",0,IF(AND(J701="Yes",E701&lt;0),-E701,0))</f>
      </c>
      <c r="M701" s="47">
        <f>IF(A701="",0,IF(AND(J701="Yes",E701&gt;0),E701,0))</f>
      </c>
      <c r="N701">
        <f>IF(A701="","",IF(D701="Category Pending","Needs categorization",IF(COUNTIFS($A$2:A701,A701,$B$2:B701,B701,$E$2:E701,E701)&gt;1,"Possible duplicate","")))</f>
      </c>
    </row>
    <row r="702" spans="3:14" x14ac:dyDescent="0.3">
      <c r="A702"/>
      <c r="C702" s="16"/>
      <c r="G702" s="5">
        <f>IF(A702="","","Checking")</f>
      </c>
      <c r="H702">
        <f>IF(A702="","",IFERROR(XLOOKUP(D702,Setup!$E$15:$E$79,Setup!$F$15:$F$79),"Miscellaneous"))</f>
      </c>
      <c r="I702">
        <f>IF(A702="","",IFERROR(XLOOKUP(D702,Setup!$E$15:$E$79,Setup!$G$15:$G$79),"Uncategorized"))</f>
      </c>
      <c r="J702">
        <f>IF(A702="","",IF(OR(H702="Transfers",H702="Income",D702="Transfer",D702="Category Pending",F702="Pending"),"No","Yes"))</f>
      </c>
      <c r="K702" s="4">
        <f>IF(A702="","",TEXT(IF(DAY(A702)&gt;=Setup!$B$9,DATE(YEAR(A702),MONTH(A702)+1,1),DATE(YEAR(A702),MONTH(A702),1)),"mmmm yyyy"))</f>
      </c>
      <c r="L702" s="47">
        <f>IF(A702="",0,IF(AND(J702="Yes",E702&lt;0),-E702,0))</f>
      </c>
      <c r="M702" s="47">
        <f>IF(A702="",0,IF(AND(J702="Yes",E702&gt;0),E702,0))</f>
      </c>
      <c r="N702">
        <f>IF(A702="","",IF(D702="Category Pending","Needs categorization",IF(COUNTIFS($A$2:A702,A702,$B$2:B702,B702,$E$2:E702,E702)&gt;1,"Possible duplicate","")))</f>
      </c>
    </row>
    <row r="703" spans="3:14" x14ac:dyDescent="0.3">
      <c r="A703"/>
      <c r="C703" s="16"/>
      <c r="G703" s="5">
        <f>IF(A703="","","Checking")</f>
      </c>
      <c r="H703">
        <f>IF(A703="","",IFERROR(XLOOKUP(D703,Setup!$E$15:$E$79,Setup!$F$15:$F$79),"Miscellaneous"))</f>
      </c>
      <c r="I703">
        <f>IF(A703="","",IFERROR(XLOOKUP(D703,Setup!$E$15:$E$79,Setup!$G$15:$G$79),"Uncategorized"))</f>
      </c>
      <c r="J703">
        <f>IF(A703="","",IF(OR(H703="Transfers",H703="Income",D703="Transfer",D703="Category Pending",F703="Pending"),"No","Yes"))</f>
      </c>
      <c r="K703" s="4">
        <f>IF(A703="","",TEXT(IF(DAY(A703)&gt;=Setup!$B$9,DATE(YEAR(A703),MONTH(A703)+1,1),DATE(YEAR(A703),MONTH(A703),1)),"mmmm yyyy"))</f>
      </c>
      <c r="L703" s="47">
        <f>IF(A703="",0,IF(AND(J703="Yes",E703&lt;0),-E703,0))</f>
      </c>
      <c r="M703" s="47">
        <f>IF(A703="",0,IF(AND(J703="Yes",E703&gt;0),E703,0))</f>
      </c>
      <c r="N703">
        <f>IF(A703="","",IF(D703="Category Pending","Needs categorization",IF(COUNTIFS($A$2:A703,A703,$B$2:B703,B703,$E$2:E703,E703)&gt;1,"Possible duplicate","")))</f>
      </c>
    </row>
    <row r="704" spans="3:14" x14ac:dyDescent="0.3">
      <c r="A704"/>
      <c r="C704" s="16"/>
      <c r="G704" s="5">
        <f>IF(A704="","","Checking")</f>
      </c>
      <c r="H704">
        <f>IF(A704="","",IFERROR(XLOOKUP(D704,Setup!$E$15:$E$79,Setup!$F$15:$F$79),"Miscellaneous"))</f>
      </c>
      <c r="I704">
        <f>IF(A704="","",IFERROR(XLOOKUP(D704,Setup!$E$15:$E$79,Setup!$G$15:$G$79),"Uncategorized"))</f>
      </c>
      <c r="J704">
        <f>IF(A704="","",IF(OR(H704="Transfers",H704="Income",D704="Transfer",D704="Category Pending",F704="Pending"),"No","Yes"))</f>
      </c>
      <c r="K704" s="4">
        <f>IF(A704="","",TEXT(IF(DAY(A704)&gt;=Setup!$B$9,DATE(YEAR(A704),MONTH(A704)+1,1),DATE(YEAR(A704),MONTH(A704),1)),"mmmm yyyy"))</f>
      </c>
      <c r="L704" s="47">
        <f>IF(A704="",0,IF(AND(J704="Yes",E704&lt;0),-E704,0))</f>
      </c>
      <c r="M704" s="47">
        <f>IF(A704="",0,IF(AND(J704="Yes",E704&gt;0),E704,0))</f>
      </c>
      <c r="N704">
        <f>IF(A704="","",IF(D704="Category Pending","Needs categorization",IF(COUNTIFS($A$2:A704,A704,$B$2:B704,B704,$E$2:E704,E704)&gt;1,"Possible duplicate","")))</f>
      </c>
    </row>
    <row r="705" spans="3:14" x14ac:dyDescent="0.3">
      <c r="A705"/>
      <c r="C705" s="16"/>
      <c r="G705" s="5">
        <f>IF(A705="","","Checking")</f>
      </c>
      <c r="H705">
        <f>IF(A705="","",IFERROR(XLOOKUP(D705,Setup!$E$15:$E$79,Setup!$F$15:$F$79),"Miscellaneous"))</f>
      </c>
      <c r="I705">
        <f>IF(A705="","",IFERROR(XLOOKUP(D705,Setup!$E$15:$E$79,Setup!$G$15:$G$79),"Uncategorized"))</f>
      </c>
      <c r="J705">
        <f>IF(A705="","",IF(OR(H705="Transfers",H705="Income",D705="Transfer",D705="Category Pending",F705="Pending"),"No","Yes"))</f>
      </c>
      <c r="K705" s="4">
        <f>IF(A705="","",TEXT(IF(DAY(A705)&gt;=Setup!$B$9,DATE(YEAR(A705),MONTH(A705)+1,1),DATE(YEAR(A705),MONTH(A705),1)),"mmmm yyyy"))</f>
      </c>
      <c r="L705" s="47">
        <f>IF(A705="",0,IF(AND(J705="Yes",E705&lt;0),-E705,0))</f>
      </c>
      <c r="M705" s="47">
        <f>IF(A705="",0,IF(AND(J705="Yes",E705&gt;0),E705,0))</f>
      </c>
      <c r="N705">
        <f>IF(A705="","",IF(D705="Category Pending","Needs categorization",IF(COUNTIFS($A$2:A705,A705,$B$2:B705,B705,$E$2:E705,E705)&gt;1,"Possible duplicate","")))</f>
      </c>
    </row>
    <row r="706" spans="3:14" x14ac:dyDescent="0.3">
      <c r="A706"/>
      <c r="C706" s="16"/>
      <c r="G706" s="5">
        <f>IF(A706="","","Checking")</f>
      </c>
      <c r="H706">
        <f>IF(A706="","",IFERROR(XLOOKUP(D706,Setup!$E$15:$E$79,Setup!$F$15:$F$79),"Miscellaneous"))</f>
      </c>
      <c r="I706">
        <f>IF(A706="","",IFERROR(XLOOKUP(D706,Setup!$E$15:$E$79,Setup!$G$15:$G$79),"Uncategorized"))</f>
      </c>
      <c r="J706">
        <f>IF(A706="","",IF(OR(H706="Transfers",H706="Income",D706="Transfer",D706="Category Pending",F706="Pending"),"No","Yes"))</f>
      </c>
      <c r="K706" s="4">
        <f>IF(A706="","",TEXT(IF(DAY(A706)&gt;=Setup!$B$9,DATE(YEAR(A706),MONTH(A706)+1,1),DATE(YEAR(A706),MONTH(A706),1)),"mmmm yyyy"))</f>
      </c>
      <c r="L706" s="47">
        <f>IF(A706="",0,IF(AND(J706="Yes",E706&lt;0),-E706,0))</f>
      </c>
      <c r="M706" s="47">
        <f>IF(A706="",0,IF(AND(J706="Yes",E706&gt;0),E706,0))</f>
      </c>
      <c r="N706">
        <f>IF(A706="","",IF(D706="Category Pending","Needs categorization",IF(COUNTIFS($A$2:A706,A706,$B$2:B706,B706,$E$2:E706,E706)&gt;1,"Possible duplicate","")))</f>
      </c>
    </row>
    <row r="707" spans="3:14" x14ac:dyDescent="0.3">
      <c r="A707"/>
      <c r="C707" s="16"/>
      <c r="G707" s="5">
        <f>IF(A707="","","Checking")</f>
      </c>
      <c r="H707">
        <f>IF(A707="","",IFERROR(XLOOKUP(D707,Setup!$E$15:$E$79,Setup!$F$15:$F$79),"Miscellaneous"))</f>
      </c>
      <c r="I707">
        <f>IF(A707="","",IFERROR(XLOOKUP(D707,Setup!$E$15:$E$79,Setup!$G$15:$G$79),"Uncategorized"))</f>
      </c>
      <c r="J707">
        <f>IF(A707="","",IF(OR(H707="Transfers",H707="Income",D707="Transfer",D707="Category Pending",F707="Pending"),"No","Yes"))</f>
      </c>
      <c r="K707" s="4">
        <f>IF(A707="","",TEXT(IF(DAY(A707)&gt;=Setup!$B$9,DATE(YEAR(A707),MONTH(A707)+1,1),DATE(YEAR(A707),MONTH(A707),1)),"mmmm yyyy"))</f>
      </c>
      <c r="L707" s="47">
        <f>IF(A707="",0,IF(AND(J707="Yes",E707&lt;0),-E707,0))</f>
      </c>
      <c r="M707" s="47">
        <f>IF(A707="",0,IF(AND(J707="Yes",E707&gt;0),E707,0))</f>
      </c>
      <c r="N707">
        <f>IF(A707="","",IF(D707="Category Pending","Needs categorization",IF(COUNTIFS($A$2:A707,A707,$B$2:B707,B707,$E$2:E707,E707)&gt;1,"Possible duplicate","")))</f>
      </c>
    </row>
    <row r="708" spans="3:14" x14ac:dyDescent="0.3">
      <c r="A708"/>
      <c r="C708" s="16"/>
      <c r="G708" s="5">
        <f>IF(A708="","","Checking")</f>
      </c>
      <c r="H708">
        <f>IF(A708="","",IFERROR(XLOOKUP(D708,Setup!$E$15:$E$79,Setup!$F$15:$F$79),"Miscellaneous"))</f>
      </c>
      <c r="I708">
        <f>IF(A708="","",IFERROR(XLOOKUP(D708,Setup!$E$15:$E$79,Setup!$G$15:$G$79),"Uncategorized"))</f>
      </c>
      <c r="J708">
        <f>IF(A708="","",IF(OR(H708="Transfers",H708="Income",D708="Transfer",D708="Category Pending",F708="Pending"),"No","Yes"))</f>
      </c>
      <c r="K708" s="4">
        <f>IF(A708="","",TEXT(IF(DAY(A708)&gt;=Setup!$B$9,DATE(YEAR(A708),MONTH(A708)+1,1),DATE(YEAR(A708),MONTH(A708),1)),"mmmm yyyy"))</f>
      </c>
      <c r="L708" s="47">
        <f>IF(A708="",0,IF(AND(J708="Yes",E708&lt;0),-E708,0))</f>
      </c>
      <c r="M708" s="47">
        <f>IF(A708="",0,IF(AND(J708="Yes",E708&gt;0),E708,0))</f>
      </c>
      <c r="N708">
        <f>IF(A708="","",IF(D708="Category Pending","Needs categorization",IF(COUNTIFS($A$2:A708,A708,$B$2:B708,B708,$E$2:E708,E708)&gt;1,"Possible duplicate","")))</f>
      </c>
    </row>
    <row r="709" spans="3:14" x14ac:dyDescent="0.3">
      <c r="A709"/>
      <c r="C709" s="16"/>
      <c r="G709" s="5">
        <f>IF(A709="","","Checking")</f>
      </c>
      <c r="H709">
        <f>IF(A709="","",IFERROR(XLOOKUP(D709,Setup!$E$15:$E$79,Setup!$F$15:$F$79),"Miscellaneous"))</f>
      </c>
      <c r="I709">
        <f>IF(A709="","",IFERROR(XLOOKUP(D709,Setup!$E$15:$E$79,Setup!$G$15:$G$79),"Uncategorized"))</f>
      </c>
      <c r="J709">
        <f>IF(A709="","",IF(OR(H709="Transfers",H709="Income",D709="Transfer",D709="Category Pending",F709="Pending"),"No","Yes"))</f>
      </c>
      <c r="K709" s="4">
        <f>IF(A709="","",TEXT(IF(DAY(A709)&gt;=Setup!$B$9,DATE(YEAR(A709),MONTH(A709)+1,1),DATE(YEAR(A709),MONTH(A709),1)),"mmmm yyyy"))</f>
      </c>
      <c r="L709" s="47">
        <f>IF(A709="",0,IF(AND(J709="Yes",E709&lt;0),-E709,0))</f>
      </c>
      <c r="M709" s="47">
        <f>IF(A709="",0,IF(AND(J709="Yes",E709&gt;0),E709,0))</f>
      </c>
      <c r="N709">
        <f>IF(A709="","",IF(D709="Category Pending","Needs categorization",IF(COUNTIFS($A$2:A709,A709,$B$2:B709,B709,$E$2:E709,E709)&gt;1,"Possible duplicate","")))</f>
      </c>
    </row>
    <row r="710" spans="3:14" x14ac:dyDescent="0.3">
      <c r="A710"/>
      <c r="C710" s="16"/>
      <c r="G710" s="5">
        <f>IF(A710="","","Checking")</f>
      </c>
      <c r="H710">
        <f>IF(A710="","",IFERROR(XLOOKUP(D710,Setup!$E$15:$E$79,Setup!$F$15:$F$79),"Miscellaneous"))</f>
      </c>
      <c r="I710">
        <f>IF(A710="","",IFERROR(XLOOKUP(D710,Setup!$E$15:$E$79,Setup!$G$15:$G$79),"Uncategorized"))</f>
      </c>
      <c r="J710">
        <f>IF(A710="","",IF(OR(H710="Transfers",H710="Income",D710="Transfer",D710="Category Pending",F710="Pending"),"No","Yes"))</f>
      </c>
      <c r="K710" s="4">
        <f>IF(A710="","",TEXT(IF(DAY(A710)&gt;=Setup!$B$9,DATE(YEAR(A710),MONTH(A710)+1,1),DATE(YEAR(A710),MONTH(A710),1)),"mmmm yyyy"))</f>
      </c>
      <c r="L710" s="47">
        <f>IF(A710="",0,IF(AND(J710="Yes",E710&lt;0),-E710,0))</f>
      </c>
      <c r="M710" s="47">
        <f>IF(A710="",0,IF(AND(J710="Yes",E710&gt;0),E710,0))</f>
      </c>
      <c r="N710">
        <f>IF(A710="","",IF(D710="Category Pending","Needs categorization",IF(COUNTIFS($A$2:A710,A710,$B$2:B710,B710,$E$2:E710,E710)&gt;1,"Possible duplicate","")))</f>
      </c>
    </row>
    <row r="711" spans="3:14" x14ac:dyDescent="0.3">
      <c r="A711"/>
      <c r="C711" s="16"/>
      <c r="G711" s="5">
        <f>IF(A711="","","Checking")</f>
      </c>
      <c r="H711">
        <f>IF(A711="","",IFERROR(XLOOKUP(D711,Setup!$E$15:$E$79,Setup!$F$15:$F$79),"Miscellaneous"))</f>
      </c>
      <c r="I711">
        <f>IF(A711="","",IFERROR(XLOOKUP(D711,Setup!$E$15:$E$79,Setup!$G$15:$G$79),"Uncategorized"))</f>
      </c>
      <c r="J711">
        <f>IF(A711="","",IF(OR(H711="Transfers",H711="Income",D711="Transfer",D711="Category Pending",F711="Pending"),"No","Yes"))</f>
      </c>
      <c r="K711" s="4">
        <f>IF(A711="","",TEXT(IF(DAY(A711)&gt;=Setup!$B$9,DATE(YEAR(A711),MONTH(A711)+1,1),DATE(YEAR(A711),MONTH(A711),1)),"mmmm yyyy"))</f>
      </c>
      <c r="L711" s="47">
        <f>IF(A711="",0,IF(AND(J711="Yes",E711&lt;0),-E711,0))</f>
      </c>
      <c r="M711" s="47">
        <f>IF(A711="",0,IF(AND(J711="Yes",E711&gt;0),E711,0))</f>
      </c>
      <c r="N711">
        <f>IF(A711="","",IF(D711="Category Pending","Needs categorization",IF(COUNTIFS($A$2:A711,A711,$B$2:B711,B711,$E$2:E711,E711)&gt;1,"Possible duplicate","")))</f>
      </c>
    </row>
    <row r="712" spans="3:14" x14ac:dyDescent="0.3">
      <c r="A712"/>
      <c r="C712" s="16"/>
      <c r="G712" s="5">
        <f>IF(A712="","","Checking")</f>
      </c>
      <c r="H712">
        <f>IF(A712="","",IFERROR(XLOOKUP(D712,Setup!$E$15:$E$79,Setup!$F$15:$F$79),"Miscellaneous"))</f>
      </c>
      <c r="I712">
        <f>IF(A712="","",IFERROR(XLOOKUP(D712,Setup!$E$15:$E$79,Setup!$G$15:$G$79),"Uncategorized"))</f>
      </c>
      <c r="J712">
        <f>IF(A712="","",IF(OR(H712="Transfers",H712="Income",D712="Transfer",D712="Category Pending",F712="Pending"),"No","Yes"))</f>
      </c>
      <c r="K712" s="4">
        <f>IF(A712="","",TEXT(IF(DAY(A712)&gt;=Setup!$B$9,DATE(YEAR(A712),MONTH(A712)+1,1),DATE(YEAR(A712),MONTH(A712),1)),"mmmm yyyy"))</f>
      </c>
      <c r="L712" s="47">
        <f>IF(A712="",0,IF(AND(J712="Yes",E712&lt;0),-E712,0))</f>
      </c>
      <c r="M712" s="47">
        <f>IF(A712="",0,IF(AND(J712="Yes",E712&gt;0),E712,0))</f>
      </c>
      <c r="N712">
        <f>IF(A712="","",IF(D712="Category Pending","Needs categorization",IF(COUNTIFS($A$2:A712,A712,$B$2:B712,B712,$E$2:E712,E712)&gt;1,"Possible duplicate","")))</f>
      </c>
    </row>
    <row r="713" spans="3:14" x14ac:dyDescent="0.3">
      <c r="A713"/>
      <c r="C713" s="16"/>
      <c r="G713" s="5">
        <f>IF(A713="","","Checking")</f>
      </c>
      <c r="H713">
        <f>IF(A713="","",IFERROR(XLOOKUP(D713,Setup!$E$15:$E$79,Setup!$F$15:$F$79),"Miscellaneous"))</f>
      </c>
      <c r="I713">
        <f>IF(A713="","",IFERROR(XLOOKUP(D713,Setup!$E$15:$E$79,Setup!$G$15:$G$79),"Uncategorized"))</f>
      </c>
      <c r="J713">
        <f>IF(A713="","",IF(OR(H713="Transfers",H713="Income",D713="Transfer",D713="Category Pending",F713="Pending"),"No","Yes"))</f>
      </c>
      <c r="K713" s="4">
        <f>IF(A713="","",TEXT(IF(DAY(A713)&gt;=Setup!$B$9,DATE(YEAR(A713),MONTH(A713)+1,1),DATE(YEAR(A713),MONTH(A713),1)),"mmmm yyyy"))</f>
      </c>
      <c r="L713" s="47">
        <f>IF(A713="",0,IF(AND(J713="Yes",E713&lt;0),-E713,0))</f>
      </c>
      <c r="M713" s="47">
        <f>IF(A713="",0,IF(AND(J713="Yes",E713&gt;0),E713,0))</f>
      </c>
      <c r="N713">
        <f>IF(A713="","",IF(D713="Category Pending","Needs categorization",IF(COUNTIFS($A$2:A713,A713,$B$2:B713,B713,$E$2:E713,E713)&gt;1,"Possible duplicate","")))</f>
      </c>
    </row>
    <row r="714" spans="3:14" x14ac:dyDescent="0.3">
      <c r="A714"/>
      <c r="C714" s="16"/>
      <c r="G714" s="5">
        <f>IF(A714="","","Checking")</f>
      </c>
      <c r="H714">
        <f>IF(A714="","",IFERROR(XLOOKUP(D714,Setup!$E$15:$E$79,Setup!$F$15:$F$79),"Miscellaneous"))</f>
      </c>
      <c r="I714">
        <f>IF(A714="","",IFERROR(XLOOKUP(D714,Setup!$E$15:$E$79,Setup!$G$15:$G$79),"Uncategorized"))</f>
      </c>
      <c r="J714">
        <f>IF(A714="","",IF(OR(H714="Transfers",H714="Income",D714="Transfer",D714="Category Pending",F714="Pending"),"No","Yes"))</f>
      </c>
      <c r="K714" s="4">
        <f>IF(A714="","",TEXT(IF(DAY(A714)&gt;=Setup!$B$9,DATE(YEAR(A714),MONTH(A714)+1,1),DATE(YEAR(A714),MONTH(A714),1)),"mmmm yyyy"))</f>
      </c>
      <c r="L714" s="47">
        <f>IF(A714="",0,IF(AND(J714="Yes",E714&lt;0),-E714,0))</f>
      </c>
      <c r="M714" s="47">
        <f>IF(A714="",0,IF(AND(J714="Yes",E714&gt;0),E714,0))</f>
      </c>
      <c r="N714">
        <f>IF(A714="","",IF(D714="Category Pending","Needs categorization",IF(COUNTIFS($A$2:A714,A714,$B$2:B714,B714,$E$2:E714,E714)&gt;1,"Possible duplicate","")))</f>
      </c>
    </row>
    <row r="715" spans="3:14" x14ac:dyDescent="0.3">
      <c r="A715"/>
      <c r="C715" s="16"/>
      <c r="G715" s="5">
        <f>IF(A715="","","Checking")</f>
      </c>
      <c r="H715">
        <f>IF(A715="","",IFERROR(XLOOKUP(D715,Setup!$E$15:$E$79,Setup!$F$15:$F$79),"Miscellaneous"))</f>
      </c>
      <c r="I715">
        <f>IF(A715="","",IFERROR(XLOOKUP(D715,Setup!$E$15:$E$79,Setup!$G$15:$G$79),"Uncategorized"))</f>
      </c>
      <c r="J715">
        <f>IF(A715="","",IF(OR(H715="Transfers",H715="Income",D715="Transfer",D715="Category Pending",F715="Pending"),"No","Yes"))</f>
      </c>
      <c r="K715" s="4">
        <f>IF(A715="","",TEXT(IF(DAY(A715)&gt;=Setup!$B$9,DATE(YEAR(A715),MONTH(A715)+1,1),DATE(YEAR(A715),MONTH(A715),1)),"mmmm yyyy"))</f>
      </c>
      <c r="L715" s="47">
        <f>IF(A715="",0,IF(AND(J715="Yes",E715&lt;0),-E715,0))</f>
      </c>
      <c r="M715" s="47">
        <f>IF(A715="",0,IF(AND(J715="Yes",E715&gt;0),E715,0))</f>
      </c>
      <c r="N715">
        <f>IF(A715="","",IF(D715="Category Pending","Needs categorization",IF(COUNTIFS($A$2:A715,A715,$B$2:B715,B715,$E$2:E715,E715)&gt;1,"Possible duplicate","")))</f>
      </c>
    </row>
    <row r="716" spans="3:14" x14ac:dyDescent="0.3">
      <c r="A716"/>
      <c r="C716" s="16"/>
      <c r="G716" s="5">
        <f>IF(A716="","","Checking")</f>
      </c>
      <c r="H716">
        <f>IF(A716="","",IFERROR(XLOOKUP(D716,Setup!$E$15:$E$79,Setup!$F$15:$F$79),"Miscellaneous"))</f>
      </c>
      <c r="I716">
        <f>IF(A716="","",IFERROR(XLOOKUP(D716,Setup!$E$15:$E$79,Setup!$G$15:$G$79),"Uncategorized"))</f>
      </c>
      <c r="J716">
        <f>IF(A716="","",IF(OR(H716="Transfers",H716="Income",D716="Transfer",D716="Category Pending",F716="Pending"),"No","Yes"))</f>
      </c>
      <c r="K716" s="4">
        <f>IF(A716="","",TEXT(IF(DAY(A716)&gt;=Setup!$B$9,DATE(YEAR(A716),MONTH(A716)+1,1),DATE(YEAR(A716),MONTH(A716),1)),"mmmm yyyy"))</f>
      </c>
      <c r="L716" s="47">
        <f>IF(A716="",0,IF(AND(J716="Yes",E716&lt;0),-E716,0))</f>
      </c>
      <c r="M716" s="47">
        <f>IF(A716="",0,IF(AND(J716="Yes",E716&gt;0),E716,0))</f>
      </c>
      <c r="N716">
        <f>IF(A716="","",IF(D716="Category Pending","Needs categorization",IF(COUNTIFS($A$2:A716,A716,$B$2:B716,B716,$E$2:E716,E716)&gt;1,"Possible duplicate","")))</f>
      </c>
    </row>
    <row r="717" spans="3:14" x14ac:dyDescent="0.3">
      <c r="A717"/>
      <c r="C717" s="16"/>
      <c r="G717" s="5">
        <f>IF(A717="","","Checking")</f>
      </c>
      <c r="H717">
        <f>IF(A717="","",IFERROR(XLOOKUP(D717,Setup!$E$15:$E$79,Setup!$F$15:$F$79),"Miscellaneous"))</f>
      </c>
      <c r="I717">
        <f>IF(A717="","",IFERROR(XLOOKUP(D717,Setup!$E$15:$E$79,Setup!$G$15:$G$79),"Uncategorized"))</f>
      </c>
      <c r="J717">
        <f>IF(A717="","",IF(OR(H717="Transfers",H717="Income",D717="Transfer",D717="Category Pending",F717="Pending"),"No","Yes"))</f>
      </c>
      <c r="K717" s="4">
        <f>IF(A717="","",TEXT(IF(DAY(A717)&gt;=Setup!$B$9,DATE(YEAR(A717),MONTH(A717)+1,1),DATE(YEAR(A717),MONTH(A717),1)),"mmmm yyyy"))</f>
      </c>
      <c r="L717" s="47">
        <f>IF(A717="",0,IF(AND(J717="Yes",E717&lt;0),-E717,0))</f>
      </c>
      <c r="M717" s="47">
        <f>IF(A717="",0,IF(AND(J717="Yes",E717&gt;0),E717,0))</f>
      </c>
      <c r="N717">
        <f>IF(A717="","",IF(D717="Category Pending","Needs categorization",IF(COUNTIFS($A$2:A717,A717,$B$2:B717,B717,$E$2:E717,E717)&gt;1,"Possible duplicate","")))</f>
      </c>
    </row>
    <row r="718" spans="3:14" x14ac:dyDescent="0.3">
      <c r="A718"/>
      <c r="C718" s="16"/>
      <c r="G718" s="5">
        <f>IF(A718="","","Checking")</f>
      </c>
      <c r="H718">
        <f>IF(A718="","",IFERROR(XLOOKUP(D718,Setup!$E$15:$E$79,Setup!$F$15:$F$79),"Miscellaneous"))</f>
      </c>
      <c r="I718">
        <f>IF(A718="","",IFERROR(XLOOKUP(D718,Setup!$E$15:$E$79,Setup!$G$15:$G$79),"Uncategorized"))</f>
      </c>
      <c r="J718">
        <f>IF(A718="","",IF(OR(H718="Transfers",H718="Income",D718="Transfer",D718="Category Pending",F718="Pending"),"No","Yes"))</f>
      </c>
      <c r="K718" s="4">
        <f>IF(A718="","",TEXT(IF(DAY(A718)&gt;=Setup!$B$9,DATE(YEAR(A718),MONTH(A718)+1,1),DATE(YEAR(A718),MONTH(A718),1)),"mmmm yyyy"))</f>
      </c>
      <c r="L718" s="47">
        <f>IF(A718="",0,IF(AND(J718="Yes",E718&lt;0),-E718,0))</f>
      </c>
      <c r="M718" s="47">
        <f>IF(A718="",0,IF(AND(J718="Yes",E718&gt;0),E718,0))</f>
      </c>
      <c r="N718">
        <f>IF(A718="","",IF(D718="Category Pending","Needs categorization",IF(COUNTIFS($A$2:A718,A718,$B$2:B718,B718,$E$2:E718,E718)&gt;1,"Possible duplicate","")))</f>
      </c>
    </row>
    <row r="719" spans="3:14" x14ac:dyDescent="0.3">
      <c r="A719"/>
      <c r="C719" s="16"/>
      <c r="G719" s="5">
        <f>IF(A719="","","Checking")</f>
      </c>
      <c r="H719">
        <f>IF(A719="","",IFERROR(XLOOKUP(D719,Setup!$E$15:$E$79,Setup!$F$15:$F$79),"Miscellaneous"))</f>
      </c>
      <c r="I719">
        <f>IF(A719="","",IFERROR(XLOOKUP(D719,Setup!$E$15:$E$79,Setup!$G$15:$G$79),"Uncategorized"))</f>
      </c>
      <c r="J719">
        <f>IF(A719="","",IF(OR(H719="Transfers",H719="Income",D719="Transfer",D719="Category Pending",F719="Pending"),"No","Yes"))</f>
      </c>
      <c r="K719" s="4">
        <f>IF(A719="","",TEXT(IF(DAY(A719)&gt;=Setup!$B$9,DATE(YEAR(A719),MONTH(A719)+1,1),DATE(YEAR(A719),MONTH(A719),1)),"mmmm yyyy"))</f>
      </c>
      <c r="L719" s="47">
        <f>IF(A719="",0,IF(AND(J719="Yes",E719&lt;0),-E719,0))</f>
      </c>
      <c r="M719" s="47">
        <f>IF(A719="",0,IF(AND(J719="Yes",E719&gt;0),E719,0))</f>
      </c>
      <c r="N719">
        <f>IF(A719="","",IF(D719="Category Pending","Needs categorization",IF(COUNTIFS($A$2:A719,A719,$B$2:B719,B719,$E$2:E719,E719)&gt;1,"Possible duplicate","")))</f>
      </c>
    </row>
    <row r="720" spans="3:14" x14ac:dyDescent="0.3">
      <c r="A720"/>
      <c r="C720" s="16"/>
      <c r="G720" s="5">
        <f>IF(A720="","","Checking")</f>
      </c>
      <c r="H720">
        <f>IF(A720="","",IFERROR(XLOOKUP(D720,Setup!$E$15:$E$79,Setup!$F$15:$F$79),"Miscellaneous"))</f>
      </c>
      <c r="I720">
        <f>IF(A720="","",IFERROR(XLOOKUP(D720,Setup!$E$15:$E$79,Setup!$G$15:$G$79),"Uncategorized"))</f>
      </c>
      <c r="J720">
        <f>IF(A720="","",IF(OR(H720="Transfers",H720="Income",D720="Transfer",D720="Category Pending",F720="Pending"),"No","Yes"))</f>
      </c>
      <c r="K720" s="4">
        <f>IF(A720="","",TEXT(IF(DAY(A720)&gt;=Setup!$B$9,DATE(YEAR(A720),MONTH(A720)+1,1),DATE(YEAR(A720),MONTH(A720),1)),"mmmm yyyy"))</f>
      </c>
      <c r="L720" s="47">
        <f>IF(A720="",0,IF(AND(J720="Yes",E720&lt;0),-E720,0))</f>
      </c>
      <c r="M720" s="47">
        <f>IF(A720="",0,IF(AND(J720="Yes",E720&gt;0),E720,0))</f>
      </c>
      <c r="N720">
        <f>IF(A720="","",IF(D720="Category Pending","Needs categorization",IF(COUNTIFS($A$2:A720,A720,$B$2:B720,B720,$E$2:E720,E720)&gt;1,"Possible duplicate","")))</f>
      </c>
    </row>
    <row r="721" spans="3:14" x14ac:dyDescent="0.3">
      <c r="A721"/>
      <c r="C721" s="16"/>
      <c r="G721" s="5">
        <f>IF(A721="","","Checking")</f>
      </c>
      <c r="H721">
        <f>IF(A721="","",IFERROR(XLOOKUP(D721,Setup!$E$15:$E$79,Setup!$F$15:$F$79),"Miscellaneous"))</f>
      </c>
      <c r="I721">
        <f>IF(A721="","",IFERROR(XLOOKUP(D721,Setup!$E$15:$E$79,Setup!$G$15:$G$79),"Uncategorized"))</f>
      </c>
      <c r="J721">
        <f>IF(A721="","",IF(OR(H721="Transfers",H721="Income",D721="Transfer",D721="Category Pending",F721="Pending"),"No","Yes"))</f>
      </c>
      <c r="K721" s="4">
        <f>IF(A721="","",TEXT(IF(DAY(A721)&gt;=Setup!$B$9,DATE(YEAR(A721),MONTH(A721)+1,1),DATE(YEAR(A721),MONTH(A721),1)),"mmmm yyyy"))</f>
      </c>
      <c r="L721" s="47">
        <f>IF(A721="",0,IF(AND(J721="Yes",E721&lt;0),-E721,0))</f>
      </c>
      <c r="M721" s="47">
        <f>IF(A721="",0,IF(AND(J721="Yes",E721&gt;0),E721,0))</f>
      </c>
      <c r="N721">
        <f>IF(A721="","",IF(D721="Category Pending","Needs categorization",IF(COUNTIFS($A$2:A721,A721,$B$2:B721,B721,$E$2:E721,E721)&gt;1,"Possible duplicate","")))</f>
      </c>
    </row>
    <row r="722" spans="3:14" x14ac:dyDescent="0.3">
      <c r="A722"/>
      <c r="C722" s="16"/>
      <c r="G722" s="5">
        <f>IF(A722="","","Checking")</f>
      </c>
      <c r="H722">
        <f>IF(A722="","",IFERROR(XLOOKUP(D722,Setup!$E$15:$E$79,Setup!$F$15:$F$79),"Miscellaneous"))</f>
      </c>
      <c r="I722">
        <f>IF(A722="","",IFERROR(XLOOKUP(D722,Setup!$E$15:$E$79,Setup!$G$15:$G$79),"Uncategorized"))</f>
      </c>
      <c r="J722">
        <f>IF(A722="","",IF(OR(H722="Transfers",H722="Income",D722="Transfer",D722="Category Pending",F722="Pending"),"No","Yes"))</f>
      </c>
      <c r="K722" s="4">
        <f>IF(A722="","",TEXT(IF(DAY(A722)&gt;=Setup!$B$9,DATE(YEAR(A722),MONTH(A722)+1,1),DATE(YEAR(A722),MONTH(A722),1)),"mmmm yyyy"))</f>
      </c>
      <c r="L722" s="47">
        <f>IF(A722="",0,IF(AND(J722="Yes",E722&lt;0),-E722,0))</f>
      </c>
      <c r="M722" s="47">
        <f>IF(A722="",0,IF(AND(J722="Yes",E722&gt;0),E722,0))</f>
      </c>
      <c r="N722">
        <f>IF(A722="","",IF(D722="Category Pending","Needs categorization",IF(COUNTIFS($A$2:A722,A722,$B$2:B722,B722,$E$2:E722,E722)&gt;1,"Possible duplicate","")))</f>
      </c>
    </row>
    <row r="723" spans="3:14" x14ac:dyDescent="0.3">
      <c r="A723"/>
      <c r="C723" s="16"/>
      <c r="G723" s="5">
        <f>IF(A723="","","Checking")</f>
      </c>
      <c r="H723">
        <f>IF(A723="","",IFERROR(XLOOKUP(D723,Setup!$E$15:$E$79,Setup!$F$15:$F$79),"Miscellaneous"))</f>
      </c>
      <c r="I723">
        <f>IF(A723="","",IFERROR(XLOOKUP(D723,Setup!$E$15:$E$79,Setup!$G$15:$G$79),"Uncategorized"))</f>
      </c>
      <c r="J723">
        <f>IF(A723="","",IF(OR(H723="Transfers",H723="Income",D723="Transfer",D723="Category Pending",F723="Pending"),"No","Yes"))</f>
      </c>
      <c r="K723" s="4">
        <f>IF(A723="","",TEXT(IF(DAY(A723)&gt;=Setup!$B$9,DATE(YEAR(A723),MONTH(A723)+1,1),DATE(YEAR(A723),MONTH(A723),1)),"mmmm yyyy"))</f>
      </c>
      <c r="L723" s="47">
        <f>IF(A723="",0,IF(AND(J723="Yes",E723&lt;0),-E723,0))</f>
      </c>
      <c r="M723" s="47">
        <f>IF(A723="",0,IF(AND(J723="Yes",E723&gt;0),E723,0))</f>
      </c>
      <c r="N723">
        <f>IF(A723="","",IF(D723="Category Pending","Needs categorization",IF(COUNTIFS($A$2:A723,A723,$B$2:B723,B723,$E$2:E723,E723)&gt;1,"Possible duplicate","")))</f>
      </c>
    </row>
    <row r="724" spans="3:14" x14ac:dyDescent="0.3">
      <c r="A724"/>
      <c r="C724" s="16"/>
      <c r="G724" s="5">
        <f>IF(A724="","","Checking")</f>
      </c>
      <c r="H724">
        <f>IF(A724="","",IFERROR(XLOOKUP(D724,Setup!$E$15:$E$79,Setup!$F$15:$F$79),"Miscellaneous"))</f>
      </c>
      <c r="I724">
        <f>IF(A724="","",IFERROR(XLOOKUP(D724,Setup!$E$15:$E$79,Setup!$G$15:$G$79),"Uncategorized"))</f>
      </c>
      <c r="J724">
        <f>IF(A724="","",IF(OR(H724="Transfers",H724="Income",D724="Transfer",D724="Category Pending",F724="Pending"),"No","Yes"))</f>
      </c>
      <c r="K724" s="4">
        <f>IF(A724="","",TEXT(IF(DAY(A724)&gt;=Setup!$B$9,DATE(YEAR(A724),MONTH(A724)+1,1),DATE(YEAR(A724),MONTH(A724),1)),"mmmm yyyy"))</f>
      </c>
      <c r="L724" s="47">
        <f>IF(A724="",0,IF(AND(J724="Yes",E724&lt;0),-E724,0))</f>
      </c>
      <c r="M724" s="47">
        <f>IF(A724="",0,IF(AND(J724="Yes",E724&gt;0),E724,0))</f>
      </c>
      <c r="N724">
        <f>IF(A724="","",IF(D724="Category Pending","Needs categorization",IF(COUNTIFS($A$2:A724,A724,$B$2:B724,B724,$E$2:E724,E724)&gt;1,"Possible duplicate","")))</f>
      </c>
    </row>
    <row r="725" spans="3:14" x14ac:dyDescent="0.3">
      <c r="A725"/>
      <c r="C725" s="16"/>
      <c r="G725" s="5">
        <f>IF(A725="","","Checking")</f>
      </c>
      <c r="H725">
        <f>IF(A725="","",IFERROR(XLOOKUP(D725,Setup!$E$15:$E$79,Setup!$F$15:$F$79),"Miscellaneous"))</f>
      </c>
      <c r="I725">
        <f>IF(A725="","",IFERROR(XLOOKUP(D725,Setup!$E$15:$E$79,Setup!$G$15:$G$79),"Uncategorized"))</f>
      </c>
      <c r="J725">
        <f>IF(A725="","",IF(OR(H725="Transfers",H725="Income",D725="Transfer",D725="Category Pending",F725="Pending"),"No","Yes"))</f>
      </c>
      <c r="K725" s="4">
        <f>IF(A725="","",TEXT(IF(DAY(A725)&gt;=Setup!$B$9,DATE(YEAR(A725),MONTH(A725)+1,1),DATE(YEAR(A725),MONTH(A725),1)),"mmmm yyyy"))</f>
      </c>
      <c r="L725" s="47">
        <f>IF(A725="",0,IF(AND(J725="Yes",E725&lt;0),-E725,0))</f>
      </c>
      <c r="M725" s="47">
        <f>IF(A725="",0,IF(AND(J725="Yes",E725&gt;0),E725,0))</f>
      </c>
      <c r="N725">
        <f>IF(A725="","",IF(D725="Category Pending","Needs categorization",IF(COUNTIFS($A$2:A725,A725,$B$2:B725,B725,$E$2:E725,E725)&gt;1,"Possible duplicate","")))</f>
      </c>
    </row>
    <row r="726" spans="3:14" x14ac:dyDescent="0.3">
      <c r="A726"/>
      <c r="C726" s="16"/>
      <c r="G726" s="5">
        <f>IF(A726="","","Checking")</f>
      </c>
      <c r="H726">
        <f>IF(A726="","",IFERROR(XLOOKUP(D726,Setup!$E$15:$E$79,Setup!$F$15:$F$79),"Miscellaneous"))</f>
      </c>
      <c r="I726">
        <f>IF(A726="","",IFERROR(XLOOKUP(D726,Setup!$E$15:$E$79,Setup!$G$15:$G$79),"Uncategorized"))</f>
      </c>
      <c r="J726">
        <f>IF(A726="","",IF(OR(H726="Transfers",H726="Income",D726="Transfer",D726="Category Pending",F726="Pending"),"No","Yes"))</f>
      </c>
      <c r="K726" s="4">
        <f>IF(A726="","",TEXT(IF(DAY(A726)&gt;=Setup!$B$9,DATE(YEAR(A726),MONTH(A726)+1,1),DATE(YEAR(A726),MONTH(A726),1)),"mmmm yyyy"))</f>
      </c>
      <c r="L726" s="47">
        <f>IF(A726="",0,IF(AND(J726="Yes",E726&lt;0),-E726,0))</f>
      </c>
      <c r="M726" s="47">
        <f>IF(A726="",0,IF(AND(J726="Yes",E726&gt;0),E726,0))</f>
      </c>
      <c r="N726">
        <f>IF(A726="","",IF(D726="Category Pending","Needs categorization",IF(COUNTIFS($A$2:A726,A726,$B$2:B726,B726,$E$2:E726,E726)&gt;1,"Possible duplicate","")))</f>
      </c>
    </row>
    <row r="727" spans="3:14" x14ac:dyDescent="0.3">
      <c r="A727"/>
      <c r="C727" s="16"/>
      <c r="G727" s="5">
        <f>IF(A727="","","Checking")</f>
      </c>
      <c r="H727">
        <f>IF(A727="","",IFERROR(XLOOKUP(D727,Setup!$E$15:$E$79,Setup!$F$15:$F$79),"Miscellaneous"))</f>
      </c>
      <c r="I727">
        <f>IF(A727="","",IFERROR(XLOOKUP(D727,Setup!$E$15:$E$79,Setup!$G$15:$G$79),"Uncategorized"))</f>
      </c>
      <c r="J727">
        <f>IF(A727="","",IF(OR(H727="Transfers",H727="Income",D727="Transfer",D727="Category Pending",F727="Pending"),"No","Yes"))</f>
      </c>
      <c r="K727" s="4">
        <f>IF(A727="","",TEXT(IF(DAY(A727)&gt;=Setup!$B$9,DATE(YEAR(A727),MONTH(A727)+1,1),DATE(YEAR(A727),MONTH(A727),1)),"mmmm yyyy"))</f>
      </c>
      <c r="L727" s="47">
        <f>IF(A727="",0,IF(AND(J727="Yes",E727&lt;0),-E727,0))</f>
      </c>
      <c r="M727" s="47">
        <f>IF(A727="",0,IF(AND(J727="Yes",E727&gt;0),E727,0))</f>
      </c>
      <c r="N727">
        <f>IF(A727="","",IF(D727="Category Pending","Needs categorization",IF(COUNTIFS($A$2:A727,A727,$B$2:B727,B727,$E$2:E727,E727)&gt;1,"Possible duplicate","")))</f>
      </c>
    </row>
    <row r="728" spans="3:14" x14ac:dyDescent="0.3">
      <c r="A728"/>
      <c r="C728" s="16"/>
      <c r="G728" s="5">
        <f>IF(A728="","","Checking")</f>
      </c>
      <c r="H728">
        <f>IF(A728="","",IFERROR(XLOOKUP(D728,Setup!$E$15:$E$79,Setup!$F$15:$F$79),"Miscellaneous"))</f>
      </c>
      <c r="I728">
        <f>IF(A728="","",IFERROR(XLOOKUP(D728,Setup!$E$15:$E$79,Setup!$G$15:$G$79),"Uncategorized"))</f>
      </c>
      <c r="J728">
        <f>IF(A728="","",IF(OR(H728="Transfers",H728="Income",D728="Transfer",D728="Category Pending",F728="Pending"),"No","Yes"))</f>
      </c>
      <c r="K728" s="4">
        <f>IF(A728="","",TEXT(IF(DAY(A728)&gt;=Setup!$B$9,DATE(YEAR(A728),MONTH(A728)+1,1),DATE(YEAR(A728),MONTH(A728),1)),"mmmm yyyy"))</f>
      </c>
      <c r="L728" s="47">
        <f>IF(A728="",0,IF(AND(J728="Yes",E728&lt;0),-E728,0))</f>
      </c>
      <c r="M728" s="47">
        <f>IF(A728="",0,IF(AND(J728="Yes",E728&gt;0),E728,0))</f>
      </c>
      <c r="N728">
        <f>IF(A728="","",IF(D728="Category Pending","Needs categorization",IF(COUNTIFS($A$2:A728,A728,$B$2:B728,B728,$E$2:E728,E728)&gt;1,"Possible duplicate","")))</f>
      </c>
    </row>
    <row r="729" spans="3:14" x14ac:dyDescent="0.3">
      <c r="A729"/>
      <c r="C729" s="16"/>
      <c r="G729" s="5">
        <f>IF(A729="","","Checking")</f>
      </c>
      <c r="H729">
        <f>IF(A729="","",IFERROR(XLOOKUP(D729,Setup!$E$15:$E$79,Setup!$F$15:$F$79),"Miscellaneous"))</f>
      </c>
      <c r="I729">
        <f>IF(A729="","",IFERROR(XLOOKUP(D729,Setup!$E$15:$E$79,Setup!$G$15:$G$79),"Uncategorized"))</f>
      </c>
      <c r="J729">
        <f>IF(A729="","",IF(OR(H729="Transfers",H729="Income",D729="Transfer",D729="Category Pending",F729="Pending"),"No","Yes"))</f>
      </c>
      <c r="K729" s="4">
        <f>IF(A729="","",TEXT(IF(DAY(A729)&gt;=Setup!$B$9,DATE(YEAR(A729),MONTH(A729)+1,1),DATE(YEAR(A729),MONTH(A729),1)),"mmmm yyyy"))</f>
      </c>
      <c r="L729" s="47">
        <f>IF(A729="",0,IF(AND(J729="Yes",E729&lt;0),-E729,0))</f>
      </c>
      <c r="M729" s="47">
        <f>IF(A729="",0,IF(AND(J729="Yes",E729&gt;0),E729,0))</f>
      </c>
      <c r="N729">
        <f>IF(A729="","",IF(D729="Category Pending","Needs categorization",IF(COUNTIFS($A$2:A729,A729,$B$2:B729,B729,$E$2:E729,E729)&gt;1,"Possible duplicate","")))</f>
      </c>
    </row>
    <row r="730" spans="3:14" x14ac:dyDescent="0.3">
      <c r="A730"/>
      <c r="C730" s="16"/>
      <c r="G730" s="5">
        <f>IF(A730="","","Checking")</f>
      </c>
      <c r="H730">
        <f>IF(A730="","",IFERROR(XLOOKUP(D730,Setup!$E$15:$E$79,Setup!$F$15:$F$79),"Miscellaneous"))</f>
      </c>
      <c r="I730">
        <f>IF(A730="","",IFERROR(XLOOKUP(D730,Setup!$E$15:$E$79,Setup!$G$15:$G$79),"Uncategorized"))</f>
      </c>
      <c r="J730">
        <f>IF(A730="","",IF(OR(H730="Transfers",H730="Income",D730="Transfer",D730="Category Pending",F730="Pending"),"No","Yes"))</f>
      </c>
      <c r="K730" s="4">
        <f>IF(A730="","",TEXT(IF(DAY(A730)&gt;=Setup!$B$9,DATE(YEAR(A730),MONTH(A730)+1,1),DATE(YEAR(A730),MONTH(A730),1)),"mmmm yyyy"))</f>
      </c>
      <c r="L730" s="47">
        <f>IF(A730="",0,IF(AND(J730="Yes",E730&lt;0),-E730,0))</f>
      </c>
      <c r="M730" s="47">
        <f>IF(A730="",0,IF(AND(J730="Yes",E730&gt;0),E730,0))</f>
      </c>
      <c r="N730">
        <f>IF(A730="","",IF(D730="Category Pending","Needs categorization",IF(COUNTIFS($A$2:A730,A730,$B$2:B730,B730,$E$2:E730,E730)&gt;1,"Possible duplicate","")))</f>
      </c>
    </row>
    <row r="731" spans="3:14" x14ac:dyDescent="0.3">
      <c r="A731"/>
      <c r="C731" s="16"/>
      <c r="G731" s="5">
        <f>IF(A731="","","Checking")</f>
      </c>
      <c r="H731">
        <f>IF(A731="","",IFERROR(XLOOKUP(D731,Setup!$E$15:$E$79,Setup!$F$15:$F$79),"Miscellaneous"))</f>
      </c>
      <c r="I731">
        <f>IF(A731="","",IFERROR(XLOOKUP(D731,Setup!$E$15:$E$79,Setup!$G$15:$G$79),"Uncategorized"))</f>
      </c>
      <c r="J731">
        <f>IF(A731="","",IF(OR(H731="Transfers",H731="Income",D731="Transfer",D731="Category Pending",F731="Pending"),"No","Yes"))</f>
      </c>
      <c r="K731" s="4">
        <f>IF(A731="","",TEXT(IF(DAY(A731)&gt;=Setup!$B$9,DATE(YEAR(A731),MONTH(A731)+1,1),DATE(YEAR(A731),MONTH(A731),1)),"mmmm yyyy"))</f>
      </c>
      <c r="L731" s="47">
        <f>IF(A731="",0,IF(AND(J731="Yes",E731&lt;0),-E731,0))</f>
      </c>
      <c r="M731" s="47">
        <f>IF(A731="",0,IF(AND(J731="Yes",E731&gt;0),E731,0))</f>
      </c>
      <c r="N731">
        <f>IF(A731="","",IF(D731="Category Pending","Needs categorization",IF(COUNTIFS($A$2:A731,A731,$B$2:B731,B731,$E$2:E731,E731)&gt;1,"Possible duplicate","")))</f>
      </c>
    </row>
    <row r="732" spans="3:14" x14ac:dyDescent="0.3">
      <c r="A732"/>
      <c r="C732" s="16"/>
      <c r="G732" s="5">
        <f>IF(A732="","","Checking")</f>
      </c>
      <c r="H732">
        <f>IF(A732="","",IFERROR(XLOOKUP(D732,Setup!$E$15:$E$79,Setup!$F$15:$F$79),"Miscellaneous"))</f>
      </c>
      <c r="I732">
        <f>IF(A732="","",IFERROR(XLOOKUP(D732,Setup!$E$15:$E$79,Setup!$G$15:$G$79),"Uncategorized"))</f>
      </c>
      <c r="J732">
        <f>IF(A732="","",IF(OR(H732="Transfers",H732="Income",D732="Transfer",D732="Category Pending",F732="Pending"),"No","Yes"))</f>
      </c>
      <c r="K732" s="4">
        <f>IF(A732="","",TEXT(IF(DAY(A732)&gt;=Setup!$B$9,DATE(YEAR(A732),MONTH(A732)+1,1),DATE(YEAR(A732),MONTH(A732),1)),"mmmm yyyy"))</f>
      </c>
      <c r="L732" s="47">
        <f>IF(A732="",0,IF(AND(J732="Yes",E732&lt;0),-E732,0))</f>
      </c>
      <c r="M732" s="47">
        <f>IF(A732="",0,IF(AND(J732="Yes",E732&gt;0),E732,0))</f>
      </c>
      <c r="N732">
        <f>IF(A732="","",IF(D732="Category Pending","Needs categorization",IF(COUNTIFS($A$2:A732,A732,$B$2:B732,B732,$E$2:E732,E732)&gt;1,"Possible duplicate","")))</f>
      </c>
    </row>
    <row r="733" spans="3:14" x14ac:dyDescent="0.3">
      <c r="A733"/>
      <c r="C733" s="16"/>
      <c r="G733" s="5">
        <f>IF(A733="","","Checking")</f>
      </c>
      <c r="H733">
        <f>IF(A733="","",IFERROR(XLOOKUP(D733,Setup!$E$15:$E$79,Setup!$F$15:$F$79),"Miscellaneous"))</f>
      </c>
      <c r="I733">
        <f>IF(A733="","",IFERROR(XLOOKUP(D733,Setup!$E$15:$E$79,Setup!$G$15:$G$79),"Uncategorized"))</f>
      </c>
      <c r="J733">
        <f>IF(A733="","",IF(OR(H733="Transfers",H733="Income",D733="Transfer",D733="Category Pending",F733="Pending"),"No","Yes"))</f>
      </c>
      <c r="K733" s="4">
        <f>IF(A733="","",TEXT(IF(DAY(A733)&gt;=Setup!$B$9,DATE(YEAR(A733),MONTH(A733)+1,1),DATE(YEAR(A733),MONTH(A733),1)),"mmmm yyyy"))</f>
      </c>
      <c r="L733" s="47">
        <f>IF(A733="",0,IF(AND(J733="Yes",E733&lt;0),-E733,0))</f>
      </c>
      <c r="M733" s="47">
        <f>IF(A733="",0,IF(AND(J733="Yes",E733&gt;0),E733,0))</f>
      </c>
      <c r="N733">
        <f>IF(A733="","",IF(D733="Category Pending","Needs categorization",IF(COUNTIFS($A$2:A733,A733,$B$2:B733,B733,$E$2:E733,E733)&gt;1,"Possible duplicate","")))</f>
      </c>
    </row>
    <row r="734" spans="3:14" x14ac:dyDescent="0.3">
      <c r="A734"/>
      <c r="C734" s="16"/>
      <c r="G734" s="5">
        <f>IF(A734="","","Checking")</f>
      </c>
      <c r="H734">
        <f>IF(A734="","",IFERROR(XLOOKUP(D734,Setup!$E$15:$E$79,Setup!$F$15:$F$79),"Miscellaneous"))</f>
      </c>
      <c r="I734">
        <f>IF(A734="","",IFERROR(XLOOKUP(D734,Setup!$E$15:$E$79,Setup!$G$15:$G$79),"Uncategorized"))</f>
      </c>
      <c r="J734">
        <f>IF(A734="","",IF(OR(H734="Transfers",H734="Income",D734="Transfer",D734="Category Pending",F734="Pending"),"No","Yes"))</f>
      </c>
      <c r="K734" s="4">
        <f>IF(A734="","",TEXT(IF(DAY(A734)&gt;=Setup!$B$9,DATE(YEAR(A734),MONTH(A734)+1,1),DATE(YEAR(A734),MONTH(A734),1)),"mmmm yyyy"))</f>
      </c>
      <c r="L734" s="47">
        <f>IF(A734="",0,IF(AND(J734="Yes",E734&lt;0),-E734,0))</f>
      </c>
      <c r="M734" s="47">
        <f>IF(A734="",0,IF(AND(J734="Yes",E734&gt;0),E734,0))</f>
      </c>
      <c r="N734">
        <f>IF(A734="","",IF(D734="Category Pending","Needs categorization",IF(COUNTIFS($A$2:A734,A734,$B$2:B734,B734,$E$2:E734,E734)&gt;1,"Possible duplicate","")))</f>
      </c>
    </row>
    <row r="735" spans="3:14" x14ac:dyDescent="0.3">
      <c r="A735"/>
      <c r="C735" s="16"/>
      <c r="G735" s="5">
        <f>IF(A735="","","Checking")</f>
      </c>
      <c r="H735">
        <f>IF(A735="","",IFERROR(XLOOKUP(D735,Setup!$E$15:$E$79,Setup!$F$15:$F$79),"Miscellaneous"))</f>
      </c>
      <c r="I735">
        <f>IF(A735="","",IFERROR(XLOOKUP(D735,Setup!$E$15:$E$79,Setup!$G$15:$G$79),"Uncategorized"))</f>
      </c>
      <c r="J735">
        <f>IF(A735="","",IF(OR(H735="Transfers",H735="Income",D735="Transfer",D735="Category Pending",F735="Pending"),"No","Yes"))</f>
      </c>
      <c r="K735" s="4">
        <f>IF(A735="","",TEXT(IF(DAY(A735)&gt;=Setup!$B$9,DATE(YEAR(A735),MONTH(A735)+1,1),DATE(YEAR(A735),MONTH(A735),1)),"mmmm yyyy"))</f>
      </c>
      <c r="L735" s="47">
        <f>IF(A735="",0,IF(AND(J735="Yes",E735&lt;0),-E735,0))</f>
      </c>
      <c r="M735" s="47">
        <f>IF(A735="",0,IF(AND(J735="Yes",E735&gt;0),E735,0))</f>
      </c>
      <c r="N735">
        <f>IF(A735="","",IF(D735="Category Pending","Needs categorization",IF(COUNTIFS($A$2:A735,A735,$B$2:B735,B735,$E$2:E735,E735)&gt;1,"Possible duplicate","")))</f>
      </c>
    </row>
    <row r="736" spans="3:14" x14ac:dyDescent="0.3">
      <c r="A736"/>
      <c r="C736" s="16"/>
      <c r="G736" s="5">
        <f>IF(A736="","","Checking")</f>
      </c>
      <c r="H736">
        <f>IF(A736="","",IFERROR(XLOOKUP(D736,Setup!$E$15:$E$79,Setup!$F$15:$F$79),"Miscellaneous"))</f>
      </c>
      <c r="I736">
        <f>IF(A736="","",IFERROR(XLOOKUP(D736,Setup!$E$15:$E$79,Setup!$G$15:$G$79),"Uncategorized"))</f>
      </c>
      <c r="J736">
        <f>IF(A736="","",IF(OR(H736="Transfers",H736="Income",D736="Transfer",D736="Category Pending",F736="Pending"),"No","Yes"))</f>
      </c>
      <c r="K736" s="4">
        <f>IF(A736="","",TEXT(IF(DAY(A736)&gt;=Setup!$B$9,DATE(YEAR(A736),MONTH(A736)+1,1),DATE(YEAR(A736),MONTH(A736),1)),"mmmm yyyy"))</f>
      </c>
      <c r="L736" s="47">
        <f>IF(A736="",0,IF(AND(J736="Yes",E736&lt;0),-E736,0))</f>
      </c>
      <c r="M736" s="47">
        <f>IF(A736="",0,IF(AND(J736="Yes",E736&gt;0),E736,0))</f>
      </c>
      <c r="N736">
        <f>IF(A736="","",IF(D736="Category Pending","Needs categorization",IF(COUNTIFS($A$2:A736,A736,$B$2:B736,B736,$E$2:E736,E736)&gt;1,"Possible duplicate","")))</f>
      </c>
    </row>
    <row r="737" spans="3:14" x14ac:dyDescent="0.3">
      <c r="A737"/>
      <c r="C737" s="16"/>
      <c r="G737" s="5">
        <f>IF(A737="","","Checking")</f>
      </c>
      <c r="H737">
        <f>IF(A737="","",IFERROR(XLOOKUP(D737,Setup!$E$15:$E$79,Setup!$F$15:$F$79),"Miscellaneous"))</f>
      </c>
      <c r="I737">
        <f>IF(A737="","",IFERROR(XLOOKUP(D737,Setup!$E$15:$E$79,Setup!$G$15:$G$79),"Uncategorized"))</f>
      </c>
      <c r="J737">
        <f>IF(A737="","",IF(OR(H737="Transfers",H737="Income",D737="Transfer",D737="Category Pending",F737="Pending"),"No","Yes"))</f>
      </c>
      <c r="K737" s="4">
        <f>IF(A737="","",TEXT(IF(DAY(A737)&gt;=Setup!$B$9,DATE(YEAR(A737),MONTH(A737)+1,1),DATE(YEAR(A737),MONTH(A737),1)),"mmmm yyyy"))</f>
      </c>
      <c r="L737" s="47">
        <f>IF(A737="",0,IF(AND(J737="Yes",E737&lt;0),-E737,0))</f>
      </c>
      <c r="M737" s="47">
        <f>IF(A737="",0,IF(AND(J737="Yes",E737&gt;0),E737,0))</f>
      </c>
      <c r="N737">
        <f>IF(A737="","",IF(D737="Category Pending","Needs categorization",IF(COUNTIFS($A$2:A737,A737,$B$2:B737,B737,$E$2:E737,E737)&gt;1,"Possible duplicate","")))</f>
      </c>
    </row>
    <row r="738" spans="3:14" x14ac:dyDescent="0.3">
      <c r="A738"/>
      <c r="C738" s="16"/>
      <c r="G738" s="5">
        <f>IF(A738="","","Checking")</f>
      </c>
      <c r="H738">
        <f>IF(A738="","",IFERROR(XLOOKUP(D738,Setup!$E$15:$E$79,Setup!$F$15:$F$79),"Miscellaneous"))</f>
      </c>
      <c r="I738">
        <f>IF(A738="","",IFERROR(XLOOKUP(D738,Setup!$E$15:$E$79,Setup!$G$15:$G$79),"Uncategorized"))</f>
      </c>
      <c r="J738">
        <f>IF(A738="","",IF(OR(H738="Transfers",H738="Income",D738="Transfer",D738="Category Pending",F738="Pending"),"No","Yes"))</f>
      </c>
      <c r="K738" s="4">
        <f>IF(A738="","",TEXT(IF(DAY(A738)&gt;=Setup!$B$9,DATE(YEAR(A738),MONTH(A738)+1,1),DATE(YEAR(A738),MONTH(A738),1)),"mmmm yyyy"))</f>
      </c>
      <c r="L738" s="47">
        <f>IF(A738="",0,IF(AND(J738="Yes",E738&lt;0),-E738,0))</f>
      </c>
      <c r="M738" s="47">
        <f>IF(A738="",0,IF(AND(J738="Yes",E738&gt;0),E738,0))</f>
      </c>
      <c r="N738">
        <f>IF(A738="","",IF(D738="Category Pending","Needs categorization",IF(COUNTIFS($A$2:A738,A738,$B$2:B738,B738,$E$2:E738,E738)&gt;1,"Possible duplicate","")))</f>
      </c>
    </row>
    <row r="739" spans="3:14" x14ac:dyDescent="0.3">
      <c r="A739"/>
      <c r="C739" s="16"/>
      <c r="G739" s="5">
        <f>IF(A739="","","Checking")</f>
      </c>
      <c r="H739">
        <f>IF(A739="","",IFERROR(XLOOKUP(D739,Setup!$E$15:$E$79,Setup!$F$15:$F$79),"Miscellaneous"))</f>
      </c>
      <c r="I739">
        <f>IF(A739="","",IFERROR(XLOOKUP(D739,Setup!$E$15:$E$79,Setup!$G$15:$G$79),"Uncategorized"))</f>
      </c>
      <c r="J739">
        <f>IF(A739="","",IF(OR(H739="Transfers",H739="Income",D739="Transfer",D739="Category Pending",F739="Pending"),"No","Yes"))</f>
      </c>
      <c r="K739" s="4">
        <f>IF(A739="","",TEXT(IF(DAY(A739)&gt;=Setup!$B$9,DATE(YEAR(A739),MONTH(A739)+1,1),DATE(YEAR(A739),MONTH(A739),1)),"mmmm yyyy"))</f>
      </c>
      <c r="L739" s="47">
        <f>IF(A739="",0,IF(AND(J739="Yes",E739&lt;0),-E739,0))</f>
      </c>
      <c r="M739" s="47">
        <f>IF(A739="",0,IF(AND(J739="Yes",E739&gt;0),E739,0))</f>
      </c>
      <c r="N739">
        <f>IF(A739="","",IF(D739="Category Pending","Needs categorization",IF(COUNTIFS($A$2:A739,A739,$B$2:B739,B739,$E$2:E739,E739)&gt;1,"Possible duplicate","")))</f>
      </c>
    </row>
    <row r="740" spans="3:14" x14ac:dyDescent="0.3">
      <c r="A740"/>
      <c r="C740" s="16"/>
      <c r="G740" s="5">
        <f>IF(A740="","","Checking")</f>
      </c>
      <c r="H740">
        <f>IF(A740="","",IFERROR(XLOOKUP(D740,Setup!$E$15:$E$79,Setup!$F$15:$F$79),"Miscellaneous"))</f>
      </c>
      <c r="I740">
        <f>IF(A740="","",IFERROR(XLOOKUP(D740,Setup!$E$15:$E$79,Setup!$G$15:$G$79),"Uncategorized"))</f>
      </c>
      <c r="J740">
        <f>IF(A740="","",IF(OR(H740="Transfers",H740="Income",D740="Transfer",D740="Category Pending",F740="Pending"),"No","Yes"))</f>
      </c>
      <c r="K740" s="4">
        <f>IF(A740="","",TEXT(IF(DAY(A740)&gt;=Setup!$B$9,DATE(YEAR(A740),MONTH(A740)+1,1),DATE(YEAR(A740),MONTH(A740),1)),"mmmm yyyy"))</f>
      </c>
      <c r="L740" s="47">
        <f>IF(A740="",0,IF(AND(J740="Yes",E740&lt;0),-E740,0))</f>
      </c>
      <c r="M740" s="47">
        <f>IF(A740="",0,IF(AND(J740="Yes",E740&gt;0),E740,0))</f>
      </c>
      <c r="N740">
        <f>IF(A740="","",IF(D740="Category Pending","Needs categorization",IF(COUNTIFS($A$2:A740,A740,$B$2:B740,B740,$E$2:E740,E740)&gt;1,"Possible duplicate","")))</f>
      </c>
    </row>
    <row r="741" spans="3:14" x14ac:dyDescent="0.3">
      <c r="A741"/>
      <c r="C741" s="16"/>
      <c r="G741" s="5">
        <f>IF(A741="","","Checking")</f>
      </c>
      <c r="H741">
        <f>IF(A741="","",IFERROR(XLOOKUP(D741,Setup!$E$15:$E$79,Setup!$F$15:$F$79),"Miscellaneous"))</f>
      </c>
      <c r="I741">
        <f>IF(A741="","",IFERROR(XLOOKUP(D741,Setup!$E$15:$E$79,Setup!$G$15:$G$79),"Uncategorized"))</f>
      </c>
      <c r="J741">
        <f>IF(A741="","",IF(OR(H741="Transfers",H741="Income",D741="Transfer",D741="Category Pending",F741="Pending"),"No","Yes"))</f>
      </c>
      <c r="K741" s="4">
        <f>IF(A741="","",TEXT(IF(DAY(A741)&gt;=Setup!$B$9,DATE(YEAR(A741),MONTH(A741)+1,1),DATE(YEAR(A741),MONTH(A741),1)),"mmmm yyyy"))</f>
      </c>
      <c r="L741" s="47">
        <f>IF(A741="",0,IF(AND(J741="Yes",E741&lt;0),-E741,0))</f>
      </c>
      <c r="M741" s="47">
        <f>IF(A741="",0,IF(AND(J741="Yes",E741&gt;0),E741,0))</f>
      </c>
      <c r="N741">
        <f>IF(A741="","",IF(D741="Category Pending","Needs categorization",IF(COUNTIFS($A$2:A741,A741,$B$2:B741,B741,$E$2:E741,E741)&gt;1,"Possible duplicate","")))</f>
      </c>
    </row>
    <row r="742" spans="3:14" x14ac:dyDescent="0.3">
      <c r="A742"/>
      <c r="C742" s="16"/>
      <c r="G742" s="5">
        <f>IF(A742="","","Checking")</f>
      </c>
      <c r="H742">
        <f>IF(A742="","",IFERROR(XLOOKUP(D742,Setup!$E$15:$E$79,Setup!$F$15:$F$79),"Miscellaneous"))</f>
      </c>
      <c r="I742">
        <f>IF(A742="","",IFERROR(XLOOKUP(D742,Setup!$E$15:$E$79,Setup!$G$15:$G$79),"Uncategorized"))</f>
      </c>
      <c r="J742">
        <f>IF(A742="","",IF(OR(H742="Transfers",H742="Income",D742="Transfer",D742="Category Pending",F742="Pending"),"No","Yes"))</f>
      </c>
      <c r="K742" s="4">
        <f>IF(A742="","",TEXT(IF(DAY(A742)&gt;=Setup!$B$9,DATE(YEAR(A742),MONTH(A742)+1,1),DATE(YEAR(A742),MONTH(A742),1)),"mmmm yyyy"))</f>
      </c>
      <c r="L742" s="47">
        <f>IF(A742="",0,IF(AND(J742="Yes",E742&lt;0),-E742,0))</f>
      </c>
      <c r="M742" s="47">
        <f>IF(A742="",0,IF(AND(J742="Yes",E742&gt;0),E742,0))</f>
      </c>
      <c r="N742">
        <f>IF(A742="","",IF(D742="Category Pending","Needs categorization",IF(COUNTIFS($A$2:A742,A742,$B$2:B742,B742,$E$2:E742,E742)&gt;1,"Possible duplicate","")))</f>
      </c>
    </row>
    <row r="743" spans="3:14" x14ac:dyDescent="0.3">
      <c r="A743"/>
      <c r="C743" s="16"/>
      <c r="G743" s="5">
        <f>IF(A743="","","Checking")</f>
      </c>
      <c r="H743">
        <f>IF(A743="","",IFERROR(XLOOKUP(D743,Setup!$E$15:$E$79,Setup!$F$15:$F$79),"Miscellaneous"))</f>
      </c>
      <c r="I743">
        <f>IF(A743="","",IFERROR(XLOOKUP(D743,Setup!$E$15:$E$79,Setup!$G$15:$G$79),"Uncategorized"))</f>
      </c>
      <c r="J743">
        <f>IF(A743="","",IF(OR(H743="Transfers",H743="Income",D743="Transfer",D743="Category Pending",F743="Pending"),"No","Yes"))</f>
      </c>
      <c r="K743" s="4">
        <f>IF(A743="","",TEXT(IF(DAY(A743)&gt;=Setup!$B$9,DATE(YEAR(A743),MONTH(A743)+1,1),DATE(YEAR(A743),MONTH(A743),1)),"mmmm yyyy"))</f>
      </c>
      <c r="L743" s="47">
        <f>IF(A743="",0,IF(AND(J743="Yes",E743&lt;0),-E743,0))</f>
      </c>
      <c r="M743" s="47">
        <f>IF(A743="",0,IF(AND(J743="Yes",E743&gt;0),E743,0))</f>
      </c>
      <c r="N743">
        <f>IF(A743="","",IF(D743="Category Pending","Needs categorization",IF(COUNTIFS($A$2:A743,A743,$B$2:B743,B743,$E$2:E743,E743)&gt;1,"Possible duplicate","")))</f>
      </c>
    </row>
    <row r="744" spans="3:14" x14ac:dyDescent="0.3">
      <c r="A744"/>
      <c r="C744" s="16"/>
      <c r="G744" s="5">
        <f>IF(A744="","","Checking")</f>
      </c>
      <c r="H744">
        <f>IF(A744="","",IFERROR(XLOOKUP(D744,Setup!$E$15:$E$79,Setup!$F$15:$F$79),"Miscellaneous"))</f>
      </c>
      <c r="I744">
        <f>IF(A744="","",IFERROR(XLOOKUP(D744,Setup!$E$15:$E$79,Setup!$G$15:$G$79),"Uncategorized"))</f>
      </c>
      <c r="J744">
        <f>IF(A744="","",IF(OR(H744="Transfers",H744="Income",D744="Transfer",D744="Category Pending",F744="Pending"),"No","Yes"))</f>
      </c>
      <c r="K744" s="4">
        <f>IF(A744="","",TEXT(IF(DAY(A744)&gt;=Setup!$B$9,DATE(YEAR(A744),MONTH(A744)+1,1),DATE(YEAR(A744),MONTH(A744),1)),"mmmm yyyy"))</f>
      </c>
      <c r="L744" s="47">
        <f>IF(A744="",0,IF(AND(J744="Yes",E744&lt;0),-E744,0))</f>
      </c>
      <c r="M744" s="47">
        <f>IF(A744="",0,IF(AND(J744="Yes",E744&gt;0),E744,0))</f>
      </c>
      <c r="N744">
        <f>IF(A744="","",IF(D744="Category Pending","Needs categorization",IF(COUNTIFS($A$2:A744,A744,$B$2:B744,B744,$E$2:E744,E744)&gt;1,"Possible duplicate","")))</f>
      </c>
    </row>
    <row r="745" spans="3:14" x14ac:dyDescent="0.3">
      <c r="A745"/>
      <c r="C745" s="16"/>
      <c r="G745" s="5">
        <f>IF(A745="","","Checking")</f>
      </c>
      <c r="H745">
        <f>IF(A745="","",IFERROR(XLOOKUP(D745,Setup!$E$15:$E$79,Setup!$F$15:$F$79),"Miscellaneous"))</f>
      </c>
      <c r="I745">
        <f>IF(A745="","",IFERROR(XLOOKUP(D745,Setup!$E$15:$E$79,Setup!$G$15:$G$79),"Uncategorized"))</f>
      </c>
      <c r="J745">
        <f>IF(A745="","",IF(OR(H745="Transfers",H745="Income",D745="Transfer",D745="Category Pending",F745="Pending"),"No","Yes"))</f>
      </c>
      <c r="K745" s="4">
        <f>IF(A745="","",TEXT(IF(DAY(A745)&gt;=Setup!$B$9,DATE(YEAR(A745),MONTH(A745)+1,1),DATE(YEAR(A745),MONTH(A745),1)),"mmmm yyyy"))</f>
      </c>
      <c r="L745" s="47">
        <f>IF(A745="",0,IF(AND(J745="Yes",E745&lt;0),-E745,0))</f>
      </c>
      <c r="M745" s="47">
        <f>IF(A745="",0,IF(AND(J745="Yes",E745&gt;0),E745,0))</f>
      </c>
      <c r="N745">
        <f>IF(A745="","",IF(D745="Category Pending","Needs categorization",IF(COUNTIFS($A$2:A745,A745,$B$2:B745,B745,$E$2:E745,E745)&gt;1,"Possible duplicate","")))</f>
      </c>
    </row>
    <row r="746" spans="3:14" x14ac:dyDescent="0.3">
      <c r="A746"/>
      <c r="C746" s="16"/>
      <c r="G746" s="5">
        <f>IF(A746="","","Checking")</f>
      </c>
      <c r="H746">
        <f>IF(A746="","",IFERROR(XLOOKUP(D746,Setup!$E$15:$E$79,Setup!$F$15:$F$79),"Miscellaneous"))</f>
      </c>
      <c r="I746">
        <f>IF(A746="","",IFERROR(XLOOKUP(D746,Setup!$E$15:$E$79,Setup!$G$15:$G$79),"Uncategorized"))</f>
      </c>
      <c r="J746">
        <f>IF(A746="","",IF(OR(H746="Transfers",H746="Income",D746="Transfer",D746="Category Pending",F746="Pending"),"No","Yes"))</f>
      </c>
      <c r="K746" s="4">
        <f>IF(A746="","",TEXT(IF(DAY(A746)&gt;=Setup!$B$9,DATE(YEAR(A746),MONTH(A746)+1,1),DATE(YEAR(A746),MONTH(A746),1)),"mmmm yyyy"))</f>
      </c>
      <c r="L746" s="47">
        <f>IF(A746="",0,IF(AND(J746="Yes",E746&lt;0),-E746,0))</f>
      </c>
      <c r="M746" s="47">
        <f>IF(A746="",0,IF(AND(J746="Yes",E746&gt;0),E746,0))</f>
      </c>
      <c r="N746">
        <f>IF(A746="","",IF(D746="Category Pending","Needs categorization",IF(COUNTIFS($A$2:A746,A746,$B$2:B746,B746,$E$2:E746,E746)&gt;1,"Possible duplicate","")))</f>
      </c>
    </row>
    <row r="747" spans="3:14" x14ac:dyDescent="0.3">
      <c r="A747"/>
      <c r="C747" s="16"/>
      <c r="G747" s="5">
        <f>IF(A747="","","Checking")</f>
      </c>
      <c r="H747">
        <f>IF(A747="","",IFERROR(XLOOKUP(D747,Setup!$E$15:$E$79,Setup!$F$15:$F$79),"Miscellaneous"))</f>
      </c>
      <c r="I747">
        <f>IF(A747="","",IFERROR(XLOOKUP(D747,Setup!$E$15:$E$79,Setup!$G$15:$G$79),"Uncategorized"))</f>
      </c>
      <c r="J747">
        <f>IF(A747="","",IF(OR(H747="Transfers",H747="Income",D747="Transfer",D747="Category Pending",F747="Pending"),"No","Yes"))</f>
      </c>
      <c r="K747" s="4">
        <f>IF(A747="","",TEXT(IF(DAY(A747)&gt;=Setup!$B$9,DATE(YEAR(A747),MONTH(A747)+1,1),DATE(YEAR(A747),MONTH(A747),1)),"mmmm yyyy"))</f>
      </c>
      <c r="L747" s="47">
        <f>IF(A747="",0,IF(AND(J747="Yes",E747&lt;0),-E747,0))</f>
      </c>
      <c r="M747" s="47">
        <f>IF(A747="",0,IF(AND(J747="Yes",E747&gt;0),E747,0))</f>
      </c>
      <c r="N747">
        <f>IF(A747="","",IF(D747="Category Pending","Needs categorization",IF(COUNTIFS($A$2:A747,A747,$B$2:B747,B747,$E$2:E747,E747)&gt;1,"Possible duplicate","")))</f>
      </c>
    </row>
    <row r="748" spans="3:14" x14ac:dyDescent="0.3">
      <c r="A748"/>
      <c r="C748" s="16"/>
      <c r="G748" s="5">
        <f>IF(A748="","","Checking")</f>
      </c>
      <c r="H748">
        <f>IF(A748="","",IFERROR(XLOOKUP(D748,Setup!$E$15:$E$79,Setup!$F$15:$F$79),"Miscellaneous"))</f>
      </c>
      <c r="I748">
        <f>IF(A748="","",IFERROR(XLOOKUP(D748,Setup!$E$15:$E$79,Setup!$G$15:$G$79),"Uncategorized"))</f>
      </c>
      <c r="J748">
        <f>IF(A748="","",IF(OR(H748="Transfers",H748="Income",D748="Transfer",D748="Category Pending",F748="Pending"),"No","Yes"))</f>
      </c>
      <c r="K748" s="4">
        <f>IF(A748="","",TEXT(IF(DAY(A748)&gt;=Setup!$B$9,DATE(YEAR(A748),MONTH(A748)+1,1),DATE(YEAR(A748),MONTH(A748),1)),"mmmm yyyy"))</f>
      </c>
      <c r="L748" s="47">
        <f>IF(A748="",0,IF(AND(J748="Yes",E748&lt;0),-E748,0))</f>
      </c>
      <c r="M748" s="47">
        <f>IF(A748="",0,IF(AND(J748="Yes",E748&gt;0),E748,0))</f>
      </c>
      <c r="N748">
        <f>IF(A748="","",IF(D748="Category Pending","Needs categorization",IF(COUNTIFS($A$2:A748,A748,$B$2:B748,B748,$E$2:E748,E748)&gt;1,"Possible duplicate","")))</f>
      </c>
    </row>
    <row r="749" spans="3:14" x14ac:dyDescent="0.3">
      <c r="A749"/>
      <c r="C749" s="16"/>
      <c r="G749" s="5">
        <f>IF(A749="","","Checking")</f>
      </c>
      <c r="H749">
        <f>IF(A749="","",IFERROR(XLOOKUP(D749,Setup!$E$15:$E$79,Setup!$F$15:$F$79),"Miscellaneous"))</f>
      </c>
      <c r="I749">
        <f>IF(A749="","",IFERROR(XLOOKUP(D749,Setup!$E$15:$E$79,Setup!$G$15:$G$79),"Uncategorized"))</f>
      </c>
      <c r="J749">
        <f>IF(A749="","",IF(OR(H749="Transfers",H749="Income",D749="Transfer",D749="Category Pending",F749="Pending"),"No","Yes"))</f>
      </c>
      <c r="K749" s="4">
        <f>IF(A749="","",TEXT(IF(DAY(A749)&gt;=Setup!$B$9,DATE(YEAR(A749),MONTH(A749)+1,1),DATE(YEAR(A749),MONTH(A749),1)),"mmmm yyyy"))</f>
      </c>
      <c r="L749" s="47">
        <f>IF(A749="",0,IF(AND(J749="Yes",E749&lt;0),-E749,0))</f>
      </c>
      <c r="M749" s="47">
        <f>IF(A749="",0,IF(AND(J749="Yes",E749&gt;0),E749,0))</f>
      </c>
      <c r="N749">
        <f>IF(A749="","",IF(D749="Category Pending","Needs categorization",IF(COUNTIFS($A$2:A749,A749,$B$2:B749,B749,$E$2:E749,E749)&gt;1,"Possible duplicate","")))</f>
      </c>
    </row>
    <row r="750" spans="3:14" x14ac:dyDescent="0.3">
      <c r="A750"/>
      <c r="C750" s="16"/>
      <c r="G750" s="5">
        <f>IF(A750="","","Checking")</f>
      </c>
      <c r="H750">
        <f>IF(A750="","",IFERROR(XLOOKUP(D750,Setup!$E$15:$E$79,Setup!$F$15:$F$79),"Miscellaneous"))</f>
      </c>
      <c r="I750">
        <f>IF(A750="","",IFERROR(XLOOKUP(D750,Setup!$E$15:$E$79,Setup!$G$15:$G$79),"Uncategorized"))</f>
      </c>
      <c r="J750">
        <f>IF(A750="","",IF(OR(H750="Transfers",H750="Income",D750="Transfer",D750="Category Pending",F750="Pending"),"No","Yes"))</f>
      </c>
      <c r="K750" s="4">
        <f>IF(A750="","",TEXT(IF(DAY(A750)&gt;=Setup!$B$9,DATE(YEAR(A750),MONTH(A750)+1,1),DATE(YEAR(A750),MONTH(A750),1)),"mmmm yyyy"))</f>
      </c>
      <c r="L750" s="47">
        <f>IF(A750="",0,IF(AND(J750="Yes",E750&lt;0),-E750,0))</f>
      </c>
      <c r="M750" s="47">
        <f>IF(A750="",0,IF(AND(J750="Yes",E750&gt;0),E750,0))</f>
      </c>
      <c r="N750">
        <f>IF(A750="","",IF(D750="Category Pending","Needs categorization",IF(COUNTIFS($A$2:A750,A750,$B$2:B750,B750,$E$2:E750,E750)&gt;1,"Possible duplicate","")))</f>
      </c>
    </row>
    <row r="751" spans="3:14" x14ac:dyDescent="0.3">
      <c r="A751"/>
      <c r="C751" s="16"/>
      <c r="G751" s="5">
        <f>IF(A751="","","Checking")</f>
      </c>
      <c r="H751">
        <f>IF(A751="","",IFERROR(XLOOKUP(D751,Setup!$E$15:$E$79,Setup!$F$15:$F$79),"Miscellaneous"))</f>
      </c>
      <c r="I751">
        <f>IF(A751="","",IFERROR(XLOOKUP(D751,Setup!$E$15:$E$79,Setup!$G$15:$G$79),"Uncategorized"))</f>
      </c>
      <c r="J751">
        <f>IF(A751="","",IF(OR(H751="Transfers",H751="Income",D751="Transfer",D751="Category Pending",F751="Pending"),"No","Yes"))</f>
      </c>
      <c r="K751" s="4">
        <f>IF(A751="","",TEXT(IF(DAY(A751)&gt;=Setup!$B$9,DATE(YEAR(A751),MONTH(A751)+1,1),DATE(YEAR(A751),MONTH(A751),1)),"mmmm yyyy"))</f>
      </c>
      <c r="L751" s="47">
        <f>IF(A751="",0,IF(AND(J751="Yes",E751&lt;0),-E751,0))</f>
      </c>
      <c r="M751" s="47">
        <f>IF(A751="",0,IF(AND(J751="Yes",E751&gt;0),E751,0))</f>
      </c>
      <c r="N751">
        <f>IF(A751="","",IF(D751="Category Pending","Needs categorization",IF(COUNTIFS($A$2:A751,A751,$B$2:B751,B751,$E$2:E751,E751)&gt;1,"Possible duplicate","")))</f>
      </c>
    </row>
    <row r="752" spans="3:14" x14ac:dyDescent="0.3">
      <c r="A752"/>
      <c r="C752" s="16"/>
      <c r="G752" s="5">
        <f>IF(A752="","","Checking")</f>
      </c>
      <c r="H752">
        <f>IF(A752="","",IFERROR(XLOOKUP(D752,Setup!$E$15:$E$79,Setup!$F$15:$F$79),"Miscellaneous"))</f>
      </c>
      <c r="I752">
        <f>IF(A752="","",IFERROR(XLOOKUP(D752,Setup!$E$15:$E$79,Setup!$G$15:$G$79),"Uncategorized"))</f>
      </c>
      <c r="J752">
        <f>IF(A752="","",IF(OR(H752="Transfers",H752="Income",D752="Transfer",D752="Category Pending",F752="Pending"),"No","Yes"))</f>
      </c>
      <c r="K752" s="4">
        <f>IF(A752="","",TEXT(IF(DAY(A752)&gt;=Setup!$B$9,DATE(YEAR(A752),MONTH(A752)+1,1),DATE(YEAR(A752),MONTH(A752),1)),"mmmm yyyy"))</f>
      </c>
      <c r="L752" s="47">
        <f>IF(A752="",0,IF(AND(J752="Yes",E752&lt;0),-E752,0))</f>
      </c>
      <c r="M752" s="47">
        <f>IF(A752="",0,IF(AND(J752="Yes",E752&gt;0),E752,0))</f>
      </c>
      <c r="N752">
        <f>IF(A752="","",IF(D752="Category Pending","Needs categorization",IF(COUNTIFS($A$2:A752,A752,$B$2:B752,B752,$E$2:E752,E752)&gt;1,"Possible duplicate","")))</f>
      </c>
    </row>
    <row r="753" spans="3:14" x14ac:dyDescent="0.3">
      <c r="A753"/>
      <c r="C753" s="16"/>
      <c r="G753" s="5">
        <f>IF(A753="","","Checking")</f>
      </c>
      <c r="H753">
        <f>IF(A753="","",IFERROR(XLOOKUP(D753,Setup!$E$15:$E$79,Setup!$F$15:$F$79),"Miscellaneous"))</f>
      </c>
      <c r="I753">
        <f>IF(A753="","",IFERROR(XLOOKUP(D753,Setup!$E$15:$E$79,Setup!$G$15:$G$79),"Uncategorized"))</f>
      </c>
      <c r="J753">
        <f>IF(A753="","",IF(OR(H753="Transfers",H753="Income",D753="Transfer",D753="Category Pending",F753="Pending"),"No","Yes"))</f>
      </c>
      <c r="K753" s="4">
        <f>IF(A753="","",TEXT(IF(DAY(A753)&gt;=Setup!$B$9,DATE(YEAR(A753),MONTH(A753)+1,1),DATE(YEAR(A753),MONTH(A753),1)),"mmmm yyyy"))</f>
      </c>
      <c r="L753" s="47">
        <f>IF(A753="",0,IF(AND(J753="Yes",E753&lt;0),-E753,0))</f>
      </c>
      <c r="M753" s="47">
        <f>IF(A753="",0,IF(AND(J753="Yes",E753&gt;0),E753,0))</f>
      </c>
      <c r="N753">
        <f>IF(A753="","",IF(D753="Category Pending","Needs categorization",IF(COUNTIFS($A$2:A753,A753,$B$2:B753,B753,$E$2:E753,E753)&gt;1,"Possible duplicate","")))</f>
      </c>
    </row>
    <row r="754" spans="3:14" x14ac:dyDescent="0.3">
      <c r="A754"/>
      <c r="C754" s="16"/>
      <c r="G754" s="5">
        <f>IF(A754="","","Checking")</f>
      </c>
      <c r="H754">
        <f>IF(A754="","",IFERROR(XLOOKUP(D754,Setup!$E$15:$E$79,Setup!$F$15:$F$79),"Miscellaneous"))</f>
      </c>
      <c r="I754">
        <f>IF(A754="","",IFERROR(XLOOKUP(D754,Setup!$E$15:$E$79,Setup!$G$15:$G$79),"Uncategorized"))</f>
      </c>
      <c r="J754">
        <f>IF(A754="","",IF(OR(H754="Transfers",H754="Income",D754="Transfer",D754="Category Pending",F754="Pending"),"No","Yes"))</f>
      </c>
      <c r="K754" s="4">
        <f>IF(A754="","",TEXT(IF(DAY(A754)&gt;=Setup!$B$9,DATE(YEAR(A754),MONTH(A754)+1,1),DATE(YEAR(A754),MONTH(A754),1)),"mmmm yyyy"))</f>
      </c>
      <c r="L754" s="47">
        <f>IF(A754="",0,IF(AND(J754="Yes",E754&lt;0),-E754,0))</f>
      </c>
      <c r="M754" s="47">
        <f>IF(A754="",0,IF(AND(J754="Yes",E754&gt;0),E754,0))</f>
      </c>
      <c r="N754">
        <f>IF(A754="","",IF(D754="Category Pending","Needs categorization",IF(COUNTIFS($A$2:A754,A754,$B$2:B754,B754,$E$2:E754,E754)&gt;1,"Possible duplicate","")))</f>
      </c>
    </row>
    <row r="755" spans="3:14" x14ac:dyDescent="0.3">
      <c r="A755"/>
      <c r="C755" s="16"/>
      <c r="G755" s="5">
        <f>IF(A755="","","Checking")</f>
      </c>
      <c r="H755">
        <f>IF(A755="","",IFERROR(XLOOKUP(D755,Setup!$E$15:$E$79,Setup!$F$15:$F$79),"Miscellaneous"))</f>
      </c>
      <c r="I755">
        <f>IF(A755="","",IFERROR(XLOOKUP(D755,Setup!$E$15:$E$79,Setup!$G$15:$G$79),"Uncategorized"))</f>
      </c>
      <c r="J755">
        <f>IF(A755="","",IF(OR(H755="Transfers",H755="Income",D755="Transfer",D755="Category Pending",F755="Pending"),"No","Yes"))</f>
      </c>
      <c r="K755" s="4">
        <f>IF(A755="","",TEXT(IF(DAY(A755)&gt;=Setup!$B$9,DATE(YEAR(A755),MONTH(A755)+1,1),DATE(YEAR(A755),MONTH(A755),1)),"mmmm yyyy"))</f>
      </c>
      <c r="L755" s="47">
        <f>IF(A755="",0,IF(AND(J755="Yes",E755&lt;0),-E755,0))</f>
      </c>
      <c r="M755" s="47">
        <f>IF(A755="",0,IF(AND(J755="Yes",E755&gt;0),E755,0))</f>
      </c>
      <c r="N755">
        <f>IF(A755="","",IF(D755="Category Pending","Needs categorization",IF(COUNTIFS($A$2:A755,A755,$B$2:B755,B755,$E$2:E755,E755)&gt;1,"Possible duplicate","")))</f>
      </c>
    </row>
    <row r="756" spans="3:14" x14ac:dyDescent="0.3">
      <c r="A756"/>
      <c r="C756" s="16"/>
      <c r="G756" s="5">
        <f>IF(A756="","","Checking")</f>
      </c>
      <c r="H756">
        <f>IF(A756="","",IFERROR(XLOOKUP(D756,Setup!$E$15:$E$79,Setup!$F$15:$F$79),"Miscellaneous"))</f>
      </c>
      <c r="I756">
        <f>IF(A756="","",IFERROR(XLOOKUP(D756,Setup!$E$15:$E$79,Setup!$G$15:$G$79),"Uncategorized"))</f>
      </c>
      <c r="J756">
        <f>IF(A756="","",IF(OR(H756="Transfers",H756="Income",D756="Transfer",D756="Category Pending",F756="Pending"),"No","Yes"))</f>
      </c>
      <c r="K756" s="4">
        <f>IF(A756="","",TEXT(IF(DAY(A756)&gt;=Setup!$B$9,DATE(YEAR(A756),MONTH(A756)+1,1),DATE(YEAR(A756),MONTH(A756),1)),"mmmm yyyy"))</f>
      </c>
      <c r="L756" s="47">
        <f>IF(A756="",0,IF(AND(J756="Yes",E756&lt;0),-E756,0))</f>
      </c>
      <c r="M756" s="47">
        <f>IF(A756="",0,IF(AND(J756="Yes",E756&gt;0),E756,0))</f>
      </c>
      <c r="N756">
        <f>IF(A756="","",IF(D756="Category Pending","Needs categorization",IF(COUNTIFS($A$2:A756,A756,$B$2:B756,B756,$E$2:E756,E756)&gt;1,"Possible duplicate","")))</f>
      </c>
    </row>
    <row r="757" spans="3:14" x14ac:dyDescent="0.3">
      <c r="A757"/>
      <c r="C757" s="16"/>
      <c r="G757" s="5">
        <f>IF(A757="","","Checking")</f>
      </c>
      <c r="H757">
        <f>IF(A757="","",IFERROR(XLOOKUP(D757,Setup!$E$15:$E$79,Setup!$F$15:$F$79),"Miscellaneous"))</f>
      </c>
      <c r="I757">
        <f>IF(A757="","",IFERROR(XLOOKUP(D757,Setup!$E$15:$E$79,Setup!$G$15:$G$79),"Uncategorized"))</f>
      </c>
      <c r="J757">
        <f>IF(A757="","",IF(OR(H757="Transfers",H757="Income",D757="Transfer",D757="Category Pending",F757="Pending"),"No","Yes"))</f>
      </c>
      <c r="K757" s="4">
        <f>IF(A757="","",TEXT(IF(DAY(A757)&gt;=Setup!$B$9,DATE(YEAR(A757),MONTH(A757)+1,1),DATE(YEAR(A757),MONTH(A757),1)),"mmmm yyyy"))</f>
      </c>
      <c r="L757" s="47">
        <f>IF(A757="",0,IF(AND(J757="Yes",E757&lt;0),-E757,0))</f>
      </c>
      <c r="M757" s="47">
        <f>IF(A757="",0,IF(AND(J757="Yes",E757&gt;0),E757,0))</f>
      </c>
      <c r="N757">
        <f>IF(A757="","",IF(D757="Category Pending","Needs categorization",IF(COUNTIFS($A$2:A757,A757,$B$2:B757,B757,$E$2:E757,E757)&gt;1,"Possible duplicate","")))</f>
      </c>
    </row>
    <row r="758" spans="3:14" x14ac:dyDescent="0.3">
      <c r="A758"/>
      <c r="C758" s="16"/>
      <c r="G758" s="5">
        <f>IF(A758="","","Checking")</f>
      </c>
      <c r="H758">
        <f>IF(A758="","",IFERROR(XLOOKUP(D758,Setup!$E$15:$E$79,Setup!$F$15:$F$79),"Miscellaneous"))</f>
      </c>
      <c r="I758">
        <f>IF(A758="","",IFERROR(XLOOKUP(D758,Setup!$E$15:$E$79,Setup!$G$15:$G$79),"Uncategorized"))</f>
      </c>
      <c r="J758">
        <f>IF(A758="","",IF(OR(H758="Transfers",H758="Income",D758="Transfer",D758="Category Pending",F758="Pending"),"No","Yes"))</f>
      </c>
      <c r="K758" s="4">
        <f>IF(A758="","",TEXT(IF(DAY(A758)&gt;=Setup!$B$9,DATE(YEAR(A758),MONTH(A758)+1,1),DATE(YEAR(A758),MONTH(A758),1)),"mmmm yyyy"))</f>
      </c>
      <c r="L758" s="47">
        <f>IF(A758="",0,IF(AND(J758="Yes",E758&lt;0),-E758,0))</f>
      </c>
      <c r="M758" s="47">
        <f>IF(A758="",0,IF(AND(J758="Yes",E758&gt;0),E758,0))</f>
      </c>
      <c r="N758">
        <f>IF(A758="","",IF(D758="Category Pending","Needs categorization",IF(COUNTIFS($A$2:A758,A758,$B$2:B758,B758,$E$2:E758,E758)&gt;1,"Possible duplicate","")))</f>
      </c>
    </row>
    <row r="759" spans="3:14" x14ac:dyDescent="0.3">
      <c r="A759"/>
      <c r="C759" s="16"/>
      <c r="G759" s="5">
        <f>IF(A759="","","Checking")</f>
      </c>
      <c r="H759">
        <f>IF(A759="","",IFERROR(XLOOKUP(D759,Setup!$E$15:$E$79,Setup!$F$15:$F$79),"Miscellaneous"))</f>
      </c>
      <c r="I759">
        <f>IF(A759="","",IFERROR(XLOOKUP(D759,Setup!$E$15:$E$79,Setup!$G$15:$G$79),"Uncategorized"))</f>
      </c>
      <c r="J759">
        <f>IF(A759="","",IF(OR(H759="Transfers",H759="Income",D759="Transfer",D759="Category Pending",F759="Pending"),"No","Yes"))</f>
      </c>
      <c r="K759" s="4">
        <f>IF(A759="","",TEXT(IF(DAY(A759)&gt;=Setup!$B$9,DATE(YEAR(A759),MONTH(A759)+1,1),DATE(YEAR(A759),MONTH(A759),1)),"mmmm yyyy"))</f>
      </c>
      <c r="L759" s="47">
        <f>IF(A759="",0,IF(AND(J759="Yes",E759&lt;0),-E759,0))</f>
      </c>
      <c r="M759" s="47">
        <f>IF(A759="",0,IF(AND(J759="Yes",E759&gt;0),E759,0))</f>
      </c>
      <c r="N759">
        <f>IF(A759="","",IF(D759="Category Pending","Needs categorization",IF(COUNTIFS($A$2:A759,A759,$B$2:B759,B759,$E$2:E759,E759)&gt;1,"Possible duplicate","")))</f>
      </c>
    </row>
    <row r="760" spans="3:14" x14ac:dyDescent="0.3">
      <c r="A760"/>
      <c r="C760" s="16"/>
      <c r="G760" s="5">
        <f>IF(A760="","","Checking")</f>
      </c>
      <c r="H760">
        <f>IF(A760="","",IFERROR(XLOOKUP(D760,Setup!$E$15:$E$79,Setup!$F$15:$F$79),"Miscellaneous"))</f>
      </c>
      <c r="I760">
        <f>IF(A760="","",IFERROR(XLOOKUP(D760,Setup!$E$15:$E$79,Setup!$G$15:$G$79),"Uncategorized"))</f>
      </c>
      <c r="J760">
        <f>IF(A760="","",IF(OR(H760="Transfers",H760="Income",D760="Transfer",D760="Category Pending",F760="Pending"),"No","Yes"))</f>
      </c>
      <c r="K760" s="4">
        <f>IF(A760="","",TEXT(IF(DAY(A760)&gt;=Setup!$B$9,DATE(YEAR(A760),MONTH(A760)+1,1),DATE(YEAR(A760),MONTH(A760),1)),"mmmm yyyy"))</f>
      </c>
      <c r="L760" s="47">
        <f>IF(A760="",0,IF(AND(J760="Yes",E760&lt;0),-E760,0))</f>
      </c>
      <c r="M760" s="47">
        <f>IF(A760="",0,IF(AND(J760="Yes",E760&gt;0),E760,0))</f>
      </c>
      <c r="N760">
        <f>IF(A760="","",IF(D760="Category Pending","Needs categorization",IF(COUNTIFS($A$2:A760,A760,$B$2:B760,B760,$E$2:E760,E760)&gt;1,"Possible duplicate","")))</f>
      </c>
    </row>
    <row r="761" spans="3:14" x14ac:dyDescent="0.3">
      <c r="A761"/>
      <c r="C761" s="16"/>
      <c r="G761" s="5">
        <f>IF(A761="","","Checking")</f>
      </c>
      <c r="H761">
        <f>IF(A761="","",IFERROR(XLOOKUP(D761,Setup!$E$15:$E$79,Setup!$F$15:$F$79),"Miscellaneous"))</f>
      </c>
      <c r="I761">
        <f>IF(A761="","",IFERROR(XLOOKUP(D761,Setup!$E$15:$E$79,Setup!$G$15:$G$79),"Uncategorized"))</f>
      </c>
      <c r="J761">
        <f>IF(A761="","",IF(OR(H761="Transfers",H761="Income",D761="Transfer",D761="Category Pending",F761="Pending"),"No","Yes"))</f>
      </c>
      <c r="K761" s="4">
        <f>IF(A761="","",TEXT(IF(DAY(A761)&gt;=Setup!$B$9,DATE(YEAR(A761),MONTH(A761)+1,1),DATE(YEAR(A761),MONTH(A761),1)),"mmmm yyyy"))</f>
      </c>
      <c r="L761" s="47">
        <f>IF(A761="",0,IF(AND(J761="Yes",E761&lt;0),-E761,0))</f>
      </c>
      <c r="M761" s="47">
        <f>IF(A761="",0,IF(AND(J761="Yes",E761&gt;0),E761,0))</f>
      </c>
      <c r="N761">
        <f>IF(A761="","",IF(D761="Category Pending","Needs categorization",IF(COUNTIFS($A$2:A761,A761,$B$2:B761,B761,$E$2:E761,E761)&gt;1,"Possible duplicate","")))</f>
      </c>
    </row>
    <row r="762" spans="3:14" x14ac:dyDescent="0.3">
      <c r="A762"/>
      <c r="C762" s="16"/>
      <c r="G762" s="5">
        <f>IF(A762="","","Checking")</f>
      </c>
      <c r="H762">
        <f>IF(A762="","",IFERROR(XLOOKUP(D762,Setup!$E$15:$E$79,Setup!$F$15:$F$79),"Miscellaneous"))</f>
      </c>
      <c r="I762">
        <f>IF(A762="","",IFERROR(XLOOKUP(D762,Setup!$E$15:$E$79,Setup!$G$15:$G$79),"Uncategorized"))</f>
      </c>
      <c r="J762">
        <f>IF(A762="","",IF(OR(H762="Transfers",H762="Income",D762="Transfer",D762="Category Pending",F762="Pending"),"No","Yes"))</f>
      </c>
      <c r="K762" s="4">
        <f>IF(A762="","",TEXT(IF(DAY(A762)&gt;=Setup!$B$9,DATE(YEAR(A762),MONTH(A762)+1,1),DATE(YEAR(A762),MONTH(A762),1)),"mmmm yyyy"))</f>
      </c>
      <c r="L762" s="47">
        <f>IF(A762="",0,IF(AND(J762="Yes",E762&lt;0),-E762,0))</f>
      </c>
      <c r="M762" s="47">
        <f>IF(A762="",0,IF(AND(J762="Yes",E762&gt;0),E762,0))</f>
      </c>
      <c r="N762">
        <f>IF(A762="","",IF(D762="Category Pending","Needs categorization",IF(COUNTIFS($A$2:A762,A762,$B$2:B762,B762,$E$2:E762,E762)&gt;1,"Possible duplicate","")))</f>
      </c>
    </row>
    <row r="763" spans="3:14" x14ac:dyDescent="0.3">
      <c r="A763"/>
      <c r="C763" s="16"/>
      <c r="G763" s="5">
        <f>IF(A763="","","Checking")</f>
      </c>
      <c r="H763">
        <f>IF(A763="","",IFERROR(XLOOKUP(D763,Setup!$E$15:$E$79,Setup!$F$15:$F$79),"Miscellaneous"))</f>
      </c>
      <c r="I763">
        <f>IF(A763="","",IFERROR(XLOOKUP(D763,Setup!$E$15:$E$79,Setup!$G$15:$G$79),"Uncategorized"))</f>
      </c>
      <c r="J763">
        <f>IF(A763="","",IF(OR(H763="Transfers",H763="Income",D763="Transfer",D763="Category Pending",F763="Pending"),"No","Yes"))</f>
      </c>
      <c r="K763" s="4">
        <f>IF(A763="","",TEXT(IF(DAY(A763)&gt;=Setup!$B$9,DATE(YEAR(A763),MONTH(A763)+1,1),DATE(YEAR(A763),MONTH(A763),1)),"mmmm yyyy"))</f>
      </c>
      <c r="L763" s="47">
        <f>IF(A763="",0,IF(AND(J763="Yes",E763&lt;0),-E763,0))</f>
      </c>
      <c r="M763" s="47">
        <f>IF(A763="",0,IF(AND(J763="Yes",E763&gt;0),E763,0))</f>
      </c>
      <c r="N763">
        <f>IF(A763="","",IF(D763="Category Pending","Needs categorization",IF(COUNTIFS($A$2:A763,A763,$B$2:B763,B763,$E$2:E763,E763)&gt;1,"Possible duplicate","")))</f>
      </c>
    </row>
    <row r="764" spans="3:14" x14ac:dyDescent="0.3">
      <c r="A764"/>
      <c r="C764" s="16"/>
      <c r="G764" s="5">
        <f>IF(A764="","","Checking")</f>
      </c>
      <c r="H764">
        <f>IF(A764="","",IFERROR(XLOOKUP(D764,Setup!$E$15:$E$79,Setup!$F$15:$F$79),"Miscellaneous"))</f>
      </c>
      <c r="I764">
        <f>IF(A764="","",IFERROR(XLOOKUP(D764,Setup!$E$15:$E$79,Setup!$G$15:$G$79),"Uncategorized"))</f>
      </c>
      <c r="J764">
        <f>IF(A764="","",IF(OR(H764="Transfers",H764="Income",D764="Transfer",D764="Category Pending",F764="Pending"),"No","Yes"))</f>
      </c>
      <c r="K764" s="4">
        <f>IF(A764="","",TEXT(IF(DAY(A764)&gt;=Setup!$B$9,DATE(YEAR(A764),MONTH(A764)+1,1),DATE(YEAR(A764),MONTH(A764),1)),"mmmm yyyy"))</f>
      </c>
      <c r="L764" s="47">
        <f>IF(A764="",0,IF(AND(J764="Yes",E764&lt;0),-E764,0))</f>
      </c>
      <c r="M764" s="47">
        <f>IF(A764="",0,IF(AND(J764="Yes",E764&gt;0),E764,0))</f>
      </c>
      <c r="N764">
        <f>IF(A764="","",IF(D764="Category Pending","Needs categorization",IF(COUNTIFS($A$2:A764,A764,$B$2:B764,B764,$E$2:E764,E764)&gt;1,"Possible duplicate","")))</f>
      </c>
    </row>
    <row r="765" spans="3:14" x14ac:dyDescent="0.3">
      <c r="A765"/>
      <c r="C765" s="16"/>
      <c r="G765" s="5">
        <f>IF(A765="","","Checking")</f>
      </c>
      <c r="H765">
        <f>IF(A765="","",IFERROR(XLOOKUP(D765,Setup!$E$15:$E$79,Setup!$F$15:$F$79),"Miscellaneous"))</f>
      </c>
      <c r="I765">
        <f>IF(A765="","",IFERROR(XLOOKUP(D765,Setup!$E$15:$E$79,Setup!$G$15:$G$79),"Uncategorized"))</f>
      </c>
      <c r="J765">
        <f>IF(A765="","",IF(OR(H765="Transfers",H765="Income",D765="Transfer",D765="Category Pending",F765="Pending"),"No","Yes"))</f>
      </c>
      <c r="K765" s="4">
        <f>IF(A765="","",TEXT(IF(DAY(A765)&gt;=Setup!$B$9,DATE(YEAR(A765),MONTH(A765)+1,1),DATE(YEAR(A765),MONTH(A765),1)),"mmmm yyyy"))</f>
      </c>
      <c r="L765" s="47">
        <f>IF(A765="",0,IF(AND(J765="Yes",E765&lt;0),-E765,0))</f>
      </c>
      <c r="M765" s="47">
        <f>IF(A765="",0,IF(AND(J765="Yes",E765&gt;0),E765,0))</f>
      </c>
      <c r="N765">
        <f>IF(A765="","",IF(D765="Category Pending","Needs categorization",IF(COUNTIFS($A$2:A765,A765,$B$2:B765,B765,$E$2:E765,E765)&gt;1,"Possible duplicate","")))</f>
      </c>
    </row>
    <row r="766" spans="3:14" x14ac:dyDescent="0.3">
      <c r="A766"/>
      <c r="C766" s="16"/>
      <c r="G766" s="5">
        <f>IF(A766="","","Checking")</f>
      </c>
      <c r="H766">
        <f>IF(A766="","",IFERROR(XLOOKUP(D766,Setup!$E$15:$E$79,Setup!$F$15:$F$79),"Miscellaneous"))</f>
      </c>
      <c r="I766">
        <f>IF(A766="","",IFERROR(XLOOKUP(D766,Setup!$E$15:$E$79,Setup!$G$15:$G$79),"Uncategorized"))</f>
      </c>
      <c r="J766">
        <f>IF(A766="","",IF(OR(H766="Transfers",H766="Income",D766="Transfer",D766="Category Pending",F766="Pending"),"No","Yes"))</f>
      </c>
      <c r="K766" s="4">
        <f>IF(A766="","",TEXT(IF(DAY(A766)&gt;=Setup!$B$9,DATE(YEAR(A766),MONTH(A766)+1,1),DATE(YEAR(A766),MONTH(A766),1)),"mmmm yyyy"))</f>
      </c>
      <c r="L766" s="47">
        <f>IF(A766="",0,IF(AND(J766="Yes",E766&lt;0),-E766,0))</f>
      </c>
      <c r="M766" s="47">
        <f>IF(A766="",0,IF(AND(J766="Yes",E766&gt;0),E766,0))</f>
      </c>
      <c r="N766">
        <f>IF(A766="","",IF(D766="Category Pending","Needs categorization",IF(COUNTIFS($A$2:A766,A766,$B$2:B766,B766,$E$2:E766,E766)&gt;1,"Possible duplicate","")))</f>
      </c>
    </row>
    <row r="767" spans="3:14" x14ac:dyDescent="0.3">
      <c r="A767"/>
      <c r="C767" s="16"/>
      <c r="G767" s="5">
        <f>IF(A767="","","Checking")</f>
      </c>
      <c r="H767">
        <f>IF(A767="","",IFERROR(XLOOKUP(D767,Setup!$E$15:$E$79,Setup!$F$15:$F$79),"Miscellaneous"))</f>
      </c>
      <c r="I767">
        <f>IF(A767="","",IFERROR(XLOOKUP(D767,Setup!$E$15:$E$79,Setup!$G$15:$G$79),"Uncategorized"))</f>
      </c>
      <c r="J767">
        <f>IF(A767="","",IF(OR(H767="Transfers",H767="Income",D767="Transfer",D767="Category Pending",F767="Pending"),"No","Yes"))</f>
      </c>
      <c r="K767" s="4">
        <f>IF(A767="","",TEXT(IF(DAY(A767)&gt;=Setup!$B$9,DATE(YEAR(A767),MONTH(A767)+1,1),DATE(YEAR(A767),MONTH(A767),1)),"mmmm yyyy"))</f>
      </c>
      <c r="L767" s="47">
        <f>IF(A767="",0,IF(AND(J767="Yes",E767&lt;0),-E767,0))</f>
      </c>
      <c r="M767" s="47">
        <f>IF(A767="",0,IF(AND(J767="Yes",E767&gt;0),E767,0))</f>
      </c>
      <c r="N767">
        <f>IF(A767="","",IF(D767="Category Pending","Needs categorization",IF(COUNTIFS($A$2:A767,A767,$B$2:B767,B767,$E$2:E767,E767)&gt;1,"Possible duplicate","")))</f>
      </c>
    </row>
    <row r="768" spans="3:14" x14ac:dyDescent="0.3">
      <c r="A768"/>
      <c r="C768" s="16"/>
      <c r="G768" s="5">
        <f>IF(A768="","","Checking")</f>
      </c>
      <c r="H768">
        <f>IF(A768="","",IFERROR(XLOOKUP(D768,Setup!$E$15:$E$79,Setup!$F$15:$F$79),"Miscellaneous"))</f>
      </c>
      <c r="I768">
        <f>IF(A768="","",IFERROR(XLOOKUP(D768,Setup!$E$15:$E$79,Setup!$G$15:$G$79),"Uncategorized"))</f>
      </c>
      <c r="J768">
        <f>IF(A768="","",IF(OR(H768="Transfers",H768="Income",D768="Transfer",D768="Category Pending",F768="Pending"),"No","Yes"))</f>
      </c>
      <c r="K768" s="4">
        <f>IF(A768="","",TEXT(IF(DAY(A768)&gt;=Setup!$B$9,DATE(YEAR(A768),MONTH(A768)+1,1),DATE(YEAR(A768),MONTH(A768),1)),"mmmm yyyy"))</f>
      </c>
      <c r="L768" s="47">
        <f>IF(A768="",0,IF(AND(J768="Yes",E768&lt;0),-E768,0))</f>
      </c>
      <c r="M768" s="47">
        <f>IF(A768="",0,IF(AND(J768="Yes",E768&gt;0),E768,0))</f>
      </c>
      <c r="N768">
        <f>IF(A768="","",IF(D768="Category Pending","Needs categorization",IF(COUNTIFS($A$2:A768,A768,$B$2:B768,B768,$E$2:E768,E768)&gt;1,"Possible duplicate","")))</f>
      </c>
    </row>
    <row r="769" spans="3:14" x14ac:dyDescent="0.3">
      <c r="A769"/>
      <c r="C769" s="16"/>
      <c r="G769" s="5">
        <f>IF(A769="","","Checking")</f>
      </c>
      <c r="H769">
        <f>IF(A769="","",IFERROR(XLOOKUP(D769,Setup!$E$15:$E$79,Setup!$F$15:$F$79),"Miscellaneous"))</f>
      </c>
      <c r="I769">
        <f>IF(A769="","",IFERROR(XLOOKUP(D769,Setup!$E$15:$E$79,Setup!$G$15:$G$79),"Uncategorized"))</f>
      </c>
      <c r="J769">
        <f>IF(A769="","",IF(OR(H769="Transfers",H769="Income",D769="Transfer",D769="Category Pending",F769="Pending"),"No","Yes"))</f>
      </c>
      <c r="K769" s="4">
        <f>IF(A769="","",TEXT(IF(DAY(A769)&gt;=Setup!$B$9,DATE(YEAR(A769),MONTH(A769)+1,1),DATE(YEAR(A769),MONTH(A769),1)),"mmmm yyyy"))</f>
      </c>
      <c r="L769" s="47">
        <f>IF(A769="",0,IF(AND(J769="Yes",E769&lt;0),-E769,0))</f>
      </c>
      <c r="M769" s="47">
        <f>IF(A769="",0,IF(AND(J769="Yes",E769&gt;0),E769,0))</f>
      </c>
      <c r="N769">
        <f>IF(A769="","",IF(D769="Category Pending","Needs categorization",IF(COUNTIFS($A$2:A769,A769,$B$2:B769,B769,$E$2:E769,E769)&gt;1,"Possible duplicate","")))</f>
      </c>
    </row>
    <row r="770" spans="3:14" x14ac:dyDescent="0.3">
      <c r="A770"/>
      <c r="C770" s="16"/>
      <c r="G770" s="5">
        <f>IF(A770="","","Checking")</f>
      </c>
      <c r="H770">
        <f>IF(A770="","",IFERROR(XLOOKUP(D770,Setup!$E$15:$E$79,Setup!$F$15:$F$79),"Miscellaneous"))</f>
      </c>
      <c r="I770">
        <f>IF(A770="","",IFERROR(XLOOKUP(D770,Setup!$E$15:$E$79,Setup!$G$15:$G$79),"Uncategorized"))</f>
      </c>
      <c r="J770">
        <f>IF(A770="","",IF(OR(H770="Transfers",H770="Income",D770="Transfer",D770="Category Pending",F770="Pending"),"No","Yes"))</f>
      </c>
      <c r="K770" s="4">
        <f>IF(A770="","",TEXT(IF(DAY(A770)&gt;=Setup!$B$9,DATE(YEAR(A770),MONTH(A770)+1,1),DATE(YEAR(A770),MONTH(A770),1)),"mmmm yyyy"))</f>
      </c>
      <c r="L770" s="47">
        <f>IF(A770="",0,IF(AND(J770="Yes",E770&lt;0),-E770,0))</f>
      </c>
      <c r="M770" s="47">
        <f>IF(A770="",0,IF(AND(J770="Yes",E770&gt;0),E770,0))</f>
      </c>
      <c r="N770">
        <f>IF(A770="","",IF(D770="Category Pending","Needs categorization",IF(COUNTIFS($A$2:A770,A770,$B$2:B770,B770,$E$2:E770,E770)&gt;1,"Possible duplicate","")))</f>
      </c>
    </row>
    <row r="771" spans="3:14" x14ac:dyDescent="0.3">
      <c r="A771"/>
      <c r="C771" s="16"/>
      <c r="G771" s="5">
        <f>IF(A771="","","Checking")</f>
      </c>
      <c r="H771">
        <f>IF(A771="","",IFERROR(XLOOKUP(D771,Setup!$E$15:$E$79,Setup!$F$15:$F$79),"Miscellaneous"))</f>
      </c>
      <c r="I771">
        <f>IF(A771="","",IFERROR(XLOOKUP(D771,Setup!$E$15:$E$79,Setup!$G$15:$G$79),"Uncategorized"))</f>
      </c>
      <c r="J771">
        <f>IF(A771="","",IF(OR(H771="Transfers",H771="Income",D771="Transfer",D771="Category Pending",F771="Pending"),"No","Yes"))</f>
      </c>
      <c r="K771" s="4">
        <f>IF(A771="","",TEXT(IF(DAY(A771)&gt;=Setup!$B$9,DATE(YEAR(A771),MONTH(A771)+1,1),DATE(YEAR(A771),MONTH(A771),1)),"mmmm yyyy"))</f>
      </c>
      <c r="L771" s="47">
        <f>IF(A771="",0,IF(AND(J771="Yes",E771&lt;0),-E771,0))</f>
      </c>
      <c r="M771" s="47">
        <f>IF(A771="",0,IF(AND(J771="Yes",E771&gt;0),E771,0))</f>
      </c>
      <c r="N771">
        <f>IF(A771="","",IF(D771="Category Pending","Needs categorization",IF(COUNTIFS($A$2:A771,A771,$B$2:B771,B771,$E$2:E771,E771)&gt;1,"Possible duplicate","")))</f>
      </c>
    </row>
    <row r="772" spans="3:14" x14ac:dyDescent="0.3">
      <c r="A772"/>
      <c r="C772" s="16"/>
      <c r="G772" s="5">
        <f>IF(A772="","","Checking")</f>
      </c>
      <c r="H772">
        <f>IF(A772="","",IFERROR(XLOOKUP(D772,Setup!$E$15:$E$79,Setup!$F$15:$F$79),"Miscellaneous"))</f>
      </c>
      <c r="I772">
        <f>IF(A772="","",IFERROR(XLOOKUP(D772,Setup!$E$15:$E$79,Setup!$G$15:$G$79),"Uncategorized"))</f>
      </c>
      <c r="J772">
        <f>IF(A772="","",IF(OR(H772="Transfers",H772="Income",D772="Transfer",D772="Category Pending",F772="Pending"),"No","Yes"))</f>
      </c>
      <c r="K772" s="4">
        <f>IF(A772="","",TEXT(IF(DAY(A772)&gt;=Setup!$B$9,DATE(YEAR(A772),MONTH(A772)+1,1),DATE(YEAR(A772),MONTH(A772),1)),"mmmm yyyy"))</f>
      </c>
      <c r="L772" s="47">
        <f>IF(A772="",0,IF(AND(J772="Yes",E772&lt;0),-E772,0))</f>
      </c>
      <c r="M772" s="47">
        <f>IF(A772="",0,IF(AND(J772="Yes",E772&gt;0),E772,0))</f>
      </c>
      <c r="N772">
        <f>IF(A772="","",IF(D772="Category Pending","Needs categorization",IF(COUNTIFS($A$2:A772,A772,$B$2:B772,B772,$E$2:E772,E772)&gt;1,"Possible duplicate","")))</f>
      </c>
    </row>
    <row r="773" spans="3:14" x14ac:dyDescent="0.3">
      <c r="A773"/>
      <c r="C773" s="16"/>
      <c r="G773" s="5">
        <f>IF(A773="","","Checking")</f>
      </c>
      <c r="H773">
        <f>IF(A773="","",IFERROR(XLOOKUP(D773,Setup!$E$15:$E$79,Setup!$F$15:$F$79),"Miscellaneous"))</f>
      </c>
      <c r="I773">
        <f>IF(A773="","",IFERROR(XLOOKUP(D773,Setup!$E$15:$E$79,Setup!$G$15:$G$79),"Uncategorized"))</f>
      </c>
      <c r="J773">
        <f>IF(A773="","",IF(OR(H773="Transfers",H773="Income",D773="Transfer",D773="Category Pending",F773="Pending"),"No","Yes"))</f>
      </c>
      <c r="K773" s="4">
        <f>IF(A773="","",TEXT(IF(DAY(A773)&gt;=Setup!$B$9,DATE(YEAR(A773),MONTH(A773)+1,1),DATE(YEAR(A773),MONTH(A773),1)),"mmmm yyyy"))</f>
      </c>
      <c r="L773" s="47">
        <f>IF(A773="",0,IF(AND(J773="Yes",E773&lt;0),-E773,0))</f>
      </c>
      <c r="M773" s="47">
        <f>IF(A773="",0,IF(AND(J773="Yes",E773&gt;0),E773,0))</f>
      </c>
      <c r="N773">
        <f>IF(A773="","",IF(D773="Category Pending","Needs categorization",IF(COUNTIFS($A$2:A773,A773,$B$2:B773,B773,$E$2:E773,E773)&gt;1,"Possible duplicate","")))</f>
      </c>
    </row>
    <row r="774" spans="3:14" x14ac:dyDescent="0.3">
      <c r="A774"/>
      <c r="C774" s="16"/>
      <c r="G774" s="5">
        <f>IF(A774="","","Checking")</f>
      </c>
      <c r="H774">
        <f>IF(A774="","",IFERROR(XLOOKUP(D774,Setup!$E$15:$E$79,Setup!$F$15:$F$79),"Miscellaneous"))</f>
      </c>
      <c r="I774">
        <f>IF(A774="","",IFERROR(XLOOKUP(D774,Setup!$E$15:$E$79,Setup!$G$15:$G$79),"Uncategorized"))</f>
      </c>
      <c r="J774">
        <f>IF(A774="","",IF(OR(H774="Transfers",H774="Income",D774="Transfer",D774="Category Pending",F774="Pending"),"No","Yes"))</f>
      </c>
      <c r="K774" s="4">
        <f>IF(A774="","",TEXT(IF(DAY(A774)&gt;=Setup!$B$9,DATE(YEAR(A774),MONTH(A774)+1,1),DATE(YEAR(A774),MONTH(A774),1)),"mmmm yyyy"))</f>
      </c>
      <c r="L774" s="47">
        <f>IF(A774="",0,IF(AND(J774="Yes",E774&lt;0),-E774,0))</f>
      </c>
      <c r="M774" s="47">
        <f>IF(A774="",0,IF(AND(J774="Yes",E774&gt;0),E774,0))</f>
      </c>
      <c r="N774">
        <f>IF(A774="","",IF(D774="Category Pending","Needs categorization",IF(COUNTIFS($A$2:A774,A774,$B$2:B774,B774,$E$2:E774,E774)&gt;1,"Possible duplicate","")))</f>
      </c>
    </row>
    <row r="775" spans="3:14" x14ac:dyDescent="0.3">
      <c r="A775"/>
      <c r="C775" s="16"/>
      <c r="G775" s="5">
        <f>IF(A775="","","Checking")</f>
      </c>
      <c r="H775">
        <f>IF(A775="","",IFERROR(XLOOKUP(D775,Setup!$E$15:$E$79,Setup!$F$15:$F$79),"Miscellaneous"))</f>
      </c>
      <c r="I775">
        <f>IF(A775="","",IFERROR(XLOOKUP(D775,Setup!$E$15:$E$79,Setup!$G$15:$G$79),"Uncategorized"))</f>
      </c>
      <c r="J775">
        <f>IF(A775="","",IF(OR(H775="Transfers",H775="Income",D775="Transfer",D775="Category Pending",F775="Pending"),"No","Yes"))</f>
      </c>
      <c r="K775" s="4">
        <f>IF(A775="","",TEXT(IF(DAY(A775)&gt;=Setup!$B$9,DATE(YEAR(A775),MONTH(A775)+1,1),DATE(YEAR(A775),MONTH(A775),1)),"mmmm yyyy"))</f>
      </c>
      <c r="L775" s="47">
        <f>IF(A775="",0,IF(AND(J775="Yes",E775&lt;0),-E775,0))</f>
      </c>
      <c r="M775" s="47">
        <f>IF(A775="",0,IF(AND(J775="Yes",E775&gt;0),E775,0))</f>
      </c>
      <c r="N775">
        <f>IF(A775="","",IF(D775="Category Pending","Needs categorization",IF(COUNTIFS($A$2:A775,A775,$B$2:B775,B775,$E$2:E775,E775)&gt;1,"Possible duplicate","")))</f>
      </c>
    </row>
    <row r="776" spans="3:14" x14ac:dyDescent="0.3">
      <c r="A776"/>
      <c r="C776" s="16"/>
      <c r="G776" s="5">
        <f>IF(A776="","","Checking")</f>
      </c>
      <c r="H776">
        <f>IF(A776="","",IFERROR(XLOOKUP(D776,Setup!$E$15:$E$79,Setup!$F$15:$F$79),"Miscellaneous"))</f>
      </c>
      <c r="I776">
        <f>IF(A776="","",IFERROR(XLOOKUP(D776,Setup!$E$15:$E$79,Setup!$G$15:$G$79),"Uncategorized"))</f>
      </c>
      <c r="J776">
        <f>IF(A776="","",IF(OR(H776="Transfers",H776="Income",D776="Transfer",D776="Category Pending",F776="Pending"),"No","Yes"))</f>
      </c>
      <c r="K776" s="4">
        <f>IF(A776="","",TEXT(IF(DAY(A776)&gt;=Setup!$B$9,DATE(YEAR(A776),MONTH(A776)+1,1),DATE(YEAR(A776),MONTH(A776),1)),"mmmm yyyy"))</f>
      </c>
      <c r="L776" s="47">
        <f>IF(A776="",0,IF(AND(J776="Yes",E776&lt;0),-E776,0))</f>
      </c>
      <c r="M776" s="47">
        <f>IF(A776="",0,IF(AND(J776="Yes",E776&gt;0),E776,0))</f>
      </c>
      <c r="N776">
        <f>IF(A776="","",IF(D776="Category Pending","Needs categorization",IF(COUNTIFS($A$2:A776,A776,$B$2:B776,B776,$E$2:E776,E776)&gt;1,"Possible duplicate","")))</f>
      </c>
    </row>
    <row r="777" spans="3:14" x14ac:dyDescent="0.3">
      <c r="A777"/>
      <c r="C777" s="16"/>
      <c r="G777" s="5">
        <f>IF(A777="","","Checking")</f>
      </c>
      <c r="H777">
        <f>IF(A777="","",IFERROR(XLOOKUP(D777,Setup!$E$15:$E$79,Setup!$F$15:$F$79),"Miscellaneous"))</f>
      </c>
      <c r="I777">
        <f>IF(A777="","",IFERROR(XLOOKUP(D777,Setup!$E$15:$E$79,Setup!$G$15:$G$79),"Uncategorized"))</f>
      </c>
      <c r="J777">
        <f>IF(A777="","",IF(OR(H777="Transfers",H777="Income",D777="Transfer",D777="Category Pending",F777="Pending"),"No","Yes"))</f>
      </c>
      <c r="K777" s="4">
        <f>IF(A777="","",TEXT(IF(DAY(A777)&gt;=Setup!$B$9,DATE(YEAR(A777),MONTH(A777)+1,1),DATE(YEAR(A777),MONTH(A777),1)),"mmmm yyyy"))</f>
      </c>
      <c r="L777" s="47">
        <f>IF(A777="",0,IF(AND(J777="Yes",E777&lt;0),-E777,0))</f>
      </c>
      <c r="M777" s="47">
        <f>IF(A777="",0,IF(AND(J777="Yes",E777&gt;0),E777,0))</f>
      </c>
      <c r="N777">
        <f>IF(A777="","",IF(D777="Category Pending","Needs categorization",IF(COUNTIFS($A$2:A777,A777,$B$2:B777,B777,$E$2:E777,E777)&gt;1,"Possible duplicate","")))</f>
      </c>
    </row>
    <row r="778" spans="3:14" x14ac:dyDescent="0.3">
      <c r="A778"/>
      <c r="C778" s="16"/>
      <c r="G778" s="5">
        <f>IF(A778="","","Checking")</f>
      </c>
      <c r="H778">
        <f>IF(A778="","",IFERROR(XLOOKUP(D778,Setup!$E$15:$E$79,Setup!$F$15:$F$79),"Miscellaneous"))</f>
      </c>
      <c r="I778">
        <f>IF(A778="","",IFERROR(XLOOKUP(D778,Setup!$E$15:$E$79,Setup!$G$15:$G$79),"Uncategorized"))</f>
      </c>
      <c r="J778">
        <f>IF(A778="","",IF(OR(H778="Transfers",H778="Income",D778="Transfer",D778="Category Pending",F778="Pending"),"No","Yes"))</f>
      </c>
      <c r="K778" s="4">
        <f>IF(A778="","",TEXT(IF(DAY(A778)&gt;=Setup!$B$9,DATE(YEAR(A778),MONTH(A778)+1,1),DATE(YEAR(A778),MONTH(A778),1)),"mmmm yyyy"))</f>
      </c>
      <c r="L778" s="47">
        <f>IF(A778="",0,IF(AND(J778="Yes",E778&lt;0),-E778,0))</f>
      </c>
      <c r="M778" s="47">
        <f>IF(A778="",0,IF(AND(J778="Yes",E778&gt;0),E778,0))</f>
      </c>
      <c r="N778">
        <f>IF(A778="","",IF(D778="Category Pending","Needs categorization",IF(COUNTIFS($A$2:A778,A778,$B$2:B778,B778,$E$2:E778,E778)&gt;1,"Possible duplicate","")))</f>
      </c>
    </row>
    <row r="779" spans="3:14" x14ac:dyDescent="0.3">
      <c r="A779"/>
      <c r="C779" s="16"/>
      <c r="G779" s="5">
        <f>IF(A779="","","Checking")</f>
      </c>
      <c r="H779">
        <f>IF(A779="","",IFERROR(XLOOKUP(D779,Setup!$E$15:$E$79,Setup!$F$15:$F$79),"Miscellaneous"))</f>
      </c>
      <c r="I779">
        <f>IF(A779="","",IFERROR(XLOOKUP(D779,Setup!$E$15:$E$79,Setup!$G$15:$G$79),"Uncategorized"))</f>
      </c>
      <c r="J779">
        <f>IF(A779="","",IF(OR(H779="Transfers",H779="Income",D779="Transfer",D779="Category Pending",F779="Pending"),"No","Yes"))</f>
      </c>
      <c r="K779" s="4">
        <f>IF(A779="","",TEXT(IF(DAY(A779)&gt;=Setup!$B$9,DATE(YEAR(A779),MONTH(A779)+1,1),DATE(YEAR(A779),MONTH(A779),1)),"mmmm yyyy"))</f>
      </c>
      <c r="L779" s="47">
        <f>IF(A779="",0,IF(AND(J779="Yes",E779&lt;0),-E779,0))</f>
      </c>
      <c r="M779" s="47">
        <f>IF(A779="",0,IF(AND(J779="Yes",E779&gt;0),E779,0))</f>
      </c>
      <c r="N779">
        <f>IF(A779="","",IF(D779="Category Pending","Needs categorization",IF(COUNTIFS($A$2:A779,A779,$B$2:B779,B779,$E$2:E779,E779)&gt;1,"Possible duplicate","")))</f>
      </c>
    </row>
    <row r="780" spans="3:14" x14ac:dyDescent="0.3">
      <c r="A780"/>
      <c r="C780" s="16"/>
      <c r="G780" s="5">
        <f>IF(A780="","","Checking")</f>
      </c>
      <c r="H780">
        <f>IF(A780="","",IFERROR(XLOOKUP(D780,Setup!$E$15:$E$79,Setup!$F$15:$F$79),"Miscellaneous"))</f>
      </c>
      <c r="I780">
        <f>IF(A780="","",IFERROR(XLOOKUP(D780,Setup!$E$15:$E$79,Setup!$G$15:$G$79),"Uncategorized"))</f>
      </c>
      <c r="J780">
        <f>IF(A780="","",IF(OR(H780="Transfers",H780="Income",D780="Transfer",D780="Category Pending",F780="Pending"),"No","Yes"))</f>
      </c>
      <c r="K780" s="4">
        <f>IF(A780="","",TEXT(IF(DAY(A780)&gt;=Setup!$B$9,DATE(YEAR(A780),MONTH(A780)+1,1),DATE(YEAR(A780),MONTH(A780),1)),"mmmm yyyy"))</f>
      </c>
      <c r="L780" s="47">
        <f>IF(A780="",0,IF(AND(J780="Yes",E780&lt;0),-E780,0))</f>
      </c>
      <c r="M780" s="47">
        <f>IF(A780="",0,IF(AND(J780="Yes",E780&gt;0),E780,0))</f>
      </c>
      <c r="N780">
        <f>IF(A780="","",IF(D780="Category Pending","Needs categorization",IF(COUNTIFS($A$2:A780,A780,$B$2:B780,B780,$E$2:E780,E780)&gt;1,"Possible duplicate","")))</f>
      </c>
    </row>
    <row r="781" spans="3:14" x14ac:dyDescent="0.3">
      <c r="A781"/>
      <c r="C781" s="16"/>
      <c r="G781" s="5">
        <f>IF(A781="","","Checking")</f>
      </c>
      <c r="H781">
        <f>IF(A781="","",IFERROR(XLOOKUP(D781,Setup!$E$15:$E$79,Setup!$F$15:$F$79),"Miscellaneous"))</f>
      </c>
      <c r="I781">
        <f>IF(A781="","",IFERROR(XLOOKUP(D781,Setup!$E$15:$E$79,Setup!$G$15:$G$79),"Uncategorized"))</f>
      </c>
      <c r="J781">
        <f>IF(A781="","",IF(OR(H781="Transfers",H781="Income",D781="Transfer",D781="Category Pending",F781="Pending"),"No","Yes"))</f>
      </c>
      <c r="K781" s="4">
        <f>IF(A781="","",TEXT(IF(DAY(A781)&gt;=Setup!$B$9,DATE(YEAR(A781),MONTH(A781)+1,1),DATE(YEAR(A781),MONTH(A781),1)),"mmmm yyyy"))</f>
      </c>
      <c r="L781" s="47">
        <f>IF(A781="",0,IF(AND(J781="Yes",E781&lt;0),-E781,0))</f>
      </c>
      <c r="M781" s="47">
        <f>IF(A781="",0,IF(AND(J781="Yes",E781&gt;0),E781,0))</f>
      </c>
      <c r="N781">
        <f>IF(A781="","",IF(D781="Category Pending","Needs categorization",IF(COUNTIFS($A$2:A781,A781,$B$2:B781,B781,$E$2:E781,E781)&gt;1,"Possible duplicate","")))</f>
      </c>
    </row>
    <row r="782" spans="3:14" x14ac:dyDescent="0.3">
      <c r="A782"/>
      <c r="C782" s="16"/>
      <c r="G782" s="5">
        <f>IF(A782="","","Checking")</f>
      </c>
      <c r="H782">
        <f>IF(A782="","",IFERROR(XLOOKUP(D782,Setup!$E$15:$E$79,Setup!$F$15:$F$79),"Miscellaneous"))</f>
      </c>
      <c r="I782">
        <f>IF(A782="","",IFERROR(XLOOKUP(D782,Setup!$E$15:$E$79,Setup!$G$15:$G$79),"Uncategorized"))</f>
      </c>
      <c r="J782">
        <f>IF(A782="","",IF(OR(H782="Transfers",H782="Income",D782="Transfer",D782="Category Pending",F782="Pending"),"No","Yes"))</f>
      </c>
      <c r="K782" s="4">
        <f>IF(A782="","",TEXT(IF(DAY(A782)&gt;=Setup!$B$9,DATE(YEAR(A782),MONTH(A782)+1,1),DATE(YEAR(A782),MONTH(A782),1)),"mmmm yyyy"))</f>
      </c>
      <c r="L782" s="47">
        <f>IF(A782="",0,IF(AND(J782="Yes",E782&lt;0),-E782,0))</f>
      </c>
      <c r="M782" s="47">
        <f>IF(A782="",0,IF(AND(J782="Yes",E782&gt;0),E782,0))</f>
      </c>
      <c r="N782">
        <f>IF(A782="","",IF(D782="Category Pending","Needs categorization",IF(COUNTIFS($A$2:A782,A782,$B$2:B782,B782,$E$2:E782,E782)&gt;1,"Possible duplicate","")))</f>
      </c>
    </row>
    <row r="783" spans="3:14" x14ac:dyDescent="0.3">
      <c r="A783"/>
      <c r="C783" s="16"/>
      <c r="G783" s="5">
        <f>IF(A783="","","Checking")</f>
      </c>
      <c r="H783">
        <f>IF(A783="","",IFERROR(XLOOKUP(D783,Setup!$E$15:$E$79,Setup!$F$15:$F$79),"Miscellaneous"))</f>
      </c>
      <c r="I783">
        <f>IF(A783="","",IFERROR(XLOOKUP(D783,Setup!$E$15:$E$79,Setup!$G$15:$G$79),"Uncategorized"))</f>
      </c>
      <c r="J783">
        <f>IF(A783="","",IF(OR(H783="Transfers",H783="Income",D783="Transfer",D783="Category Pending",F783="Pending"),"No","Yes"))</f>
      </c>
      <c r="K783" s="4">
        <f>IF(A783="","",TEXT(IF(DAY(A783)&gt;=Setup!$B$9,DATE(YEAR(A783),MONTH(A783)+1,1),DATE(YEAR(A783),MONTH(A783),1)),"mmmm yyyy"))</f>
      </c>
      <c r="L783" s="47">
        <f>IF(A783="",0,IF(AND(J783="Yes",E783&lt;0),-E783,0))</f>
      </c>
      <c r="M783" s="47">
        <f>IF(A783="",0,IF(AND(J783="Yes",E783&gt;0),E783,0))</f>
      </c>
      <c r="N783">
        <f>IF(A783="","",IF(D783="Category Pending","Needs categorization",IF(COUNTIFS($A$2:A783,A783,$B$2:B783,B783,$E$2:E783,E783)&gt;1,"Possible duplicate","")))</f>
      </c>
    </row>
    <row r="784" spans="3:14" x14ac:dyDescent="0.3">
      <c r="A784"/>
      <c r="C784" s="16"/>
      <c r="G784" s="5">
        <f>IF(A784="","","Checking")</f>
      </c>
      <c r="H784">
        <f>IF(A784="","",IFERROR(XLOOKUP(D784,Setup!$E$15:$E$79,Setup!$F$15:$F$79),"Miscellaneous"))</f>
      </c>
      <c r="I784">
        <f>IF(A784="","",IFERROR(XLOOKUP(D784,Setup!$E$15:$E$79,Setup!$G$15:$G$79),"Uncategorized"))</f>
      </c>
      <c r="J784">
        <f>IF(A784="","",IF(OR(H784="Transfers",H784="Income",D784="Transfer",D784="Category Pending",F784="Pending"),"No","Yes"))</f>
      </c>
      <c r="K784" s="4">
        <f>IF(A784="","",TEXT(IF(DAY(A784)&gt;=Setup!$B$9,DATE(YEAR(A784),MONTH(A784)+1,1),DATE(YEAR(A784),MONTH(A784),1)),"mmmm yyyy"))</f>
      </c>
      <c r="L784" s="47">
        <f>IF(A784="",0,IF(AND(J784="Yes",E784&lt;0),-E784,0))</f>
      </c>
      <c r="M784" s="47">
        <f>IF(A784="",0,IF(AND(J784="Yes",E784&gt;0),E784,0))</f>
      </c>
      <c r="N784">
        <f>IF(A784="","",IF(D784="Category Pending","Needs categorization",IF(COUNTIFS($A$2:A784,A784,$B$2:B784,B784,$E$2:E784,E784)&gt;1,"Possible duplicate","")))</f>
      </c>
    </row>
    <row r="785" spans="3:14" x14ac:dyDescent="0.3">
      <c r="A785"/>
      <c r="C785" s="16"/>
      <c r="G785" s="5">
        <f>IF(A785="","","Checking")</f>
      </c>
      <c r="H785">
        <f>IF(A785="","",IFERROR(XLOOKUP(D785,Setup!$E$15:$E$79,Setup!$F$15:$F$79),"Miscellaneous"))</f>
      </c>
      <c r="I785">
        <f>IF(A785="","",IFERROR(XLOOKUP(D785,Setup!$E$15:$E$79,Setup!$G$15:$G$79),"Uncategorized"))</f>
      </c>
      <c r="J785">
        <f>IF(A785="","",IF(OR(H785="Transfers",H785="Income",D785="Transfer",D785="Category Pending",F785="Pending"),"No","Yes"))</f>
      </c>
      <c r="K785" s="4">
        <f>IF(A785="","",TEXT(IF(DAY(A785)&gt;=Setup!$B$9,DATE(YEAR(A785),MONTH(A785)+1,1),DATE(YEAR(A785),MONTH(A785),1)),"mmmm yyyy"))</f>
      </c>
      <c r="L785" s="47">
        <f>IF(A785="",0,IF(AND(J785="Yes",E785&lt;0),-E785,0))</f>
      </c>
      <c r="M785" s="47">
        <f>IF(A785="",0,IF(AND(J785="Yes",E785&gt;0),E785,0))</f>
      </c>
      <c r="N785">
        <f>IF(A785="","",IF(D785="Category Pending","Needs categorization",IF(COUNTIFS($A$2:A785,A785,$B$2:B785,B785,$E$2:E785,E785)&gt;1,"Possible duplicate","")))</f>
      </c>
    </row>
    <row r="786" spans="3:14" x14ac:dyDescent="0.3">
      <c r="A786"/>
      <c r="C786" s="16"/>
      <c r="G786" s="5">
        <f>IF(A786="","","Checking")</f>
      </c>
      <c r="H786">
        <f>IF(A786="","",IFERROR(XLOOKUP(D786,Setup!$E$15:$E$79,Setup!$F$15:$F$79),"Miscellaneous"))</f>
      </c>
      <c r="I786">
        <f>IF(A786="","",IFERROR(XLOOKUP(D786,Setup!$E$15:$E$79,Setup!$G$15:$G$79),"Uncategorized"))</f>
      </c>
      <c r="J786">
        <f>IF(A786="","",IF(OR(H786="Transfers",H786="Income",D786="Transfer",D786="Category Pending",F786="Pending"),"No","Yes"))</f>
      </c>
      <c r="K786" s="4">
        <f>IF(A786="","",TEXT(IF(DAY(A786)&gt;=Setup!$B$9,DATE(YEAR(A786),MONTH(A786)+1,1),DATE(YEAR(A786),MONTH(A786),1)),"mmmm yyyy"))</f>
      </c>
      <c r="L786" s="47">
        <f>IF(A786="",0,IF(AND(J786="Yes",E786&lt;0),-E786,0))</f>
      </c>
      <c r="M786" s="47">
        <f>IF(A786="",0,IF(AND(J786="Yes",E786&gt;0),E786,0))</f>
      </c>
      <c r="N786">
        <f>IF(A786="","",IF(D786="Category Pending","Needs categorization",IF(COUNTIFS($A$2:A786,A786,$B$2:B786,B786,$E$2:E786,E786)&gt;1,"Possible duplicate","")))</f>
      </c>
    </row>
    <row r="787" spans="3:14" x14ac:dyDescent="0.3">
      <c r="A787"/>
      <c r="C787" s="16"/>
      <c r="G787" s="5">
        <f>IF(A787="","","Checking")</f>
      </c>
      <c r="H787">
        <f>IF(A787="","",IFERROR(XLOOKUP(D787,Setup!$E$15:$E$79,Setup!$F$15:$F$79),"Miscellaneous"))</f>
      </c>
      <c r="I787">
        <f>IF(A787="","",IFERROR(XLOOKUP(D787,Setup!$E$15:$E$79,Setup!$G$15:$G$79),"Uncategorized"))</f>
      </c>
      <c r="J787">
        <f>IF(A787="","",IF(OR(H787="Transfers",H787="Income",D787="Transfer",D787="Category Pending",F787="Pending"),"No","Yes"))</f>
      </c>
      <c r="K787" s="4">
        <f>IF(A787="","",TEXT(IF(DAY(A787)&gt;=Setup!$B$9,DATE(YEAR(A787),MONTH(A787)+1,1),DATE(YEAR(A787),MONTH(A787),1)),"mmmm yyyy"))</f>
      </c>
      <c r="L787" s="47">
        <f>IF(A787="",0,IF(AND(J787="Yes",E787&lt;0),-E787,0))</f>
      </c>
      <c r="M787" s="47">
        <f>IF(A787="",0,IF(AND(J787="Yes",E787&gt;0),E787,0))</f>
      </c>
      <c r="N787">
        <f>IF(A787="","",IF(D787="Category Pending","Needs categorization",IF(COUNTIFS($A$2:A787,A787,$B$2:B787,B787,$E$2:E787,E787)&gt;1,"Possible duplicate","")))</f>
      </c>
    </row>
    <row r="788" spans="3:14" x14ac:dyDescent="0.3">
      <c r="A788"/>
      <c r="C788" s="16"/>
      <c r="G788" s="5">
        <f>IF(A788="","","Checking")</f>
      </c>
      <c r="H788">
        <f>IF(A788="","",IFERROR(XLOOKUP(D788,Setup!$E$15:$E$79,Setup!$F$15:$F$79),"Miscellaneous"))</f>
      </c>
      <c r="I788">
        <f>IF(A788="","",IFERROR(XLOOKUP(D788,Setup!$E$15:$E$79,Setup!$G$15:$G$79),"Uncategorized"))</f>
      </c>
      <c r="J788">
        <f>IF(A788="","",IF(OR(H788="Transfers",H788="Income",D788="Transfer",D788="Category Pending",F788="Pending"),"No","Yes"))</f>
      </c>
      <c r="K788" s="4">
        <f>IF(A788="","",TEXT(IF(DAY(A788)&gt;=Setup!$B$9,DATE(YEAR(A788),MONTH(A788)+1,1),DATE(YEAR(A788),MONTH(A788),1)),"mmmm yyyy"))</f>
      </c>
      <c r="L788" s="47">
        <f>IF(A788="",0,IF(AND(J788="Yes",E788&lt;0),-E788,0))</f>
      </c>
      <c r="M788" s="47">
        <f>IF(A788="",0,IF(AND(J788="Yes",E788&gt;0),E788,0))</f>
      </c>
      <c r="N788">
        <f>IF(A788="","",IF(D788="Category Pending","Needs categorization",IF(COUNTIFS($A$2:A788,A788,$B$2:B788,B788,$E$2:E788,E788)&gt;1,"Possible duplicate","")))</f>
      </c>
    </row>
    <row r="789" spans="3:14" x14ac:dyDescent="0.3">
      <c r="A789"/>
      <c r="C789" s="16"/>
      <c r="G789" s="5">
        <f>IF(A789="","","Checking")</f>
      </c>
      <c r="H789">
        <f>IF(A789="","",IFERROR(XLOOKUP(D789,Setup!$E$15:$E$79,Setup!$F$15:$F$79),"Miscellaneous"))</f>
      </c>
      <c r="I789">
        <f>IF(A789="","",IFERROR(XLOOKUP(D789,Setup!$E$15:$E$79,Setup!$G$15:$G$79),"Uncategorized"))</f>
      </c>
      <c r="J789">
        <f>IF(A789="","",IF(OR(H789="Transfers",H789="Income",D789="Transfer",D789="Category Pending",F789="Pending"),"No","Yes"))</f>
      </c>
      <c r="K789" s="4">
        <f>IF(A789="","",TEXT(IF(DAY(A789)&gt;=Setup!$B$9,DATE(YEAR(A789),MONTH(A789)+1,1),DATE(YEAR(A789),MONTH(A789),1)),"mmmm yyyy"))</f>
      </c>
      <c r="L789" s="47">
        <f>IF(A789="",0,IF(AND(J789="Yes",E789&lt;0),-E789,0))</f>
      </c>
      <c r="M789" s="47">
        <f>IF(A789="",0,IF(AND(J789="Yes",E789&gt;0),E789,0))</f>
      </c>
      <c r="N789">
        <f>IF(A789="","",IF(D789="Category Pending","Needs categorization",IF(COUNTIFS($A$2:A789,A789,$B$2:B789,B789,$E$2:E789,E789)&gt;1,"Possible duplicate","")))</f>
      </c>
    </row>
    <row r="790" spans="3:14" x14ac:dyDescent="0.3">
      <c r="A790"/>
      <c r="C790" s="16"/>
      <c r="G790" s="5">
        <f>IF(A790="","","Checking")</f>
      </c>
      <c r="H790">
        <f>IF(A790="","",IFERROR(XLOOKUP(D790,Setup!$E$15:$E$79,Setup!$F$15:$F$79),"Miscellaneous"))</f>
      </c>
      <c r="I790">
        <f>IF(A790="","",IFERROR(XLOOKUP(D790,Setup!$E$15:$E$79,Setup!$G$15:$G$79),"Uncategorized"))</f>
      </c>
      <c r="J790">
        <f>IF(A790="","",IF(OR(H790="Transfers",H790="Income",D790="Transfer",D790="Category Pending",F790="Pending"),"No","Yes"))</f>
      </c>
      <c r="K790" s="4">
        <f>IF(A790="","",TEXT(IF(DAY(A790)&gt;=Setup!$B$9,DATE(YEAR(A790),MONTH(A790)+1,1),DATE(YEAR(A790),MONTH(A790),1)),"mmmm yyyy"))</f>
      </c>
      <c r="L790" s="47">
        <f>IF(A790="",0,IF(AND(J790="Yes",E790&lt;0),-E790,0))</f>
      </c>
      <c r="M790" s="47">
        <f>IF(A790="",0,IF(AND(J790="Yes",E790&gt;0),E790,0))</f>
      </c>
      <c r="N790">
        <f>IF(A790="","",IF(D790="Category Pending","Needs categorization",IF(COUNTIFS($A$2:A790,A790,$B$2:B790,B790,$E$2:E790,E790)&gt;1,"Possible duplicate","")))</f>
      </c>
    </row>
    <row r="791" spans="3:14" x14ac:dyDescent="0.3">
      <c r="A791"/>
      <c r="C791" s="16"/>
      <c r="G791" s="5">
        <f>IF(A791="","","Checking")</f>
      </c>
      <c r="H791">
        <f>IF(A791="","",IFERROR(XLOOKUP(D791,Setup!$E$15:$E$79,Setup!$F$15:$F$79),"Miscellaneous"))</f>
      </c>
      <c r="I791">
        <f>IF(A791="","",IFERROR(XLOOKUP(D791,Setup!$E$15:$E$79,Setup!$G$15:$G$79),"Uncategorized"))</f>
      </c>
      <c r="J791">
        <f>IF(A791="","",IF(OR(H791="Transfers",H791="Income",D791="Transfer",D791="Category Pending",F791="Pending"),"No","Yes"))</f>
      </c>
      <c r="K791" s="4">
        <f>IF(A791="","",TEXT(IF(DAY(A791)&gt;=Setup!$B$9,DATE(YEAR(A791),MONTH(A791)+1,1),DATE(YEAR(A791),MONTH(A791),1)),"mmmm yyyy"))</f>
      </c>
      <c r="L791" s="47">
        <f>IF(A791="",0,IF(AND(J791="Yes",E791&lt;0),-E791,0))</f>
      </c>
      <c r="M791" s="47">
        <f>IF(A791="",0,IF(AND(J791="Yes",E791&gt;0),E791,0))</f>
      </c>
      <c r="N791">
        <f>IF(A791="","",IF(D791="Category Pending","Needs categorization",IF(COUNTIFS($A$2:A791,A791,$B$2:B791,B791,$E$2:E791,E791)&gt;1,"Possible duplicate","")))</f>
      </c>
    </row>
    <row r="792" spans="3:14" x14ac:dyDescent="0.3">
      <c r="A792"/>
      <c r="C792" s="16"/>
      <c r="G792" s="5">
        <f>IF(A792="","","Checking")</f>
      </c>
      <c r="H792">
        <f>IF(A792="","",IFERROR(XLOOKUP(D792,Setup!$E$15:$E$79,Setup!$F$15:$F$79),"Miscellaneous"))</f>
      </c>
      <c r="I792">
        <f>IF(A792="","",IFERROR(XLOOKUP(D792,Setup!$E$15:$E$79,Setup!$G$15:$G$79),"Uncategorized"))</f>
      </c>
      <c r="J792">
        <f>IF(A792="","",IF(OR(H792="Transfers",H792="Income",D792="Transfer",D792="Category Pending",F792="Pending"),"No","Yes"))</f>
      </c>
      <c r="K792" s="4">
        <f>IF(A792="","",TEXT(IF(DAY(A792)&gt;=Setup!$B$9,DATE(YEAR(A792),MONTH(A792)+1,1),DATE(YEAR(A792),MONTH(A792),1)),"mmmm yyyy"))</f>
      </c>
      <c r="L792" s="47">
        <f>IF(A792="",0,IF(AND(J792="Yes",E792&lt;0),-E792,0))</f>
      </c>
      <c r="M792" s="47">
        <f>IF(A792="",0,IF(AND(J792="Yes",E792&gt;0),E792,0))</f>
      </c>
      <c r="N792">
        <f>IF(A792="","",IF(D792="Category Pending","Needs categorization",IF(COUNTIFS($A$2:A792,A792,$B$2:B792,B792,$E$2:E792,E792)&gt;1,"Possible duplicate","")))</f>
      </c>
    </row>
    <row r="793" spans="3:14" x14ac:dyDescent="0.3">
      <c r="A793"/>
      <c r="C793" s="16"/>
      <c r="G793" s="5">
        <f>IF(A793="","","Checking")</f>
      </c>
      <c r="H793">
        <f>IF(A793="","",IFERROR(XLOOKUP(D793,Setup!$E$15:$E$79,Setup!$F$15:$F$79),"Miscellaneous"))</f>
      </c>
      <c r="I793">
        <f>IF(A793="","",IFERROR(XLOOKUP(D793,Setup!$E$15:$E$79,Setup!$G$15:$G$79),"Uncategorized"))</f>
      </c>
      <c r="J793">
        <f>IF(A793="","",IF(OR(H793="Transfers",H793="Income",D793="Transfer",D793="Category Pending",F793="Pending"),"No","Yes"))</f>
      </c>
      <c r="K793" s="4">
        <f>IF(A793="","",TEXT(IF(DAY(A793)&gt;=Setup!$B$9,DATE(YEAR(A793),MONTH(A793)+1,1),DATE(YEAR(A793),MONTH(A793),1)),"mmmm yyyy"))</f>
      </c>
      <c r="L793" s="47">
        <f>IF(A793="",0,IF(AND(J793="Yes",E793&lt;0),-E793,0))</f>
      </c>
      <c r="M793" s="47">
        <f>IF(A793="",0,IF(AND(J793="Yes",E793&gt;0),E793,0))</f>
      </c>
      <c r="N793">
        <f>IF(A793="","",IF(D793="Category Pending","Needs categorization",IF(COUNTIFS($A$2:A793,A793,$B$2:B793,B793,$E$2:E793,E793)&gt;1,"Possible duplicate","")))</f>
      </c>
    </row>
    <row r="794" spans="3:14" x14ac:dyDescent="0.3">
      <c r="A794"/>
      <c r="C794" s="16"/>
      <c r="G794" s="5">
        <f>IF(A794="","","Checking")</f>
      </c>
      <c r="H794">
        <f>IF(A794="","",IFERROR(XLOOKUP(D794,Setup!$E$15:$E$79,Setup!$F$15:$F$79),"Miscellaneous"))</f>
      </c>
      <c r="I794">
        <f>IF(A794="","",IFERROR(XLOOKUP(D794,Setup!$E$15:$E$79,Setup!$G$15:$G$79),"Uncategorized"))</f>
      </c>
      <c r="J794">
        <f>IF(A794="","",IF(OR(H794="Transfers",H794="Income",D794="Transfer",D794="Category Pending",F794="Pending"),"No","Yes"))</f>
      </c>
      <c r="K794" s="4">
        <f>IF(A794="","",TEXT(IF(DAY(A794)&gt;=Setup!$B$9,DATE(YEAR(A794),MONTH(A794)+1,1),DATE(YEAR(A794),MONTH(A794),1)),"mmmm yyyy"))</f>
      </c>
      <c r="L794" s="47">
        <f>IF(A794="",0,IF(AND(J794="Yes",E794&lt;0),-E794,0))</f>
      </c>
      <c r="M794" s="47">
        <f>IF(A794="",0,IF(AND(J794="Yes",E794&gt;0),E794,0))</f>
      </c>
      <c r="N794">
        <f>IF(A794="","",IF(D794="Category Pending","Needs categorization",IF(COUNTIFS($A$2:A794,A794,$B$2:B794,B794,$E$2:E794,E794)&gt;1,"Possible duplicate","")))</f>
      </c>
    </row>
    <row r="795" spans="3:14" x14ac:dyDescent="0.3">
      <c r="A795"/>
      <c r="C795" s="16"/>
      <c r="G795" s="5">
        <f>IF(A795="","","Checking")</f>
      </c>
      <c r="H795">
        <f>IF(A795="","",IFERROR(XLOOKUP(D795,Setup!$E$15:$E$79,Setup!$F$15:$F$79),"Miscellaneous"))</f>
      </c>
      <c r="I795">
        <f>IF(A795="","",IFERROR(XLOOKUP(D795,Setup!$E$15:$E$79,Setup!$G$15:$G$79),"Uncategorized"))</f>
      </c>
      <c r="J795">
        <f>IF(A795="","",IF(OR(H795="Transfers",H795="Income",D795="Transfer",D795="Category Pending",F795="Pending"),"No","Yes"))</f>
      </c>
      <c r="K795" s="4">
        <f>IF(A795="","",TEXT(IF(DAY(A795)&gt;=Setup!$B$9,DATE(YEAR(A795),MONTH(A795)+1,1),DATE(YEAR(A795),MONTH(A795),1)),"mmmm yyyy"))</f>
      </c>
      <c r="L795" s="47">
        <f>IF(A795="",0,IF(AND(J795="Yes",E795&lt;0),-E795,0))</f>
      </c>
      <c r="M795" s="47">
        <f>IF(A795="",0,IF(AND(J795="Yes",E795&gt;0),E795,0))</f>
      </c>
      <c r="N795">
        <f>IF(A795="","",IF(D795="Category Pending","Needs categorization",IF(COUNTIFS($A$2:A795,A795,$B$2:B795,B795,$E$2:E795,E795)&gt;1,"Possible duplicate","")))</f>
      </c>
    </row>
    <row r="796" spans="3:14" x14ac:dyDescent="0.3">
      <c r="A796"/>
      <c r="C796" s="16"/>
      <c r="G796" s="5">
        <f>IF(A796="","","Checking")</f>
      </c>
      <c r="H796">
        <f>IF(A796="","",IFERROR(XLOOKUP(D796,Setup!$E$15:$E$79,Setup!$F$15:$F$79),"Miscellaneous"))</f>
      </c>
      <c r="I796">
        <f>IF(A796="","",IFERROR(XLOOKUP(D796,Setup!$E$15:$E$79,Setup!$G$15:$G$79),"Uncategorized"))</f>
      </c>
      <c r="J796">
        <f>IF(A796="","",IF(OR(H796="Transfers",H796="Income",D796="Transfer",D796="Category Pending",F796="Pending"),"No","Yes"))</f>
      </c>
      <c r="K796" s="4">
        <f>IF(A796="","",TEXT(IF(DAY(A796)&gt;=Setup!$B$9,DATE(YEAR(A796),MONTH(A796)+1,1),DATE(YEAR(A796),MONTH(A796),1)),"mmmm yyyy"))</f>
      </c>
      <c r="L796" s="47">
        <f>IF(A796="",0,IF(AND(J796="Yes",E796&lt;0),-E796,0))</f>
      </c>
      <c r="M796" s="47">
        <f>IF(A796="",0,IF(AND(J796="Yes",E796&gt;0),E796,0))</f>
      </c>
      <c r="N796">
        <f>IF(A796="","",IF(D796="Category Pending","Needs categorization",IF(COUNTIFS($A$2:A796,A796,$B$2:B796,B796,$E$2:E796,E796)&gt;1,"Possible duplicate","")))</f>
      </c>
    </row>
    <row r="797" spans="3:14" x14ac:dyDescent="0.3">
      <c r="A797"/>
      <c r="C797" s="16"/>
      <c r="G797" s="5">
        <f>IF(A797="","","Checking")</f>
      </c>
      <c r="H797">
        <f>IF(A797="","",IFERROR(XLOOKUP(D797,Setup!$E$15:$E$79,Setup!$F$15:$F$79),"Miscellaneous"))</f>
      </c>
      <c r="I797">
        <f>IF(A797="","",IFERROR(XLOOKUP(D797,Setup!$E$15:$E$79,Setup!$G$15:$G$79),"Uncategorized"))</f>
      </c>
      <c r="J797">
        <f>IF(A797="","",IF(OR(H797="Transfers",H797="Income",D797="Transfer",D797="Category Pending",F797="Pending"),"No","Yes"))</f>
      </c>
      <c r="K797" s="4">
        <f>IF(A797="","",TEXT(IF(DAY(A797)&gt;=Setup!$B$9,DATE(YEAR(A797),MONTH(A797)+1,1),DATE(YEAR(A797),MONTH(A797),1)),"mmmm yyyy"))</f>
      </c>
      <c r="L797" s="47">
        <f>IF(A797="",0,IF(AND(J797="Yes",E797&lt;0),-E797,0))</f>
      </c>
      <c r="M797" s="47">
        <f>IF(A797="",0,IF(AND(J797="Yes",E797&gt;0),E797,0))</f>
      </c>
      <c r="N797">
        <f>IF(A797="","",IF(D797="Category Pending","Needs categorization",IF(COUNTIFS($A$2:A797,A797,$B$2:B797,B797,$E$2:E797,E797)&gt;1,"Possible duplicate","")))</f>
      </c>
    </row>
    <row r="798" spans="3:14" x14ac:dyDescent="0.3">
      <c r="A798"/>
      <c r="C798" s="16"/>
      <c r="G798" s="5">
        <f>IF(A798="","","Checking")</f>
      </c>
      <c r="H798">
        <f>IF(A798="","",IFERROR(XLOOKUP(D798,Setup!$E$15:$E$79,Setup!$F$15:$F$79),"Miscellaneous"))</f>
      </c>
      <c r="I798">
        <f>IF(A798="","",IFERROR(XLOOKUP(D798,Setup!$E$15:$E$79,Setup!$G$15:$G$79),"Uncategorized"))</f>
      </c>
      <c r="J798">
        <f>IF(A798="","",IF(OR(H798="Transfers",H798="Income",D798="Transfer",D798="Category Pending",F798="Pending"),"No","Yes"))</f>
      </c>
      <c r="K798" s="4">
        <f>IF(A798="","",TEXT(IF(DAY(A798)&gt;=Setup!$B$9,DATE(YEAR(A798),MONTH(A798)+1,1),DATE(YEAR(A798),MONTH(A798),1)),"mmmm yyyy"))</f>
      </c>
      <c r="L798" s="47">
        <f>IF(A798="",0,IF(AND(J798="Yes",E798&lt;0),-E798,0))</f>
      </c>
      <c r="M798" s="47">
        <f>IF(A798="",0,IF(AND(J798="Yes",E798&gt;0),E798,0))</f>
      </c>
      <c r="N798">
        <f>IF(A798="","",IF(D798="Category Pending","Needs categorization",IF(COUNTIFS($A$2:A798,A798,$B$2:B798,B798,$E$2:E798,E798)&gt;1,"Possible duplicate","")))</f>
      </c>
    </row>
    <row r="799" spans="3:14" x14ac:dyDescent="0.3">
      <c r="A799"/>
      <c r="C799" s="16"/>
      <c r="G799" s="5">
        <f>IF(A799="","","Checking")</f>
      </c>
      <c r="H799">
        <f>IF(A799="","",IFERROR(XLOOKUP(D799,Setup!$E$15:$E$79,Setup!$F$15:$F$79),"Miscellaneous"))</f>
      </c>
      <c r="I799">
        <f>IF(A799="","",IFERROR(XLOOKUP(D799,Setup!$E$15:$E$79,Setup!$G$15:$G$79),"Uncategorized"))</f>
      </c>
      <c r="J799">
        <f>IF(A799="","",IF(OR(H799="Transfers",H799="Income",D799="Transfer",D799="Category Pending",F799="Pending"),"No","Yes"))</f>
      </c>
      <c r="K799" s="4">
        <f>IF(A799="","",TEXT(IF(DAY(A799)&gt;=Setup!$B$9,DATE(YEAR(A799),MONTH(A799)+1,1),DATE(YEAR(A799),MONTH(A799),1)),"mmmm yyyy"))</f>
      </c>
      <c r="L799" s="47">
        <f>IF(A799="",0,IF(AND(J799="Yes",E799&lt;0),-E799,0))</f>
      </c>
      <c r="M799" s="47">
        <f>IF(A799="",0,IF(AND(J799="Yes",E799&gt;0),E799,0))</f>
      </c>
      <c r="N799">
        <f>IF(A799="","",IF(D799="Category Pending","Needs categorization",IF(COUNTIFS($A$2:A799,A799,$B$2:B799,B799,$E$2:E799,E799)&gt;1,"Possible duplicate","")))</f>
      </c>
    </row>
    <row r="800" spans="3:14" x14ac:dyDescent="0.3">
      <c r="A800"/>
      <c r="C800" s="16"/>
      <c r="G800" s="5">
        <f>IF(A800="","","Checking")</f>
      </c>
      <c r="H800">
        <f>IF(A800="","",IFERROR(XLOOKUP(D800,Setup!$E$15:$E$79,Setup!$F$15:$F$79),"Miscellaneous"))</f>
      </c>
      <c r="I800">
        <f>IF(A800="","",IFERROR(XLOOKUP(D800,Setup!$E$15:$E$79,Setup!$G$15:$G$79),"Uncategorized"))</f>
      </c>
      <c r="J800">
        <f>IF(A800="","",IF(OR(H800="Transfers",H800="Income",D800="Transfer",D800="Category Pending",F800="Pending"),"No","Yes"))</f>
      </c>
      <c r="K800" s="4">
        <f>IF(A800="","",TEXT(IF(DAY(A800)&gt;=Setup!$B$9,DATE(YEAR(A800),MONTH(A800)+1,1),DATE(YEAR(A800),MONTH(A800),1)),"mmmm yyyy"))</f>
      </c>
      <c r="L800" s="47">
        <f>IF(A800="",0,IF(AND(J800="Yes",E800&lt;0),-E800,0))</f>
      </c>
      <c r="M800" s="47">
        <f>IF(A800="",0,IF(AND(J800="Yes",E800&gt;0),E800,0))</f>
      </c>
      <c r="N800">
        <f>IF(A800="","",IF(D800="Category Pending","Needs categorization",IF(COUNTIFS($A$2:A800,A800,$B$2:B800,B800,$E$2:E800,E800)&gt;1,"Possible duplicate","")))</f>
      </c>
    </row>
    <row r="801" spans="3:14" x14ac:dyDescent="0.3">
      <c r="A801"/>
      <c r="C801" s="16"/>
      <c r="G801" s="5">
        <f>IF(A801="","","Checking")</f>
      </c>
      <c r="H801">
        <f>IF(A801="","",IFERROR(XLOOKUP(D801,Setup!$E$15:$E$79,Setup!$F$15:$F$79),"Miscellaneous"))</f>
      </c>
      <c r="I801">
        <f>IF(A801="","",IFERROR(XLOOKUP(D801,Setup!$E$15:$E$79,Setup!$G$15:$G$79),"Uncategorized"))</f>
      </c>
      <c r="J801">
        <f>IF(A801="","",IF(OR(H801="Transfers",H801="Income",D801="Transfer",D801="Category Pending",F801="Pending"),"No","Yes"))</f>
      </c>
      <c r="K801" s="4">
        <f>IF(A801="","",TEXT(IF(DAY(A801)&gt;=Setup!$B$9,DATE(YEAR(A801),MONTH(A801)+1,1),DATE(YEAR(A801),MONTH(A801),1)),"mmmm yyyy"))</f>
      </c>
      <c r="L801" s="47">
        <f>IF(A801="",0,IF(AND(J801="Yes",E801&lt;0),-E801,0))</f>
      </c>
      <c r="M801" s="47">
        <f>IF(A801="",0,IF(AND(J801="Yes",E801&gt;0),E801,0))</f>
      </c>
      <c r="N801">
        <f>IF(A801="","",IF(D801="Category Pending","Needs categorization",IF(COUNTIFS($A$2:A801,A801,$B$2:B801,B801,$E$2:E801,E801)&gt;1,"Possible duplicate","")))</f>
      </c>
    </row>
    <row r="802" spans="3:14" x14ac:dyDescent="0.3">
      <c r="A802"/>
      <c r="C802" s="16"/>
      <c r="G802" s="5">
        <f>IF(A802="","","Checking")</f>
      </c>
      <c r="H802">
        <f>IF(A802="","",IFERROR(XLOOKUP(D802,Setup!$E$15:$E$79,Setup!$F$15:$F$79),"Miscellaneous"))</f>
      </c>
      <c r="I802">
        <f>IF(A802="","",IFERROR(XLOOKUP(D802,Setup!$E$15:$E$79,Setup!$G$15:$G$79),"Uncategorized"))</f>
      </c>
      <c r="J802">
        <f>IF(A802="","",IF(OR(H802="Transfers",H802="Income",D802="Transfer",D802="Category Pending",F802="Pending"),"No","Yes"))</f>
      </c>
      <c r="K802" s="4">
        <f>IF(A802="","",TEXT(IF(DAY(A802)&gt;=Setup!$B$9,DATE(YEAR(A802),MONTH(A802)+1,1),DATE(YEAR(A802),MONTH(A802),1)),"mmmm yyyy"))</f>
      </c>
      <c r="L802" s="47">
        <f>IF(A802="",0,IF(AND(J802="Yes",E802&lt;0),-E802,0))</f>
      </c>
      <c r="M802" s="47">
        <f>IF(A802="",0,IF(AND(J802="Yes",E802&gt;0),E802,0))</f>
      </c>
      <c r="N802">
        <f>IF(A802="","",IF(D802="Category Pending","Needs categorization",IF(COUNTIFS($A$2:A802,A802,$B$2:B802,B802,$E$2:E802,E802)&gt;1,"Possible duplicate","")))</f>
      </c>
    </row>
    <row r="803" spans="3:14" x14ac:dyDescent="0.3">
      <c r="A803"/>
      <c r="C803" s="16"/>
      <c r="G803" s="5">
        <f>IF(A803="","","Checking")</f>
      </c>
      <c r="H803">
        <f>IF(A803="","",IFERROR(XLOOKUP(D803,Setup!$E$15:$E$79,Setup!$F$15:$F$79),"Miscellaneous"))</f>
      </c>
      <c r="I803">
        <f>IF(A803="","",IFERROR(XLOOKUP(D803,Setup!$E$15:$E$79,Setup!$G$15:$G$79),"Uncategorized"))</f>
      </c>
      <c r="J803">
        <f>IF(A803="","",IF(OR(H803="Transfers",H803="Income",D803="Transfer",D803="Category Pending",F803="Pending"),"No","Yes"))</f>
      </c>
      <c r="K803" s="4">
        <f>IF(A803="","",TEXT(IF(DAY(A803)&gt;=Setup!$B$9,DATE(YEAR(A803),MONTH(A803)+1,1),DATE(YEAR(A803),MONTH(A803),1)),"mmmm yyyy"))</f>
      </c>
      <c r="L803" s="47">
        <f>IF(A803="",0,IF(AND(J803="Yes",E803&lt;0),-E803,0))</f>
      </c>
      <c r="M803" s="47">
        <f>IF(A803="",0,IF(AND(J803="Yes",E803&gt;0),E803,0))</f>
      </c>
      <c r="N803">
        <f>IF(A803="","",IF(D803="Category Pending","Needs categorization",IF(COUNTIFS($A$2:A803,A803,$B$2:B803,B803,$E$2:E803,E803)&gt;1,"Possible duplicate","")))</f>
      </c>
    </row>
    <row r="804" spans="3:14" x14ac:dyDescent="0.3">
      <c r="A804"/>
      <c r="C804" s="16"/>
      <c r="G804" s="5">
        <f>IF(A804="","","Checking")</f>
      </c>
      <c r="H804">
        <f>IF(A804="","",IFERROR(XLOOKUP(D804,Setup!$E$15:$E$79,Setup!$F$15:$F$79),"Miscellaneous"))</f>
      </c>
      <c r="I804">
        <f>IF(A804="","",IFERROR(XLOOKUP(D804,Setup!$E$15:$E$79,Setup!$G$15:$G$79),"Uncategorized"))</f>
      </c>
      <c r="J804">
        <f>IF(A804="","",IF(OR(H804="Transfers",H804="Income",D804="Transfer",D804="Category Pending",F804="Pending"),"No","Yes"))</f>
      </c>
      <c r="K804" s="4">
        <f>IF(A804="","",TEXT(IF(DAY(A804)&gt;=Setup!$B$9,DATE(YEAR(A804),MONTH(A804)+1,1),DATE(YEAR(A804),MONTH(A804),1)),"mmmm yyyy"))</f>
      </c>
      <c r="L804" s="47">
        <f>IF(A804="",0,IF(AND(J804="Yes",E804&lt;0),-E804,0))</f>
      </c>
      <c r="M804" s="47">
        <f>IF(A804="",0,IF(AND(J804="Yes",E804&gt;0),E804,0))</f>
      </c>
      <c r="N804">
        <f>IF(A804="","",IF(D804="Category Pending","Needs categorization",IF(COUNTIFS($A$2:A804,A804,$B$2:B804,B804,$E$2:E804,E804)&gt;1,"Possible duplicate","")))</f>
      </c>
    </row>
    <row r="805" spans="3:14" x14ac:dyDescent="0.3">
      <c r="A805"/>
      <c r="C805" s="16"/>
      <c r="G805" s="5">
        <f>IF(A805="","","Checking")</f>
      </c>
      <c r="H805">
        <f>IF(A805="","",IFERROR(XLOOKUP(D805,Setup!$E$15:$E$79,Setup!$F$15:$F$79),"Miscellaneous"))</f>
      </c>
      <c r="I805">
        <f>IF(A805="","",IFERROR(XLOOKUP(D805,Setup!$E$15:$E$79,Setup!$G$15:$G$79),"Uncategorized"))</f>
      </c>
      <c r="J805">
        <f>IF(A805="","",IF(OR(H805="Transfers",H805="Income",D805="Transfer",D805="Category Pending",F805="Pending"),"No","Yes"))</f>
      </c>
      <c r="K805" s="4">
        <f>IF(A805="","",TEXT(IF(DAY(A805)&gt;=Setup!$B$9,DATE(YEAR(A805),MONTH(A805)+1,1),DATE(YEAR(A805),MONTH(A805),1)),"mmmm yyyy"))</f>
      </c>
      <c r="L805" s="47">
        <f>IF(A805="",0,IF(AND(J805="Yes",E805&lt;0),-E805,0))</f>
      </c>
      <c r="M805" s="47">
        <f>IF(A805="",0,IF(AND(J805="Yes",E805&gt;0),E805,0))</f>
      </c>
      <c r="N805">
        <f>IF(A805="","",IF(D805="Category Pending","Needs categorization",IF(COUNTIFS($A$2:A805,A805,$B$2:B805,B805,$E$2:E805,E805)&gt;1,"Possible duplicate","")))</f>
      </c>
    </row>
    <row r="806" spans="3:14" x14ac:dyDescent="0.3">
      <c r="A806"/>
      <c r="C806" s="16"/>
      <c r="G806" s="5">
        <f>IF(A806="","","Checking")</f>
      </c>
      <c r="H806">
        <f>IF(A806="","",IFERROR(XLOOKUP(D806,Setup!$E$15:$E$79,Setup!$F$15:$F$79),"Miscellaneous"))</f>
      </c>
      <c r="I806">
        <f>IF(A806="","",IFERROR(XLOOKUP(D806,Setup!$E$15:$E$79,Setup!$G$15:$G$79),"Uncategorized"))</f>
      </c>
      <c r="J806">
        <f>IF(A806="","",IF(OR(H806="Transfers",H806="Income",D806="Transfer",D806="Category Pending",F806="Pending"),"No","Yes"))</f>
      </c>
      <c r="K806" s="4">
        <f>IF(A806="","",TEXT(IF(DAY(A806)&gt;=Setup!$B$9,DATE(YEAR(A806),MONTH(A806)+1,1),DATE(YEAR(A806),MONTH(A806),1)),"mmmm yyyy"))</f>
      </c>
      <c r="L806" s="47">
        <f>IF(A806="",0,IF(AND(J806="Yes",E806&lt;0),-E806,0))</f>
      </c>
      <c r="M806" s="47">
        <f>IF(A806="",0,IF(AND(J806="Yes",E806&gt;0),E806,0))</f>
      </c>
      <c r="N806">
        <f>IF(A806="","",IF(D806="Category Pending","Needs categorization",IF(COUNTIFS($A$2:A806,A806,$B$2:B806,B806,$E$2:E806,E806)&gt;1,"Possible duplicate","")))</f>
      </c>
    </row>
    <row r="807" spans="3:14" x14ac:dyDescent="0.3">
      <c r="A807"/>
      <c r="C807" s="16"/>
      <c r="G807" s="5">
        <f>IF(A807="","","Checking")</f>
      </c>
      <c r="H807">
        <f>IF(A807="","",IFERROR(XLOOKUP(D807,Setup!$E$15:$E$79,Setup!$F$15:$F$79),"Miscellaneous"))</f>
      </c>
      <c r="I807">
        <f>IF(A807="","",IFERROR(XLOOKUP(D807,Setup!$E$15:$E$79,Setup!$G$15:$G$79),"Uncategorized"))</f>
      </c>
      <c r="J807">
        <f>IF(A807="","",IF(OR(H807="Transfers",H807="Income",D807="Transfer",D807="Category Pending",F807="Pending"),"No","Yes"))</f>
      </c>
      <c r="K807" s="4">
        <f>IF(A807="","",TEXT(IF(DAY(A807)&gt;=Setup!$B$9,DATE(YEAR(A807),MONTH(A807)+1,1),DATE(YEAR(A807),MONTH(A807),1)),"mmmm yyyy"))</f>
      </c>
      <c r="L807" s="47">
        <f>IF(A807="",0,IF(AND(J807="Yes",E807&lt;0),-E807,0))</f>
      </c>
      <c r="M807" s="47">
        <f>IF(A807="",0,IF(AND(J807="Yes",E807&gt;0),E807,0))</f>
      </c>
      <c r="N807">
        <f>IF(A807="","",IF(D807="Category Pending","Needs categorization",IF(COUNTIFS($A$2:A807,A807,$B$2:B807,B807,$E$2:E807,E807)&gt;1,"Possible duplicate","")))</f>
      </c>
    </row>
    <row r="808" spans="3:14" x14ac:dyDescent="0.3">
      <c r="A808"/>
      <c r="C808" s="16"/>
      <c r="G808" s="5">
        <f>IF(A808="","","Checking")</f>
      </c>
      <c r="H808">
        <f>IF(A808="","",IFERROR(XLOOKUP(D808,Setup!$E$15:$E$79,Setup!$F$15:$F$79),"Miscellaneous"))</f>
      </c>
      <c r="I808">
        <f>IF(A808="","",IFERROR(XLOOKUP(D808,Setup!$E$15:$E$79,Setup!$G$15:$G$79),"Uncategorized"))</f>
      </c>
      <c r="J808">
        <f>IF(A808="","",IF(OR(H808="Transfers",H808="Income",D808="Transfer",D808="Category Pending",F808="Pending"),"No","Yes"))</f>
      </c>
      <c r="K808" s="4">
        <f>IF(A808="","",TEXT(IF(DAY(A808)&gt;=Setup!$B$9,DATE(YEAR(A808),MONTH(A808)+1,1),DATE(YEAR(A808),MONTH(A808),1)),"mmmm yyyy"))</f>
      </c>
      <c r="L808" s="47">
        <f>IF(A808="",0,IF(AND(J808="Yes",E808&lt;0),-E808,0))</f>
      </c>
      <c r="M808" s="47">
        <f>IF(A808="",0,IF(AND(J808="Yes",E808&gt;0),E808,0))</f>
      </c>
      <c r="N808">
        <f>IF(A808="","",IF(D808="Category Pending","Needs categorization",IF(COUNTIFS($A$2:A808,A808,$B$2:B808,B808,$E$2:E808,E808)&gt;1,"Possible duplicate","")))</f>
      </c>
    </row>
    <row r="809" spans="3:14" x14ac:dyDescent="0.3">
      <c r="A809"/>
      <c r="C809" s="16"/>
      <c r="G809" s="5">
        <f>IF(A809="","","Checking")</f>
      </c>
      <c r="H809">
        <f>IF(A809="","",IFERROR(XLOOKUP(D809,Setup!$E$15:$E$79,Setup!$F$15:$F$79),"Miscellaneous"))</f>
      </c>
      <c r="I809">
        <f>IF(A809="","",IFERROR(XLOOKUP(D809,Setup!$E$15:$E$79,Setup!$G$15:$G$79),"Uncategorized"))</f>
      </c>
      <c r="J809">
        <f>IF(A809="","",IF(OR(H809="Transfers",H809="Income",D809="Transfer",D809="Category Pending",F809="Pending"),"No","Yes"))</f>
      </c>
      <c r="K809" s="4">
        <f>IF(A809="","",TEXT(IF(DAY(A809)&gt;=Setup!$B$9,DATE(YEAR(A809),MONTH(A809)+1,1),DATE(YEAR(A809),MONTH(A809),1)),"mmmm yyyy"))</f>
      </c>
      <c r="L809" s="47">
        <f>IF(A809="",0,IF(AND(J809="Yes",E809&lt;0),-E809,0))</f>
      </c>
      <c r="M809" s="47">
        <f>IF(A809="",0,IF(AND(J809="Yes",E809&gt;0),E809,0))</f>
      </c>
      <c r="N809">
        <f>IF(A809="","",IF(D809="Category Pending","Needs categorization",IF(COUNTIFS($A$2:A809,A809,$B$2:B809,B809,$E$2:E809,E809)&gt;1,"Possible duplicate","")))</f>
      </c>
    </row>
    <row r="810" spans="3:14" x14ac:dyDescent="0.3">
      <c r="A810"/>
      <c r="C810" s="16"/>
      <c r="G810" s="5">
        <f>IF(A810="","","Checking")</f>
      </c>
      <c r="H810">
        <f>IF(A810="","",IFERROR(XLOOKUP(D810,Setup!$E$15:$E$79,Setup!$F$15:$F$79),"Miscellaneous"))</f>
      </c>
      <c r="I810">
        <f>IF(A810="","",IFERROR(XLOOKUP(D810,Setup!$E$15:$E$79,Setup!$G$15:$G$79),"Uncategorized"))</f>
      </c>
      <c r="J810">
        <f>IF(A810="","",IF(OR(H810="Transfers",H810="Income",D810="Transfer",D810="Category Pending",F810="Pending"),"No","Yes"))</f>
      </c>
      <c r="K810" s="4">
        <f>IF(A810="","",TEXT(IF(DAY(A810)&gt;=Setup!$B$9,DATE(YEAR(A810),MONTH(A810)+1,1),DATE(YEAR(A810),MONTH(A810),1)),"mmmm yyyy"))</f>
      </c>
      <c r="L810" s="47">
        <f>IF(A810="",0,IF(AND(J810="Yes",E810&lt;0),-E810,0))</f>
      </c>
      <c r="M810" s="47">
        <f>IF(A810="",0,IF(AND(J810="Yes",E810&gt;0),E810,0))</f>
      </c>
      <c r="N810">
        <f>IF(A810="","",IF(D810="Category Pending","Needs categorization",IF(COUNTIFS($A$2:A810,A810,$B$2:B810,B810,$E$2:E810,E810)&gt;1,"Possible duplicate","")))</f>
      </c>
    </row>
    <row r="811" spans="3:14" x14ac:dyDescent="0.3">
      <c r="A811"/>
      <c r="C811" s="16"/>
      <c r="G811" s="5">
        <f>IF(A811="","","Checking")</f>
      </c>
      <c r="H811">
        <f>IF(A811="","",IFERROR(XLOOKUP(D811,Setup!$E$15:$E$79,Setup!$F$15:$F$79),"Miscellaneous"))</f>
      </c>
      <c r="I811">
        <f>IF(A811="","",IFERROR(XLOOKUP(D811,Setup!$E$15:$E$79,Setup!$G$15:$G$79),"Uncategorized"))</f>
      </c>
      <c r="J811">
        <f>IF(A811="","",IF(OR(H811="Transfers",H811="Income",D811="Transfer",D811="Category Pending",F811="Pending"),"No","Yes"))</f>
      </c>
      <c r="K811" s="4">
        <f>IF(A811="","",TEXT(IF(DAY(A811)&gt;=Setup!$B$9,DATE(YEAR(A811),MONTH(A811)+1,1),DATE(YEAR(A811),MONTH(A811),1)),"mmmm yyyy"))</f>
      </c>
      <c r="L811" s="47">
        <f>IF(A811="",0,IF(AND(J811="Yes",E811&lt;0),-E811,0))</f>
      </c>
      <c r="M811" s="47">
        <f>IF(A811="",0,IF(AND(J811="Yes",E811&gt;0),E811,0))</f>
      </c>
      <c r="N811">
        <f>IF(A811="","",IF(D811="Category Pending","Needs categorization",IF(COUNTIFS($A$2:A811,A811,$B$2:B811,B811,$E$2:E811,E811)&gt;1,"Possible duplicate","")))</f>
      </c>
    </row>
    <row r="812" spans="3:14" x14ac:dyDescent="0.3">
      <c r="A812"/>
      <c r="C812" s="16"/>
      <c r="G812" s="5">
        <f>IF(A812="","","Checking")</f>
      </c>
      <c r="H812">
        <f>IF(A812="","",IFERROR(XLOOKUP(D812,Setup!$E$15:$E$79,Setup!$F$15:$F$79),"Miscellaneous"))</f>
      </c>
      <c r="I812">
        <f>IF(A812="","",IFERROR(XLOOKUP(D812,Setup!$E$15:$E$79,Setup!$G$15:$G$79),"Uncategorized"))</f>
      </c>
      <c r="J812">
        <f>IF(A812="","",IF(OR(H812="Transfers",H812="Income",D812="Transfer",D812="Category Pending",F812="Pending"),"No","Yes"))</f>
      </c>
      <c r="K812" s="4">
        <f>IF(A812="","",TEXT(IF(DAY(A812)&gt;=Setup!$B$9,DATE(YEAR(A812),MONTH(A812)+1,1),DATE(YEAR(A812),MONTH(A812),1)),"mmmm yyyy"))</f>
      </c>
      <c r="L812" s="47">
        <f>IF(A812="",0,IF(AND(J812="Yes",E812&lt;0),-E812,0))</f>
      </c>
      <c r="M812" s="47">
        <f>IF(A812="",0,IF(AND(J812="Yes",E812&gt;0),E812,0))</f>
      </c>
      <c r="N812">
        <f>IF(A812="","",IF(D812="Category Pending","Needs categorization",IF(COUNTIFS($A$2:A812,A812,$B$2:B812,B812,$E$2:E812,E812)&gt;1,"Possible duplicate","")))</f>
      </c>
    </row>
    <row r="813" spans="3:14" x14ac:dyDescent="0.3">
      <c r="A813"/>
      <c r="C813" s="16"/>
      <c r="G813" s="5">
        <f>IF(A813="","","Checking")</f>
      </c>
      <c r="H813">
        <f>IF(A813="","",IFERROR(XLOOKUP(D813,Setup!$E$15:$E$79,Setup!$F$15:$F$79),"Miscellaneous"))</f>
      </c>
      <c r="I813">
        <f>IF(A813="","",IFERROR(XLOOKUP(D813,Setup!$E$15:$E$79,Setup!$G$15:$G$79),"Uncategorized"))</f>
      </c>
      <c r="J813">
        <f>IF(A813="","",IF(OR(H813="Transfers",H813="Income",D813="Transfer",D813="Category Pending",F813="Pending"),"No","Yes"))</f>
      </c>
      <c r="K813" s="4">
        <f>IF(A813="","",TEXT(IF(DAY(A813)&gt;=Setup!$B$9,DATE(YEAR(A813),MONTH(A813)+1,1),DATE(YEAR(A813),MONTH(A813),1)),"mmmm yyyy"))</f>
      </c>
      <c r="L813" s="47">
        <f>IF(A813="",0,IF(AND(J813="Yes",E813&lt;0),-E813,0))</f>
      </c>
      <c r="M813" s="47">
        <f>IF(A813="",0,IF(AND(J813="Yes",E813&gt;0),E813,0))</f>
      </c>
      <c r="N813">
        <f>IF(A813="","",IF(D813="Category Pending","Needs categorization",IF(COUNTIFS($A$2:A813,A813,$B$2:B813,B813,$E$2:E813,E813)&gt;1,"Possible duplicate","")))</f>
      </c>
    </row>
    <row r="814" spans="3:14" x14ac:dyDescent="0.3">
      <c r="A814"/>
      <c r="C814" s="16"/>
      <c r="G814" s="5">
        <f>IF(A814="","","Checking")</f>
      </c>
      <c r="H814">
        <f>IF(A814="","",IFERROR(XLOOKUP(D814,Setup!$E$15:$E$79,Setup!$F$15:$F$79),"Miscellaneous"))</f>
      </c>
      <c r="I814">
        <f>IF(A814="","",IFERROR(XLOOKUP(D814,Setup!$E$15:$E$79,Setup!$G$15:$G$79),"Uncategorized"))</f>
      </c>
      <c r="J814">
        <f>IF(A814="","",IF(OR(H814="Transfers",H814="Income",D814="Transfer",D814="Category Pending",F814="Pending"),"No","Yes"))</f>
      </c>
      <c r="K814" s="4">
        <f>IF(A814="","",TEXT(IF(DAY(A814)&gt;=Setup!$B$9,DATE(YEAR(A814),MONTH(A814)+1,1),DATE(YEAR(A814),MONTH(A814),1)),"mmmm yyyy"))</f>
      </c>
      <c r="L814" s="47">
        <f>IF(A814="",0,IF(AND(J814="Yes",E814&lt;0),-E814,0))</f>
      </c>
      <c r="M814" s="47">
        <f>IF(A814="",0,IF(AND(J814="Yes",E814&gt;0),E814,0))</f>
      </c>
      <c r="N814">
        <f>IF(A814="","",IF(D814="Category Pending","Needs categorization",IF(COUNTIFS($A$2:A814,A814,$B$2:B814,B814,$E$2:E814,E814)&gt;1,"Possible duplicate","")))</f>
      </c>
    </row>
    <row r="815" spans="3:14" x14ac:dyDescent="0.3">
      <c r="A815"/>
      <c r="C815" s="16"/>
      <c r="G815" s="5">
        <f>IF(A815="","","Checking")</f>
      </c>
      <c r="H815">
        <f>IF(A815="","",IFERROR(XLOOKUP(D815,Setup!$E$15:$E$79,Setup!$F$15:$F$79),"Miscellaneous"))</f>
      </c>
      <c r="I815">
        <f>IF(A815="","",IFERROR(XLOOKUP(D815,Setup!$E$15:$E$79,Setup!$G$15:$G$79),"Uncategorized"))</f>
      </c>
      <c r="J815">
        <f>IF(A815="","",IF(OR(H815="Transfers",H815="Income",D815="Transfer",D815="Category Pending",F815="Pending"),"No","Yes"))</f>
      </c>
      <c r="K815" s="4">
        <f>IF(A815="","",TEXT(IF(DAY(A815)&gt;=Setup!$B$9,DATE(YEAR(A815),MONTH(A815)+1,1),DATE(YEAR(A815),MONTH(A815),1)),"mmmm yyyy"))</f>
      </c>
      <c r="L815" s="47">
        <f>IF(A815="",0,IF(AND(J815="Yes",E815&lt;0),-E815,0))</f>
      </c>
      <c r="M815" s="47">
        <f>IF(A815="",0,IF(AND(J815="Yes",E815&gt;0),E815,0))</f>
      </c>
      <c r="N815">
        <f>IF(A815="","",IF(D815="Category Pending","Needs categorization",IF(COUNTIFS($A$2:A815,A815,$B$2:B815,B815,$E$2:E815,E815)&gt;1,"Possible duplicate","")))</f>
      </c>
    </row>
    <row r="816" spans="3:14" x14ac:dyDescent="0.3">
      <c r="A816"/>
      <c r="C816" s="16"/>
      <c r="G816" s="5">
        <f>IF(A816="","","Checking")</f>
      </c>
      <c r="H816">
        <f>IF(A816="","",IFERROR(XLOOKUP(D816,Setup!$E$15:$E$79,Setup!$F$15:$F$79),"Miscellaneous"))</f>
      </c>
      <c r="I816">
        <f>IF(A816="","",IFERROR(XLOOKUP(D816,Setup!$E$15:$E$79,Setup!$G$15:$G$79),"Uncategorized"))</f>
      </c>
      <c r="J816">
        <f>IF(A816="","",IF(OR(H816="Transfers",H816="Income",D816="Transfer",D816="Category Pending",F816="Pending"),"No","Yes"))</f>
      </c>
      <c r="K816" s="4">
        <f>IF(A816="","",TEXT(IF(DAY(A816)&gt;=Setup!$B$9,DATE(YEAR(A816),MONTH(A816)+1,1),DATE(YEAR(A816),MONTH(A816),1)),"mmmm yyyy"))</f>
      </c>
      <c r="L816" s="47">
        <f>IF(A816="",0,IF(AND(J816="Yes",E816&lt;0),-E816,0))</f>
      </c>
      <c r="M816" s="47">
        <f>IF(A816="",0,IF(AND(J816="Yes",E816&gt;0),E816,0))</f>
      </c>
      <c r="N816">
        <f>IF(A816="","",IF(D816="Category Pending","Needs categorization",IF(COUNTIFS($A$2:A816,A816,$B$2:B816,B816,$E$2:E816,E816)&gt;1,"Possible duplicate","")))</f>
      </c>
    </row>
    <row r="817" spans="3:14" x14ac:dyDescent="0.3">
      <c r="A817"/>
      <c r="C817" s="16"/>
      <c r="G817" s="5">
        <f>IF(A817="","","Checking")</f>
      </c>
      <c r="H817">
        <f>IF(A817="","",IFERROR(XLOOKUP(D817,Setup!$E$15:$E$79,Setup!$F$15:$F$79),"Miscellaneous"))</f>
      </c>
      <c r="I817">
        <f>IF(A817="","",IFERROR(XLOOKUP(D817,Setup!$E$15:$E$79,Setup!$G$15:$G$79),"Uncategorized"))</f>
      </c>
      <c r="J817">
        <f>IF(A817="","",IF(OR(H817="Transfers",H817="Income",D817="Transfer",D817="Category Pending",F817="Pending"),"No","Yes"))</f>
      </c>
      <c r="K817" s="4">
        <f>IF(A817="","",TEXT(IF(DAY(A817)&gt;=Setup!$B$9,DATE(YEAR(A817),MONTH(A817)+1,1),DATE(YEAR(A817),MONTH(A817),1)),"mmmm yyyy"))</f>
      </c>
      <c r="L817" s="47">
        <f>IF(A817="",0,IF(AND(J817="Yes",E817&lt;0),-E817,0))</f>
      </c>
      <c r="M817" s="47">
        <f>IF(A817="",0,IF(AND(J817="Yes",E817&gt;0),E817,0))</f>
      </c>
      <c r="N817">
        <f>IF(A817="","",IF(D817="Category Pending","Needs categorization",IF(COUNTIFS($A$2:A817,A817,$B$2:B817,B817,$E$2:E817,E817)&gt;1,"Possible duplicate","")))</f>
      </c>
    </row>
    <row r="818" spans="3:14" x14ac:dyDescent="0.3">
      <c r="A818"/>
      <c r="C818" s="16"/>
      <c r="G818" s="5">
        <f>IF(A818="","","Checking")</f>
      </c>
      <c r="H818">
        <f>IF(A818="","",IFERROR(XLOOKUP(D818,Setup!$E$15:$E$79,Setup!$F$15:$F$79),"Miscellaneous"))</f>
      </c>
      <c r="I818">
        <f>IF(A818="","",IFERROR(XLOOKUP(D818,Setup!$E$15:$E$79,Setup!$G$15:$G$79),"Uncategorized"))</f>
      </c>
      <c r="J818">
        <f>IF(A818="","",IF(OR(H818="Transfers",H818="Income",D818="Transfer",D818="Category Pending",F818="Pending"),"No","Yes"))</f>
      </c>
      <c r="K818" s="4">
        <f>IF(A818="","",TEXT(IF(DAY(A818)&gt;=Setup!$B$9,DATE(YEAR(A818),MONTH(A818)+1,1),DATE(YEAR(A818),MONTH(A818),1)),"mmmm yyyy"))</f>
      </c>
      <c r="L818" s="47">
        <f>IF(A818="",0,IF(AND(J818="Yes",E818&lt;0),-E818,0))</f>
      </c>
      <c r="M818" s="47">
        <f>IF(A818="",0,IF(AND(J818="Yes",E818&gt;0),E818,0))</f>
      </c>
      <c r="N818">
        <f>IF(A818="","",IF(D818="Category Pending","Needs categorization",IF(COUNTIFS($A$2:A818,A818,$B$2:B818,B818,$E$2:E818,E818)&gt;1,"Possible duplicate","")))</f>
      </c>
    </row>
    <row r="819" spans="3:14" x14ac:dyDescent="0.3">
      <c r="A819"/>
      <c r="C819" s="16"/>
      <c r="G819" s="5">
        <f>IF(A819="","","Checking")</f>
      </c>
      <c r="H819">
        <f>IF(A819="","",IFERROR(XLOOKUP(D819,Setup!$E$15:$E$79,Setup!$F$15:$F$79),"Miscellaneous"))</f>
      </c>
      <c r="I819">
        <f>IF(A819="","",IFERROR(XLOOKUP(D819,Setup!$E$15:$E$79,Setup!$G$15:$G$79),"Uncategorized"))</f>
      </c>
      <c r="J819">
        <f>IF(A819="","",IF(OR(H819="Transfers",H819="Income",D819="Transfer",D819="Category Pending",F819="Pending"),"No","Yes"))</f>
      </c>
      <c r="K819" s="4">
        <f>IF(A819="","",TEXT(IF(DAY(A819)&gt;=Setup!$B$9,DATE(YEAR(A819),MONTH(A819)+1,1),DATE(YEAR(A819),MONTH(A819),1)),"mmmm yyyy"))</f>
      </c>
      <c r="L819" s="47">
        <f>IF(A819="",0,IF(AND(J819="Yes",E819&lt;0),-E819,0))</f>
      </c>
      <c r="M819" s="47">
        <f>IF(A819="",0,IF(AND(J819="Yes",E819&gt;0),E819,0))</f>
      </c>
      <c r="N819">
        <f>IF(A819="","",IF(D819="Category Pending","Needs categorization",IF(COUNTIFS($A$2:A819,A819,$B$2:B819,B819,$E$2:E819,E819)&gt;1,"Possible duplicate","")))</f>
      </c>
    </row>
    <row r="820" spans="3:14" x14ac:dyDescent="0.3">
      <c r="A820"/>
      <c r="C820" s="16"/>
      <c r="G820" s="5">
        <f>IF(A820="","","Checking")</f>
      </c>
      <c r="H820">
        <f>IF(A820="","",IFERROR(XLOOKUP(D820,Setup!$E$15:$E$79,Setup!$F$15:$F$79),"Miscellaneous"))</f>
      </c>
      <c r="I820">
        <f>IF(A820="","",IFERROR(XLOOKUP(D820,Setup!$E$15:$E$79,Setup!$G$15:$G$79),"Uncategorized"))</f>
      </c>
      <c r="J820">
        <f>IF(A820="","",IF(OR(H820="Transfers",H820="Income",D820="Transfer",D820="Category Pending",F820="Pending"),"No","Yes"))</f>
      </c>
      <c r="K820" s="4">
        <f>IF(A820="","",TEXT(IF(DAY(A820)&gt;=Setup!$B$9,DATE(YEAR(A820),MONTH(A820)+1,1),DATE(YEAR(A820),MONTH(A820),1)),"mmmm yyyy"))</f>
      </c>
      <c r="L820" s="47">
        <f>IF(A820="",0,IF(AND(J820="Yes",E820&lt;0),-E820,0))</f>
      </c>
      <c r="M820" s="47">
        <f>IF(A820="",0,IF(AND(J820="Yes",E820&gt;0),E820,0))</f>
      </c>
      <c r="N820">
        <f>IF(A820="","",IF(D820="Category Pending","Needs categorization",IF(COUNTIFS($A$2:A820,A820,$B$2:B820,B820,$E$2:E820,E820)&gt;1,"Possible duplicate","")))</f>
      </c>
    </row>
    <row r="821" spans="3:14" x14ac:dyDescent="0.3">
      <c r="A821"/>
      <c r="C821" s="16"/>
      <c r="G821" s="5">
        <f>IF(A821="","","Checking")</f>
      </c>
      <c r="H821">
        <f>IF(A821="","",IFERROR(XLOOKUP(D821,Setup!$E$15:$E$79,Setup!$F$15:$F$79),"Miscellaneous"))</f>
      </c>
      <c r="I821">
        <f>IF(A821="","",IFERROR(XLOOKUP(D821,Setup!$E$15:$E$79,Setup!$G$15:$G$79),"Uncategorized"))</f>
      </c>
      <c r="J821">
        <f>IF(A821="","",IF(OR(H821="Transfers",H821="Income",D821="Transfer",D821="Category Pending",F821="Pending"),"No","Yes"))</f>
      </c>
      <c r="K821" s="4">
        <f>IF(A821="","",TEXT(IF(DAY(A821)&gt;=Setup!$B$9,DATE(YEAR(A821),MONTH(A821)+1,1),DATE(YEAR(A821),MONTH(A821),1)),"mmmm yyyy"))</f>
      </c>
      <c r="L821" s="47">
        <f>IF(A821="",0,IF(AND(J821="Yes",E821&lt;0),-E821,0))</f>
      </c>
      <c r="M821" s="47">
        <f>IF(A821="",0,IF(AND(J821="Yes",E821&gt;0),E821,0))</f>
      </c>
      <c r="N821">
        <f>IF(A821="","",IF(D821="Category Pending","Needs categorization",IF(COUNTIFS($A$2:A821,A821,$B$2:B821,B821,$E$2:E821,E821)&gt;1,"Possible duplicate","")))</f>
      </c>
    </row>
    <row r="822" spans="3:14" x14ac:dyDescent="0.3">
      <c r="A822"/>
      <c r="C822" s="16"/>
      <c r="G822" s="5">
        <f>IF(A822="","","Checking")</f>
      </c>
      <c r="H822">
        <f>IF(A822="","",IFERROR(XLOOKUP(D822,Setup!$E$15:$E$79,Setup!$F$15:$F$79),"Miscellaneous"))</f>
      </c>
      <c r="I822">
        <f>IF(A822="","",IFERROR(XLOOKUP(D822,Setup!$E$15:$E$79,Setup!$G$15:$G$79),"Uncategorized"))</f>
      </c>
      <c r="J822">
        <f>IF(A822="","",IF(OR(H822="Transfers",H822="Income",D822="Transfer",D822="Category Pending",F822="Pending"),"No","Yes"))</f>
      </c>
      <c r="K822" s="4">
        <f>IF(A822="","",TEXT(IF(DAY(A822)&gt;=Setup!$B$9,DATE(YEAR(A822),MONTH(A822)+1,1),DATE(YEAR(A822),MONTH(A822),1)),"mmmm yyyy"))</f>
      </c>
      <c r="L822" s="47">
        <f>IF(A822="",0,IF(AND(J822="Yes",E822&lt;0),-E822,0))</f>
      </c>
      <c r="M822" s="47">
        <f>IF(A822="",0,IF(AND(J822="Yes",E822&gt;0),E822,0))</f>
      </c>
      <c r="N822">
        <f>IF(A822="","",IF(D822="Category Pending","Needs categorization",IF(COUNTIFS($A$2:A822,A822,$B$2:B822,B822,$E$2:E822,E822)&gt;1,"Possible duplicate","")))</f>
      </c>
    </row>
    <row r="823" spans="3:14" x14ac:dyDescent="0.3">
      <c r="A823"/>
      <c r="C823" s="16"/>
      <c r="G823" s="5">
        <f>IF(A823="","","Checking")</f>
      </c>
      <c r="H823">
        <f>IF(A823="","",IFERROR(XLOOKUP(D823,Setup!$E$15:$E$79,Setup!$F$15:$F$79),"Miscellaneous"))</f>
      </c>
      <c r="I823">
        <f>IF(A823="","",IFERROR(XLOOKUP(D823,Setup!$E$15:$E$79,Setup!$G$15:$G$79),"Uncategorized"))</f>
      </c>
      <c r="J823">
        <f>IF(A823="","",IF(OR(H823="Transfers",H823="Income",D823="Transfer",D823="Category Pending",F823="Pending"),"No","Yes"))</f>
      </c>
      <c r="K823" s="4">
        <f>IF(A823="","",TEXT(IF(DAY(A823)&gt;=Setup!$B$9,DATE(YEAR(A823),MONTH(A823)+1,1),DATE(YEAR(A823),MONTH(A823),1)),"mmmm yyyy"))</f>
      </c>
      <c r="L823" s="47">
        <f>IF(A823="",0,IF(AND(J823="Yes",E823&lt;0),-E823,0))</f>
      </c>
      <c r="M823" s="47">
        <f>IF(A823="",0,IF(AND(J823="Yes",E823&gt;0),E823,0))</f>
      </c>
      <c r="N823">
        <f>IF(A823="","",IF(D823="Category Pending","Needs categorization",IF(COUNTIFS($A$2:A823,A823,$B$2:B823,B823,$E$2:E823,E823)&gt;1,"Possible duplicate","")))</f>
      </c>
    </row>
    <row r="824" spans="3:14" x14ac:dyDescent="0.3">
      <c r="A824"/>
      <c r="C824" s="16"/>
      <c r="G824" s="5">
        <f>IF(A824="","","Checking")</f>
      </c>
      <c r="H824">
        <f>IF(A824="","",IFERROR(XLOOKUP(D824,Setup!$E$15:$E$79,Setup!$F$15:$F$79),"Miscellaneous"))</f>
      </c>
      <c r="I824">
        <f>IF(A824="","",IFERROR(XLOOKUP(D824,Setup!$E$15:$E$79,Setup!$G$15:$G$79),"Uncategorized"))</f>
      </c>
      <c r="J824">
        <f>IF(A824="","",IF(OR(H824="Transfers",H824="Income",D824="Transfer",D824="Category Pending",F824="Pending"),"No","Yes"))</f>
      </c>
      <c r="K824" s="4">
        <f>IF(A824="","",TEXT(IF(DAY(A824)&gt;=Setup!$B$9,DATE(YEAR(A824),MONTH(A824)+1,1),DATE(YEAR(A824),MONTH(A824),1)),"mmmm yyyy"))</f>
      </c>
      <c r="L824" s="47">
        <f>IF(A824="",0,IF(AND(J824="Yes",E824&lt;0),-E824,0))</f>
      </c>
      <c r="M824" s="47">
        <f>IF(A824="",0,IF(AND(J824="Yes",E824&gt;0),E824,0))</f>
      </c>
      <c r="N824">
        <f>IF(A824="","",IF(D824="Category Pending","Needs categorization",IF(COUNTIFS($A$2:A824,A824,$B$2:B824,B824,$E$2:E824,E824)&gt;1,"Possible duplicate","")))</f>
      </c>
    </row>
    <row r="825" spans="3:14" x14ac:dyDescent="0.3">
      <c r="A825"/>
      <c r="C825" s="16"/>
      <c r="G825" s="5">
        <f>IF(A825="","","Checking")</f>
      </c>
      <c r="H825">
        <f>IF(A825="","",IFERROR(XLOOKUP(D825,Setup!$E$15:$E$79,Setup!$F$15:$F$79),"Miscellaneous"))</f>
      </c>
      <c r="I825">
        <f>IF(A825="","",IFERROR(XLOOKUP(D825,Setup!$E$15:$E$79,Setup!$G$15:$G$79),"Uncategorized"))</f>
      </c>
      <c r="J825">
        <f>IF(A825="","",IF(OR(H825="Transfers",H825="Income",D825="Transfer",D825="Category Pending",F825="Pending"),"No","Yes"))</f>
      </c>
      <c r="K825" s="4">
        <f>IF(A825="","",TEXT(IF(DAY(A825)&gt;=Setup!$B$9,DATE(YEAR(A825),MONTH(A825)+1,1),DATE(YEAR(A825),MONTH(A825),1)),"mmmm yyyy"))</f>
      </c>
      <c r="L825" s="47">
        <f>IF(A825="",0,IF(AND(J825="Yes",E825&lt;0),-E825,0))</f>
      </c>
      <c r="M825" s="47">
        <f>IF(A825="",0,IF(AND(J825="Yes",E825&gt;0),E825,0))</f>
      </c>
      <c r="N825">
        <f>IF(A825="","",IF(D825="Category Pending","Needs categorization",IF(COUNTIFS($A$2:A825,A825,$B$2:B825,B825,$E$2:E825,E825)&gt;1,"Possible duplicate","")))</f>
      </c>
    </row>
    <row r="826" spans="3:14" x14ac:dyDescent="0.3">
      <c r="A826"/>
      <c r="C826" s="16"/>
      <c r="G826" s="5">
        <f>IF(A826="","","Checking")</f>
      </c>
      <c r="H826">
        <f>IF(A826="","",IFERROR(XLOOKUP(D826,Setup!$E$15:$E$79,Setup!$F$15:$F$79),"Miscellaneous"))</f>
      </c>
      <c r="I826">
        <f>IF(A826="","",IFERROR(XLOOKUP(D826,Setup!$E$15:$E$79,Setup!$G$15:$G$79),"Uncategorized"))</f>
      </c>
      <c r="J826">
        <f>IF(A826="","",IF(OR(H826="Transfers",H826="Income",D826="Transfer",D826="Category Pending",F826="Pending"),"No","Yes"))</f>
      </c>
      <c r="K826" s="4">
        <f>IF(A826="","",TEXT(IF(DAY(A826)&gt;=Setup!$B$9,DATE(YEAR(A826),MONTH(A826)+1,1),DATE(YEAR(A826),MONTH(A826),1)),"mmmm yyyy"))</f>
      </c>
      <c r="L826" s="47">
        <f>IF(A826="",0,IF(AND(J826="Yes",E826&lt;0),-E826,0))</f>
      </c>
      <c r="M826" s="47">
        <f>IF(A826="",0,IF(AND(J826="Yes",E826&gt;0),E826,0))</f>
      </c>
      <c r="N826">
        <f>IF(A826="","",IF(D826="Category Pending","Needs categorization",IF(COUNTIFS($A$2:A826,A826,$B$2:B826,B826,$E$2:E826,E826)&gt;1,"Possible duplicate","")))</f>
      </c>
    </row>
    <row r="827" spans="3:14" x14ac:dyDescent="0.3">
      <c r="A827"/>
      <c r="C827" s="16"/>
      <c r="G827" s="5">
        <f>IF(A827="","","Checking")</f>
      </c>
      <c r="H827">
        <f>IF(A827="","",IFERROR(XLOOKUP(D827,Setup!$E$15:$E$79,Setup!$F$15:$F$79),"Miscellaneous"))</f>
      </c>
      <c r="I827">
        <f>IF(A827="","",IFERROR(XLOOKUP(D827,Setup!$E$15:$E$79,Setup!$G$15:$G$79),"Uncategorized"))</f>
      </c>
      <c r="J827">
        <f>IF(A827="","",IF(OR(H827="Transfers",H827="Income",D827="Transfer",D827="Category Pending",F827="Pending"),"No","Yes"))</f>
      </c>
      <c r="K827" s="4">
        <f>IF(A827="","",TEXT(IF(DAY(A827)&gt;=Setup!$B$9,DATE(YEAR(A827),MONTH(A827)+1,1),DATE(YEAR(A827),MONTH(A827),1)),"mmmm yyyy"))</f>
      </c>
      <c r="L827" s="47">
        <f>IF(A827="",0,IF(AND(J827="Yes",E827&lt;0),-E827,0))</f>
      </c>
      <c r="M827" s="47">
        <f>IF(A827="",0,IF(AND(J827="Yes",E827&gt;0),E827,0))</f>
      </c>
      <c r="N827">
        <f>IF(A827="","",IF(D827="Category Pending","Needs categorization",IF(COUNTIFS($A$2:A827,A827,$B$2:B827,B827,$E$2:E827,E827)&gt;1,"Possible duplicate","")))</f>
      </c>
    </row>
    <row r="828" spans="3:14" x14ac:dyDescent="0.3">
      <c r="A828"/>
      <c r="C828" s="16"/>
      <c r="G828" s="5">
        <f>IF(A828="","","Checking")</f>
      </c>
      <c r="H828">
        <f>IF(A828="","",IFERROR(XLOOKUP(D828,Setup!$E$15:$E$79,Setup!$F$15:$F$79),"Miscellaneous"))</f>
      </c>
      <c r="I828">
        <f>IF(A828="","",IFERROR(XLOOKUP(D828,Setup!$E$15:$E$79,Setup!$G$15:$G$79),"Uncategorized"))</f>
      </c>
      <c r="J828">
        <f>IF(A828="","",IF(OR(H828="Transfers",H828="Income",D828="Transfer",D828="Category Pending",F828="Pending"),"No","Yes"))</f>
      </c>
      <c r="K828" s="4">
        <f>IF(A828="","",TEXT(IF(DAY(A828)&gt;=Setup!$B$9,DATE(YEAR(A828),MONTH(A828)+1,1),DATE(YEAR(A828),MONTH(A828),1)),"mmmm yyyy"))</f>
      </c>
      <c r="L828" s="47">
        <f>IF(A828="",0,IF(AND(J828="Yes",E828&lt;0),-E828,0))</f>
      </c>
      <c r="M828" s="47">
        <f>IF(A828="",0,IF(AND(J828="Yes",E828&gt;0),E828,0))</f>
      </c>
      <c r="N828">
        <f>IF(A828="","",IF(D828="Category Pending","Needs categorization",IF(COUNTIFS($A$2:A828,A828,$B$2:B828,B828,$E$2:E828,E828)&gt;1,"Possible duplicate","")))</f>
      </c>
    </row>
    <row r="829" spans="3:14" x14ac:dyDescent="0.3">
      <c r="A829"/>
      <c r="C829" s="16"/>
      <c r="G829" s="5">
        <f>IF(A829="","","Checking")</f>
      </c>
      <c r="H829">
        <f>IF(A829="","",IFERROR(XLOOKUP(D829,Setup!$E$15:$E$79,Setup!$F$15:$F$79),"Miscellaneous"))</f>
      </c>
      <c r="I829">
        <f>IF(A829="","",IFERROR(XLOOKUP(D829,Setup!$E$15:$E$79,Setup!$G$15:$G$79),"Uncategorized"))</f>
      </c>
      <c r="J829">
        <f>IF(A829="","",IF(OR(H829="Transfers",H829="Income",D829="Transfer",D829="Category Pending",F829="Pending"),"No","Yes"))</f>
      </c>
      <c r="K829" s="4">
        <f>IF(A829="","",TEXT(IF(DAY(A829)&gt;=Setup!$B$9,DATE(YEAR(A829),MONTH(A829)+1,1),DATE(YEAR(A829),MONTH(A829),1)),"mmmm yyyy"))</f>
      </c>
      <c r="L829" s="47">
        <f>IF(A829="",0,IF(AND(J829="Yes",E829&lt;0),-E829,0))</f>
      </c>
      <c r="M829" s="47">
        <f>IF(A829="",0,IF(AND(J829="Yes",E829&gt;0),E829,0))</f>
      </c>
      <c r="N829">
        <f>IF(A829="","",IF(D829="Category Pending","Needs categorization",IF(COUNTIFS($A$2:A829,A829,$B$2:B829,B829,$E$2:E829,E829)&gt;1,"Possible duplicate","")))</f>
      </c>
    </row>
    <row r="830" spans="3:14" x14ac:dyDescent="0.3">
      <c r="A830"/>
      <c r="C830" s="16"/>
      <c r="G830" s="5">
        <f>IF(A830="","","Checking")</f>
      </c>
      <c r="H830">
        <f>IF(A830="","",IFERROR(XLOOKUP(D830,Setup!$E$15:$E$79,Setup!$F$15:$F$79),"Miscellaneous"))</f>
      </c>
      <c r="I830">
        <f>IF(A830="","",IFERROR(XLOOKUP(D830,Setup!$E$15:$E$79,Setup!$G$15:$G$79),"Uncategorized"))</f>
      </c>
      <c r="J830">
        <f>IF(A830="","",IF(OR(H830="Transfers",H830="Income",D830="Transfer",D830="Category Pending",F830="Pending"),"No","Yes"))</f>
      </c>
      <c r="K830" s="4">
        <f>IF(A830="","",TEXT(IF(DAY(A830)&gt;=Setup!$B$9,DATE(YEAR(A830),MONTH(A830)+1,1),DATE(YEAR(A830),MONTH(A830),1)),"mmmm yyyy"))</f>
      </c>
      <c r="L830" s="47">
        <f>IF(A830="",0,IF(AND(J830="Yes",E830&lt;0),-E830,0))</f>
      </c>
      <c r="M830" s="47">
        <f>IF(A830="",0,IF(AND(J830="Yes",E830&gt;0),E830,0))</f>
      </c>
      <c r="N830">
        <f>IF(A830="","",IF(D830="Category Pending","Needs categorization",IF(COUNTIFS($A$2:A830,A830,$B$2:B830,B830,$E$2:E830,E830)&gt;1,"Possible duplicate","")))</f>
      </c>
    </row>
    <row r="831" spans="3:14" x14ac:dyDescent="0.3">
      <c r="A831"/>
      <c r="C831" s="16"/>
      <c r="G831" s="5">
        <f>IF(A831="","","Checking")</f>
      </c>
      <c r="H831">
        <f>IF(A831="","",IFERROR(XLOOKUP(D831,Setup!$E$15:$E$79,Setup!$F$15:$F$79),"Miscellaneous"))</f>
      </c>
      <c r="I831">
        <f>IF(A831="","",IFERROR(XLOOKUP(D831,Setup!$E$15:$E$79,Setup!$G$15:$G$79),"Uncategorized"))</f>
      </c>
      <c r="J831">
        <f>IF(A831="","",IF(OR(H831="Transfers",H831="Income",D831="Transfer",D831="Category Pending",F831="Pending"),"No","Yes"))</f>
      </c>
      <c r="K831" s="4">
        <f>IF(A831="","",TEXT(IF(DAY(A831)&gt;=Setup!$B$9,DATE(YEAR(A831),MONTH(A831)+1,1),DATE(YEAR(A831),MONTH(A831),1)),"mmmm yyyy"))</f>
      </c>
      <c r="L831" s="47">
        <f>IF(A831="",0,IF(AND(J831="Yes",E831&lt;0),-E831,0))</f>
      </c>
      <c r="M831" s="47">
        <f>IF(A831="",0,IF(AND(J831="Yes",E831&gt;0),E831,0))</f>
      </c>
      <c r="N831">
        <f>IF(A831="","",IF(D831="Category Pending","Needs categorization",IF(COUNTIFS($A$2:A831,A831,$B$2:B831,B831,$E$2:E831,E831)&gt;1,"Possible duplicate","")))</f>
      </c>
    </row>
    <row r="832" spans="3:14" x14ac:dyDescent="0.3">
      <c r="A832"/>
      <c r="C832" s="16"/>
      <c r="G832" s="5">
        <f>IF(A832="","","Checking")</f>
      </c>
      <c r="H832">
        <f>IF(A832="","",IFERROR(XLOOKUP(D832,Setup!$E$15:$E$79,Setup!$F$15:$F$79),"Miscellaneous"))</f>
      </c>
      <c r="I832">
        <f>IF(A832="","",IFERROR(XLOOKUP(D832,Setup!$E$15:$E$79,Setup!$G$15:$G$79),"Uncategorized"))</f>
      </c>
      <c r="J832">
        <f>IF(A832="","",IF(OR(H832="Transfers",H832="Income",D832="Transfer",D832="Category Pending",F832="Pending"),"No","Yes"))</f>
      </c>
      <c r="K832" s="4">
        <f>IF(A832="","",TEXT(IF(DAY(A832)&gt;=Setup!$B$9,DATE(YEAR(A832),MONTH(A832)+1,1),DATE(YEAR(A832),MONTH(A832),1)),"mmmm yyyy"))</f>
      </c>
      <c r="L832" s="47">
        <f>IF(A832="",0,IF(AND(J832="Yes",E832&lt;0),-E832,0))</f>
      </c>
      <c r="M832" s="47">
        <f>IF(A832="",0,IF(AND(J832="Yes",E832&gt;0),E832,0))</f>
      </c>
      <c r="N832">
        <f>IF(A832="","",IF(D832="Category Pending","Needs categorization",IF(COUNTIFS($A$2:A832,A832,$B$2:B832,B832,$E$2:E832,E832)&gt;1,"Possible duplicate","")))</f>
      </c>
    </row>
    <row r="833" spans="3:14" x14ac:dyDescent="0.3">
      <c r="A833"/>
      <c r="C833" s="16"/>
      <c r="G833" s="5">
        <f>IF(A833="","","Checking")</f>
      </c>
      <c r="H833">
        <f>IF(A833="","",IFERROR(XLOOKUP(D833,Setup!$E$15:$E$79,Setup!$F$15:$F$79),"Miscellaneous"))</f>
      </c>
      <c r="I833">
        <f>IF(A833="","",IFERROR(XLOOKUP(D833,Setup!$E$15:$E$79,Setup!$G$15:$G$79),"Uncategorized"))</f>
      </c>
      <c r="J833">
        <f>IF(A833="","",IF(OR(H833="Transfers",H833="Income",D833="Transfer",D833="Category Pending",F833="Pending"),"No","Yes"))</f>
      </c>
      <c r="K833" s="4">
        <f>IF(A833="","",TEXT(IF(DAY(A833)&gt;=Setup!$B$9,DATE(YEAR(A833),MONTH(A833)+1,1),DATE(YEAR(A833),MONTH(A833),1)),"mmmm yyyy"))</f>
      </c>
      <c r="L833" s="47">
        <f>IF(A833="",0,IF(AND(J833="Yes",E833&lt;0),-E833,0))</f>
      </c>
      <c r="M833" s="47">
        <f>IF(A833="",0,IF(AND(J833="Yes",E833&gt;0),E833,0))</f>
      </c>
      <c r="N833">
        <f>IF(A833="","",IF(D833="Category Pending","Needs categorization",IF(COUNTIFS($A$2:A833,A833,$B$2:B833,B833,$E$2:E833,E833)&gt;1,"Possible duplicate","")))</f>
      </c>
    </row>
    <row r="834" spans="3:14" x14ac:dyDescent="0.3">
      <c r="A834"/>
      <c r="C834" s="16"/>
      <c r="G834" s="5">
        <f>IF(A834="","","Checking")</f>
      </c>
      <c r="H834">
        <f>IF(A834="","",IFERROR(XLOOKUP(D834,Setup!$E$15:$E$79,Setup!$F$15:$F$79),"Miscellaneous"))</f>
      </c>
      <c r="I834">
        <f>IF(A834="","",IFERROR(XLOOKUP(D834,Setup!$E$15:$E$79,Setup!$G$15:$G$79),"Uncategorized"))</f>
      </c>
      <c r="J834">
        <f>IF(A834="","",IF(OR(H834="Transfers",H834="Income",D834="Transfer",D834="Category Pending",F834="Pending"),"No","Yes"))</f>
      </c>
      <c r="K834" s="4">
        <f>IF(A834="","",TEXT(IF(DAY(A834)&gt;=Setup!$B$9,DATE(YEAR(A834),MONTH(A834)+1,1),DATE(YEAR(A834),MONTH(A834),1)),"mmmm yyyy"))</f>
      </c>
      <c r="L834" s="47">
        <f>IF(A834="",0,IF(AND(J834="Yes",E834&lt;0),-E834,0))</f>
      </c>
      <c r="M834" s="47">
        <f>IF(A834="",0,IF(AND(J834="Yes",E834&gt;0),E834,0))</f>
      </c>
      <c r="N834">
        <f>IF(A834="","",IF(D834="Category Pending","Needs categorization",IF(COUNTIFS($A$2:A834,A834,$B$2:B834,B834,$E$2:E834,E834)&gt;1,"Possible duplicate","")))</f>
      </c>
    </row>
    <row r="835" spans="3:14" x14ac:dyDescent="0.3">
      <c r="A835"/>
      <c r="C835" s="16"/>
      <c r="G835" s="5">
        <f>IF(A835="","","Checking")</f>
      </c>
      <c r="H835">
        <f>IF(A835="","",IFERROR(XLOOKUP(D835,Setup!$E$15:$E$79,Setup!$F$15:$F$79),"Miscellaneous"))</f>
      </c>
      <c r="I835">
        <f>IF(A835="","",IFERROR(XLOOKUP(D835,Setup!$E$15:$E$79,Setup!$G$15:$G$79),"Uncategorized"))</f>
      </c>
      <c r="J835">
        <f>IF(A835="","",IF(OR(H835="Transfers",H835="Income",D835="Transfer",D835="Category Pending",F835="Pending"),"No","Yes"))</f>
      </c>
      <c r="K835" s="4">
        <f>IF(A835="","",TEXT(IF(DAY(A835)&gt;=Setup!$B$9,DATE(YEAR(A835),MONTH(A835)+1,1),DATE(YEAR(A835),MONTH(A835),1)),"mmmm yyyy"))</f>
      </c>
      <c r="L835" s="47">
        <f>IF(A835="",0,IF(AND(J835="Yes",E835&lt;0),-E835,0))</f>
      </c>
      <c r="M835" s="47">
        <f>IF(A835="",0,IF(AND(J835="Yes",E835&gt;0),E835,0))</f>
      </c>
      <c r="N835">
        <f>IF(A835="","",IF(D835="Category Pending","Needs categorization",IF(COUNTIFS($A$2:A835,A835,$B$2:B835,B835,$E$2:E835,E835)&gt;1,"Possible duplicate","")))</f>
      </c>
    </row>
    <row r="836" spans="3:14" x14ac:dyDescent="0.3">
      <c r="A836"/>
      <c r="C836" s="16"/>
      <c r="G836" s="5">
        <f>IF(A836="","","Checking")</f>
      </c>
      <c r="H836">
        <f>IF(A836="","",IFERROR(XLOOKUP(D836,Setup!$E$15:$E$79,Setup!$F$15:$F$79),"Miscellaneous"))</f>
      </c>
      <c r="I836">
        <f>IF(A836="","",IFERROR(XLOOKUP(D836,Setup!$E$15:$E$79,Setup!$G$15:$G$79),"Uncategorized"))</f>
      </c>
      <c r="J836">
        <f>IF(A836="","",IF(OR(H836="Transfers",H836="Income",D836="Transfer",D836="Category Pending",F836="Pending"),"No","Yes"))</f>
      </c>
      <c r="K836" s="4">
        <f>IF(A836="","",TEXT(IF(DAY(A836)&gt;=Setup!$B$9,DATE(YEAR(A836),MONTH(A836)+1,1),DATE(YEAR(A836),MONTH(A836),1)),"mmmm yyyy"))</f>
      </c>
      <c r="L836" s="47">
        <f>IF(A836="",0,IF(AND(J836="Yes",E836&lt;0),-E836,0))</f>
      </c>
      <c r="M836" s="47">
        <f>IF(A836="",0,IF(AND(J836="Yes",E836&gt;0),E836,0))</f>
      </c>
      <c r="N836">
        <f>IF(A836="","",IF(D836="Category Pending","Needs categorization",IF(COUNTIFS($A$2:A836,A836,$B$2:B836,B836,$E$2:E836,E836)&gt;1,"Possible duplicate","")))</f>
      </c>
    </row>
    <row r="837" spans="3:14" x14ac:dyDescent="0.3">
      <c r="A837"/>
      <c r="C837" s="16"/>
      <c r="G837" s="5">
        <f>IF(A837="","","Checking")</f>
      </c>
      <c r="H837">
        <f>IF(A837="","",IFERROR(XLOOKUP(D837,Setup!$E$15:$E$79,Setup!$F$15:$F$79),"Miscellaneous"))</f>
      </c>
      <c r="I837">
        <f>IF(A837="","",IFERROR(XLOOKUP(D837,Setup!$E$15:$E$79,Setup!$G$15:$G$79),"Uncategorized"))</f>
      </c>
      <c r="J837">
        <f>IF(A837="","",IF(OR(H837="Transfers",H837="Income",D837="Transfer",D837="Category Pending",F837="Pending"),"No","Yes"))</f>
      </c>
      <c r="K837" s="4">
        <f>IF(A837="","",TEXT(IF(DAY(A837)&gt;=Setup!$B$9,DATE(YEAR(A837),MONTH(A837)+1,1),DATE(YEAR(A837),MONTH(A837),1)),"mmmm yyyy"))</f>
      </c>
      <c r="L837" s="47">
        <f>IF(A837="",0,IF(AND(J837="Yes",E837&lt;0),-E837,0))</f>
      </c>
      <c r="M837" s="47">
        <f>IF(A837="",0,IF(AND(J837="Yes",E837&gt;0),E837,0))</f>
      </c>
      <c r="N837">
        <f>IF(A837="","",IF(D837="Category Pending","Needs categorization",IF(COUNTIFS($A$2:A837,A837,$B$2:B837,B837,$E$2:E837,E837)&gt;1,"Possible duplicate","")))</f>
      </c>
    </row>
    <row r="838" spans="3:14" x14ac:dyDescent="0.3">
      <c r="A838"/>
      <c r="C838" s="16"/>
      <c r="G838" s="5">
        <f>IF(A838="","","Checking")</f>
      </c>
      <c r="H838">
        <f>IF(A838="","",IFERROR(XLOOKUP(D838,Setup!$E$15:$E$79,Setup!$F$15:$F$79),"Miscellaneous"))</f>
      </c>
      <c r="I838">
        <f>IF(A838="","",IFERROR(XLOOKUP(D838,Setup!$E$15:$E$79,Setup!$G$15:$G$79),"Uncategorized"))</f>
      </c>
      <c r="J838">
        <f>IF(A838="","",IF(OR(H838="Transfers",H838="Income",D838="Transfer",D838="Category Pending",F838="Pending"),"No","Yes"))</f>
      </c>
      <c r="K838" s="4">
        <f>IF(A838="","",TEXT(IF(DAY(A838)&gt;=Setup!$B$9,DATE(YEAR(A838),MONTH(A838)+1,1),DATE(YEAR(A838),MONTH(A838),1)),"mmmm yyyy"))</f>
      </c>
      <c r="L838" s="47">
        <f>IF(A838="",0,IF(AND(J838="Yes",E838&lt;0),-E838,0))</f>
      </c>
      <c r="M838" s="47">
        <f>IF(A838="",0,IF(AND(J838="Yes",E838&gt;0),E838,0))</f>
      </c>
      <c r="N838">
        <f>IF(A838="","",IF(D838="Category Pending","Needs categorization",IF(COUNTIFS($A$2:A838,A838,$B$2:B838,B838,$E$2:E838,E838)&gt;1,"Possible duplicate","")))</f>
      </c>
    </row>
    <row r="839" spans="3:14" x14ac:dyDescent="0.3">
      <c r="A839"/>
      <c r="C839" s="16"/>
      <c r="G839" s="5">
        <f>IF(A839="","","Checking")</f>
      </c>
      <c r="H839">
        <f>IF(A839="","",IFERROR(XLOOKUP(D839,Setup!$E$15:$E$79,Setup!$F$15:$F$79),"Miscellaneous"))</f>
      </c>
      <c r="I839">
        <f>IF(A839="","",IFERROR(XLOOKUP(D839,Setup!$E$15:$E$79,Setup!$G$15:$G$79),"Uncategorized"))</f>
      </c>
      <c r="J839">
        <f>IF(A839="","",IF(OR(H839="Transfers",H839="Income",D839="Transfer",D839="Category Pending",F839="Pending"),"No","Yes"))</f>
      </c>
      <c r="K839" s="4">
        <f>IF(A839="","",TEXT(IF(DAY(A839)&gt;=Setup!$B$9,DATE(YEAR(A839),MONTH(A839)+1,1),DATE(YEAR(A839),MONTH(A839),1)),"mmmm yyyy"))</f>
      </c>
      <c r="L839" s="47">
        <f>IF(A839="",0,IF(AND(J839="Yes",E839&lt;0),-E839,0))</f>
      </c>
      <c r="M839" s="47">
        <f>IF(A839="",0,IF(AND(J839="Yes",E839&gt;0),E839,0))</f>
      </c>
      <c r="N839">
        <f>IF(A839="","",IF(D839="Category Pending","Needs categorization",IF(COUNTIFS($A$2:A839,A839,$B$2:B839,B839,$E$2:E839,E839)&gt;1,"Possible duplicate","")))</f>
      </c>
    </row>
    <row r="840" spans="3:14" x14ac:dyDescent="0.3">
      <c r="A840"/>
      <c r="C840" s="16"/>
      <c r="G840" s="5">
        <f>IF(A840="","","Checking")</f>
      </c>
      <c r="H840">
        <f>IF(A840="","",IFERROR(XLOOKUP(D840,Setup!$E$15:$E$79,Setup!$F$15:$F$79),"Miscellaneous"))</f>
      </c>
      <c r="I840">
        <f>IF(A840="","",IFERROR(XLOOKUP(D840,Setup!$E$15:$E$79,Setup!$G$15:$G$79),"Uncategorized"))</f>
      </c>
      <c r="J840">
        <f>IF(A840="","",IF(OR(H840="Transfers",H840="Income",D840="Transfer",D840="Category Pending",F840="Pending"),"No","Yes"))</f>
      </c>
      <c r="K840" s="4">
        <f>IF(A840="","",TEXT(IF(DAY(A840)&gt;=Setup!$B$9,DATE(YEAR(A840),MONTH(A840)+1,1),DATE(YEAR(A840),MONTH(A840),1)),"mmmm yyyy"))</f>
      </c>
      <c r="L840" s="47">
        <f>IF(A840="",0,IF(AND(J840="Yes",E840&lt;0),-E840,0))</f>
      </c>
      <c r="M840" s="47">
        <f>IF(A840="",0,IF(AND(J840="Yes",E840&gt;0),E840,0))</f>
      </c>
      <c r="N840">
        <f>IF(A840="","",IF(D840="Category Pending","Needs categorization",IF(COUNTIFS($A$2:A840,A840,$B$2:B840,B840,$E$2:E840,E840)&gt;1,"Possible duplicate","")))</f>
      </c>
    </row>
    <row r="841" spans="3:14" x14ac:dyDescent="0.3">
      <c r="A841"/>
      <c r="C841" s="16"/>
      <c r="G841" s="5">
        <f>IF(A841="","","Checking")</f>
      </c>
      <c r="H841">
        <f>IF(A841="","",IFERROR(XLOOKUP(D841,Setup!$E$15:$E$79,Setup!$F$15:$F$79),"Miscellaneous"))</f>
      </c>
      <c r="I841">
        <f>IF(A841="","",IFERROR(XLOOKUP(D841,Setup!$E$15:$E$79,Setup!$G$15:$G$79),"Uncategorized"))</f>
      </c>
      <c r="J841">
        <f>IF(A841="","",IF(OR(H841="Transfers",H841="Income",D841="Transfer",D841="Category Pending",F841="Pending"),"No","Yes"))</f>
      </c>
      <c r="K841" s="4">
        <f>IF(A841="","",TEXT(IF(DAY(A841)&gt;=Setup!$B$9,DATE(YEAR(A841),MONTH(A841)+1,1),DATE(YEAR(A841),MONTH(A841),1)),"mmmm yyyy"))</f>
      </c>
      <c r="L841" s="47">
        <f>IF(A841="",0,IF(AND(J841="Yes",E841&lt;0),-E841,0))</f>
      </c>
      <c r="M841" s="47">
        <f>IF(A841="",0,IF(AND(J841="Yes",E841&gt;0),E841,0))</f>
      </c>
      <c r="N841">
        <f>IF(A841="","",IF(D841="Category Pending","Needs categorization",IF(COUNTIFS($A$2:A841,A841,$B$2:B841,B841,$E$2:E841,E841)&gt;1,"Possible duplicate","")))</f>
      </c>
    </row>
    <row r="842" spans="3:14" x14ac:dyDescent="0.3">
      <c r="A842"/>
      <c r="C842" s="16"/>
      <c r="G842" s="5">
        <f>IF(A842="","","Checking")</f>
      </c>
      <c r="H842">
        <f>IF(A842="","",IFERROR(XLOOKUP(D842,Setup!$E$15:$E$79,Setup!$F$15:$F$79),"Miscellaneous"))</f>
      </c>
      <c r="I842">
        <f>IF(A842="","",IFERROR(XLOOKUP(D842,Setup!$E$15:$E$79,Setup!$G$15:$G$79),"Uncategorized"))</f>
      </c>
      <c r="J842">
        <f>IF(A842="","",IF(OR(H842="Transfers",H842="Income",D842="Transfer",D842="Category Pending",F842="Pending"),"No","Yes"))</f>
      </c>
      <c r="K842" s="4">
        <f>IF(A842="","",TEXT(IF(DAY(A842)&gt;=Setup!$B$9,DATE(YEAR(A842),MONTH(A842)+1,1),DATE(YEAR(A842),MONTH(A842),1)),"mmmm yyyy"))</f>
      </c>
      <c r="L842" s="47">
        <f>IF(A842="",0,IF(AND(J842="Yes",E842&lt;0),-E842,0))</f>
      </c>
      <c r="M842" s="47">
        <f>IF(A842="",0,IF(AND(J842="Yes",E842&gt;0),E842,0))</f>
      </c>
      <c r="N842">
        <f>IF(A842="","",IF(D842="Category Pending","Needs categorization",IF(COUNTIFS($A$2:A842,A842,$B$2:B842,B842,$E$2:E842,E842)&gt;1,"Possible duplicate","")))</f>
      </c>
    </row>
    <row r="843" spans="3:14" x14ac:dyDescent="0.3">
      <c r="A843"/>
      <c r="C843" s="16"/>
      <c r="G843" s="5">
        <f>IF(A843="","","Checking")</f>
      </c>
      <c r="H843">
        <f>IF(A843="","",IFERROR(XLOOKUP(D843,Setup!$E$15:$E$79,Setup!$F$15:$F$79),"Miscellaneous"))</f>
      </c>
      <c r="I843">
        <f>IF(A843="","",IFERROR(XLOOKUP(D843,Setup!$E$15:$E$79,Setup!$G$15:$G$79),"Uncategorized"))</f>
      </c>
      <c r="J843">
        <f>IF(A843="","",IF(OR(H843="Transfers",H843="Income",D843="Transfer",D843="Category Pending",F843="Pending"),"No","Yes"))</f>
      </c>
      <c r="K843" s="4">
        <f>IF(A843="","",TEXT(IF(DAY(A843)&gt;=Setup!$B$9,DATE(YEAR(A843),MONTH(A843)+1,1),DATE(YEAR(A843),MONTH(A843),1)),"mmmm yyyy"))</f>
      </c>
      <c r="L843" s="47">
        <f>IF(A843="",0,IF(AND(J843="Yes",E843&lt;0),-E843,0))</f>
      </c>
      <c r="M843" s="47">
        <f>IF(A843="",0,IF(AND(J843="Yes",E843&gt;0),E843,0))</f>
      </c>
      <c r="N843">
        <f>IF(A843="","",IF(D843="Category Pending","Needs categorization",IF(COUNTIFS($A$2:A843,A843,$B$2:B843,B843,$E$2:E843,E843)&gt;1,"Possible duplicate","")))</f>
      </c>
    </row>
    <row r="844" spans="3:14" x14ac:dyDescent="0.3">
      <c r="A844"/>
      <c r="C844" s="16"/>
      <c r="G844" s="5">
        <f>IF(A844="","","Checking")</f>
      </c>
      <c r="H844">
        <f>IF(A844="","",IFERROR(XLOOKUP(D844,Setup!$E$15:$E$79,Setup!$F$15:$F$79),"Miscellaneous"))</f>
      </c>
      <c r="I844">
        <f>IF(A844="","",IFERROR(XLOOKUP(D844,Setup!$E$15:$E$79,Setup!$G$15:$G$79),"Uncategorized"))</f>
      </c>
      <c r="J844">
        <f>IF(A844="","",IF(OR(H844="Transfers",H844="Income",D844="Transfer",D844="Category Pending",F844="Pending"),"No","Yes"))</f>
      </c>
      <c r="K844" s="4">
        <f>IF(A844="","",TEXT(IF(DAY(A844)&gt;=Setup!$B$9,DATE(YEAR(A844),MONTH(A844)+1,1),DATE(YEAR(A844),MONTH(A844),1)),"mmmm yyyy"))</f>
      </c>
      <c r="L844" s="47">
        <f>IF(A844="",0,IF(AND(J844="Yes",E844&lt;0),-E844,0))</f>
      </c>
      <c r="M844" s="47">
        <f>IF(A844="",0,IF(AND(J844="Yes",E844&gt;0),E844,0))</f>
      </c>
      <c r="N844">
        <f>IF(A844="","",IF(D844="Category Pending","Needs categorization",IF(COUNTIFS($A$2:A844,A844,$B$2:B844,B844,$E$2:E844,E844)&gt;1,"Possible duplicate","")))</f>
      </c>
    </row>
    <row r="845" spans="3:14" x14ac:dyDescent="0.3">
      <c r="A845"/>
      <c r="C845" s="16"/>
      <c r="G845" s="5">
        <f>IF(A845="","","Checking")</f>
      </c>
      <c r="H845">
        <f>IF(A845="","",IFERROR(XLOOKUP(D845,Setup!$E$15:$E$79,Setup!$F$15:$F$79),"Miscellaneous"))</f>
      </c>
      <c r="I845">
        <f>IF(A845="","",IFERROR(XLOOKUP(D845,Setup!$E$15:$E$79,Setup!$G$15:$G$79),"Uncategorized"))</f>
      </c>
      <c r="J845">
        <f>IF(A845="","",IF(OR(H845="Transfers",H845="Income",D845="Transfer",D845="Category Pending",F845="Pending"),"No","Yes"))</f>
      </c>
      <c r="K845" s="4">
        <f>IF(A845="","",TEXT(IF(DAY(A845)&gt;=Setup!$B$9,DATE(YEAR(A845),MONTH(A845)+1,1),DATE(YEAR(A845),MONTH(A845),1)),"mmmm yyyy"))</f>
      </c>
      <c r="L845" s="47">
        <f>IF(A845="",0,IF(AND(J845="Yes",E845&lt;0),-E845,0))</f>
      </c>
      <c r="M845" s="47">
        <f>IF(A845="",0,IF(AND(J845="Yes",E845&gt;0),E845,0))</f>
      </c>
      <c r="N845">
        <f>IF(A845="","",IF(D845="Category Pending","Needs categorization",IF(COUNTIFS($A$2:A845,A845,$B$2:B845,B845,$E$2:E845,E845)&gt;1,"Possible duplicate","")))</f>
      </c>
    </row>
    <row r="846" spans="3:14" x14ac:dyDescent="0.3">
      <c r="A846"/>
      <c r="C846" s="16"/>
      <c r="G846" s="5">
        <f>IF(A846="","","Checking")</f>
      </c>
      <c r="H846">
        <f>IF(A846="","",IFERROR(XLOOKUP(D846,Setup!$E$15:$E$79,Setup!$F$15:$F$79),"Miscellaneous"))</f>
      </c>
      <c r="I846">
        <f>IF(A846="","",IFERROR(XLOOKUP(D846,Setup!$E$15:$E$79,Setup!$G$15:$G$79),"Uncategorized"))</f>
      </c>
      <c r="J846">
        <f>IF(A846="","",IF(OR(H846="Transfers",H846="Income",D846="Transfer",D846="Category Pending",F846="Pending"),"No","Yes"))</f>
      </c>
      <c r="K846" s="4">
        <f>IF(A846="","",TEXT(IF(DAY(A846)&gt;=Setup!$B$9,DATE(YEAR(A846),MONTH(A846)+1,1),DATE(YEAR(A846),MONTH(A846),1)),"mmmm yyyy"))</f>
      </c>
      <c r="L846" s="47">
        <f>IF(A846="",0,IF(AND(J846="Yes",E846&lt;0),-E846,0))</f>
      </c>
      <c r="M846" s="47">
        <f>IF(A846="",0,IF(AND(J846="Yes",E846&gt;0),E846,0))</f>
      </c>
      <c r="N846">
        <f>IF(A846="","",IF(D846="Category Pending","Needs categorization",IF(COUNTIFS($A$2:A846,A846,$B$2:B846,B846,$E$2:E846,E846)&gt;1,"Possible duplicate","")))</f>
      </c>
    </row>
    <row r="847" spans="3:14" x14ac:dyDescent="0.3">
      <c r="A847"/>
      <c r="C847" s="16"/>
      <c r="G847" s="5">
        <f>IF(A847="","","Checking")</f>
      </c>
      <c r="H847">
        <f>IF(A847="","",IFERROR(XLOOKUP(D847,Setup!$E$15:$E$79,Setup!$F$15:$F$79),"Miscellaneous"))</f>
      </c>
      <c r="I847">
        <f>IF(A847="","",IFERROR(XLOOKUP(D847,Setup!$E$15:$E$79,Setup!$G$15:$G$79),"Uncategorized"))</f>
      </c>
      <c r="J847">
        <f>IF(A847="","",IF(OR(H847="Transfers",H847="Income",D847="Transfer",D847="Category Pending",F847="Pending"),"No","Yes"))</f>
      </c>
      <c r="K847" s="4">
        <f>IF(A847="","",TEXT(IF(DAY(A847)&gt;=Setup!$B$9,DATE(YEAR(A847),MONTH(A847)+1,1),DATE(YEAR(A847),MONTH(A847),1)),"mmmm yyyy"))</f>
      </c>
      <c r="L847" s="47">
        <f>IF(A847="",0,IF(AND(J847="Yes",E847&lt;0),-E847,0))</f>
      </c>
      <c r="M847" s="47">
        <f>IF(A847="",0,IF(AND(J847="Yes",E847&gt;0),E847,0))</f>
      </c>
      <c r="N847">
        <f>IF(A847="","",IF(D847="Category Pending","Needs categorization",IF(COUNTIFS($A$2:A847,A847,$B$2:B847,B847,$E$2:E847,E847)&gt;1,"Possible duplicate","")))</f>
      </c>
    </row>
    <row r="848" spans="3:14" x14ac:dyDescent="0.3">
      <c r="A848"/>
      <c r="C848" s="16"/>
      <c r="G848" s="5">
        <f>IF(A848="","","Checking")</f>
      </c>
      <c r="H848">
        <f>IF(A848="","",IFERROR(XLOOKUP(D848,Setup!$E$15:$E$79,Setup!$F$15:$F$79),"Miscellaneous"))</f>
      </c>
      <c r="I848">
        <f>IF(A848="","",IFERROR(XLOOKUP(D848,Setup!$E$15:$E$79,Setup!$G$15:$G$79),"Uncategorized"))</f>
      </c>
      <c r="J848">
        <f>IF(A848="","",IF(OR(H848="Transfers",H848="Income",D848="Transfer",D848="Category Pending",F848="Pending"),"No","Yes"))</f>
      </c>
      <c r="K848" s="4">
        <f>IF(A848="","",TEXT(IF(DAY(A848)&gt;=Setup!$B$9,DATE(YEAR(A848),MONTH(A848)+1,1),DATE(YEAR(A848),MONTH(A848),1)),"mmmm yyyy"))</f>
      </c>
      <c r="L848" s="47">
        <f>IF(A848="",0,IF(AND(J848="Yes",E848&lt;0),-E848,0))</f>
      </c>
      <c r="M848" s="47">
        <f>IF(A848="",0,IF(AND(J848="Yes",E848&gt;0),E848,0))</f>
      </c>
      <c r="N848">
        <f>IF(A848="","",IF(D848="Category Pending","Needs categorization",IF(COUNTIFS($A$2:A848,A848,$B$2:B848,B848,$E$2:E848,E848)&gt;1,"Possible duplicate","")))</f>
      </c>
    </row>
    <row r="849" spans="3:14" x14ac:dyDescent="0.3">
      <c r="A849"/>
      <c r="C849" s="16"/>
      <c r="G849" s="5">
        <f>IF(A849="","","Checking")</f>
      </c>
      <c r="H849">
        <f>IF(A849="","",IFERROR(XLOOKUP(D849,Setup!$E$15:$E$79,Setup!$F$15:$F$79),"Miscellaneous"))</f>
      </c>
      <c r="I849">
        <f>IF(A849="","",IFERROR(XLOOKUP(D849,Setup!$E$15:$E$79,Setup!$G$15:$G$79),"Uncategorized"))</f>
      </c>
      <c r="J849">
        <f>IF(A849="","",IF(OR(H849="Transfers",H849="Income",D849="Transfer",D849="Category Pending",F849="Pending"),"No","Yes"))</f>
      </c>
      <c r="K849" s="4">
        <f>IF(A849="","",TEXT(IF(DAY(A849)&gt;=Setup!$B$9,DATE(YEAR(A849),MONTH(A849)+1,1),DATE(YEAR(A849),MONTH(A849),1)),"mmmm yyyy"))</f>
      </c>
      <c r="L849" s="47">
        <f>IF(A849="",0,IF(AND(J849="Yes",E849&lt;0),-E849,0))</f>
      </c>
      <c r="M849" s="47">
        <f>IF(A849="",0,IF(AND(J849="Yes",E849&gt;0),E849,0))</f>
      </c>
      <c r="N849">
        <f>IF(A849="","",IF(D849="Category Pending","Needs categorization",IF(COUNTIFS($A$2:A849,A849,$B$2:B849,B849,$E$2:E849,E849)&gt;1,"Possible duplicate","")))</f>
      </c>
    </row>
    <row r="850" spans="3:14" x14ac:dyDescent="0.3">
      <c r="A850"/>
      <c r="C850" s="16"/>
      <c r="G850" s="5">
        <f>IF(A850="","","Checking")</f>
      </c>
      <c r="H850">
        <f>IF(A850="","",IFERROR(XLOOKUP(D850,Setup!$E$15:$E$79,Setup!$F$15:$F$79),"Miscellaneous"))</f>
      </c>
      <c r="I850">
        <f>IF(A850="","",IFERROR(XLOOKUP(D850,Setup!$E$15:$E$79,Setup!$G$15:$G$79),"Uncategorized"))</f>
      </c>
      <c r="J850">
        <f>IF(A850="","",IF(OR(H850="Transfers",H850="Income",D850="Transfer",D850="Category Pending",F850="Pending"),"No","Yes"))</f>
      </c>
      <c r="K850" s="4">
        <f>IF(A850="","",TEXT(IF(DAY(A850)&gt;=Setup!$B$9,DATE(YEAR(A850),MONTH(A850)+1,1),DATE(YEAR(A850),MONTH(A850),1)),"mmmm yyyy"))</f>
      </c>
      <c r="L850" s="47">
        <f>IF(A850="",0,IF(AND(J850="Yes",E850&lt;0),-E850,0))</f>
      </c>
      <c r="M850" s="47">
        <f>IF(A850="",0,IF(AND(J850="Yes",E850&gt;0),E850,0))</f>
      </c>
      <c r="N850">
        <f>IF(A850="","",IF(D850="Category Pending","Needs categorization",IF(COUNTIFS($A$2:A850,A850,$B$2:B850,B850,$E$2:E850,E850)&gt;1,"Possible duplicate","")))</f>
      </c>
    </row>
    <row r="851" spans="3:14" x14ac:dyDescent="0.3">
      <c r="A851"/>
      <c r="C851" s="16"/>
      <c r="G851" s="5">
        <f>IF(A851="","","Checking")</f>
      </c>
      <c r="H851">
        <f>IF(A851="","",IFERROR(XLOOKUP(D851,Setup!$E$15:$E$79,Setup!$F$15:$F$79),"Miscellaneous"))</f>
      </c>
      <c r="I851">
        <f>IF(A851="","",IFERROR(XLOOKUP(D851,Setup!$E$15:$E$79,Setup!$G$15:$G$79),"Uncategorized"))</f>
      </c>
      <c r="J851">
        <f>IF(A851="","",IF(OR(H851="Transfers",H851="Income",D851="Transfer",D851="Category Pending",F851="Pending"),"No","Yes"))</f>
      </c>
      <c r="K851" s="4">
        <f>IF(A851="","",TEXT(IF(DAY(A851)&gt;=Setup!$B$9,DATE(YEAR(A851),MONTH(A851)+1,1),DATE(YEAR(A851),MONTH(A851),1)),"mmmm yyyy"))</f>
      </c>
      <c r="L851" s="47">
        <f>IF(A851="",0,IF(AND(J851="Yes",E851&lt;0),-E851,0))</f>
      </c>
      <c r="M851" s="47">
        <f>IF(A851="",0,IF(AND(J851="Yes",E851&gt;0),E851,0))</f>
      </c>
      <c r="N851">
        <f>IF(A851="","",IF(D851="Category Pending","Needs categorization",IF(COUNTIFS($A$2:A851,A851,$B$2:B851,B851,$E$2:E851,E851)&gt;1,"Possible duplicate","")))</f>
      </c>
    </row>
    <row r="852" spans="3:14" x14ac:dyDescent="0.3">
      <c r="A852"/>
      <c r="C852" s="16"/>
      <c r="G852" s="5">
        <f>IF(A852="","","Checking")</f>
      </c>
      <c r="H852">
        <f>IF(A852="","",IFERROR(XLOOKUP(D852,Setup!$E$15:$E$79,Setup!$F$15:$F$79),"Miscellaneous"))</f>
      </c>
      <c r="I852">
        <f>IF(A852="","",IFERROR(XLOOKUP(D852,Setup!$E$15:$E$79,Setup!$G$15:$G$79),"Uncategorized"))</f>
      </c>
      <c r="J852">
        <f>IF(A852="","",IF(OR(H852="Transfers",H852="Income",D852="Transfer",D852="Category Pending",F852="Pending"),"No","Yes"))</f>
      </c>
      <c r="K852" s="4">
        <f>IF(A852="","",TEXT(IF(DAY(A852)&gt;=Setup!$B$9,DATE(YEAR(A852),MONTH(A852)+1,1),DATE(YEAR(A852),MONTH(A852),1)),"mmmm yyyy"))</f>
      </c>
      <c r="L852" s="47">
        <f>IF(A852="",0,IF(AND(J852="Yes",E852&lt;0),-E852,0))</f>
      </c>
      <c r="M852" s="47">
        <f>IF(A852="",0,IF(AND(J852="Yes",E852&gt;0),E852,0))</f>
      </c>
      <c r="N852">
        <f>IF(A852="","",IF(D852="Category Pending","Needs categorization",IF(COUNTIFS($A$2:A852,A852,$B$2:B852,B852,$E$2:E852,E852)&gt;1,"Possible duplicate","")))</f>
      </c>
    </row>
    <row r="853" spans="3:14" x14ac:dyDescent="0.3">
      <c r="A853"/>
      <c r="C853" s="16"/>
      <c r="G853" s="5">
        <f>IF(A853="","","Checking")</f>
      </c>
      <c r="H853">
        <f>IF(A853="","",IFERROR(XLOOKUP(D853,Setup!$E$15:$E$79,Setup!$F$15:$F$79),"Miscellaneous"))</f>
      </c>
      <c r="I853">
        <f>IF(A853="","",IFERROR(XLOOKUP(D853,Setup!$E$15:$E$79,Setup!$G$15:$G$79),"Uncategorized"))</f>
      </c>
      <c r="J853">
        <f>IF(A853="","",IF(OR(H853="Transfers",H853="Income",D853="Transfer",D853="Category Pending",F853="Pending"),"No","Yes"))</f>
      </c>
      <c r="K853" s="4">
        <f>IF(A853="","",TEXT(IF(DAY(A853)&gt;=Setup!$B$9,DATE(YEAR(A853),MONTH(A853)+1,1),DATE(YEAR(A853),MONTH(A853),1)),"mmmm yyyy"))</f>
      </c>
      <c r="L853" s="47">
        <f>IF(A853="",0,IF(AND(J853="Yes",E853&lt;0),-E853,0))</f>
      </c>
      <c r="M853" s="47">
        <f>IF(A853="",0,IF(AND(J853="Yes",E853&gt;0),E853,0))</f>
      </c>
      <c r="N853">
        <f>IF(A853="","",IF(D853="Category Pending","Needs categorization",IF(COUNTIFS($A$2:A853,A853,$B$2:B853,B853,$E$2:E853,E853)&gt;1,"Possible duplicate","")))</f>
      </c>
    </row>
    <row r="854" spans="3:14" x14ac:dyDescent="0.3">
      <c r="A854"/>
      <c r="C854" s="16"/>
      <c r="G854" s="5">
        <f>IF(A854="","","Checking")</f>
      </c>
      <c r="H854">
        <f>IF(A854="","",IFERROR(XLOOKUP(D854,Setup!$E$15:$E$79,Setup!$F$15:$F$79),"Miscellaneous"))</f>
      </c>
      <c r="I854">
        <f>IF(A854="","",IFERROR(XLOOKUP(D854,Setup!$E$15:$E$79,Setup!$G$15:$G$79),"Uncategorized"))</f>
      </c>
      <c r="J854">
        <f>IF(A854="","",IF(OR(H854="Transfers",H854="Income",D854="Transfer",D854="Category Pending",F854="Pending"),"No","Yes"))</f>
      </c>
      <c r="K854" s="4">
        <f>IF(A854="","",TEXT(IF(DAY(A854)&gt;=Setup!$B$9,DATE(YEAR(A854),MONTH(A854)+1,1),DATE(YEAR(A854),MONTH(A854),1)),"mmmm yyyy"))</f>
      </c>
      <c r="L854" s="47">
        <f>IF(A854="",0,IF(AND(J854="Yes",E854&lt;0),-E854,0))</f>
      </c>
      <c r="M854" s="47">
        <f>IF(A854="",0,IF(AND(J854="Yes",E854&gt;0),E854,0))</f>
      </c>
      <c r="N854">
        <f>IF(A854="","",IF(D854="Category Pending","Needs categorization",IF(COUNTIFS($A$2:A854,A854,$B$2:B854,B854,$E$2:E854,E854)&gt;1,"Possible duplicate","")))</f>
      </c>
    </row>
    <row r="855" spans="3:14" x14ac:dyDescent="0.3">
      <c r="A855"/>
      <c r="C855" s="16"/>
      <c r="G855" s="5">
        <f>IF(A855="","","Checking")</f>
      </c>
      <c r="H855">
        <f>IF(A855="","",IFERROR(XLOOKUP(D855,Setup!$E$15:$E$79,Setup!$F$15:$F$79),"Miscellaneous"))</f>
      </c>
      <c r="I855">
        <f>IF(A855="","",IFERROR(XLOOKUP(D855,Setup!$E$15:$E$79,Setup!$G$15:$G$79),"Uncategorized"))</f>
      </c>
      <c r="J855">
        <f>IF(A855="","",IF(OR(H855="Transfers",H855="Income",D855="Transfer",D855="Category Pending",F855="Pending"),"No","Yes"))</f>
      </c>
      <c r="K855" s="4">
        <f>IF(A855="","",TEXT(IF(DAY(A855)&gt;=Setup!$B$9,DATE(YEAR(A855),MONTH(A855)+1,1),DATE(YEAR(A855),MONTH(A855),1)),"mmmm yyyy"))</f>
      </c>
      <c r="L855" s="47">
        <f>IF(A855="",0,IF(AND(J855="Yes",E855&lt;0),-E855,0))</f>
      </c>
      <c r="M855" s="47">
        <f>IF(A855="",0,IF(AND(J855="Yes",E855&gt;0),E855,0))</f>
      </c>
      <c r="N855">
        <f>IF(A855="","",IF(D855="Category Pending","Needs categorization",IF(COUNTIFS($A$2:A855,A855,$B$2:B855,B855,$E$2:E855,E855)&gt;1,"Possible duplicate","")))</f>
      </c>
    </row>
    <row r="856" spans="3:14" x14ac:dyDescent="0.3">
      <c r="A856"/>
      <c r="C856" s="16"/>
      <c r="G856" s="5">
        <f>IF(A856="","","Checking")</f>
      </c>
      <c r="H856">
        <f>IF(A856="","",IFERROR(XLOOKUP(D856,Setup!$E$15:$E$79,Setup!$F$15:$F$79),"Miscellaneous"))</f>
      </c>
      <c r="I856">
        <f>IF(A856="","",IFERROR(XLOOKUP(D856,Setup!$E$15:$E$79,Setup!$G$15:$G$79),"Uncategorized"))</f>
      </c>
      <c r="J856">
        <f>IF(A856="","",IF(OR(H856="Transfers",H856="Income",D856="Transfer",D856="Category Pending",F856="Pending"),"No","Yes"))</f>
      </c>
      <c r="K856" s="4">
        <f>IF(A856="","",TEXT(IF(DAY(A856)&gt;=Setup!$B$9,DATE(YEAR(A856),MONTH(A856)+1,1),DATE(YEAR(A856),MONTH(A856),1)),"mmmm yyyy"))</f>
      </c>
      <c r="L856" s="47">
        <f>IF(A856="",0,IF(AND(J856="Yes",E856&lt;0),-E856,0))</f>
      </c>
      <c r="M856" s="47">
        <f>IF(A856="",0,IF(AND(J856="Yes",E856&gt;0),E856,0))</f>
      </c>
      <c r="N856">
        <f>IF(A856="","",IF(D856="Category Pending","Needs categorization",IF(COUNTIFS($A$2:A856,A856,$B$2:B856,B856,$E$2:E856,E856)&gt;1,"Possible duplicate","")))</f>
      </c>
    </row>
    <row r="857" spans="3:14" x14ac:dyDescent="0.3">
      <c r="A857"/>
      <c r="C857" s="16"/>
      <c r="G857" s="5">
        <f>IF(A857="","","Checking")</f>
      </c>
      <c r="H857">
        <f>IF(A857="","",IFERROR(XLOOKUP(D857,Setup!$E$15:$E$79,Setup!$F$15:$F$79),"Miscellaneous"))</f>
      </c>
      <c r="I857">
        <f>IF(A857="","",IFERROR(XLOOKUP(D857,Setup!$E$15:$E$79,Setup!$G$15:$G$79),"Uncategorized"))</f>
      </c>
      <c r="J857">
        <f>IF(A857="","",IF(OR(H857="Transfers",H857="Income",D857="Transfer",D857="Category Pending",F857="Pending"),"No","Yes"))</f>
      </c>
      <c r="K857" s="4">
        <f>IF(A857="","",TEXT(IF(DAY(A857)&gt;=Setup!$B$9,DATE(YEAR(A857),MONTH(A857)+1,1),DATE(YEAR(A857),MONTH(A857),1)),"mmmm yyyy"))</f>
      </c>
      <c r="L857" s="47">
        <f>IF(A857="",0,IF(AND(J857="Yes",E857&lt;0),-E857,0))</f>
      </c>
      <c r="M857" s="47">
        <f>IF(A857="",0,IF(AND(J857="Yes",E857&gt;0),E857,0))</f>
      </c>
      <c r="N857">
        <f>IF(A857="","",IF(D857="Category Pending","Needs categorization",IF(COUNTIFS($A$2:A857,A857,$B$2:B857,B857,$E$2:E857,E857)&gt;1,"Possible duplicate","")))</f>
      </c>
    </row>
    <row r="858" spans="3:14" x14ac:dyDescent="0.3">
      <c r="A858"/>
      <c r="C858" s="16"/>
      <c r="G858" s="5">
        <f>IF(A858="","","Checking")</f>
      </c>
      <c r="H858">
        <f>IF(A858="","",IFERROR(XLOOKUP(D858,Setup!$E$15:$E$79,Setup!$F$15:$F$79),"Miscellaneous"))</f>
      </c>
      <c r="I858">
        <f>IF(A858="","",IFERROR(XLOOKUP(D858,Setup!$E$15:$E$79,Setup!$G$15:$G$79),"Uncategorized"))</f>
      </c>
      <c r="J858">
        <f>IF(A858="","",IF(OR(H858="Transfers",H858="Income",D858="Transfer",D858="Category Pending",F858="Pending"),"No","Yes"))</f>
      </c>
      <c r="K858" s="4">
        <f>IF(A858="","",TEXT(IF(DAY(A858)&gt;=Setup!$B$9,DATE(YEAR(A858),MONTH(A858)+1,1),DATE(YEAR(A858),MONTH(A858),1)),"mmmm yyyy"))</f>
      </c>
      <c r="L858" s="47">
        <f>IF(A858="",0,IF(AND(J858="Yes",E858&lt;0),-E858,0))</f>
      </c>
      <c r="M858" s="47">
        <f>IF(A858="",0,IF(AND(J858="Yes",E858&gt;0),E858,0))</f>
      </c>
      <c r="N858">
        <f>IF(A858="","",IF(D858="Category Pending","Needs categorization",IF(COUNTIFS($A$2:A858,A858,$B$2:B858,B858,$E$2:E858,E858)&gt;1,"Possible duplicate","")))</f>
      </c>
    </row>
    <row r="859" spans="3:14" x14ac:dyDescent="0.3">
      <c r="A859"/>
      <c r="C859" s="16"/>
      <c r="G859" s="5">
        <f>IF(A859="","","Checking")</f>
      </c>
      <c r="H859">
        <f>IF(A859="","",IFERROR(XLOOKUP(D859,Setup!$E$15:$E$79,Setup!$F$15:$F$79),"Miscellaneous"))</f>
      </c>
      <c r="I859">
        <f>IF(A859="","",IFERROR(XLOOKUP(D859,Setup!$E$15:$E$79,Setup!$G$15:$G$79),"Uncategorized"))</f>
      </c>
      <c r="J859">
        <f>IF(A859="","",IF(OR(H859="Transfers",H859="Income",D859="Transfer",D859="Category Pending",F859="Pending"),"No","Yes"))</f>
      </c>
      <c r="K859" s="4">
        <f>IF(A859="","",TEXT(IF(DAY(A859)&gt;=Setup!$B$9,DATE(YEAR(A859),MONTH(A859)+1,1),DATE(YEAR(A859),MONTH(A859),1)),"mmmm yyyy"))</f>
      </c>
      <c r="L859" s="47">
        <f>IF(A859="",0,IF(AND(J859="Yes",E859&lt;0),-E859,0))</f>
      </c>
      <c r="M859" s="47">
        <f>IF(A859="",0,IF(AND(J859="Yes",E859&gt;0),E859,0))</f>
      </c>
      <c r="N859">
        <f>IF(A859="","",IF(D859="Category Pending","Needs categorization",IF(COUNTIFS($A$2:A859,A859,$B$2:B859,B859,$E$2:E859,E859)&gt;1,"Possible duplicate","")))</f>
      </c>
    </row>
    <row r="860" spans="3:14" x14ac:dyDescent="0.3">
      <c r="A860"/>
      <c r="C860" s="16"/>
      <c r="G860" s="5">
        <f>IF(A860="","","Checking")</f>
      </c>
      <c r="H860">
        <f>IF(A860="","",IFERROR(XLOOKUP(D860,Setup!$E$15:$E$79,Setup!$F$15:$F$79),"Miscellaneous"))</f>
      </c>
      <c r="I860">
        <f>IF(A860="","",IFERROR(XLOOKUP(D860,Setup!$E$15:$E$79,Setup!$G$15:$G$79),"Uncategorized"))</f>
      </c>
      <c r="J860">
        <f>IF(A860="","",IF(OR(H860="Transfers",H860="Income",D860="Transfer",D860="Category Pending",F860="Pending"),"No","Yes"))</f>
      </c>
      <c r="K860" s="4">
        <f>IF(A860="","",TEXT(IF(DAY(A860)&gt;=Setup!$B$9,DATE(YEAR(A860),MONTH(A860)+1,1),DATE(YEAR(A860),MONTH(A860),1)),"mmmm yyyy"))</f>
      </c>
      <c r="L860" s="47">
        <f>IF(A860="",0,IF(AND(J860="Yes",E860&lt;0),-E860,0))</f>
      </c>
      <c r="M860" s="47">
        <f>IF(A860="",0,IF(AND(J860="Yes",E860&gt;0),E860,0))</f>
      </c>
      <c r="N860">
        <f>IF(A860="","",IF(D860="Category Pending","Needs categorization",IF(COUNTIFS($A$2:A860,A860,$B$2:B860,B860,$E$2:E860,E860)&gt;1,"Possible duplicate","")))</f>
      </c>
    </row>
    <row r="861" spans="3:14" x14ac:dyDescent="0.3">
      <c r="A861"/>
      <c r="C861" s="16"/>
      <c r="G861" s="5">
        <f>IF(A861="","","Checking")</f>
      </c>
      <c r="H861">
        <f>IF(A861="","",IFERROR(XLOOKUP(D861,Setup!$E$15:$E$79,Setup!$F$15:$F$79),"Miscellaneous"))</f>
      </c>
      <c r="I861">
        <f>IF(A861="","",IFERROR(XLOOKUP(D861,Setup!$E$15:$E$79,Setup!$G$15:$G$79),"Uncategorized"))</f>
      </c>
      <c r="J861">
        <f>IF(A861="","",IF(OR(H861="Transfers",H861="Income",D861="Transfer",D861="Category Pending",F861="Pending"),"No","Yes"))</f>
      </c>
      <c r="K861" s="4">
        <f>IF(A861="","",TEXT(IF(DAY(A861)&gt;=Setup!$B$9,DATE(YEAR(A861),MONTH(A861)+1,1),DATE(YEAR(A861),MONTH(A861),1)),"mmmm yyyy"))</f>
      </c>
      <c r="L861" s="47">
        <f>IF(A861="",0,IF(AND(J861="Yes",E861&lt;0),-E861,0))</f>
      </c>
      <c r="M861" s="47">
        <f>IF(A861="",0,IF(AND(J861="Yes",E861&gt;0),E861,0))</f>
      </c>
      <c r="N861">
        <f>IF(A861="","",IF(D861="Category Pending","Needs categorization",IF(COUNTIFS($A$2:A861,A861,$B$2:B861,B861,$E$2:E861,E861)&gt;1,"Possible duplicate","")))</f>
      </c>
    </row>
    <row r="862" spans="3:14" x14ac:dyDescent="0.3">
      <c r="A862"/>
      <c r="C862" s="16"/>
      <c r="G862" s="5">
        <f>IF(A862="","","Checking")</f>
      </c>
      <c r="H862">
        <f>IF(A862="","",IFERROR(XLOOKUP(D862,Setup!$E$15:$E$79,Setup!$F$15:$F$79),"Miscellaneous"))</f>
      </c>
      <c r="I862">
        <f>IF(A862="","",IFERROR(XLOOKUP(D862,Setup!$E$15:$E$79,Setup!$G$15:$G$79),"Uncategorized"))</f>
      </c>
      <c r="J862">
        <f>IF(A862="","",IF(OR(H862="Transfers",H862="Income",D862="Transfer",D862="Category Pending",F862="Pending"),"No","Yes"))</f>
      </c>
      <c r="K862" s="4">
        <f>IF(A862="","",TEXT(IF(DAY(A862)&gt;=Setup!$B$9,DATE(YEAR(A862),MONTH(A862)+1,1),DATE(YEAR(A862),MONTH(A862),1)),"mmmm yyyy"))</f>
      </c>
      <c r="L862" s="47">
        <f>IF(A862="",0,IF(AND(J862="Yes",E862&lt;0),-E862,0))</f>
      </c>
      <c r="M862" s="47">
        <f>IF(A862="",0,IF(AND(J862="Yes",E862&gt;0),E862,0))</f>
      </c>
      <c r="N862">
        <f>IF(A862="","",IF(D862="Category Pending","Needs categorization",IF(COUNTIFS($A$2:A862,A862,$B$2:B862,B862,$E$2:E862,E862)&gt;1,"Possible duplicate","")))</f>
      </c>
    </row>
    <row r="863" spans="3:14" x14ac:dyDescent="0.3">
      <c r="A863"/>
      <c r="C863" s="16"/>
      <c r="G863" s="5">
        <f>IF(A863="","","Checking")</f>
      </c>
      <c r="H863">
        <f>IF(A863="","",IFERROR(XLOOKUP(D863,Setup!$E$15:$E$79,Setup!$F$15:$F$79),"Miscellaneous"))</f>
      </c>
      <c r="I863">
        <f>IF(A863="","",IFERROR(XLOOKUP(D863,Setup!$E$15:$E$79,Setup!$G$15:$G$79),"Uncategorized"))</f>
      </c>
      <c r="J863">
        <f>IF(A863="","",IF(OR(H863="Transfers",H863="Income",D863="Transfer",D863="Category Pending",F863="Pending"),"No","Yes"))</f>
      </c>
      <c r="K863" s="4">
        <f>IF(A863="","",TEXT(IF(DAY(A863)&gt;=Setup!$B$9,DATE(YEAR(A863),MONTH(A863)+1,1),DATE(YEAR(A863),MONTH(A863),1)),"mmmm yyyy"))</f>
      </c>
      <c r="L863" s="47">
        <f>IF(A863="",0,IF(AND(J863="Yes",E863&lt;0),-E863,0))</f>
      </c>
      <c r="M863" s="47">
        <f>IF(A863="",0,IF(AND(J863="Yes",E863&gt;0),E863,0))</f>
      </c>
      <c r="N863">
        <f>IF(A863="","",IF(D863="Category Pending","Needs categorization",IF(COUNTIFS($A$2:A863,A863,$B$2:B863,B863,$E$2:E863,E863)&gt;1,"Possible duplicate","")))</f>
      </c>
    </row>
    <row r="864" spans="3:14" x14ac:dyDescent="0.3">
      <c r="A864"/>
      <c r="C864" s="16"/>
      <c r="G864" s="5">
        <f>IF(A864="","","Checking")</f>
      </c>
      <c r="H864">
        <f>IF(A864="","",IFERROR(XLOOKUP(D864,Setup!$E$15:$E$79,Setup!$F$15:$F$79),"Miscellaneous"))</f>
      </c>
      <c r="I864">
        <f>IF(A864="","",IFERROR(XLOOKUP(D864,Setup!$E$15:$E$79,Setup!$G$15:$G$79),"Uncategorized"))</f>
      </c>
      <c r="J864">
        <f>IF(A864="","",IF(OR(H864="Transfers",H864="Income",D864="Transfer",D864="Category Pending",F864="Pending"),"No","Yes"))</f>
      </c>
      <c r="K864" s="4">
        <f>IF(A864="","",TEXT(IF(DAY(A864)&gt;=Setup!$B$9,DATE(YEAR(A864),MONTH(A864)+1,1),DATE(YEAR(A864),MONTH(A864),1)),"mmmm yyyy"))</f>
      </c>
      <c r="L864" s="47">
        <f>IF(A864="",0,IF(AND(J864="Yes",E864&lt;0),-E864,0))</f>
      </c>
      <c r="M864" s="47">
        <f>IF(A864="",0,IF(AND(J864="Yes",E864&gt;0),E864,0))</f>
      </c>
      <c r="N864">
        <f>IF(A864="","",IF(D864="Category Pending","Needs categorization",IF(COUNTIFS($A$2:A864,A864,$B$2:B864,B864,$E$2:E864,E864)&gt;1,"Possible duplicate","")))</f>
      </c>
    </row>
    <row r="865" spans="3:14" x14ac:dyDescent="0.3">
      <c r="A865"/>
      <c r="C865" s="16"/>
      <c r="G865" s="5">
        <f>IF(A865="","","Checking")</f>
      </c>
      <c r="H865">
        <f>IF(A865="","",IFERROR(XLOOKUP(D865,Setup!$E$15:$E$79,Setup!$F$15:$F$79),"Miscellaneous"))</f>
      </c>
      <c r="I865">
        <f>IF(A865="","",IFERROR(XLOOKUP(D865,Setup!$E$15:$E$79,Setup!$G$15:$G$79),"Uncategorized"))</f>
      </c>
      <c r="J865">
        <f>IF(A865="","",IF(OR(H865="Transfers",H865="Income",D865="Transfer",D865="Category Pending",F865="Pending"),"No","Yes"))</f>
      </c>
      <c r="K865" s="4">
        <f>IF(A865="","",TEXT(IF(DAY(A865)&gt;=Setup!$B$9,DATE(YEAR(A865),MONTH(A865)+1,1),DATE(YEAR(A865),MONTH(A865),1)),"mmmm yyyy"))</f>
      </c>
      <c r="L865" s="47">
        <f>IF(A865="",0,IF(AND(J865="Yes",E865&lt;0),-E865,0))</f>
      </c>
      <c r="M865" s="47">
        <f>IF(A865="",0,IF(AND(J865="Yes",E865&gt;0),E865,0))</f>
      </c>
      <c r="N865">
        <f>IF(A865="","",IF(D865="Category Pending","Needs categorization",IF(COUNTIFS($A$2:A865,A865,$B$2:B865,B865,$E$2:E865,E865)&gt;1,"Possible duplicate","")))</f>
      </c>
    </row>
    <row r="866" spans="3:14" x14ac:dyDescent="0.3">
      <c r="A866"/>
      <c r="C866" s="16"/>
      <c r="G866" s="5">
        <f>IF(A866="","","Checking")</f>
      </c>
      <c r="H866">
        <f>IF(A866="","",IFERROR(XLOOKUP(D866,Setup!$E$15:$E$79,Setup!$F$15:$F$79),"Miscellaneous"))</f>
      </c>
      <c r="I866">
        <f>IF(A866="","",IFERROR(XLOOKUP(D866,Setup!$E$15:$E$79,Setup!$G$15:$G$79),"Uncategorized"))</f>
      </c>
      <c r="J866">
        <f>IF(A866="","",IF(OR(H866="Transfers",H866="Income",D866="Transfer",D866="Category Pending",F866="Pending"),"No","Yes"))</f>
      </c>
      <c r="K866" s="4">
        <f>IF(A866="","",TEXT(IF(DAY(A866)&gt;=Setup!$B$9,DATE(YEAR(A866),MONTH(A866)+1,1),DATE(YEAR(A866),MONTH(A866),1)),"mmmm yyyy"))</f>
      </c>
      <c r="L866" s="47">
        <f>IF(A866="",0,IF(AND(J866="Yes",E866&lt;0),-E866,0))</f>
      </c>
      <c r="M866" s="47">
        <f>IF(A866="",0,IF(AND(J866="Yes",E866&gt;0),E866,0))</f>
      </c>
      <c r="N866">
        <f>IF(A866="","",IF(D866="Category Pending","Needs categorization",IF(COUNTIFS($A$2:A866,A866,$B$2:B866,B866,$E$2:E866,E866)&gt;1,"Possible duplicate","")))</f>
      </c>
    </row>
    <row r="867" spans="3:14" x14ac:dyDescent="0.3">
      <c r="A867"/>
      <c r="C867" s="16"/>
      <c r="G867" s="5">
        <f>IF(A867="","","Checking")</f>
      </c>
      <c r="H867">
        <f>IF(A867="","",IFERROR(XLOOKUP(D867,Setup!$E$15:$E$79,Setup!$F$15:$F$79),"Miscellaneous"))</f>
      </c>
      <c r="I867">
        <f>IF(A867="","",IFERROR(XLOOKUP(D867,Setup!$E$15:$E$79,Setup!$G$15:$G$79),"Uncategorized"))</f>
      </c>
      <c r="J867">
        <f>IF(A867="","",IF(OR(H867="Transfers",H867="Income",D867="Transfer",D867="Category Pending",F867="Pending"),"No","Yes"))</f>
      </c>
      <c r="K867" s="4">
        <f>IF(A867="","",TEXT(IF(DAY(A867)&gt;=Setup!$B$9,DATE(YEAR(A867),MONTH(A867)+1,1),DATE(YEAR(A867),MONTH(A867),1)),"mmmm yyyy"))</f>
      </c>
      <c r="L867" s="47">
        <f>IF(A867="",0,IF(AND(J867="Yes",E867&lt;0),-E867,0))</f>
      </c>
      <c r="M867" s="47">
        <f>IF(A867="",0,IF(AND(J867="Yes",E867&gt;0),E867,0))</f>
      </c>
      <c r="N867">
        <f>IF(A867="","",IF(D867="Category Pending","Needs categorization",IF(COUNTIFS($A$2:A867,A867,$B$2:B867,B867,$E$2:E867,E867)&gt;1,"Possible duplicate","")))</f>
      </c>
    </row>
    <row r="868" spans="3:14" x14ac:dyDescent="0.3">
      <c r="A868"/>
      <c r="C868" s="16"/>
      <c r="G868" s="5">
        <f>IF(A868="","","Checking")</f>
      </c>
      <c r="H868">
        <f>IF(A868="","",IFERROR(XLOOKUP(D868,Setup!$E$15:$E$79,Setup!$F$15:$F$79),"Miscellaneous"))</f>
      </c>
      <c r="I868">
        <f>IF(A868="","",IFERROR(XLOOKUP(D868,Setup!$E$15:$E$79,Setup!$G$15:$G$79),"Uncategorized"))</f>
      </c>
      <c r="J868">
        <f>IF(A868="","",IF(OR(H868="Transfers",H868="Income",D868="Transfer",D868="Category Pending",F868="Pending"),"No","Yes"))</f>
      </c>
      <c r="K868" s="4">
        <f>IF(A868="","",TEXT(IF(DAY(A868)&gt;=Setup!$B$9,DATE(YEAR(A868),MONTH(A868)+1,1),DATE(YEAR(A868),MONTH(A868),1)),"mmmm yyyy"))</f>
      </c>
      <c r="L868" s="47">
        <f>IF(A868="",0,IF(AND(J868="Yes",E868&lt;0),-E868,0))</f>
      </c>
      <c r="M868" s="47">
        <f>IF(A868="",0,IF(AND(J868="Yes",E868&gt;0),E868,0))</f>
      </c>
      <c r="N868">
        <f>IF(A868="","",IF(D868="Category Pending","Needs categorization",IF(COUNTIFS($A$2:A868,A868,$B$2:B868,B868,$E$2:E868,E868)&gt;1,"Possible duplicate","")))</f>
      </c>
    </row>
    <row r="869" spans="3:14" x14ac:dyDescent="0.3">
      <c r="A869"/>
      <c r="C869" s="16"/>
      <c r="G869" s="5">
        <f>IF(A869="","","Checking")</f>
      </c>
      <c r="H869">
        <f>IF(A869="","",IFERROR(XLOOKUP(D869,Setup!$E$15:$E$79,Setup!$F$15:$F$79),"Miscellaneous"))</f>
      </c>
      <c r="I869">
        <f>IF(A869="","",IFERROR(XLOOKUP(D869,Setup!$E$15:$E$79,Setup!$G$15:$G$79),"Uncategorized"))</f>
      </c>
      <c r="J869">
        <f>IF(A869="","",IF(OR(H869="Transfers",H869="Income",D869="Transfer",D869="Category Pending",F869="Pending"),"No","Yes"))</f>
      </c>
      <c r="K869" s="4">
        <f>IF(A869="","",TEXT(IF(DAY(A869)&gt;=Setup!$B$9,DATE(YEAR(A869),MONTH(A869)+1,1),DATE(YEAR(A869),MONTH(A869),1)),"mmmm yyyy"))</f>
      </c>
      <c r="L869" s="47">
        <f>IF(A869="",0,IF(AND(J869="Yes",E869&lt;0),-E869,0))</f>
      </c>
      <c r="M869" s="47">
        <f>IF(A869="",0,IF(AND(J869="Yes",E869&gt;0),E869,0))</f>
      </c>
      <c r="N869">
        <f>IF(A869="","",IF(D869="Category Pending","Needs categorization",IF(COUNTIFS($A$2:A869,A869,$B$2:B869,B869,$E$2:E869,E869)&gt;1,"Possible duplicate","")))</f>
      </c>
    </row>
    <row r="870" spans="3:14" x14ac:dyDescent="0.3">
      <c r="A870"/>
      <c r="C870" s="16"/>
      <c r="G870" s="5">
        <f>IF(A870="","","Checking")</f>
      </c>
      <c r="H870">
        <f>IF(A870="","",IFERROR(XLOOKUP(D870,Setup!$E$15:$E$79,Setup!$F$15:$F$79),"Miscellaneous"))</f>
      </c>
      <c r="I870">
        <f>IF(A870="","",IFERROR(XLOOKUP(D870,Setup!$E$15:$E$79,Setup!$G$15:$G$79),"Uncategorized"))</f>
      </c>
      <c r="J870">
        <f>IF(A870="","",IF(OR(H870="Transfers",H870="Income",D870="Transfer",D870="Category Pending",F870="Pending"),"No","Yes"))</f>
      </c>
      <c r="K870" s="4">
        <f>IF(A870="","",TEXT(IF(DAY(A870)&gt;=Setup!$B$9,DATE(YEAR(A870),MONTH(A870)+1,1),DATE(YEAR(A870),MONTH(A870),1)),"mmmm yyyy"))</f>
      </c>
      <c r="L870" s="47">
        <f>IF(A870="",0,IF(AND(J870="Yes",E870&lt;0),-E870,0))</f>
      </c>
      <c r="M870" s="47">
        <f>IF(A870="",0,IF(AND(J870="Yes",E870&gt;0),E870,0))</f>
      </c>
      <c r="N870">
        <f>IF(A870="","",IF(D870="Category Pending","Needs categorization",IF(COUNTIFS($A$2:A870,A870,$B$2:B870,B870,$E$2:E870,E870)&gt;1,"Possible duplicate","")))</f>
      </c>
    </row>
    <row r="871" spans="3:14" x14ac:dyDescent="0.3">
      <c r="A871"/>
      <c r="C871" s="16"/>
      <c r="G871" s="5">
        <f>IF(A871="","","Checking")</f>
      </c>
      <c r="H871">
        <f>IF(A871="","",IFERROR(XLOOKUP(D871,Setup!$E$15:$E$79,Setup!$F$15:$F$79),"Miscellaneous"))</f>
      </c>
      <c r="I871">
        <f>IF(A871="","",IFERROR(XLOOKUP(D871,Setup!$E$15:$E$79,Setup!$G$15:$G$79),"Uncategorized"))</f>
      </c>
      <c r="J871">
        <f>IF(A871="","",IF(OR(H871="Transfers",H871="Income",D871="Transfer",D871="Category Pending",F871="Pending"),"No","Yes"))</f>
      </c>
      <c r="K871" s="4">
        <f>IF(A871="","",TEXT(IF(DAY(A871)&gt;=Setup!$B$9,DATE(YEAR(A871),MONTH(A871)+1,1),DATE(YEAR(A871),MONTH(A871),1)),"mmmm yyyy"))</f>
      </c>
      <c r="L871" s="47">
        <f>IF(A871="",0,IF(AND(J871="Yes",E871&lt;0),-E871,0))</f>
      </c>
      <c r="M871" s="47">
        <f>IF(A871="",0,IF(AND(J871="Yes",E871&gt;0),E871,0))</f>
      </c>
      <c r="N871">
        <f>IF(A871="","",IF(D871="Category Pending","Needs categorization",IF(COUNTIFS($A$2:A871,A871,$B$2:B871,B871,$E$2:E871,E871)&gt;1,"Possible duplicate","")))</f>
      </c>
    </row>
    <row r="872" spans="3:14" x14ac:dyDescent="0.3">
      <c r="A872"/>
      <c r="C872" s="16"/>
      <c r="G872" s="5">
        <f>IF(A872="","","Checking")</f>
      </c>
      <c r="H872">
        <f>IF(A872="","",IFERROR(XLOOKUP(D872,Setup!$E$15:$E$79,Setup!$F$15:$F$79),"Miscellaneous"))</f>
      </c>
      <c r="I872">
        <f>IF(A872="","",IFERROR(XLOOKUP(D872,Setup!$E$15:$E$79,Setup!$G$15:$G$79),"Uncategorized"))</f>
      </c>
      <c r="J872">
        <f>IF(A872="","",IF(OR(H872="Transfers",H872="Income",D872="Transfer",D872="Category Pending",F872="Pending"),"No","Yes"))</f>
      </c>
      <c r="K872" s="4">
        <f>IF(A872="","",TEXT(IF(DAY(A872)&gt;=Setup!$B$9,DATE(YEAR(A872),MONTH(A872)+1,1),DATE(YEAR(A872),MONTH(A872),1)),"mmmm yyyy"))</f>
      </c>
      <c r="L872" s="47">
        <f>IF(A872="",0,IF(AND(J872="Yes",E872&lt;0),-E872,0))</f>
      </c>
      <c r="M872" s="47">
        <f>IF(A872="",0,IF(AND(J872="Yes",E872&gt;0),E872,0))</f>
      </c>
      <c r="N872">
        <f>IF(A872="","",IF(D872="Category Pending","Needs categorization",IF(COUNTIFS($A$2:A872,A872,$B$2:B872,B872,$E$2:E872,E872)&gt;1,"Possible duplicate","")))</f>
      </c>
    </row>
    <row r="873" spans="3:14" x14ac:dyDescent="0.3">
      <c r="A873"/>
      <c r="C873" s="16"/>
      <c r="G873" s="5">
        <f>IF(A873="","","Checking")</f>
      </c>
      <c r="H873">
        <f>IF(A873="","",IFERROR(XLOOKUP(D873,Setup!$E$15:$E$79,Setup!$F$15:$F$79),"Miscellaneous"))</f>
      </c>
      <c r="I873">
        <f>IF(A873="","",IFERROR(XLOOKUP(D873,Setup!$E$15:$E$79,Setup!$G$15:$G$79),"Uncategorized"))</f>
      </c>
      <c r="J873">
        <f>IF(A873="","",IF(OR(H873="Transfers",H873="Income",D873="Transfer",D873="Category Pending",F873="Pending"),"No","Yes"))</f>
      </c>
      <c r="K873" s="4">
        <f>IF(A873="","",TEXT(IF(DAY(A873)&gt;=Setup!$B$9,DATE(YEAR(A873),MONTH(A873)+1,1),DATE(YEAR(A873),MONTH(A873),1)),"mmmm yyyy"))</f>
      </c>
      <c r="L873" s="47">
        <f>IF(A873="",0,IF(AND(J873="Yes",E873&lt;0),-E873,0))</f>
      </c>
      <c r="M873" s="47">
        <f>IF(A873="",0,IF(AND(J873="Yes",E873&gt;0),E873,0))</f>
      </c>
      <c r="N873">
        <f>IF(A873="","",IF(D873="Category Pending","Needs categorization",IF(COUNTIFS($A$2:A873,A873,$B$2:B873,B873,$E$2:E873,E873)&gt;1,"Possible duplicate","")))</f>
      </c>
    </row>
    <row r="874" spans="3:14" x14ac:dyDescent="0.3">
      <c r="A874"/>
      <c r="C874" s="16"/>
      <c r="G874" s="5">
        <f>IF(A874="","","Checking")</f>
      </c>
      <c r="H874">
        <f>IF(A874="","",IFERROR(XLOOKUP(D874,Setup!$E$15:$E$79,Setup!$F$15:$F$79),"Miscellaneous"))</f>
      </c>
      <c r="I874">
        <f>IF(A874="","",IFERROR(XLOOKUP(D874,Setup!$E$15:$E$79,Setup!$G$15:$G$79),"Uncategorized"))</f>
      </c>
      <c r="J874">
        <f>IF(A874="","",IF(OR(H874="Transfers",H874="Income",D874="Transfer",D874="Category Pending",F874="Pending"),"No","Yes"))</f>
      </c>
      <c r="K874" s="4">
        <f>IF(A874="","",TEXT(IF(DAY(A874)&gt;=Setup!$B$9,DATE(YEAR(A874),MONTH(A874)+1,1),DATE(YEAR(A874),MONTH(A874),1)),"mmmm yyyy"))</f>
      </c>
      <c r="L874" s="47">
        <f>IF(A874="",0,IF(AND(J874="Yes",E874&lt;0),-E874,0))</f>
      </c>
      <c r="M874" s="47">
        <f>IF(A874="",0,IF(AND(J874="Yes",E874&gt;0),E874,0))</f>
      </c>
      <c r="N874">
        <f>IF(A874="","",IF(D874="Category Pending","Needs categorization",IF(COUNTIFS($A$2:A874,A874,$B$2:B874,B874,$E$2:E874,E874)&gt;1,"Possible duplicate","")))</f>
      </c>
    </row>
    <row r="875" spans="3:14" x14ac:dyDescent="0.3">
      <c r="A875"/>
      <c r="C875" s="16"/>
      <c r="G875" s="5">
        <f>IF(A875="","","Checking")</f>
      </c>
      <c r="H875">
        <f>IF(A875="","",IFERROR(XLOOKUP(D875,Setup!$E$15:$E$79,Setup!$F$15:$F$79),"Miscellaneous"))</f>
      </c>
      <c r="I875">
        <f>IF(A875="","",IFERROR(XLOOKUP(D875,Setup!$E$15:$E$79,Setup!$G$15:$G$79),"Uncategorized"))</f>
      </c>
      <c r="J875">
        <f>IF(A875="","",IF(OR(H875="Transfers",H875="Income",D875="Transfer",D875="Category Pending",F875="Pending"),"No","Yes"))</f>
      </c>
      <c r="K875" s="4">
        <f>IF(A875="","",TEXT(IF(DAY(A875)&gt;=Setup!$B$9,DATE(YEAR(A875),MONTH(A875)+1,1),DATE(YEAR(A875),MONTH(A875),1)),"mmmm yyyy"))</f>
      </c>
      <c r="L875" s="47">
        <f>IF(A875="",0,IF(AND(J875="Yes",E875&lt;0),-E875,0))</f>
      </c>
      <c r="M875" s="47">
        <f>IF(A875="",0,IF(AND(J875="Yes",E875&gt;0),E875,0))</f>
      </c>
      <c r="N875">
        <f>IF(A875="","",IF(D875="Category Pending","Needs categorization",IF(COUNTIFS($A$2:A875,A875,$B$2:B875,B875,$E$2:E875,E875)&gt;1,"Possible duplicate","")))</f>
      </c>
    </row>
    <row r="876" spans="3:14" x14ac:dyDescent="0.3">
      <c r="A876"/>
      <c r="C876" s="16"/>
      <c r="G876" s="5">
        <f>IF(A876="","","Checking")</f>
      </c>
      <c r="H876">
        <f>IF(A876="","",IFERROR(XLOOKUP(D876,Setup!$E$15:$E$79,Setup!$F$15:$F$79),"Miscellaneous"))</f>
      </c>
      <c r="I876">
        <f>IF(A876="","",IFERROR(XLOOKUP(D876,Setup!$E$15:$E$79,Setup!$G$15:$G$79),"Uncategorized"))</f>
      </c>
      <c r="J876">
        <f>IF(A876="","",IF(OR(H876="Transfers",H876="Income",D876="Transfer",D876="Category Pending",F876="Pending"),"No","Yes"))</f>
      </c>
      <c r="K876" s="4">
        <f>IF(A876="","",TEXT(IF(DAY(A876)&gt;=Setup!$B$9,DATE(YEAR(A876),MONTH(A876)+1,1),DATE(YEAR(A876),MONTH(A876),1)),"mmmm yyyy"))</f>
      </c>
      <c r="L876" s="47">
        <f>IF(A876="",0,IF(AND(J876="Yes",E876&lt;0),-E876,0))</f>
      </c>
      <c r="M876" s="47">
        <f>IF(A876="",0,IF(AND(J876="Yes",E876&gt;0),E876,0))</f>
      </c>
      <c r="N876">
        <f>IF(A876="","",IF(D876="Category Pending","Needs categorization",IF(COUNTIFS($A$2:A876,A876,$B$2:B876,B876,$E$2:E876,E876)&gt;1,"Possible duplicate","")))</f>
      </c>
    </row>
    <row r="877" spans="3:14" x14ac:dyDescent="0.3">
      <c r="A877"/>
      <c r="C877" s="16"/>
      <c r="G877" s="5">
        <f>IF(A877="","","Checking")</f>
      </c>
      <c r="H877">
        <f>IF(A877="","",IFERROR(XLOOKUP(D877,Setup!$E$15:$E$79,Setup!$F$15:$F$79),"Miscellaneous"))</f>
      </c>
      <c r="I877">
        <f>IF(A877="","",IFERROR(XLOOKUP(D877,Setup!$E$15:$E$79,Setup!$G$15:$G$79),"Uncategorized"))</f>
      </c>
      <c r="J877">
        <f>IF(A877="","",IF(OR(H877="Transfers",H877="Income",D877="Transfer",D877="Category Pending",F877="Pending"),"No","Yes"))</f>
      </c>
      <c r="K877" s="4">
        <f>IF(A877="","",TEXT(IF(DAY(A877)&gt;=Setup!$B$9,DATE(YEAR(A877),MONTH(A877)+1,1),DATE(YEAR(A877),MONTH(A877),1)),"mmmm yyyy"))</f>
      </c>
      <c r="L877" s="47">
        <f>IF(A877="",0,IF(AND(J877="Yes",E877&lt;0),-E877,0))</f>
      </c>
      <c r="M877" s="47">
        <f>IF(A877="",0,IF(AND(J877="Yes",E877&gt;0),E877,0))</f>
      </c>
      <c r="N877">
        <f>IF(A877="","",IF(D877="Category Pending","Needs categorization",IF(COUNTIFS($A$2:A877,A877,$B$2:B877,B877,$E$2:E877,E877)&gt;1,"Possible duplicate","")))</f>
      </c>
    </row>
    <row r="878" spans="3:14" x14ac:dyDescent="0.3">
      <c r="A878"/>
      <c r="C878" s="16"/>
      <c r="G878" s="5">
        <f>IF(A878="","","Checking")</f>
      </c>
      <c r="H878">
        <f>IF(A878="","",IFERROR(XLOOKUP(D878,Setup!$E$15:$E$79,Setup!$F$15:$F$79),"Miscellaneous"))</f>
      </c>
      <c r="I878">
        <f>IF(A878="","",IFERROR(XLOOKUP(D878,Setup!$E$15:$E$79,Setup!$G$15:$G$79),"Uncategorized"))</f>
      </c>
      <c r="J878">
        <f>IF(A878="","",IF(OR(H878="Transfers",H878="Income",D878="Transfer",D878="Category Pending",F878="Pending"),"No","Yes"))</f>
      </c>
      <c r="K878" s="4">
        <f>IF(A878="","",TEXT(IF(DAY(A878)&gt;=Setup!$B$9,DATE(YEAR(A878),MONTH(A878)+1,1),DATE(YEAR(A878),MONTH(A878),1)),"mmmm yyyy"))</f>
      </c>
      <c r="L878" s="47">
        <f>IF(A878="",0,IF(AND(J878="Yes",E878&lt;0),-E878,0))</f>
      </c>
      <c r="M878" s="47">
        <f>IF(A878="",0,IF(AND(J878="Yes",E878&gt;0),E878,0))</f>
      </c>
      <c r="N878">
        <f>IF(A878="","",IF(D878="Category Pending","Needs categorization",IF(COUNTIFS($A$2:A878,A878,$B$2:B878,B878,$E$2:E878,E878)&gt;1,"Possible duplicate","")))</f>
      </c>
    </row>
    <row r="879" spans="3:14" x14ac:dyDescent="0.3">
      <c r="A879"/>
      <c r="C879" s="16"/>
      <c r="G879" s="5">
        <f>IF(A879="","","Checking")</f>
      </c>
      <c r="H879">
        <f>IF(A879="","",IFERROR(XLOOKUP(D879,Setup!$E$15:$E$79,Setup!$F$15:$F$79),"Miscellaneous"))</f>
      </c>
      <c r="I879">
        <f>IF(A879="","",IFERROR(XLOOKUP(D879,Setup!$E$15:$E$79,Setup!$G$15:$G$79),"Uncategorized"))</f>
      </c>
      <c r="J879">
        <f>IF(A879="","",IF(OR(H879="Transfers",H879="Income",D879="Transfer",D879="Category Pending",F879="Pending"),"No","Yes"))</f>
      </c>
      <c r="K879" s="4">
        <f>IF(A879="","",TEXT(IF(DAY(A879)&gt;=Setup!$B$9,DATE(YEAR(A879),MONTH(A879)+1,1),DATE(YEAR(A879),MONTH(A879),1)),"mmmm yyyy"))</f>
      </c>
      <c r="L879" s="47">
        <f>IF(A879="",0,IF(AND(J879="Yes",E879&lt;0),-E879,0))</f>
      </c>
      <c r="M879" s="47">
        <f>IF(A879="",0,IF(AND(J879="Yes",E879&gt;0),E879,0))</f>
      </c>
      <c r="N879">
        <f>IF(A879="","",IF(D879="Category Pending","Needs categorization",IF(COUNTIFS($A$2:A879,A879,$B$2:B879,B879,$E$2:E879,E879)&gt;1,"Possible duplicate","")))</f>
      </c>
    </row>
    <row r="880" spans="3:14" x14ac:dyDescent="0.3">
      <c r="A880"/>
      <c r="C880" s="16"/>
      <c r="G880" s="5">
        <f>IF(A880="","","Checking")</f>
      </c>
      <c r="H880">
        <f>IF(A880="","",IFERROR(XLOOKUP(D880,Setup!$E$15:$E$79,Setup!$F$15:$F$79),"Miscellaneous"))</f>
      </c>
      <c r="I880">
        <f>IF(A880="","",IFERROR(XLOOKUP(D880,Setup!$E$15:$E$79,Setup!$G$15:$G$79),"Uncategorized"))</f>
      </c>
      <c r="J880">
        <f>IF(A880="","",IF(OR(H880="Transfers",H880="Income",D880="Transfer",D880="Category Pending",F880="Pending"),"No","Yes"))</f>
      </c>
      <c r="K880" s="4">
        <f>IF(A880="","",TEXT(IF(DAY(A880)&gt;=Setup!$B$9,DATE(YEAR(A880),MONTH(A880)+1,1),DATE(YEAR(A880),MONTH(A880),1)),"mmmm yyyy"))</f>
      </c>
      <c r="L880" s="47">
        <f>IF(A880="",0,IF(AND(J880="Yes",E880&lt;0),-E880,0))</f>
      </c>
      <c r="M880" s="47">
        <f>IF(A880="",0,IF(AND(J880="Yes",E880&gt;0),E880,0))</f>
      </c>
      <c r="N880">
        <f>IF(A880="","",IF(D880="Category Pending","Needs categorization",IF(COUNTIFS($A$2:A880,A880,$B$2:B880,B880,$E$2:E880,E880)&gt;1,"Possible duplicate","")))</f>
      </c>
    </row>
    <row r="881" spans="3:14" x14ac:dyDescent="0.3">
      <c r="A881"/>
      <c r="C881" s="16"/>
      <c r="G881" s="5">
        <f>IF(A881="","","Checking")</f>
      </c>
      <c r="H881">
        <f>IF(A881="","",IFERROR(XLOOKUP(D881,Setup!$E$15:$E$79,Setup!$F$15:$F$79),"Miscellaneous"))</f>
      </c>
      <c r="I881">
        <f>IF(A881="","",IFERROR(XLOOKUP(D881,Setup!$E$15:$E$79,Setup!$G$15:$G$79),"Uncategorized"))</f>
      </c>
      <c r="J881">
        <f>IF(A881="","",IF(OR(H881="Transfers",H881="Income",D881="Transfer",D881="Category Pending",F881="Pending"),"No","Yes"))</f>
      </c>
      <c r="K881" s="4">
        <f>IF(A881="","",TEXT(IF(DAY(A881)&gt;=Setup!$B$9,DATE(YEAR(A881),MONTH(A881)+1,1),DATE(YEAR(A881),MONTH(A881),1)),"mmmm yyyy"))</f>
      </c>
      <c r="L881" s="47">
        <f>IF(A881="",0,IF(AND(J881="Yes",E881&lt;0),-E881,0))</f>
      </c>
      <c r="M881" s="47">
        <f>IF(A881="",0,IF(AND(J881="Yes",E881&gt;0),E881,0))</f>
      </c>
      <c r="N881">
        <f>IF(A881="","",IF(D881="Category Pending","Needs categorization",IF(COUNTIFS($A$2:A881,A881,$B$2:B881,B881,$E$2:E881,E881)&gt;1,"Possible duplicate","")))</f>
      </c>
    </row>
    <row r="882" spans="3:14" x14ac:dyDescent="0.3">
      <c r="A882"/>
      <c r="C882" s="16"/>
      <c r="G882" s="5">
        <f>IF(A882="","","Checking")</f>
      </c>
      <c r="H882">
        <f>IF(A882="","",IFERROR(XLOOKUP(D882,Setup!$E$15:$E$79,Setup!$F$15:$F$79),"Miscellaneous"))</f>
      </c>
      <c r="I882">
        <f>IF(A882="","",IFERROR(XLOOKUP(D882,Setup!$E$15:$E$79,Setup!$G$15:$G$79),"Uncategorized"))</f>
      </c>
      <c r="J882">
        <f>IF(A882="","",IF(OR(H882="Transfers",H882="Income",D882="Transfer",D882="Category Pending",F882="Pending"),"No","Yes"))</f>
      </c>
      <c r="K882" s="4">
        <f>IF(A882="","",TEXT(IF(DAY(A882)&gt;=Setup!$B$9,DATE(YEAR(A882),MONTH(A882)+1,1),DATE(YEAR(A882),MONTH(A882),1)),"mmmm yyyy"))</f>
      </c>
      <c r="L882" s="47">
        <f>IF(A882="",0,IF(AND(J882="Yes",E882&lt;0),-E882,0))</f>
      </c>
      <c r="M882" s="47">
        <f>IF(A882="",0,IF(AND(J882="Yes",E882&gt;0),E882,0))</f>
      </c>
      <c r="N882">
        <f>IF(A882="","",IF(D882="Category Pending","Needs categorization",IF(COUNTIFS($A$2:A882,A882,$B$2:B882,B882,$E$2:E882,E882)&gt;1,"Possible duplicate","")))</f>
      </c>
    </row>
    <row r="883" spans="3:14" x14ac:dyDescent="0.3">
      <c r="A883"/>
      <c r="C883" s="16"/>
      <c r="G883" s="5">
        <f>IF(A883="","","Checking")</f>
      </c>
      <c r="H883">
        <f>IF(A883="","",IFERROR(XLOOKUP(D883,Setup!$E$15:$E$79,Setup!$F$15:$F$79),"Miscellaneous"))</f>
      </c>
      <c r="I883">
        <f>IF(A883="","",IFERROR(XLOOKUP(D883,Setup!$E$15:$E$79,Setup!$G$15:$G$79),"Uncategorized"))</f>
      </c>
      <c r="J883">
        <f>IF(A883="","",IF(OR(H883="Transfers",H883="Income",D883="Transfer",D883="Category Pending",F883="Pending"),"No","Yes"))</f>
      </c>
      <c r="K883" s="4">
        <f>IF(A883="","",TEXT(IF(DAY(A883)&gt;=Setup!$B$9,DATE(YEAR(A883),MONTH(A883)+1,1),DATE(YEAR(A883),MONTH(A883),1)),"mmmm yyyy"))</f>
      </c>
      <c r="L883" s="47">
        <f>IF(A883="",0,IF(AND(J883="Yes",E883&lt;0),-E883,0))</f>
      </c>
      <c r="M883" s="47">
        <f>IF(A883="",0,IF(AND(J883="Yes",E883&gt;0),E883,0))</f>
      </c>
      <c r="N883">
        <f>IF(A883="","",IF(D883="Category Pending","Needs categorization",IF(COUNTIFS($A$2:A883,A883,$B$2:B883,B883,$E$2:E883,E883)&gt;1,"Possible duplicate","")))</f>
      </c>
    </row>
    <row r="884" spans="3:14" x14ac:dyDescent="0.3">
      <c r="A884"/>
      <c r="C884" s="16"/>
      <c r="G884" s="5">
        <f>IF(A884="","","Checking")</f>
      </c>
      <c r="H884">
        <f>IF(A884="","",IFERROR(XLOOKUP(D884,Setup!$E$15:$E$79,Setup!$F$15:$F$79),"Miscellaneous"))</f>
      </c>
      <c r="I884">
        <f>IF(A884="","",IFERROR(XLOOKUP(D884,Setup!$E$15:$E$79,Setup!$G$15:$G$79),"Uncategorized"))</f>
      </c>
      <c r="J884">
        <f>IF(A884="","",IF(OR(H884="Transfers",H884="Income",D884="Transfer",D884="Category Pending",F884="Pending"),"No","Yes"))</f>
      </c>
      <c r="K884" s="4">
        <f>IF(A884="","",TEXT(IF(DAY(A884)&gt;=Setup!$B$9,DATE(YEAR(A884),MONTH(A884)+1,1),DATE(YEAR(A884),MONTH(A884),1)),"mmmm yyyy"))</f>
      </c>
      <c r="L884" s="47">
        <f>IF(A884="",0,IF(AND(J884="Yes",E884&lt;0),-E884,0))</f>
      </c>
      <c r="M884" s="47">
        <f>IF(A884="",0,IF(AND(J884="Yes",E884&gt;0),E884,0))</f>
      </c>
      <c r="N884">
        <f>IF(A884="","",IF(D884="Category Pending","Needs categorization",IF(COUNTIFS($A$2:A884,A884,$B$2:B884,B884,$E$2:E884,E884)&gt;1,"Possible duplicate","")))</f>
      </c>
    </row>
    <row r="885" spans="3:14" x14ac:dyDescent="0.3">
      <c r="A885"/>
      <c r="C885" s="16"/>
      <c r="G885" s="5">
        <f>IF(A885="","","Checking")</f>
      </c>
      <c r="H885">
        <f>IF(A885="","",IFERROR(XLOOKUP(D885,Setup!$E$15:$E$79,Setup!$F$15:$F$79),"Miscellaneous"))</f>
      </c>
      <c r="I885">
        <f>IF(A885="","",IFERROR(XLOOKUP(D885,Setup!$E$15:$E$79,Setup!$G$15:$G$79),"Uncategorized"))</f>
      </c>
      <c r="J885">
        <f>IF(A885="","",IF(OR(H885="Transfers",H885="Income",D885="Transfer",D885="Category Pending",F885="Pending"),"No","Yes"))</f>
      </c>
      <c r="K885" s="4">
        <f>IF(A885="","",TEXT(IF(DAY(A885)&gt;=Setup!$B$9,DATE(YEAR(A885),MONTH(A885)+1,1),DATE(YEAR(A885),MONTH(A885),1)),"mmmm yyyy"))</f>
      </c>
      <c r="L885" s="47">
        <f>IF(A885="",0,IF(AND(J885="Yes",E885&lt;0),-E885,0))</f>
      </c>
      <c r="M885" s="47">
        <f>IF(A885="",0,IF(AND(J885="Yes",E885&gt;0),E885,0))</f>
      </c>
      <c r="N885">
        <f>IF(A885="","",IF(D885="Category Pending","Needs categorization",IF(COUNTIFS($A$2:A885,A885,$B$2:B885,B885,$E$2:E885,E885)&gt;1,"Possible duplicate","")))</f>
      </c>
    </row>
    <row r="886" spans="3:14" x14ac:dyDescent="0.3">
      <c r="A886"/>
      <c r="C886" s="16"/>
      <c r="G886" s="5">
        <f>IF(A886="","","Checking")</f>
      </c>
      <c r="H886">
        <f>IF(A886="","",IFERROR(XLOOKUP(D886,Setup!$E$15:$E$79,Setup!$F$15:$F$79),"Miscellaneous"))</f>
      </c>
      <c r="I886">
        <f>IF(A886="","",IFERROR(XLOOKUP(D886,Setup!$E$15:$E$79,Setup!$G$15:$G$79),"Uncategorized"))</f>
      </c>
      <c r="J886">
        <f>IF(A886="","",IF(OR(H886="Transfers",H886="Income",D886="Transfer",D886="Category Pending",F886="Pending"),"No","Yes"))</f>
      </c>
      <c r="K886" s="4">
        <f>IF(A886="","",TEXT(IF(DAY(A886)&gt;=Setup!$B$9,DATE(YEAR(A886),MONTH(A886)+1,1),DATE(YEAR(A886),MONTH(A886),1)),"mmmm yyyy"))</f>
      </c>
      <c r="L886" s="47">
        <f>IF(A886="",0,IF(AND(J886="Yes",E886&lt;0),-E886,0))</f>
      </c>
      <c r="M886" s="47">
        <f>IF(A886="",0,IF(AND(J886="Yes",E886&gt;0),E886,0))</f>
      </c>
      <c r="N886">
        <f>IF(A886="","",IF(D886="Category Pending","Needs categorization",IF(COUNTIFS($A$2:A886,A886,$B$2:B886,B886,$E$2:E886,E886)&gt;1,"Possible duplicate","")))</f>
      </c>
    </row>
    <row r="887" spans="3:14" x14ac:dyDescent="0.3">
      <c r="A887"/>
      <c r="C887" s="16"/>
      <c r="G887" s="5">
        <f>IF(A887="","","Checking")</f>
      </c>
      <c r="H887">
        <f>IF(A887="","",IFERROR(XLOOKUP(D887,Setup!$E$15:$E$79,Setup!$F$15:$F$79),"Miscellaneous"))</f>
      </c>
      <c r="I887">
        <f>IF(A887="","",IFERROR(XLOOKUP(D887,Setup!$E$15:$E$79,Setup!$G$15:$G$79),"Uncategorized"))</f>
      </c>
      <c r="J887">
        <f>IF(A887="","",IF(OR(H887="Transfers",H887="Income",D887="Transfer",D887="Category Pending",F887="Pending"),"No","Yes"))</f>
      </c>
      <c r="K887" s="4">
        <f>IF(A887="","",TEXT(IF(DAY(A887)&gt;=Setup!$B$9,DATE(YEAR(A887),MONTH(A887)+1,1),DATE(YEAR(A887),MONTH(A887),1)),"mmmm yyyy"))</f>
      </c>
      <c r="L887" s="47">
        <f>IF(A887="",0,IF(AND(J887="Yes",E887&lt;0),-E887,0))</f>
      </c>
      <c r="M887" s="47">
        <f>IF(A887="",0,IF(AND(J887="Yes",E887&gt;0),E887,0))</f>
      </c>
      <c r="N887">
        <f>IF(A887="","",IF(D887="Category Pending","Needs categorization",IF(COUNTIFS($A$2:A887,A887,$B$2:B887,B887,$E$2:E887,E887)&gt;1,"Possible duplicate","")))</f>
      </c>
    </row>
    <row r="888" spans="3:14" x14ac:dyDescent="0.3">
      <c r="A888"/>
      <c r="C888" s="16"/>
      <c r="G888" s="5">
        <f>IF(A888="","","Checking")</f>
      </c>
      <c r="H888">
        <f>IF(A888="","",IFERROR(XLOOKUP(D888,Setup!$E$15:$E$79,Setup!$F$15:$F$79),"Miscellaneous"))</f>
      </c>
      <c r="I888">
        <f>IF(A888="","",IFERROR(XLOOKUP(D888,Setup!$E$15:$E$79,Setup!$G$15:$G$79),"Uncategorized"))</f>
      </c>
      <c r="J888">
        <f>IF(A888="","",IF(OR(H888="Transfers",H888="Income",D888="Transfer",D888="Category Pending",F888="Pending"),"No","Yes"))</f>
      </c>
      <c r="K888" s="4">
        <f>IF(A888="","",TEXT(IF(DAY(A888)&gt;=Setup!$B$9,DATE(YEAR(A888),MONTH(A888)+1,1),DATE(YEAR(A888),MONTH(A888),1)),"mmmm yyyy"))</f>
      </c>
      <c r="L888" s="47">
        <f>IF(A888="",0,IF(AND(J888="Yes",E888&lt;0),-E888,0))</f>
      </c>
      <c r="M888" s="47">
        <f>IF(A888="",0,IF(AND(J888="Yes",E888&gt;0),E888,0))</f>
      </c>
      <c r="N888">
        <f>IF(A888="","",IF(D888="Category Pending","Needs categorization",IF(COUNTIFS($A$2:A888,A888,$B$2:B888,B888,$E$2:E888,E888)&gt;1,"Possible duplicate","")))</f>
      </c>
    </row>
    <row r="889" spans="3:14" x14ac:dyDescent="0.3">
      <c r="A889"/>
      <c r="C889" s="16"/>
      <c r="G889" s="5">
        <f>IF(A889="","","Checking")</f>
      </c>
      <c r="H889">
        <f>IF(A889="","",IFERROR(XLOOKUP(D889,Setup!$E$15:$E$79,Setup!$F$15:$F$79),"Miscellaneous"))</f>
      </c>
      <c r="I889">
        <f>IF(A889="","",IFERROR(XLOOKUP(D889,Setup!$E$15:$E$79,Setup!$G$15:$G$79),"Uncategorized"))</f>
      </c>
      <c r="J889">
        <f>IF(A889="","",IF(OR(H889="Transfers",H889="Income",D889="Transfer",D889="Category Pending",F889="Pending"),"No","Yes"))</f>
      </c>
      <c r="K889" s="4">
        <f>IF(A889="","",TEXT(IF(DAY(A889)&gt;=Setup!$B$9,DATE(YEAR(A889),MONTH(A889)+1,1),DATE(YEAR(A889),MONTH(A889),1)),"mmmm yyyy"))</f>
      </c>
      <c r="L889" s="47">
        <f>IF(A889="",0,IF(AND(J889="Yes",E889&lt;0),-E889,0))</f>
      </c>
      <c r="M889" s="47">
        <f>IF(A889="",0,IF(AND(J889="Yes",E889&gt;0),E889,0))</f>
      </c>
      <c r="N889">
        <f>IF(A889="","",IF(D889="Category Pending","Needs categorization",IF(COUNTIFS($A$2:A889,A889,$B$2:B889,B889,$E$2:E889,E889)&gt;1,"Possible duplicate","")))</f>
      </c>
    </row>
    <row r="890" spans="3:14" x14ac:dyDescent="0.3">
      <c r="A890"/>
      <c r="C890" s="16"/>
      <c r="G890" s="5">
        <f>IF(A890="","","Checking")</f>
      </c>
      <c r="H890">
        <f>IF(A890="","",IFERROR(XLOOKUP(D890,Setup!$E$15:$E$79,Setup!$F$15:$F$79),"Miscellaneous"))</f>
      </c>
      <c r="I890">
        <f>IF(A890="","",IFERROR(XLOOKUP(D890,Setup!$E$15:$E$79,Setup!$G$15:$G$79),"Uncategorized"))</f>
      </c>
      <c r="J890">
        <f>IF(A890="","",IF(OR(H890="Transfers",H890="Income",D890="Transfer",D890="Category Pending",F890="Pending"),"No","Yes"))</f>
      </c>
      <c r="K890" s="4">
        <f>IF(A890="","",TEXT(IF(DAY(A890)&gt;=Setup!$B$9,DATE(YEAR(A890),MONTH(A890)+1,1),DATE(YEAR(A890),MONTH(A890),1)),"mmmm yyyy"))</f>
      </c>
      <c r="L890" s="47">
        <f>IF(A890="",0,IF(AND(J890="Yes",E890&lt;0),-E890,0))</f>
      </c>
      <c r="M890" s="47">
        <f>IF(A890="",0,IF(AND(J890="Yes",E890&gt;0),E890,0))</f>
      </c>
      <c r="N890">
        <f>IF(A890="","",IF(D890="Category Pending","Needs categorization",IF(COUNTIFS($A$2:A890,A890,$B$2:B890,B890,$E$2:E890,E890)&gt;1,"Possible duplicate","")))</f>
      </c>
    </row>
    <row r="891" spans="3:14" x14ac:dyDescent="0.3">
      <c r="A891"/>
      <c r="C891" s="16"/>
      <c r="G891" s="5">
        <f>IF(A891="","","Checking")</f>
      </c>
      <c r="H891">
        <f>IF(A891="","",IFERROR(XLOOKUP(D891,Setup!$E$15:$E$79,Setup!$F$15:$F$79),"Miscellaneous"))</f>
      </c>
      <c r="I891">
        <f>IF(A891="","",IFERROR(XLOOKUP(D891,Setup!$E$15:$E$79,Setup!$G$15:$G$79),"Uncategorized"))</f>
      </c>
      <c r="J891">
        <f>IF(A891="","",IF(OR(H891="Transfers",H891="Income",D891="Transfer",D891="Category Pending",F891="Pending"),"No","Yes"))</f>
      </c>
      <c r="K891" s="4">
        <f>IF(A891="","",TEXT(IF(DAY(A891)&gt;=Setup!$B$9,DATE(YEAR(A891),MONTH(A891)+1,1),DATE(YEAR(A891),MONTH(A891),1)),"mmmm yyyy"))</f>
      </c>
      <c r="L891" s="47">
        <f>IF(A891="",0,IF(AND(J891="Yes",E891&lt;0),-E891,0))</f>
      </c>
      <c r="M891" s="47">
        <f>IF(A891="",0,IF(AND(J891="Yes",E891&gt;0),E891,0))</f>
      </c>
      <c r="N891">
        <f>IF(A891="","",IF(D891="Category Pending","Needs categorization",IF(COUNTIFS($A$2:A891,A891,$B$2:B891,B891,$E$2:E891,E891)&gt;1,"Possible duplicate","")))</f>
      </c>
    </row>
    <row r="892" spans="3:14" x14ac:dyDescent="0.3">
      <c r="A892"/>
      <c r="C892" s="16"/>
      <c r="G892" s="5">
        <f>IF(A892="","","Checking")</f>
      </c>
      <c r="H892">
        <f>IF(A892="","",IFERROR(XLOOKUP(D892,Setup!$E$15:$E$79,Setup!$F$15:$F$79),"Miscellaneous"))</f>
      </c>
      <c r="I892">
        <f>IF(A892="","",IFERROR(XLOOKUP(D892,Setup!$E$15:$E$79,Setup!$G$15:$G$79),"Uncategorized"))</f>
      </c>
      <c r="J892">
        <f>IF(A892="","",IF(OR(H892="Transfers",H892="Income",D892="Transfer",D892="Category Pending",F892="Pending"),"No","Yes"))</f>
      </c>
      <c r="K892" s="4">
        <f>IF(A892="","",TEXT(IF(DAY(A892)&gt;=Setup!$B$9,DATE(YEAR(A892),MONTH(A892)+1,1),DATE(YEAR(A892),MONTH(A892),1)),"mmmm yyyy"))</f>
      </c>
      <c r="L892" s="47">
        <f>IF(A892="",0,IF(AND(J892="Yes",E892&lt;0),-E892,0))</f>
      </c>
      <c r="M892" s="47">
        <f>IF(A892="",0,IF(AND(J892="Yes",E892&gt;0),E892,0))</f>
      </c>
      <c r="N892">
        <f>IF(A892="","",IF(D892="Category Pending","Needs categorization",IF(COUNTIFS($A$2:A892,A892,$B$2:B892,B892,$E$2:E892,E892)&gt;1,"Possible duplicate","")))</f>
      </c>
    </row>
    <row r="893" spans="3:14" x14ac:dyDescent="0.3">
      <c r="A893"/>
      <c r="C893" s="16"/>
      <c r="G893" s="5">
        <f>IF(A893="","","Checking")</f>
      </c>
      <c r="H893">
        <f>IF(A893="","",IFERROR(XLOOKUP(D893,Setup!$E$15:$E$79,Setup!$F$15:$F$79),"Miscellaneous"))</f>
      </c>
      <c r="I893">
        <f>IF(A893="","",IFERROR(XLOOKUP(D893,Setup!$E$15:$E$79,Setup!$G$15:$G$79),"Uncategorized"))</f>
      </c>
      <c r="J893">
        <f>IF(A893="","",IF(OR(H893="Transfers",H893="Income",D893="Transfer",D893="Category Pending",F893="Pending"),"No","Yes"))</f>
      </c>
      <c r="K893" s="4">
        <f>IF(A893="","",TEXT(IF(DAY(A893)&gt;=Setup!$B$9,DATE(YEAR(A893),MONTH(A893)+1,1),DATE(YEAR(A893),MONTH(A893),1)),"mmmm yyyy"))</f>
      </c>
      <c r="L893" s="47">
        <f>IF(A893="",0,IF(AND(J893="Yes",E893&lt;0),-E893,0))</f>
      </c>
      <c r="M893" s="47">
        <f>IF(A893="",0,IF(AND(J893="Yes",E893&gt;0),E893,0))</f>
      </c>
      <c r="N893">
        <f>IF(A893="","",IF(D893="Category Pending","Needs categorization",IF(COUNTIFS($A$2:A893,A893,$B$2:B893,B893,$E$2:E893,E893)&gt;1,"Possible duplicate","")))</f>
      </c>
    </row>
    <row r="894" spans="3:14" x14ac:dyDescent="0.3">
      <c r="A894"/>
      <c r="C894" s="16"/>
      <c r="G894" s="5">
        <f>IF(A894="","","Checking")</f>
      </c>
      <c r="H894">
        <f>IF(A894="","",IFERROR(XLOOKUP(D894,Setup!$E$15:$E$79,Setup!$F$15:$F$79),"Miscellaneous"))</f>
      </c>
      <c r="I894">
        <f>IF(A894="","",IFERROR(XLOOKUP(D894,Setup!$E$15:$E$79,Setup!$G$15:$G$79),"Uncategorized"))</f>
      </c>
      <c r="J894">
        <f>IF(A894="","",IF(OR(H894="Transfers",H894="Income",D894="Transfer",D894="Category Pending",F894="Pending"),"No","Yes"))</f>
      </c>
      <c r="K894" s="4">
        <f>IF(A894="","",TEXT(IF(DAY(A894)&gt;=Setup!$B$9,DATE(YEAR(A894),MONTH(A894)+1,1),DATE(YEAR(A894),MONTH(A894),1)),"mmmm yyyy"))</f>
      </c>
      <c r="L894" s="47">
        <f>IF(A894="",0,IF(AND(J894="Yes",E894&lt;0),-E894,0))</f>
      </c>
      <c r="M894" s="47">
        <f>IF(A894="",0,IF(AND(J894="Yes",E894&gt;0),E894,0))</f>
      </c>
      <c r="N894">
        <f>IF(A894="","",IF(D894="Category Pending","Needs categorization",IF(COUNTIFS($A$2:A894,A894,$B$2:B894,B894,$E$2:E894,E894)&gt;1,"Possible duplicate","")))</f>
      </c>
    </row>
    <row r="895" spans="3:14" x14ac:dyDescent="0.3">
      <c r="A895"/>
      <c r="C895" s="16"/>
      <c r="G895" s="5">
        <f>IF(A895="","","Checking")</f>
      </c>
      <c r="H895">
        <f>IF(A895="","",IFERROR(XLOOKUP(D895,Setup!$E$15:$E$79,Setup!$F$15:$F$79),"Miscellaneous"))</f>
      </c>
      <c r="I895">
        <f>IF(A895="","",IFERROR(XLOOKUP(D895,Setup!$E$15:$E$79,Setup!$G$15:$G$79),"Uncategorized"))</f>
      </c>
      <c r="J895">
        <f>IF(A895="","",IF(OR(H895="Transfers",H895="Income",D895="Transfer",D895="Category Pending",F895="Pending"),"No","Yes"))</f>
      </c>
      <c r="K895" s="4">
        <f>IF(A895="","",TEXT(IF(DAY(A895)&gt;=Setup!$B$9,DATE(YEAR(A895),MONTH(A895)+1,1),DATE(YEAR(A895),MONTH(A895),1)),"mmmm yyyy"))</f>
      </c>
      <c r="L895" s="47">
        <f>IF(A895="",0,IF(AND(J895="Yes",E895&lt;0),-E895,0))</f>
      </c>
      <c r="M895" s="47">
        <f>IF(A895="",0,IF(AND(J895="Yes",E895&gt;0),E895,0))</f>
      </c>
      <c r="N895">
        <f>IF(A895="","",IF(D895="Category Pending","Needs categorization",IF(COUNTIFS($A$2:A895,A895,$B$2:B895,B895,$E$2:E895,E895)&gt;1,"Possible duplicate","")))</f>
      </c>
    </row>
    <row r="896" spans="3:14" x14ac:dyDescent="0.3">
      <c r="A896"/>
      <c r="C896" s="16"/>
      <c r="G896" s="5">
        <f>IF(A896="","","Checking")</f>
      </c>
      <c r="H896">
        <f>IF(A896="","",IFERROR(XLOOKUP(D896,Setup!$E$15:$E$79,Setup!$F$15:$F$79),"Miscellaneous"))</f>
      </c>
      <c r="I896">
        <f>IF(A896="","",IFERROR(XLOOKUP(D896,Setup!$E$15:$E$79,Setup!$G$15:$G$79),"Uncategorized"))</f>
      </c>
      <c r="J896">
        <f>IF(A896="","",IF(OR(H896="Transfers",H896="Income",D896="Transfer",D896="Category Pending",F896="Pending"),"No","Yes"))</f>
      </c>
      <c r="K896" s="4">
        <f>IF(A896="","",TEXT(IF(DAY(A896)&gt;=Setup!$B$9,DATE(YEAR(A896),MONTH(A896)+1,1),DATE(YEAR(A896),MONTH(A896),1)),"mmmm yyyy"))</f>
      </c>
      <c r="L896" s="47">
        <f>IF(A896="",0,IF(AND(J896="Yes",E896&lt;0),-E896,0))</f>
      </c>
      <c r="M896" s="47">
        <f>IF(A896="",0,IF(AND(J896="Yes",E896&gt;0),E896,0))</f>
      </c>
      <c r="N896">
        <f>IF(A896="","",IF(D896="Category Pending","Needs categorization",IF(COUNTIFS($A$2:A896,A896,$B$2:B896,B896,$E$2:E896,E896)&gt;1,"Possible duplicate","")))</f>
      </c>
    </row>
    <row r="897" spans="3:14" x14ac:dyDescent="0.3">
      <c r="A897"/>
      <c r="C897" s="16"/>
      <c r="G897" s="5">
        <f>IF(A897="","","Checking")</f>
      </c>
      <c r="H897">
        <f>IF(A897="","",IFERROR(XLOOKUP(D897,Setup!$E$15:$E$79,Setup!$F$15:$F$79),"Miscellaneous"))</f>
      </c>
      <c r="I897">
        <f>IF(A897="","",IFERROR(XLOOKUP(D897,Setup!$E$15:$E$79,Setup!$G$15:$G$79),"Uncategorized"))</f>
      </c>
      <c r="J897">
        <f>IF(A897="","",IF(OR(H897="Transfers",H897="Income",D897="Transfer",D897="Category Pending",F897="Pending"),"No","Yes"))</f>
      </c>
      <c r="K897" s="4">
        <f>IF(A897="","",TEXT(IF(DAY(A897)&gt;=Setup!$B$9,DATE(YEAR(A897),MONTH(A897)+1,1),DATE(YEAR(A897),MONTH(A897),1)),"mmmm yyyy"))</f>
      </c>
      <c r="L897" s="47">
        <f>IF(A897="",0,IF(AND(J897="Yes",E897&lt;0),-E897,0))</f>
      </c>
      <c r="M897" s="47">
        <f>IF(A897="",0,IF(AND(J897="Yes",E897&gt;0),E897,0))</f>
      </c>
      <c r="N897">
        <f>IF(A897="","",IF(D897="Category Pending","Needs categorization",IF(COUNTIFS($A$2:A897,A897,$B$2:B897,B897,$E$2:E897,E897)&gt;1,"Possible duplicate","")))</f>
      </c>
    </row>
    <row r="898" spans="3:14" x14ac:dyDescent="0.3">
      <c r="A898"/>
      <c r="C898" s="16"/>
      <c r="G898" s="5">
        <f>IF(A898="","","Checking")</f>
      </c>
      <c r="H898">
        <f>IF(A898="","",IFERROR(XLOOKUP(D898,Setup!$E$15:$E$79,Setup!$F$15:$F$79),"Miscellaneous"))</f>
      </c>
      <c r="I898">
        <f>IF(A898="","",IFERROR(XLOOKUP(D898,Setup!$E$15:$E$79,Setup!$G$15:$G$79),"Uncategorized"))</f>
      </c>
      <c r="J898">
        <f>IF(A898="","",IF(OR(H898="Transfers",H898="Income",D898="Transfer",D898="Category Pending",F898="Pending"),"No","Yes"))</f>
      </c>
      <c r="K898" s="4">
        <f>IF(A898="","",TEXT(IF(DAY(A898)&gt;=Setup!$B$9,DATE(YEAR(A898),MONTH(A898)+1,1),DATE(YEAR(A898),MONTH(A898),1)),"mmmm yyyy"))</f>
      </c>
      <c r="L898" s="47">
        <f>IF(A898="",0,IF(AND(J898="Yes",E898&lt;0),-E898,0))</f>
      </c>
      <c r="M898" s="47">
        <f>IF(A898="",0,IF(AND(J898="Yes",E898&gt;0),E898,0))</f>
      </c>
      <c r="N898">
        <f>IF(A898="","",IF(D898="Category Pending","Needs categorization",IF(COUNTIFS($A$2:A898,A898,$B$2:B898,B898,$E$2:E898,E898)&gt;1,"Possible duplicate","")))</f>
      </c>
    </row>
    <row r="899" spans="3:14" x14ac:dyDescent="0.3">
      <c r="A899"/>
      <c r="C899" s="16"/>
      <c r="G899" s="5">
        <f>IF(A899="","","Checking")</f>
      </c>
      <c r="H899">
        <f>IF(A899="","",IFERROR(XLOOKUP(D899,Setup!$E$15:$E$79,Setup!$F$15:$F$79),"Miscellaneous"))</f>
      </c>
      <c r="I899">
        <f>IF(A899="","",IFERROR(XLOOKUP(D899,Setup!$E$15:$E$79,Setup!$G$15:$G$79),"Uncategorized"))</f>
      </c>
      <c r="J899">
        <f>IF(A899="","",IF(OR(H899="Transfers",H899="Income",D899="Transfer",D899="Category Pending",F899="Pending"),"No","Yes"))</f>
      </c>
      <c r="K899" s="4">
        <f>IF(A899="","",TEXT(IF(DAY(A899)&gt;=Setup!$B$9,DATE(YEAR(A899),MONTH(A899)+1,1),DATE(YEAR(A899),MONTH(A899),1)),"mmmm yyyy"))</f>
      </c>
      <c r="L899" s="47">
        <f>IF(A899="",0,IF(AND(J899="Yes",E899&lt;0),-E899,0))</f>
      </c>
      <c r="M899" s="47">
        <f>IF(A899="",0,IF(AND(J899="Yes",E899&gt;0),E899,0))</f>
      </c>
      <c r="N899">
        <f>IF(A899="","",IF(D899="Category Pending","Needs categorization",IF(COUNTIFS($A$2:A899,A899,$B$2:B899,B899,$E$2:E899,E899)&gt;1,"Possible duplicate","")))</f>
      </c>
    </row>
    <row r="900" spans="3:14" x14ac:dyDescent="0.3">
      <c r="A900"/>
      <c r="C900" s="16"/>
      <c r="G900" s="5">
        <f>IF(A900="","","Checking")</f>
      </c>
      <c r="H900">
        <f>IF(A900="","",IFERROR(XLOOKUP(D900,Setup!$E$15:$E$79,Setup!$F$15:$F$79),"Miscellaneous"))</f>
      </c>
      <c r="I900">
        <f>IF(A900="","",IFERROR(XLOOKUP(D900,Setup!$E$15:$E$79,Setup!$G$15:$G$79),"Uncategorized"))</f>
      </c>
      <c r="J900">
        <f>IF(A900="","",IF(OR(H900="Transfers",H900="Income",D900="Transfer",D900="Category Pending",F900="Pending"),"No","Yes"))</f>
      </c>
      <c r="K900" s="4">
        <f>IF(A900="","",TEXT(IF(DAY(A900)&gt;=Setup!$B$9,DATE(YEAR(A900),MONTH(A900)+1,1),DATE(YEAR(A900),MONTH(A900),1)),"mmmm yyyy"))</f>
      </c>
      <c r="L900" s="47">
        <f>IF(A900="",0,IF(AND(J900="Yes",E900&lt;0),-E900,0))</f>
      </c>
      <c r="M900" s="47">
        <f>IF(A900="",0,IF(AND(J900="Yes",E900&gt;0),E900,0))</f>
      </c>
      <c r="N900">
        <f>IF(A900="","",IF(D900="Category Pending","Needs categorization",IF(COUNTIFS($A$2:A900,A900,$B$2:B900,B900,$E$2:E900,E900)&gt;1,"Possible duplicate","")))</f>
      </c>
    </row>
    <row r="901" spans="3:14" x14ac:dyDescent="0.3">
      <c r="A901"/>
      <c r="C901" s="16"/>
      <c r="G901" s="5">
        <f>IF(A901="","","Checking")</f>
      </c>
      <c r="H901">
        <f>IF(A901="","",IFERROR(XLOOKUP(D901,Setup!$E$15:$E$79,Setup!$F$15:$F$79),"Miscellaneous"))</f>
      </c>
      <c r="I901">
        <f>IF(A901="","",IFERROR(XLOOKUP(D901,Setup!$E$15:$E$79,Setup!$G$15:$G$79),"Uncategorized"))</f>
      </c>
      <c r="J901">
        <f>IF(A901="","",IF(OR(H901="Transfers",H901="Income",D901="Transfer",D901="Category Pending",F901="Pending"),"No","Yes"))</f>
      </c>
      <c r="K901" s="4">
        <f>IF(A901="","",TEXT(IF(DAY(A901)&gt;=Setup!$B$9,DATE(YEAR(A901),MONTH(A901)+1,1),DATE(YEAR(A901),MONTH(A901),1)),"mmmm yyyy"))</f>
      </c>
      <c r="L901" s="47">
        <f>IF(A901="",0,IF(AND(J901="Yes",E901&lt;0),-E901,0))</f>
      </c>
      <c r="M901" s="47">
        <f>IF(A901="",0,IF(AND(J901="Yes",E901&gt;0),E901,0))</f>
      </c>
      <c r="N901">
        <f>IF(A901="","",IF(D901="Category Pending","Needs categorization",IF(COUNTIFS($A$2:A901,A901,$B$2:B901,B901,$E$2:E901,E901)&gt;1,"Possible duplicate","")))</f>
      </c>
    </row>
    <row r="902" spans="3:14" x14ac:dyDescent="0.3">
      <c r="A902"/>
      <c r="C902" s="16"/>
      <c r="G902" s="5">
        <f>IF(A902="","","Checking")</f>
      </c>
      <c r="H902">
        <f>IF(A902="","",IFERROR(XLOOKUP(D902,Setup!$E$15:$E$79,Setup!$F$15:$F$79),"Miscellaneous"))</f>
      </c>
      <c r="I902">
        <f>IF(A902="","",IFERROR(XLOOKUP(D902,Setup!$E$15:$E$79,Setup!$G$15:$G$79),"Uncategorized"))</f>
      </c>
      <c r="J902">
        <f>IF(A902="","",IF(OR(H902="Transfers",H902="Income",D902="Transfer",D902="Category Pending",F902="Pending"),"No","Yes"))</f>
      </c>
      <c r="K902" s="4">
        <f>IF(A902="","",TEXT(IF(DAY(A902)&gt;=Setup!$B$9,DATE(YEAR(A902),MONTH(A902)+1,1),DATE(YEAR(A902),MONTH(A902),1)),"mmmm yyyy"))</f>
      </c>
      <c r="L902" s="47">
        <f>IF(A902="",0,IF(AND(J902="Yes",E902&lt;0),-E902,0))</f>
      </c>
      <c r="M902" s="47">
        <f>IF(A902="",0,IF(AND(J902="Yes",E902&gt;0),E902,0))</f>
      </c>
      <c r="N902">
        <f>IF(A902="","",IF(D902="Category Pending","Needs categorization",IF(COUNTIFS($A$2:A902,A902,$B$2:B902,B902,$E$2:E902,E902)&gt;1,"Possible duplicate","")))</f>
      </c>
    </row>
    <row r="903" spans="3:14" x14ac:dyDescent="0.3">
      <c r="A903"/>
      <c r="C903" s="16"/>
      <c r="G903" s="5">
        <f>IF(A903="","","Checking")</f>
      </c>
      <c r="H903">
        <f>IF(A903="","",IFERROR(XLOOKUP(D903,Setup!$E$15:$E$79,Setup!$F$15:$F$79),"Miscellaneous"))</f>
      </c>
      <c r="I903">
        <f>IF(A903="","",IFERROR(XLOOKUP(D903,Setup!$E$15:$E$79,Setup!$G$15:$G$79),"Uncategorized"))</f>
      </c>
      <c r="J903">
        <f>IF(A903="","",IF(OR(H903="Transfers",H903="Income",D903="Transfer",D903="Category Pending",F903="Pending"),"No","Yes"))</f>
      </c>
      <c r="K903" s="4">
        <f>IF(A903="","",TEXT(IF(DAY(A903)&gt;=Setup!$B$9,DATE(YEAR(A903),MONTH(A903)+1,1),DATE(YEAR(A903),MONTH(A903),1)),"mmmm yyyy"))</f>
      </c>
      <c r="L903" s="47">
        <f>IF(A903="",0,IF(AND(J903="Yes",E903&lt;0),-E903,0))</f>
      </c>
      <c r="M903" s="47">
        <f>IF(A903="",0,IF(AND(J903="Yes",E903&gt;0),E903,0))</f>
      </c>
      <c r="N903">
        <f>IF(A903="","",IF(D903="Category Pending","Needs categorization",IF(COUNTIFS($A$2:A903,A903,$B$2:B903,B903,$E$2:E903,E903)&gt;1,"Possible duplicate","")))</f>
      </c>
    </row>
    <row r="904" spans="3:14" x14ac:dyDescent="0.3">
      <c r="A904"/>
      <c r="C904" s="16"/>
      <c r="G904" s="5">
        <f>IF(A904="","","Checking")</f>
      </c>
      <c r="H904">
        <f>IF(A904="","",IFERROR(XLOOKUP(D904,Setup!$E$15:$E$79,Setup!$F$15:$F$79),"Miscellaneous"))</f>
      </c>
      <c r="I904">
        <f>IF(A904="","",IFERROR(XLOOKUP(D904,Setup!$E$15:$E$79,Setup!$G$15:$G$79),"Uncategorized"))</f>
      </c>
      <c r="J904">
        <f>IF(A904="","",IF(OR(H904="Transfers",H904="Income",D904="Transfer",D904="Category Pending",F904="Pending"),"No","Yes"))</f>
      </c>
      <c r="K904" s="4">
        <f>IF(A904="","",TEXT(IF(DAY(A904)&gt;=Setup!$B$9,DATE(YEAR(A904),MONTH(A904)+1,1),DATE(YEAR(A904),MONTH(A904),1)),"mmmm yyyy"))</f>
      </c>
      <c r="L904" s="47">
        <f>IF(A904="",0,IF(AND(J904="Yes",E904&lt;0),-E904,0))</f>
      </c>
      <c r="M904" s="47">
        <f>IF(A904="",0,IF(AND(J904="Yes",E904&gt;0),E904,0))</f>
      </c>
      <c r="N904">
        <f>IF(A904="","",IF(D904="Category Pending","Needs categorization",IF(COUNTIFS($A$2:A904,A904,$B$2:B904,B904,$E$2:E904,E904)&gt;1,"Possible duplicate","")))</f>
      </c>
    </row>
    <row r="905" spans="3:14" x14ac:dyDescent="0.3">
      <c r="A905"/>
      <c r="C905" s="16"/>
      <c r="G905" s="5">
        <f>IF(A905="","","Checking")</f>
      </c>
      <c r="H905">
        <f>IF(A905="","",IFERROR(XLOOKUP(D905,Setup!$E$15:$E$79,Setup!$F$15:$F$79),"Miscellaneous"))</f>
      </c>
      <c r="I905">
        <f>IF(A905="","",IFERROR(XLOOKUP(D905,Setup!$E$15:$E$79,Setup!$G$15:$G$79),"Uncategorized"))</f>
      </c>
      <c r="J905">
        <f>IF(A905="","",IF(OR(H905="Transfers",H905="Income",D905="Transfer",D905="Category Pending",F905="Pending"),"No","Yes"))</f>
      </c>
      <c r="K905" s="4">
        <f>IF(A905="","",TEXT(IF(DAY(A905)&gt;=Setup!$B$9,DATE(YEAR(A905),MONTH(A905)+1,1),DATE(YEAR(A905),MONTH(A905),1)),"mmmm yyyy"))</f>
      </c>
      <c r="L905" s="47">
        <f>IF(A905="",0,IF(AND(J905="Yes",E905&lt;0),-E905,0))</f>
      </c>
      <c r="M905" s="47">
        <f>IF(A905="",0,IF(AND(J905="Yes",E905&gt;0),E905,0))</f>
      </c>
      <c r="N905">
        <f>IF(A905="","",IF(D905="Category Pending","Needs categorization",IF(COUNTIFS($A$2:A905,A905,$B$2:B905,B905,$E$2:E905,E905)&gt;1,"Possible duplicate","")))</f>
      </c>
    </row>
    <row r="906" spans="3:14" x14ac:dyDescent="0.3">
      <c r="A906"/>
      <c r="C906" s="16"/>
      <c r="G906" s="5">
        <f>IF(A906="","","Checking")</f>
      </c>
      <c r="H906">
        <f>IF(A906="","",IFERROR(XLOOKUP(D906,Setup!$E$15:$E$79,Setup!$F$15:$F$79),"Miscellaneous"))</f>
      </c>
      <c r="I906">
        <f>IF(A906="","",IFERROR(XLOOKUP(D906,Setup!$E$15:$E$79,Setup!$G$15:$G$79),"Uncategorized"))</f>
      </c>
      <c r="J906">
        <f>IF(A906="","",IF(OR(H906="Transfers",H906="Income",D906="Transfer",D906="Category Pending",F906="Pending"),"No","Yes"))</f>
      </c>
      <c r="K906" s="4">
        <f>IF(A906="","",TEXT(IF(DAY(A906)&gt;=Setup!$B$9,DATE(YEAR(A906),MONTH(A906)+1,1),DATE(YEAR(A906),MONTH(A906),1)),"mmmm yyyy"))</f>
      </c>
      <c r="L906" s="47">
        <f>IF(A906="",0,IF(AND(J906="Yes",E906&lt;0),-E906,0))</f>
      </c>
      <c r="M906" s="47">
        <f>IF(A906="",0,IF(AND(J906="Yes",E906&gt;0),E906,0))</f>
      </c>
      <c r="N906">
        <f>IF(A906="","",IF(D906="Category Pending","Needs categorization",IF(COUNTIFS($A$2:A906,A906,$B$2:B906,B906,$E$2:E906,E906)&gt;1,"Possible duplicate","")))</f>
      </c>
    </row>
    <row r="907" spans="3:14" x14ac:dyDescent="0.3">
      <c r="A907"/>
      <c r="C907" s="16"/>
      <c r="G907" s="5">
        <f>IF(A907="","","Checking")</f>
      </c>
      <c r="H907">
        <f>IF(A907="","",IFERROR(XLOOKUP(D907,Setup!$E$15:$E$79,Setup!$F$15:$F$79),"Miscellaneous"))</f>
      </c>
      <c r="I907">
        <f>IF(A907="","",IFERROR(XLOOKUP(D907,Setup!$E$15:$E$79,Setup!$G$15:$G$79),"Uncategorized"))</f>
      </c>
      <c r="J907">
        <f>IF(A907="","",IF(OR(H907="Transfers",H907="Income",D907="Transfer",D907="Category Pending",F907="Pending"),"No","Yes"))</f>
      </c>
      <c r="K907" s="4">
        <f>IF(A907="","",TEXT(IF(DAY(A907)&gt;=Setup!$B$9,DATE(YEAR(A907),MONTH(A907)+1,1),DATE(YEAR(A907),MONTH(A907),1)),"mmmm yyyy"))</f>
      </c>
      <c r="L907" s="47">
        <f>IF(A907="",0,IF(AND(J907="Yes",E907&lt;0),-E907,0))</f>
      </c>
      <c r="M907" s="47">
        <f>IF(A907="",0,IF(AND(J907="Yes",E907&gt;0),E907,0))</f>
      </c>
      <c r="N907">
        <f>IF(A907="","",IF(D907="Category Pending","Needs categorization",IF(COUNTIFS($A$2:A907,A907,$B$2:B907,B907,$E$2:E907,E907)&gt;1,"Possible duplicate","")))</f>
      </c>
    </row>
    <row r="908" spans="3:14" x14ac:dyDescent="0.3">
      <c r="A908"/>
      <c r="C908" s="16"/>
      <c r="G908" s="5">
        <f>IF(A908="","","Checking")</f>
      </c>
      <c r="H908">
        <f>IF(A908="","",IFERROR(XLOOKUP(D908,Setup!$E$15:$E$79,Setup!$F$15:$F$79),"Miscellaneous"))</f>
      </c>
      <c r="I908">
        <f>IF(A908="","",IFERROR(XLOOKUP(D908,Setup!$E$15:$E$79,Setup!$G$15:$G$79),"Uncategorized"))</f>
      </c>
      <c r="J908">
        <f>IF(A908="","",IF(OR(H908="Transfers",H908="Income",D908="Transfer",D908="Category Pending",F908="Pending"),"No","Yes"))</f>
      </c>
      <c r="K908" s="4">
        <f>IF(A908="","",TEXT(IF(DAY(A908)&gt;=Setup!$B$9,DATE(YEAR(A908),MONTH(A908)+1,1),DATE(YEAR(A908),MONTH(A908),1)),"mmmm yyyy"))</f>
      </c>
      <c r="L908" s="47">
        <f>IF(A908="",0,IF(AND(J908="Yes",E908&lt;0),-E908,0))</f>
      </c>
      <c r="M908" s="47">
        <f>IF(A908="",0,IF(AND(J908="Yes",E908&gt;0),E908,0))</f>
      </c>
      <c r="N908">
        <f>IF(A908="","",IF(D908="Category Pending","Needs categorization",IF(COUNTIFS($A$2:A908,A908,$B$2:B908,B908,$E$2:E908,E908)&gt;1,"Possible duplicate","")))</f>
      </c>
    </row>
    <row r="909" spans="3:14" x14ac:dyDescent="0.3">
      <c r="A909"/>
      <c r="C909" s="16"/>
      <c r="G909" s="5">
        <f>IF(A909="","","Checking")</f>
      </c>
      <c r="H909">
        <f>IF(A909="","",IFERROR(XLOOKUP(D909,Setup!$E$15:$E$79,Setup!$F$15:$F$79),"Miscellaneous"))</f>
      </c>
      <c r="I909">
        <f>IF(A909="","",IFERROR(XLOOKUP(D909,Setup!$E$15:$E$79,Setup!$G$15:$G$79),"Uncategorized"))</f>
      </c>
      <c r="J909">
        <f>IF(A909="","",IF(OR(H909="Transfers",H909="Income",D909="Transfer",D909="Category Pending",F909="Pending"),"No","Yes"))</f>
      </c>
      <c r="K909" s="4">
        <f>IF(A909="","",TEXT(IF(DAY(A909)&gt;=Setup!$B$9,DATE(YEAR(A909),MONTH(A909)+1,1),DATE(YEAR(A909),MONTH(A909),1)),"mmmm yyyy"))</f>
      </c>
      <c r="L909" s="47">
        <f>IF(A909="",0,IF(AND(J909="Yes",E909&lt;0),-E909,0))</f>
      </c>
      <c r="M909" s="47">
        <f>IF(A909="",0,IF(AND(J909="Yes",E909&gt;0),E909,0))</f>
      </c>
      <c r="N909">
        <f>IF(A909="","",IF(D909="Category Pending","Needs categorization",IF(COUNTIFS($A$2:A909,A909,$B$2:B909,B909,$E$2:E909,E909)&gt;1,"Possible duplicate","")))</f>
      </c>
    </row>
    <row r="910" spans="3:14" x14ac:dyDescent="0.3">
      <c r="A910"/>
      <c r="C910" s="16"/>
      <c r="G910" s="5">
        <f>IF(A910="","","Checking")</f>
      </c>
      <c r="H910">
        <f>IF(A910="","",IFERROR(XLOOKUP(D910,Setup!$E$15:$E$79,Setup!$F$15:$F$79),"Miscellaneous"))</f>
      </c>
      <c r="I910">
        <f>IF(A910="","",IFERROR(XLOOKUP(D910,Setup!$E$15:$E$79,Setup!$G$15:$G$79),"Uncategorized"))</f>
      </c>
      <c r="J910">
        <f>IF(A910="","",IF(OR(H910="Transfers",H910="Income",D910="Transfer",D910="Category Pending",F910="Pending"),"No","Yes"))</f>
      </c>
      <c r="K910" s="4">
        <f>IF(A910="","",TEXT(IF(DAY(A910)&gt;=Setup!$B$9,DATE(YEAR(A910),MONTH(A910)+1,1),DATE(YEAR(A910),MONTH(A910),1)),"mmmm yyyy"))</f>
      </c>
      <c r="L910" s="47">
        <f>IF(A910="",0,IF(AND(J910="Yes",E910&lt;0),-E910,0))</f>
      </c>
      <c r="M910" s="47">
        <f>IF(A910="",0,IF(AND(J910="Yes",E910&gt;0),E910,0))</f>
      </c>
      <c r="N910">
        <f>IF(A910="","",IF(D910="Category Pending","Needs categorization",IF(COUNTIFS($A$2:A910,A910,$B$2:B910,B910,$E$2:E910,E910)&gt;1,"Possible duplicate","")))</f>
      </c>
    </row>
    <row r="911" spans="3:14" x14ac:dyDescent="0.3">
      <c r="A911"/>
      <c r="C911" s="16"/>
      <c r="G911" s="5">
        <f>IF(A911="","","Checking")</f>
      </c>
      <c r="H911">
        <f>IF(A911="","",IFERROR(XLOOKUP(D911,Setup!$E$15:$E$79,Setup!$F$15:$F$79),"Miscellaneous"))</f>
      </c>
      <c r="I911">
        <f>IF(A911="","",IFERROR(XLOOKUP(D911,Setup!$E$15:$E$79,Setup!$G$15:$G$79),"Uncategorized"))</f>
      </c>
      <c r="J911">
        <f>IF(A911="","",IF(OR(H911="Transfers",H911="Income",D911="Transfer",D911="Category Pending",F911="Pending"),"No","Yes"))</f>
      </c>
      <c r="K911" s="4">
        <f>IF(A911="","",TEXT(IF(DAY(A911)&gt;=Setup!$B$9,DATE(YEAR(A911),MONTH(A911)+1,1),DATE(YEAR(A911),MONTH(A911),1)),"mmmm yyyy"))</f>
      </c>
      <c r="L911" s="47">
        <f>IF(A911="",0,IF(AND(J911="Yes",E911&lt;0),-E911,0))</f>
      </c>
      <c r="M911" s="47">
        <f>IF(A911="",0,IF(AND(J911="Yes",E911&gt;0),E911,0))</f>
      </c>
      <c r="N911">
        <f>IF(A911="","",IF(D911="Category Pending","Needs categorization",IF(COUNTIFS($A$2:A911,A911,$B$2:B911,B911,$E$2:E911,E911)&gt;1,"Possible duplicate","")))</f>
      </c>
    </row>
    <row r="912" spans="3:14" x14ac:dyDescent="0.3">
      <c r="A912"/>
      <c r="C912" s="16"/>
      <c r="G912" s="5">
        <f>IF(A912="","","Checking")</f>
      </c>
      <c r="H912">
        <f>IF(A912="","",IFERROR(XLOOKUP(D912,Setup!$E$15:$E$79,Setup!$F$15:$F$79),"Miscellaneous"))</f>
      </c>
      <c r="I912">
        <f>IF(A912="","",IFERROR(XLOOKUP(D912,Setup!$E$15:$E$79,Setup!$G$15:$G$79),"Uncategorized"))</f>
      </c>
      <c r="J912">
        <f>IF(A912="","",IF(OR(H912="Transfers",H912="Income",D912="Transfer",D912="Category Pending",F912="Pending"),"No","Yes"))</f>
      </c>
      <c r="K912" s="4">
        <f>IF(A912="","",TEXT(IF(DAY(A912)&gt;=Setup!$B$9,DATE(YEAR(A912),MONTH(A912)+1,1),DATE(YEAR(A912),MONTH(A912),1)),"mmmm yyyy"))</f>
      </c>
      <c r="L912" s="47">
        <f>IF(A912="",0,IF(AND(J912="Yes",E912&lt;0),-E912,0))</f>
      </c>
      <c r="M912" s="47">
        <f>IF(A912="",0,IF(AND(J912="Yes",E912&gt;0),E912,0))</f>
      </c>
      <c r="N912">
        <f>IF(A912="","",IF(D912="Category Pending","Needs categorization",IF(COUNTIFS($A$2:A912,A912,$B$2:B912,B912,$E$2:E912,E912)&gt;1,"Possible duplicate","")))</f>
      </c>
    </row>
    <row r="913" spans="3:14" x14ac:dyDescent="0.3">
      <c r="A913"/>
      <c r="C913" s="16"/>
      <c r="G913" s="5">
        <f>IF(A913="","","Checking")</f>
      </c>
      <c r="H913">
        <f>IF(A913="","",IFERROR(XLOOKUP(D913,Setup!$E$15:$E$79,Setup!$F$15:$F$79),"Miscellaneous"))</f>
      </c>
      <c r="I913">
        <f>IF(A913="","",IFERROR(XLOOKUP(D913,Setup!$E$15:$E$79,Setup!$G$15:$G$79),"Uncategorized"))</f>
      </c>
      <c r="J913">
        <f>IF(A913="","",IF(OR(H913="Transfers",H913="Income",D913="Transfer",D913="Category Pending",F913="Pending"),"No","Yes"))</f>
      </c>
      <c r="K913" s="4">
        <f>IF(A913="","",TEXT(IF(DAY(A913)&gt;=Setup!$B$9,DATE(YEAR(A913),MONTH(A913)+1,1),DATE(YEAR(A913),MONTH(A913),1)),"mmmm yyyy"))</f>
      </c>
      <c r="L913" s="47">
        <f>IF(A913="",0,IF(AND(J913="Yes",E913&lt;0),-E913,0))</f>
      </c>
      <c r="M913" s="47">
        <f>IF(A913="",0,IF(AND(J913="Yes",E913&gt;0),E913,0))</f>
      </c>
      <c r="N913">
        <f>IF(A913="","",IF(D913="Category Pending","Needs categorization",IF(COUNTIFS($A$2:A913,A913,$B$2:B913,B913,$E$2:E913,E913)&gt;1,"Possible duplicate","")))</f>
      </c>
    </row>
    <row r="914" spans="3:14" x14ac:dyDescent="0.3">
      <c r="A914"/>
      <c r="C914" s="16"/>
      <c r="G914" s="5">
        <f>IF(A914="","","Checking")</f>
      </c>
      <c r="H914">
        <f>IF(A914="","",IFERROR(XLOOKUP(D914,Setup!$E$15:$E$79,Setup!$F$15:$F$79),"Miscellaneous"))</f>
      </c>
      <c r="I914">
        <f>IF(A914="","",IFERROR(XLOOKUP(D914,Setup!$E$15:$E$79,Setup!$G$15:$G$79),"Uncategorized"))</f>
      </c>
      <c r="J914">
        <f>IF(A914="","",IF(OR(H914="Transfers",H914="Income",D914="Transfer",D914="Category Pending",F914="Pending"),"No","Yes"))</f>
      </c>
      <c r="K914" s="4">
        <f>IF(A914="","",TEXT(IF(DAY(A914)&gt;=Setup!$B$9,DATE(YEAR(A914),MONTH(A914)+1,1),DATE(YEAR(A914),MONTH(A914),1)),"mmmm yyyy"))</f>
      </c>
      <c r="L914" s="47">
        <f>IF(A914="",0,IF(AND(J914="Yes",E914&lt;0),-E914,0))</f>
      </c>
      <c r="M914" s="47">
        <f>IF(A914="",0,IF(AND(J914="Yes",E914&gt;0),E914,0))</f>
      </c>
      <c r="N914">
        <f>IF(A914="","",IF(D914="Category Pending","Needs categorization",IF(COUNTIFS($A$2:A914,A914,$B$2:B914,B914,$E$2:E914,E914)&gt;1,"Possible duplicate","")))</f>
      </c>
    </row>
    <row r="915" spans="3:14" x14ac:dyDescent="0.3">
      <c r="A915"/>
      <c r="C915" s="16"/>
      <c r="G915" s="5">
        <f>IF(A915="","","Checking")</f>
      </c>
      <c r="H915">
        <f>IF(A915="","",IFERROR(XLOOKUP(D915,Setup!$E$15:$E$79,Setup!$F$15:$F$79),"Miscellaneous"))</f>
      </c>
      <c r="I915">
        <f>IF(A915="","",IFERROR(XLOOKUP(D915,Setup!$E$15:$E$79,Setup!$G$15:$G$79),"Uncategorized"))</f>
      </c>
      <c r="J915">
        <f>IF(A915="","",IF(OR(H915="Transfers",H915="Income",D915="Transfer",D915="Category Pending",F915="Pending"),"No","Yes"))</f>
      </c>
      <c r="K915" s="4">
        <f>IF(A915="","",TEXT(IF(DAY(A915)&gt;=Setup!$B$9,DATE(YEAR(A915),MONTH(A915)+1,1),DATE(YEAR(A915),MONTH(A915),1)),"mmmm yyyy"))</f>
      </c>
      <c r="L915" s="47">
        <f>IF(A915="",0,IF(AND(J915="Yes",E915&lt;0),-E915,0))</f>
      </c>
      <c r="M915" s="47">
        <f>IF(A915="",0,IF(AND(J915="Yes",E915&gt;0),E915,0))</f>
      </c>
      <c r="N915">
        <f>IF(A915="","",IF(D915="Category Pending","Needs categorization",IF(COUNTIFS($A$2:A915,A915,$B$2:B915,B915,$E$2:E915,E915)&gt;1,"Possible duplicate","")))</f>
      </c>
    </row>
    <row r="916" spans="3:14" x14ac:dyDescent="0.3">
      <c r="A916"/>
      <c r="C916" s="16"/>
      <c r="G916" s="5">
        <f>IF(A916="","","Checking")</f>
      </c>
      <c r="H916">
        <f>IF(A916="","",IFERROR(XLOOKUP(D916,Setup!$E$15:$E$79,Setup!$F$15:$F$79),"Miscellaneous"))</f>
      </c>
      <c r="I916">
        <f>IF(A916="","",IFERROR(XLOOKUP(D916,Setup!$E$15:$E$79,Setup!$G$15:$G$79),"Uncategorized"))</f>
      </c>
      <c r="J916">
        <f>IF(A916="","",IF(OR(H916="Transfers",H916="Income",D916="Transfer",D916="Category Pending",F916="Pending"),"No","Yes"))</f>
      </c>
      <c r="K916" s="4">
        <f>IF(A916="","",TEXT(IF(DAY(A916)&gt;=Setup!$B$9,DATE(YEAR(A916),MONTH(A916)+1,1),DATE(YEAR(A916),MONTH(A916),1)),"mmmm yyyy"))</f>
      </c>
      <c r="L916" s="47">
        <f>IF(A916="",0,IF(AND(J916="Yes",E916&lt;0),-E916,0))</f>
      </c>
      <c r="M916" s="47">
        <f>IF(A916="",0,IF(AND(J916="Yes",E916&gt;0),E916,0))</f>
      </c>
      <c r="N916">
        <f>IF(A916="","",IF(D916="Category Pending","Needs categorization",IF(COUNTIFS($A$2:A916,A916,$B$2:B916,B916,$E$2:E916,E916)&gt;1,"Possible duplicate","")))</f>
      </c>
    </row>
    <row r="917" spans="3:14" x14ac:dyDescent="0.3">
      <c r="A917"/>
      <c r="C917" s="16"/>
      <c r="G917" s="5">
        <f>IF(A917="","","Checking")</f>
      </c>
      <c r="H917">
        <f>IF(A917="","",IFERROR(XLOOKUP(D917,Setup!$E$15:$E$79,Setup!$F$15:$F$79),"Miscellaneous"))</f>
      </c>
      <c r="I917">
        <f>IF(A917="","",IFERROR(XLOOKUP(D917,Setup!$E$15:$E$79,Setup!$G$15:$G$79),"Uncategorized"))</f>
      </c>
      <c r="J917">
        <f>IF(A917="","",IF(OR(H917="Transfers",H917="Income",D917="Transfer",D917="Category Pending",F917="Pending"),"No","Yes"))</f>
      </c>
      <c r="K917" s="4">
        <f>IF(A917="","",TEXT(IF(DAY(A917)&gt;=Setup!$B$9,DATE(YEAR(A917),MONTH(A917)+1,1),DATE(YEAR(A917),MONTH(A917),1)),"mmmm yyyy"))</f>
      </c>
      <c r="L917" s="47">
        <f>IF(A917="",0,IF(AND(J917="Yes",E917&lt;0),-E917,0))</f>
      </c>
      <c r="M917" s="47">
        <f>IF(A917="",0,IF(AND(J917="Yes",E917&gt;0),E917,0))</f>
      </c>
      <c r="N917">
        <f>IF(A917="","",IF(D917="Category Pending","Needs categorization",IF(COUNTIFS($A$2:A917,A917,$B$2:B917,B917,$E$2:E917,E917)&gt;1,"Possible duplicate","")))</f>
      </c>
    </row>
    <row r="918" spans="3:14" x14ac:dyDescent="0.3">
      <c r="A918"/>
      <c r="C918" s="16"/>
      <c r="G918" s="5">
        <f>IF(A918="","","Checking")</f>
      </c>
      <c r="H918">
        <f>IF(A918="","",IFERROR(XLOOKUP(D918,Setup!$E$15:$E$79,Setup!$F$15:$F$79),"Miscellaneous"))</f>
      </c>
      <c r="I918">
        <f>IF(A918="","",IFERROR(XLOOKUP(D918,Setup!$E$15:$E$79,Setup!$G$15:$G$79),"Uncategorized"))</f>
      </c>
      <c r="J918">
        <f>IF(A918="","",IF(OR(H918="Transfers",H918="Income",D918="Transfer",D918="Category Pending",F918="Pending"),"No","Yes"))</f>
      </c>
      <c r="K918" s="4">
        <f>IF(A918="","",TEXT(IF(DAY(A918)&gt;=Setup!$B$9,DATE(YEAR(A918),MONTH(A918)+1,1),DATE(YEAR(A918),MONTH(A918),1)),"mmmm yyyy"))</f>
      </c>
      <c r="L918" s="47">
        <f>IF(A918="",0,IF(AND(J918="Yes",E918&lt;0),-E918,0))</f>
      </c>
      <c r="M918" s="47">
        <f>IF(A918="",0,IF(AND(J918="Yes",E918&gt;0),E918,0))</f>
      </c>
      <c r="N918">
        <f>IF(A918="","",IF(D918="Category Pending","Needs categorization",IF(COUNTIFS($A$2:A918,A918,$B$2:B918,B918,$E$2:E918,E918)&gt;1,"Possible duplicate","")))</f>
      </c>
    </row>
    <row r="919" spans="3:14" x14ac:dyDescent="0.3">
      <c r="A919"/>
      <c r="C919" s="16"/>
      <c r="G919" s="5">
        <f>IF(A919="","","Checking")</f>
      </c>
      <c r="H919">
        <f>IF(A919="","",IFERROR(XLOOKUP(D919,Setup!$E$15:$E$79,Setup!$F$15:$F$79),"Miscellaneous"))</f>
      </c>
      <c r="I919">
        <f>IF(A919="","",IFERROR(XLOOKUP(D919,Setup!$E$15:$E$79,Setup!$G$15:$G$79),"Uncategorized"))</f>
      </c>
      <c r="J919">
        <f>IF(A919="","",IF(OR(H919="Transfers",H919="Income",D919="Transfer",D919="Category Pending",F919="Pending"),"No","Yes"))</f>
      </c>
      <c r="K919" s="4">
        <f>IF(A919="","",TEXT(IF(DAY(A919)&gt;=Setup!$B$9,DATE(YEAR(A919),MONTH(A919)+1,1),DATE(YEAR(A919),MONTH(A919),1)),"mmmm yyyy"))</f>
      </c>
      <c r="L919" s="47">
        <f>IF(A919="",0,IF(AND(J919="Yes",E919&lt;0),-E919,0))</f>
      </c>
      <c r="M919" s="47">
        <f>IF(A919="",0,IF(AND(J919="Yes",E919&gt;0),E919,0))</f>
      </c>
      <c r="N919">
        <f>IF(A919="","",IF(D919="Category Pending","Needs categorization",IF(COUNTIFS($A$2:A919,A919,$B$2:B919,B919,$E$2:E919,E919)&gt;1,"Possible duplicate","")))</f>
      </c>
    </row>
    <row r="920" spans="3:14" x14ac:dyDescent="0.3">
      <c r="A920"/>
      <c r="C920" s="16"/>
      <c r="G920" s="5">
        <f>IF(A920="","","Checking")</f>
      </c>
      <c r="H920">
        <f>IF(A920="","",IFERROR(XLOOKUP(D920,Setup!$E$15:$E$79,Setup!$F$15:$F$79),"Miscellaneous"))</f>
      </c>
      <c r="I920">
        <f>IF(A920="","",IFERROR(XLOOKUP(D920,Setup!$E$15:$E$79,Setup!$G$15:$G$79),"Uncategorized"))</f>
      </c>
      <c r="J920">
        <f>IF(A920="","",IF(OR(H920="Transfers",H920="Income",D920="Transfer",D920="Category Pending",F920="Pending"),"No","Yes"))</f>
      </c>
      <c r="K920" s="4">
        <f>IF(A920="","",TEXT(IF(DAY(A920)&gt;=Setup!$B$9,DATE(YEAR(A920),MONTH(A920)+1,1),DATE(YEAR(A920),MONTH(A920),1)),"mmmm yyyy"))</f>
      </c>
      <c r="L920" s="47">
        <f>IF(A920="",0,IF(AND(J920="Yes",E920&lt;0),-E920,0))</f>
      </c>
      <c r="M920" s="47">
        <f>IF(A920="",0,IF(AND(J920="Yes",E920&gt;0),E920,0))</f>
      </c>
      <c r="N920">
        <f>IF(A920="","",IF(D920="Category Pending","Needs categorization",IF(COUNTIFS($A$2:A920,A920,$B$2:B920,B920,$E$2:E920,E920)&gt;1,"Possible duplicate","")))</f>
      </c>
    </row>
    <row r="921" spans="3:14" x14ac:dyDescent="0.3">
      <c r="A921"/>
      <c r="C921" s="16"/>
      <c r="G921" s="5">
        <f>IF(A921="","","Checking")</f>
      </c>
      <c r="H921">
        <f>IF(A921="","",IFERROR(XLOOKUP(D921,Setup!$E$15:$E$79,Setup!$F$15:$F$79),"Miscellaneous"))</f>
      </c>
      <c r="I921">
        <f>IF(A921="","",IFERROR(XLOOKUP(D921,Setup!$E$15:$E$79,Setup!$G$15:$G$79),"Uncategorized"))</f>
      </c>
      <c r="J921">
        <f>IF(A921="","",IF(OR(H921="Transfers",H921="Income",D921="Transfer",D921="Category Pending",F921="Pending"),"No","Yes"))</f>
      </c>
      <c r="K921" s="4">
        <f>IF(A921="","",TEXT(IF(DAY(A921)&gt;=Setup!$B$9,DATE(YEAR(A921),MONTH(A921)+1,1),DATE(YEAR(A921),MONTH(A921),1)),"mmmm yyyy"))</f>
      </c>
      <c r="L921" s="47">
        <f>IF(A921="",0,IF(AND(J921="Yes",E921&lt;0),-E921,0))</f>
      </c>
      <c r="M921" s="47">
        <f>IF(A921="",0,IF(AND(J921="Yes",E921&gt;0),E921,0))</f>
      </c>
      <c r="N921">
        <f>IF(A921="","",IF(D921="Category Pending","Needs categorization",IF(COUNTIFS($A$2:A921,A921,$B$2:B921,B921,$E$2:E921,E921)&gt;1,"Possible duplicate","")))</f>
      </c>
    </row>
    <row r="922" spans="3:14" x14ac:dyDescent="0.3">
      <c r="A922"/>
      <c r="C922" s="16"/>
      <c r="G922" s="5">
        <f>IF(A922="","","Checking")</f>
      </c>
      <c r="H922">
        <f>IF(A922="","",IFERROR(XLOOKUP(D922,Setup!$E$15:$E$79,Setup!$F$15:$F$79),"Miscellaneous"))</f>
      </c>
      <c r="I922">
        <f>IF(A922="","",IFERROR(XLOOKUP(D922,Setup!$E$15:$E$79,Setup!$G$15:$G$79),"Uncategorized"))</f>
      </c>
      <c r="J922">
        <f>IF(A922="","",IF(OR(H922="Transfers",H922="Income",D922="Transfer",D922="Category Pending",F922="Pending"),"No","Yes"))</f>
      </c>
      <c r="K922" s="4">
        <f>IF(A922="","",TEXT(IF(DAY(A922)&gt;=Setup!$B$9,DATE(YEAR(A922),MONTH(A922)+1,1),DATE(YEAR(A922),MONTH(A922),1)),"mmmm yyyy"))</f>
      </c>
      <c r="L922" s="47">
        <f>IF(A922="",0,IF(AND(J922="Yes",E922&lt;0),-E922,0))</f>
      </c>
      <c r="M922" s="47">
        <f>IF(A922="",0,IF(AND(J922="Yes",E922&gt;0),E922,0))</f>
      </c>
      <c r="N922">
        <f>IF(A922="","",IF(D922="Category Pending","Needs categorization",IF(COUNTIFS($A$2:A922,A922,$B$2:B922,B922,$E$2:E922,E922)&gt;1,"Possible duplicate","")))</f>
      </c>
    </row>
    <row r="923" spans="3:14" x14ac:dyDescent="0.3">
      <c r="A923"/>
      <c r="C923" s="16"/>
      <c r="G923" s="5">
        <f>IF(A923="","","Checking")</f>
      </c>
      <c r="H923">
        <f>IF(A923="","",IFERROR(XLOOKUP(D923,Setup!$E$15:$E$79,Setup!$F$15:$F$79),"Miscellaneous"))</f>
      </c>
      <c r="I923">
        <f>IF(A923="","",IFERROR(XLOOKUP(D923,Setup!$E$15:$E$79,Setup!$G$15:$G$79),"Uncategorized"))</f>
      </c>
      <c r="J923">
        <f>IF(A923="","",IF(OR(H923="Transfers",H923="Income",D923="Transfer",D923="Category Pending",F923="Pending"),"No","Yes"))</f>
      </c>
      <c r="K923" s="4">
        <f>IF(A923="","",TEXT(IF(DAY(A923)&gt;=Setup!$B$9,DATE(YEAR(A923),MONTH(A923)+1,1),DATE(YEAR(A923),MONTH(A923),1)),"mmmm yyyy"))</f>
      </c>
      <c r="L923" s="47">
        <f>IF(A923="",0,IF(AND(J923="Yes",E923&lt;0),-E923,0))</f>
      </c>
      <c r="M923" s="47">
        <f>IF(A923="",0,IF(AND(J923="Yes",E923&gt;0),E923,0))</f>
      </c>
      <c r="N923">
        <f>IF(A923="","",IF(D923="Category Pending","Needs categorization",IF(COUNTIFS($A$2:A923,A923,$B$2:B923,B923,$E$2:E923,E923)&gt;1,"Possible duplicate","")))</f>
      </c>
    </row>
    <row r="924" spans="3:14" x14ac:dyDescent="0.3">
      <c r="A924"/>
      <c r="C924" s="16"/>
      <c r="G924" s="5">
        <f>IF(A924="","","Checking")</f>
      </c>
      <c r="H924">
        <f>IF(A924="","",IFERROR(XLOOKUP(D924,Setup!$E$15:$E$79,Setup!$F$15:$F$79),"Miscellaneous"))</f>
      </c>
      <c r="I924">
        <f>IF(A924="","",IFERROR(XLOOKUP(D924,Setup!$E$15:$E$79,Setup!$G$15:$G$79),"Uncategorized"))</f>
      </c>
      <c r="J924">
        <f>IF(A924="","",IF(OR(H924="Transfers",H924="Income",D924="Transfer",D924="Category Pending",F924="Pending"),"No","Yes"))</f>
      </c>
      <c r="K924" s="4">
        <f>IF(A924="","",TEXT(IF(DAY(A924)&gt;=Setup!$B$9,DATE(YEAR(A924),MONTH(A924)+1,1),DATE(YEAR(A924),MONTH(A924),1)),"mmmm yyyy"))</f>
      </c>
      <c r="L924" s="47">
        <f>IF(A924="",0,IF(AND(J924="Yes",E924&lt;0),-E924,0))</f>
      </c>
      <c r="M924" s="47">
        <f>IF(A924="",0,IF(AND(J924="Yes",E924&gt;0),E924,0))</f>
      </c>
      <c r="N924">
        <f>IF(A924="","",IF(D924="Category Pending","Needs categorization",IF(COUNTIFS($A$2:A924,A924,$B$2:B924,B924,$E$2:E924,E924)&gt;1,"Possible duplicate","")))</f>
      </c>
    </row>
    <row r="925" spans="3:14" x14ac:dyDescent="0.3">
      <c r="A925"/>
      <c r="C925" s="16"/>
      <c r="G925" s="5">
        <f>IF(A925="","","Checking")</f>
      </c>
      <c r="H925">
        <f>IF(A925="","",IFERROR(XLOOKUP(D925,Setup!$E$15:$E$79,Setup!$F$15:$F$79),"Miscellaneous"))</f>
      </c>
      <c r="I925">
        <f>IF(A925="","",IFERROR(XLOOKUP(D925,Setup!$E$15:$E$79,Setup!$G$15:$G$79),"Uncategorized"))</f>
      </c>
      <c r="J925">
        <f>IF(A925="","",IF(OR(H925="Transfers",H925="Income",D925="Transfer",D925="Category Pending",F925="Pending"),"No","Yes"))</f>
      </c>
      <c r="K925" s="4">
        <f>IF(A925="","",TEXT(IF(DAY(A925)&gt;=Setup!$B$9,DATE(YEAR(A925),MONTH(A925)+1,1),DATE(YEAR(A925),MONTH(A925),1)),"mmmm yyyy"))</f>
      </c>
      <c r="L925" s="47">
        <f>IF(A925="",0,IF(AND(J925="Yes",E925&lt;0),-E925,0))</f>
      </c>
      <c r="M925" s="47">
        <f>IF(A925="",0,IF(AND(J925="Yes",E925&gt;0),E925,0))</f>
      </c>
      <c r="N925">
        <f>IF(A925="","",IF(D925="Category Pending","Needs categorization",IF(COUNTIFS($A$2:A925,A925,$B$2:B925,B925,$E$2:E925,E925)&gt;1,"Possible duplicate","")))</f>
      </c>
    </row>
    <row r="926" spans="3:14" x14ac:dyDescent="0.3">
      <c r="A926"/>
      <c r="C926" s="16"/>
      <c r="G926" s="5">
        <f>IF(A926="","","Checking")</f>
      </c>
      <c r="H926">
        <f>IF(A926="","",IFERROR(XLOOKUP(D926,Setup!$E$15:$E$79,Setup!$F$15:$F$79),"Miscellaneous"))</f>
      </c>
      <c r="I926">
        <f>IF(A926="","",IFERROR(XLOOKUP(D926,Setup!$E$15:$E$79,Setup!$G$15:$G$79),"Uncategorized"))</f>
      </c>
      <c r="J926">
        <f>IF(A926="","",IF(OR(H926="Transfers",H926="Income",D926="Transfer",D926="Category Pending",F926="Pending"),"No","Yes"))</f>
      </c>
      <c r="K926" s="4">
        <f>IF(A926="","",TEXT(IF(DAY(A926)&gt;=Setup!$B$9,DATE(YEAR(A926),MONTH(A926)+1,1),DATE(YEAR(A926),MONTH(A926),1)),"mmmm yyyy"))</f>
      </c>
      <c r="L926" s="47">
        <f>IF(A926="",0,IF(AND(J926="Yes",E926&lt;0),-E926,0))</f>
      </c>
      <c r="M926" s="47">
        <f>IF(A926="",0,IF(AND(J926="Yes",E926&gt;0),E926,0))</f>
      </c>
      <c r="N926">
        <f>IF(A926="","",IF(D926="Category Pending","Needs categorization",IF(COUNTIFS($A$2:A926,A926,$B$2:B926,B926,$E$2:E926,E926)&gt;1,"Possible duplicate","")))</f>
      </c>
    </row>
    <row r="927" spans="3:14" x14ac:dyDescent="0.3">
      <c r="A927"/>
      <c r="C927" s="16"/>
      <c r="G927" s="5">
        <f>IF(A927="","","Checking")</f>
      </c>
      <c r="H927">
        <f>IF(A927="","",IFERROR(XLOOKUP(D927,Setup!$E$15:$E$79,Setup!$F$15:$F$79),"Miscellaneous"))</f>
      </c>
      <c r="I927">
        <f>IF(A927="","",IFERROR(XLOOKUP(D927,Setup!$E$15:$E$79,Setup!$G$15:$G$79),"Uncategorized"))</f>
      </c>
      <c r="J927">
        <f>IF(A927="","",IF(OR(H927="Transfers",H927="Income",D927="Transfer",D927="Category Pending",F927="Pending"),"No","Yes"))</f>
      </c>
      <c r="K927" s="4">
        <f>IF(A927="","",TEXT(IF(DAY(A927)&gt;=Setup!$B$9,DATE(YEAR(A927),MONTH(A927)+1,1),DATE(YEAR(A927),MONTH(A927),1)),"mmmm yyyy"))</f>
      </c>
      <c r="L927" s="47">
        <f>IF(A927="",0,IF(AND(J927="Yes",E927&lt;0),-E927,0))</f>
      </c>
      <c r="M927" s="47">
        <f>IF(A927="",0,IF(AND(J927="Yes",E927&gt;0),E927,0))</f>
      </c>
      <c r="N927">
        <f>IF(A927="","",IF(D927="Category Pending","Needs categorization",IF(COUNTIFS($A$2:A927,A927,$B$2:B927,B927,$E$2:E927,E927)&gt;1,"Possible duplicate","")))</f>
      </c>
    </row>
    <row r="928" spans="3:14" x14ac:dyDescent="0.3">
      <c r="A928"/>
      <c r="C928" s="16"/>
      <c r="G928" s="5">
        <f>IF(A928="","","Checking")</f>
      </c>
      <c r="H928">
        <f>IF(A928="","",IFERROR(XLOOKUP(D928,Setup!$E$15:$E$79,Setup!$F$15:$F$79),"Miscellaneous"))</f>
      </c>
      <c r="I928">
        <f>IF(A928="","",IFERROR(XLOOKUP(D928,Setup!$E$15:$E$79,Setup!$G$15:$G$79),"Uncategorized"))</f>
      </c>
      <c r="J928">
        <f>IF(A928="","",IF(OR(H928="Transfers",H928="Income",D928="Transfer",D928="Category Pending",F928="Pending"),"No","Yes"))</f>
      </c>
      <c r="K928" s="4">
        <f>IF(A928="","",TEXT(IF(DAY(A928)&gt;=Setup!$B$9,DATE(YEAR(A928),MONTH(A928)+1,1),DATE(YEAR(A928),MONTH(A928),1)),"mmmm yyyy"))</f>
      </c>
      <c r="L928" s="47">
        <f>IF(A928="",0,IF(AND(J928="Yes",E928&lt;0),-E928,0))</f>
      </c>
      <c r="M928" s="47">
        <f>IF(A928="",0,IF(AND(J928="Yes",E928&gt;0),E928,0))</f>
      </c>
      <c r="N928">
        <f>IF(A928="","",IF(D928="Category Pending","Needs categorization",IF(COUNTIFS($A$2:A928,A928,$B$2:B928,B928,$E$2:E928,E928)&gt;1,"Possible duplicate","")))</f>
      </c>
    </row>
    <row r="929" spans="3:14" x14ac:dyDescent="0.3">
      <c r="A929"/>
      <c r="C929" s="16"/>
      <c r="G929" s="5">
        <f>IF(A929="","","Checking")</f>
      </c>
      <c r="H929">
        <f>IF(A929="","",IFERROR(XLOOKUP(D929,Setup!$E$15:$E$79,Setup!$F$15:$F$79),"Miscellaneous"))</f>
      </c>
      <c r="I929">
        <f>IF(A929="","",IFERROR(XLOOKUP(D929,Setup!$E$15:$E$79,Setup!$G$15:$G$79),"Uncategorized"))</f>
      </c>
      <c r="J929">
        <f>IF(A929="","",IF(OR(H929="Transfers",H929="Income",D929="Transfer",D929="Category Pending",F929="Pending"),"No","Yes"))</f>
      </c>
      <c r="K929" s="4">
        <f>IF(A929="","",TEXT(IF(DAY(A929)&gt;=Setup!$B$9,DATE(YEAR(A929),MONTH(A929)+1,1),DATE(YEAR(A929),MONTH(A929),1)),"mmmm yyyy"))</f>
      </c>
      <c r="L929" s="47">
        <f>IF(A929="",0,IF(AND(J929="Yes",E929&lt;0),-E929,0))</f>
      </c>
      <c r="M929" s="47">
        <f>IF(A929="",0,IF(AND(J929="Yes",E929&gt;0),E929,0))</f>
      </c>
      <c r="N929">
        <f>IF(A929="","",IF(D929="Category Pending","Needs categorization",IF(COUNTIFS($A$2:A929,A929,$B$2:B929,B929,$E$2:E929,E929)&gt;1,"Possible duplicate","")))</f>
      </c>
    </row>
    <row r="930" spans="3:14" x14ac:dyDescent="0.3">
      <c r="A930"/>
      <c r="C930" s="16"/>
      <c r="G930" s="5">
        <f>IF(A930="","","Checking")</f>
      </c>
      <c r="H930">
        <f>IF(A930="","",IFERROR(XLOOKUP(D930,Setup!$E$15:$E$79,Setup!$F$15:$F$79),"Miscellaneous"))</f>
      </c>
      <c r="I930">
        <f>IF(A930="","",IFERROR(XLOOKUP(D930,Setup!$E$15:$E$79,Setup!$G$15:$G$79),"Uncategorized"))</f>
      </c>
      <c r="J930">
        <f>IF(A930="","",IF(OR(H930="Transfers",H930="Income",D930="Transfer",D930="Category Pending",F930="Pending"),"No","Yes"))</f>
      </c>
      <c r="K930" s="4">
        <f>IF(A930="","",TEXT(IF(DAY(A930)&gt;=Setup!$B$9,DATE(YEAR(A930),MONTH(A930)+1,1),DATE(YEAR(A930),MONTH(A930),1)),"mmmm yyyy"))</f>
      </c>
      <c r="L930" s="47">
        <f>IF(A930="",0,IF(AND(J930="Yes",E930&lt;0),-E930,0))</f>
      </c>
      <c r="M930" s="47">
        <f>IF(A930="",0,IF(AND(J930="Yes",E930&gt;0),E930,0))</f>
      </c>
      <c r="N930">
        <f>IF(A930="","",IF(D930="Category Pending","Needs categorization",IF(COUNTIFS($A$2:A930,A930,$B$2:B930,B930,$E$2:E930,E930)&gt;1,"Possible duplicate","")))</f>
      </c>
    </row>
    <row r="931" spans="3:14" x14ac:dyDescent="0.3">
      <c r="A931"/>
      <c r="C931" s="16"/>
      <c r="G931" s="5">
        <f>IF(A931="","","Checking")</f>
      </c>
      <c r="H931">
        <f>IF(A931="","",IFERROR(XLOOKUP(D931,Setup!$E$15:$E$79,Setup!$F$15:$F$79),"Miscellaneous"))</f>
      </c>
      <c r="I931">
        <f>IF(A931="","",IFERROR(XLOOKUP(D931,Setup!$E$15:$E$79,Setup!$G$15:$G$79),"Uncategorized"))</f>
      </c>
      <c r="J931">
        <f>IF(A931="","",IF(OR(H931="Transfers",H931="Income",D931="Transfer",D931="Category Pending",F931="Pending"),"No","Yes"))</f>
      </c>
      <c r="K931" s="4">
        <f>IF(A931="","",TEXT(IF(DAY(A931)&gt;=Setup!$B$9,DATE(YEAR(A931),MONTH(A931)+1,1),DATE(YEAR(A931),MONTH(A931),1)),"mmmm yyyy"))</f>
      </c>
      <c r="L931" s="47">
        <f>IF(A931="",0,IF(AND(J931="Yes",E931&lt;0),-E931,0))</f>
      </c>
      <c r="M931" s="47">
        <f>IF(A931="",0,IF(AND(J931="Yes",E931&gt;0),E931,0))</f>
      </c>
      <c r="N931">
        <f>IF(A931="","",IF(D931="Category Pending","Needs categorization",IF(COUNTIFS($A$2:A931,A931,$B$2:B931,B931,$E$2:E931,E931)&gt;1,"Possible duplicate","")))</f>
      </c>
    </row>
    <row r="932" spans="3:14" x14ac:dyDescent="0.3">
      <c r="A932"/>
      <c r="C932" s="16"/>
      <c r="G932" s="5">
        <f>IF(A932="","","Checking")</f>
      </c>
      <c r="H932">
        <f>IF(A932="","",IFERROR(XLOOKUP(D932,Setup!$E$15:$E$79,Setup!$F$15:$F$79),"Miscellaneous"))</f>
      </c>
      <c r="I932">
        <f>IF(A932="","",IFERROR(XLOOKUP(D932,Setup!$E$15:$E$79,Setup!$G$15:$G$79),"Uncategorized"))</f>
      </c>
      <c r="J932">
        <f>IF(A932="","",IF(OR(H932="Transfers",H932="Income",D932="Transfer",D932="Category Pending",F932="Pending"),"No","Yes"))</f>
      </c>
      <c r="K932" s="4">
        <f>IF(A932="","",TEXT(IF(DAY(A932)&gt;=Setup!$B$9,DATE(YEAR(A932),MONTH(A932)+1,1),DATE(YEAR(A932),MONTH(A932),1)),"mmmm yyyy"))</f>
      </c>
      <c r="L932" s="47">
        <f>IF(A932="",0,IF(AND(J932="Yes",E932&lt;0),-E932,0))</f>
      </c>
      <c r="M932" s="47">
        <f>IF(A932="",0,IF(AND(J932="Yes",E932&gt;0),E932,0))</f>
      </c>
      <c r="N932">
        <f>IF(A932="","",IF(D932="Category Pending","Needs categorization",IF(COUNTIFS($A$2:A932,A932,$B$2:B932,B932,$E$2:E932,E932)&gt;1,"Possible duplicate","")))</f>
      </c>
    </row>
    <row r="933" spans="3:14" x14ac:dyDescent="0.3">
      <c r="A933"/>
      <c r="C933" s="16"/>
      <c r="G933" s="5">
        <f>IF(A933="","","Checking")</f>
      </c>
      <c r="H933">
        <f>IF(A933="","",IFERROR(XLOOKUP(D933,Setup!$E$15:$E$79,Setup!$F$15:$F$79),"Miscellaneous"))</f>
      </c>
      <c r="I933">
        <f>IF(A933="","",IFERROR(XLOOKUP(D933,Setup!$E$15:$E$79,Setup!$G$15:$G$79),"Uncategorized"))</f>
      </c>
      <c r="J933">
        <f>IF(A933="","",IF(OR(H933="Transfers",H933="Income",D933="Transfer",D933="Category Pending",F933="Pending"),"No","Yes"))</f>
      </c>
      <c r="K933" s="4">
        <f>IF(A933="","",TEXT(IF(DAY(A933)&gt;=Setup!$B$9,DATE(YEAR(A933),MONTH(A933)+1,1),DATE(YEAR(A933),MONTH(A933),1)),"mmmm yyyy"))</f>
      </c>
      <c r="L933" s="47">
        <f>IF(A933="",0,IF(AND(J933="Yes",E933&lt;0),-E933,0))</f>
      </c>
      <c r="M933" s="47">
        <f>IF(A933="",0,IF(AND(J933="Yes",E933&gt;0),E933,0))</f>
      </c>
      <c r="N933">
        <f>IF(A933="","",IF(D933="Category Pending","Needs categorization",IF(COUNTIFS($A$2:A933,A933,$B$2:B933,B933,$E$2:E933,E933)&gt;1,"Possible duplicate","")))</f>
      </c>
    </row>
    <row r="934" spans="3:14" x14ac:dyDescent="0.3">
      <c r="A934"/>
      <c r="C934" s="16"/>
      <c r="G934" s="5">
        <f>IF(A934="","","Checking")</f>
      </c>
      <c r="H934">
        <f>IF(A934="","",IFERROR(XLOOKUP(D934,Setup!$E$15:$E$79,Setup!$F$15:$F$79),"Miscellaneous"))</f>
      </c>
      <c r="I934">
        <f>IF(A934="","",IFERROR(XLOOKUP(D934,Setup!$E$15:$E$79,Setup!$G$15:$G$79),"Uncategorized"))</f>
      </c>
      <c r="J934">
        <f>IF(A934="","",IF(OR(H934="Transfers",H934="Income",D934="Transfer",D934="Category Pending",F934="Pending"),"No","Yes"))</f>
      </c>
      <c r="K934" s="4">
        <f>IF(A934="","",TEXT(IF(DAY(A934)&gt;=Setup!$B$9,DATE(YEAR(A934),MONTH(A934)+1,1),DATE(YEAR(A934),MONTH(A934),1)),"mmmm yyyy"))</f>
      </c>
      <c r="L934" s="47">
        <f>IF(A934="",0,IF(AND(J934="Yes",E934&lt;0),-E934,0))</f>
      </c>
      <c r="M934" s="47">
        <f>IF(A934="",0,IF(AND(J934="Yes",E934&gt;0),E934,0))</f>
      </c>
      <c r="N934">
        <f>IF(A934="","",IF(D934="Category Pending","Needs categorization",IF(COUNTIFS($A$2:A934,A934,$B$2:B934,B934,$E$2:E934,E934)&gt;1,"Possible duplicate","")))</f>
      </c>
    </row>
    <row r="935" spans="3:14" x14ac:dyDescent="0.3">
      <c r="A935"/>
      <c r="C935" s="16"/>
      <c r="G935" s="5">
        <f>IF(A935="","","Checking")</f>
      </c>
      <c r="H935">
        <f>IF(A935="","",IFERROR(XLOOKUP(D935,Setup!$E$15:$E$79,Setup!$F$15:$F$79),"Miscellaneous"))</f>
      </c>
      <c r="I935">
        <f>IF(A935="","",IFERROR(XLOOKUP(D935,Setup!$E$15:$E$79,Setup!$G$15:$G$79),"Uncategorized"))</f>
      </c>
      <c r="J935">
        <f>IF(A935="","",IF(OR(H935="Transfers",H935="Income",D935="Transfer",D935="Category Pending",F935="Pending"),"No","Yes"))</f>
      </c>
      <c r="K935" s="4">
        <f>IF(A935="","",TEXT(IF(DAY(A935)&gt;=Setup!$B$9,DATE(YEAR(A935),MONTH(A935)+1,1),DATE(YEAR(A935),MONTH(A935),1)),"mmmm yyyy"))</f>
      </c>
      <c r="L935" s="47">
        <f>IF(A935="",0,IF(AND(J935="Yes",E935&lt;0),-E935,0))</f>
      </c>
      <c r="M935" s="47">
        <f>IF(A935="",0,IF(AND(J935="Yes",E935&gt;0),E935,0))</f>
      </c>
      <c r="N935">
        <f>IF(A935="","",IF(D935="Category Pending","Needs categorization",IF(COUNTIFS($A$2:A935,A935,$B$2:B935,B935,$E$2:E935,E935)&gt;1,"Possible duplicate","")))</f>
      </c>
    </row>
    <row r="936" spans="3:14" x14ac:dyDescent="0.3">
      <c r="A936"/>
      <c r="C936" s="16"/>
      <c r="G936" s="5">
        <f>IF(A936="","","Checking")</f>
      </c>
      <c r="H936">
        <f>IF(A936="","",IFERROR(XLOOKUP(D936,Setup!$E$15:$E$79,Setup!$F$15:$F$79),"Miscellaneous"))</f>
      </c>
      <c r="I936">
        <f>IF(A936="","",IFERROR(XLOOKUP(D936,Setup!$E$15:$E$79,Setup!$G$15:$G$79),"Uncategorized"))</f>
      </c>
      <c r="J936">
        <f>IF(A936="","",IF(OR(H936="Transfers",H936="Income",D936="Transfer",D936="Category Pending",F936="Pending"),"No","Yes"))</f>
      </c>
      <c r="K936" s="4">
        <f>IF(A936="","",TEXT(IF(DAY(A936)&gt;=Setup!$B$9,DATE(YEAR(A936),MONTH(A936)+1,1),DATE(YEAR(A936),MONTH(A936),1)),"mmmm yyyy"))</f>
      </c>
      <c r="L936" s="47">
        <f>IF(A936="",0,IF(AND(J936="Yes",E936&lt;0),-E936,0))</f>
      </c>
      <c r="M936" s="47">
        <f>IF(A936="",0,IF(AND(J936="Yes",E936&gt;0),E936,0))</f>
      </c>
      <c r="N936">
        <f>IF(A936="","",IF(D936="Category Pending","Needs categorization",IF(COUNTIFS($A$2:A936,A936,$B$2:B936,B936,$E$2:E936,E936)&gt;1,"Possible duplicate","")))</f>
      </c>
    </row>
    <row r="937" spans="3:14" x14ac:dyDescent="0.3">
      <c r="A937"/>
      <c r="C937" s="16"/>
      <c r="G937" s="5">
        <f>IF(A937="","","Checking")</f>
      </c>
      <c r="H937">
        <f>IF(A937="","",IFERROR(XLOOKUP(D937,Setup!$E$15:$E$79,Setup!$F$15:$F$79),"Miscellaneous"))</f>
      </c>
      <c r="I937">
        <f>IF(A937="","",IFERROR(XLOOKUP(D937,Setup!$E$15:$E$79,Setup!$G$15:$G$79),"Uncategorized"))</f>
      </c>
      <c r="J937">
        <f>IF(A937="","",IF(OR(H937="Transfers",H937="Income",D937="Transfer",D937="Category Pending",F937="Pending"),"No","Yes"))</f>
      </c>
      <c r="K937" s="4">
        <f>IF(A937="","",TEXT(IF(DAY(A937)&gt;=Setup!$B$9,DATE(YEAR(A937),MONTH(A937)+1,1),DATE(YEAR(A937),MONTH(A937),1)),"mmmm yyyy"))</f>
      </c>
      <c r="L937" s="47">
        <f>IF(A937="",0,IF(AND(J937="Yes",E937&lt;0),-E937,0))</f>
      </c>
      <c r="M937" s="47">
        <f>IF(A937="",0,IF(AND(J937="Yes",E937&gt;0),E937,0))</f>
      </c>
      <c r="N937">
        <f>IF(A937="","",IF(D937="Category Pending","Needs categorization",IF(COUNTIFS($A$2:A937,A937,$B$2:B937,B937,$E$2:E937,E937)&gt;1,"Possible duplicate","")))</f>
      </c>
    </row>
    <row r="938" spans="3:14" x14ac:dyDescent="0.3">
      <c r="A938"/>
      <c r="C938" s="16"/>
      <c r="G938" s="5">
        <f>IF(A938="","","Checking")</f>
      </c>
      <c r="H938">
        <f>IF(A938="","",IFERROR(XLOOKUP(D938,Setup!$E$15:$E$79,Setup!$F$15:$F$79),"Miscellaneous"))</f>
      </c>
      <c r="I938">
        <f>IF(A938="","",IFERROR(XLOOKUP(D938,Setup!$E$15:$E$79,Setup!$G$15:$G$79),"Uncategorized"))</f>
      </c>
      <c r="J938">
        <f>IF(A938="","",IF(OR(H938="Transfers",H938="Income",D938="Transfer",D938="Category Pending",F938="Pending"),"No","Yes"))</f>
      </c>
      <c r="K938" s="4">
        <f>IF(A938="","",TEXT(IF(DAY(A938)&gt;=Setup!$B$9,DATE(YEAR(A938),MONTH(A938)+1,1),DATE(YEAR(A938),MONTH(A938),1)),"mmmm yyyy"))</f>
      </c>
      <c r="L938" s="47">
        <f>IF(A938="",0,IF(AND(J938="Yes",E938&lt;0),-E938,0))</f>
      </c>
      <c r="M938" s="47">
        <f>IF(A938="",0,IF(AND(J938="Yes",E938&gt;0),E938,0))</f>
      </c>
      <c r="N938">
        <f>IF(A938="","",IF(D938="Category Pending","Needs categorization",IF(COUNTIFS($A$2:A938,A938,$B$2:B938,B938,$E$2:E938,E938)&gt;1,"Possible duplicate","")))</f>
      </c>
    </row>
    <row r="939" spans="3:14" x14ac:dyDescent="0.3">
      <c r="A939"/>
      <c r="C939" s="16"/>
      <c r="G939" s="5">
        <f>IF(A939="","","Checking")</f>
      </c>
      <c r="H939">
        <f>IF(A939="","",IFERROR(XLOOKUP(D939,Setup!$E$15:$E$79,Setup!$F$15:$F$79),"Miscellaneous"))</f>
      </c>
      <c r="I939">
        <f>IF(A939="","",IFERROR(XLOOKUP(D939,Setup!$E$15:$E$79,Setup!$G$15:$G$79),"Uncategorized"))</f>
      </c>
      <c r="J939">
        <f>IF(A939="","",IF(OR(H939="Transfers",H939="Income",D939="Transfer",D939="Category Pending",F939="Pending"),"No","Yes"))</f>
      </c>
      <c r="K939" s="4">
        <f>IF(A939="","",TEXT(IF(DAY(A939)&gt;=Setup!$B$9,DATE(YEAR(A939),MONTH(A939)+1,1),DATE(YEAR(A939),MONTH(A939),1)),"mmmm yyyy"))</f>
      </c>
      <c r="L939" s="47">
        <f>IF(A939="",0,IF(AND(J939="Yes",E939&lt;0),-E939,0))</f>
      </c>
      <c r="M939" s="47">
        <f>IF(A939="",0,IF(AND(J939="Yes",E939&gt;0),E939,0))</f>
      </c>
      <c r="N939">
        <f>IF(A939="","",IF(D939="Category Pending","Needs categorization",IF(COUNTIFS($A$2:A939,A939,$B$2:B939,B939,$E$2:E939,E939)&gt;1,"Possible duplicate","")))</f>
      </c>
    </row>
    <row r="940" spans="3:14" x14ac:dyDescent="0.3">
      <c r="A940"/>
      <c r="C940" s="16"/>
      <c r="G940" s="5">
        <f>IF(A940="","","Checking")</f>
      </c>
      <c r="H940">
        <f>IF(A940="","",IFERROR(XLOOKUP(D940,Setup!$E$15:$E$79,Setup!$F$15:$F$79),"Miscellaneous"))</f>
      </c>
      <c r="I940">
        <f>IF(A940="","",IFERROR(XLOOKUP(D940,Setup!$E$15:$E$79,Setup!$G$15:$G$79),"Uncategorized"))</f>
      </c>
      <c r="J940">
        <f>IF(A940="","",IF(OR(H940="Transfers",H940="Income",D940="Transfer",D940="Category Pending",F940="Pending"),"No","Yes"))</f>
      </c>
      <c r="K940" s="4">
        <f>IF(A940="","",TEXT(IF(DAY(A940)&gt;=Setup!$B$9,DATE(YEAR(A940),MONTH(A940)+1,1),DATE(YEAR(A940),MONTH(A940),1)),"mmmm yyyy"))</f>
      </c>
      <c r="L940" s="47">
        <f>IF(A940="",0,IF(AND(J940="Yes",E940&lt;0),-E940,0))</f>
      </c>
      <c r="M940" s="47">
        <f>IF(A940="",0,IF(AND(J940="Yes",E940&gt;0),E940,0))</f>
      </c>
      <c r="N940">
        <f>IF(A940="","",IF(D940="Category Pending","Needs categorization",IF(COUNTIFS($A$2:A940,A940,$B$2:B940,B940,$E$2:E940,E940)&gt;1,"Possible duplicate","")))</f>
      </c>
    </row>
    <row r="941" spans="3:14" x14ac:dyDescent="0.3">
      <c r="A941"/>
      <c r="C941" s="16"/>
      <c r="G941" s="5">
        <f>IF(A941="","","Checking")</f>
      </c>
      <c r="H941">
        <f>IF(A941="","",IFERROR(XLOOKUP(D941,Setup!$E$15:$E$79,Setup!$F$15:$F$79),"Miscellaneous"))</f>
      </c>
      <c r="I941">
        <f>IF(A941="","",IFERROR(XLOOKUP(D941,Setup!$E$15:$E$79,Setup!$G$15:$G$79),"Uncategorized"))</f>
      </c>
      <c r="J941">
        <f>IF(A941="","",IF(OR(H941="Transfers",H941="Income",D941="Transfer",D941="Category Pending",F941="Pending"),"No","Yes"))</f>
      </c>
      <c r="K941" s="4">
        <f>IF(A941="","",TEXT(IF(DAY(A941)&gt;=Setup!$B$9,DATE(YEAR(A941),MONTH(A941)+1,1),DATE(YEAR(A941),MONTH(A941),1)),"mmmm yyyy"))</f>
      </c>
      <c r="L941" s="47">
        <f>IF(A941="",0,IF(AND(J941="Yes",E941&lt;0),-E941,0))</f>
      </c>
      <c r="M941" s="47">
        <f>IF(A941="",0,IF(AND(J941="Yes",E941&gt;0),E941,0))</f>
      </c>
      <c r="N941">
        <f>IF(A941="","",IF(D941="Category Pending","Needs categorization",IF(COUNTIFS($A$2:A941,A941,$B$2:B941,B941,$E$2:E941,E941)&gt;1,"Possible duplicate","")))</f>
      </c>
    </row>
    <row r="942" spans="3:14" x14ac:dyDescent="0.3">
      <c r="A942"/>
      <c r="C942" s="16"/>
      <c r="G942" s="5">
        <f>IF(A942="","","Checking")</f>
      </c>
      <c r="H942">
        <f>IF(A942="","",IFERROR(XLOOKUP(D942,Setup!$E$15:$E$79,Setup!$F$15:$F$79),"Miscellaneous"))</f>
      </c>
      <c r="I942">
        <f>IF(A942="","",IFERROR(XLOOKUP(D942,Setup!$E$15:$E$79,Setup!$G$15:$G$79),"Uncategorized"))</f>
      </c>
      <c r="J942">
        <f>IF(A942="","",IF(OR(H942="Transfers",H942="Income",D942="Transfer",D942="Category Pending",F942="Pending"),"No","Yes"))</f>
      </c>
      <c r="K942" s="4">
        <f>IF(A942="","",TEXT(IF(DAY(A942)&gt;=Setup!$B$9,DATE(YEAR(A942),MONTH(A942)+1,1),DATE(YEAR(A942),MONTH(A942),1)),"mmmm yyyy"))</f>
      </c>
      <c r="L942" s="47">
        <f>IF(A942="",0,IF(AND(J942="Yes",E942&lt;0),-E942,0))</f>
      </c>
      <c r="M942" s="47">
        <f>IF(A942="",0,IF(AND(J942="Yes",E942&gt;0),E942,0))</f>
      </c>
      <c r="N942">
        <f>IF(A942="","",IF(D942="Category Pending","Needs categorization",IF(COUNTIFS($A$2:A942,A942,$B$2:B942,B942,$E$2:E942,E942)&gt;1,"Possible duplicate","")))</f>
      </c>
    </row>
    <row r="943" spans="3:14" x14ac:dyDescent="0.3">
      <c r="A943"/>
      <c r="C943" s="16"/>
      <c r="G943" s="5">
        <f>IF(A943="","","Checking")</f>
      </c>
      <c r="H943">
        <f>IF(A943="","",IFERROR(XLOOKUP(D943,Setup!$E$15:$E$79,Setup!$F$15:$F$79),"Miscellaneous"))</f>
      </c>
      <c r="I943">
        <f>IF(A943="","",IFERROR(XLOOKUP(D943,Setup!$E$15:$E$79,Setup!$G$15:$G$79),"Uncategorized"))</f>
      </c>
      <c r="J943">
        <f>IF(A943="","",IF(OR(H943="Transfers",H943="Income",D943="Transfer",D943="Category Pending",F943="Pending"),"No","Yes"))</f>
      </c>
      <c r="K943" s="4">
        <f>IF(A943="","",TEXT(IF(DAY(A943)&gt;=Setup!$B$9,DATE(YEAR(A943),MONTH(A943)+1,1),DATE(YEAR(A943),MONTH(A943),1)),"mmmm yyyy"))</f>
      </c>
      <c r="L943" s="47">
        <f>IF(A943="",0,IF(AND(J943="Yes",E943&lt;0),-E943,0))</f>
      </c>
      <c r="M943" s="47">
        <f>IF(A943="",0,IF(AND(J943="Yes",E943&gt;0),E943,0))</f>
      </c>
      <c r="N943">
        <f>IF(A943="","",IF(D943="Category Pending","Needs categorization",IF(COUNTIFS($A$2:A943,A943,$B$2:B943,B943,$E$2:E943,E943)&gt;1,"Possible duplicate","")))</f>
      </c>
    </row>
    <row r="944" spans="3:14" x14ac:dyDescent="0.3">
      <c r="A944"/>
      <c r="C944" s="16"/>
      <c r="G944" s="5">
        <f>IF(A944="","","Checking")</f>
      </c>
      <c r="H944">
        <f>IF(A944="","",IFERROR(XLOOKUP(D944,Setup!$E$15:$E$79,Setup!$F$15:$F$79),"Miscellaneous"))</f>
      </c>
      <c r="I944">
        <f>IF(A944="","",IFERROR(XLOOKUP(D944,Setup!$E$15:$E$79,Setup!$G$15:$G$79),"Uncategorized"))</f>
      </c>
      <c r="J944">
        <f>IF(A944="","",IF(OR(H944="Transfers",H944="Income",D944="Transfer",D944="Category Pending",F944="Pending"),"No","Yes"))</f>
      </c>
      <c r="K944" s="4">
        <f>IF(A944="","",TEXT(IF(DAY(A944)&gt;=Setup!$B$9,DATE(YEAR(A944),MONTH(A944)+1,1),DATE(YEAR(A944),MONTH(A944),1)),"mmmm yyyy"))</f>
      </c>
      <c r="L944" s="47">
        <f>IF(A944="",0,IF(AND(J944="Yes",E944&lt;0),-E944,0))</f>
      </c>
      <c r="M944" s="47">
        <f>IF(A944="",0,IF(AND(J944="Yes",E944&gt;0),E944,0))</f>
      </c>
      <c r="N944">
        <f>IF(A944="","",IF(D944="Category Pending","Needs categorization",IF(COUNTIFS($A$2:A944,A944,$B$2:B944,B944,$E$2:E944,E944)&gt;1,"Possible duplicate","")))</f>
      </c>
    </row>
    <row r="945" spans="3:14" x14ac:dyDescent="0.3">
      <c r="A945"/>
      <c r="C945" s="16"/>
      <c r="G945" s="5">
        <f>IF(A945="","","Checking")</f>
      </c>
      <c r="H945">
        <f>IF(A945="","",IFERROR(XLOOKUP(D945,Setup!$E$15:$E$79,Setup!$F$15:$F$79),"Miscellaneous"))</f>
      </c>
      <c r="I945">
        <f>IF(A945="","",IFERROR(XLOOKUP(D945,Setup!$E$15:$E$79,Setup!$G$15:$G$79),"Uncategorized"))</f>
      </c>
      <c r="J945">
        <f>IF(A945="","",IF(OR(H945="Transfers",H945="Income",D945="Transfer",D945="Category Pending",F945="Pending"),"No","Yes"))</f>
      </c>
      <c r="K945" s="4">
        <f>IF(A945="","",TEXT(IF(DAY(A945)&gt;=Setup!$B$9,DATE(YEAR(A945),MONTH(A945)+1,1),DATE(YEAR(A945),MONTH(A945),1)),"mmmm yyyy"))</f>
      </c>
      <c r="L945" s="47">
        <f>IF(A945="",0,IF(AND(J945="Yes",E945&lt;0),-E945,0))</f>
      </c>
      <c r="M945" s="47">
        <f>IF(A945="",0,IF(AND(J945="Yes",E945&gt;0),E945,0))</f>
      </c>
      <c r="N945">
        <f>IF(A945="","",IF(D945="Category Pending","Needs categorization",IF(COUNTIFS($A$2:A945,A945,$B$2:B945,B945,$E$2:E945,E945)&gt;1,"Possible duplicate","")))</f>
      </c>
    </row>
    <row r="946" spans="3:14" x14ac:dyDescent="0.3">
      <c r="A946"/>
      <c r="C946" s="16"/>
      <c r="G946" s="5">
        <f>IF(A946="","","Checking")</f>
      </c>
      <c r="H946">
        <f>IF(A946="","",IFERROR(XLOOKUP(D946,Setup!$E$15:$E$79,Setup!$F$15:$F$79),"Miscellaneous"))</f>
      </c>
      <c r="I946">
        <f>IF(A946="","",IFERROR(XLOOKUP(D946,Setup!$E$15:$E$79,Setup!$G$15:$G$79),"Uncategorized"))</f>
      </c>
      <c r="J946">
        <f>IF(A946="","",IF(OR(H946="Transfers",H946="Income",D946="Transfer",D946="Category Pending",F946="Pending"),"No","Yes"))</f>
      </c>
      <c r="K946" s="4">
        <f>IF(A946="","",TEXT(IF(DAY(A946)&gt;=Setup!$B$9,DATE(YEAR(A946),MONTH(A946)+1,1),DATE(YEAR(A946),MONTH(A946),1)),"mmmm yyyy"))</f>
      </c>
      <c r="L946" s="47">
        <f>IF(A946="",0,IF(AND(J946="Yes",E946&lt;0),-E946,0))</f>
      </c>
      <c r="M946" s="47">
        <f>IF(A946="",0,IF(AND(J946="Yes",E946&gt;0),E946,0))</f>
      </c>
      <c r="N946">
        <f>IF(A946="","",IF(D946="Category Pending","Needs categorization",IF(COUNTIFS($A$2:A946,A946,$B$2:B946,B946,$E$2:E946,E946)&gt;1,"Possible duplicate","")))</f>
      </c>
    </row>
    <row r="947" spans="3:14" x14ac:dyDescent="0.3">
      <c r="A947"/>
      <c r="C947" s="16"/>
      <c r="G947" s="5">
        <f>IF(A947="","","Checking")</f>
      </c>
      <c r="H947">
        <f>IF(A947="","",IFERROR(XLOOKUP(D947,Setup!$E$15:$E$79,Setup!$F$15:$F$79),"Miscellaneous"))</f>
      </c>
      <c r="I947">
        <f>IF(A947="","",IFERROR(XLOOKUP(D947,Setup!$E$15:$E$79,Setup!$G$15:$G$79),"Uncategorized"))</f>
      </c>
      <c r="J947">
        <f>IF(A947="","",IF(OR(H947="Transfers",H947="Income",D947="Transfer",D947="Category Pending",F947="Pending"),"No","Yes"))</f>
      </c>
      <c r="K947" s="4">
        <f>IF(A947="","",TEXT(IF(DAY(A947)&gt;=Setup!$B$9,DATE(YEAR(A947),MONTH(A947)+1,1),DATE(YEAR(A947),MONTH(A947),1)),"mmmm yyyy"))</f>
      </c>
      <c r="L947" s="47">
        <f>IF(A947="",0,IF(AND(J947="Yes",E947&lt;0),-E947,0))</f>
      </c>
      <c r="M947" s="47">
        <f>IF(A947="",0,IF(AND(J947="Yes",E947&gt;0),E947,0))</f>
      </c>
      <c r="N947">
        <f>IF(A947="","",IF(D947="Category Pending","Needs categorization",IF(COUNTIFS($A$2:A947,A947,$B$2:B947,B947,$E$2:E947,E947)&gt;1,"Possible duplicate","")))</f>
      </c>
    </row>
    <row r="948" spans="3:14" x14ac:dyDescent="0.3">
      <c r="A948"/>
      <c r="C948" s="16"/>
      <c r="G948" s="5">
        <f>IF(A948="","","Checking")</f>
      </c>
      <c r="H948">
        <f>IF(A948="","",IFERROR(XLOOKUP(D948,Setup!$E$15:$E$79,Setup!$F$15:$F$79),"Miscellaneous"))</f>
      </c>
      <c r="I948">
        <f>IF(A948="","",IFERROR(XLOOKUP(D948,Setup!$E$15:$E$79,Setup!$G$15:$G$79),"Uncategorized"))</f>
      </c>
      <c r="J948">
        <f>IF(A948="","",IF(OR(H948="Transfers",H948="Income",D948="Transfer",D948="Category Pending",F948="Pending"),"No","Yes"))</f>
      </c>
      <c r="K948" s="4">
        <f>IF(A948="","",TEXT(IF(DAY(A948)&gt;=Setup!$B$9,DATE(YEAR(A948),MONTH(A948)+1,1),DATE(YEAR(A948),MONTH(A948),1)),"mmmm yyyy"))</f>
      </c>
      <c r="L948" s="47">
        <f>IF(A948="",0,IF(AND(J948="Yes",E948&lt;0),-E948,0))</f>
      </c>
      <c r="M948" s="47">
        <f>IF(A948="",0,IF(AND(J948="Yes",E948&gt;0),E948,0))</f>
      </c>
      <c r="N948">
        <f>IF(A948="","",IF(D948="Category Pending","Needs categorization",IF(COUNTIFS($A$2:A948,A948,$B$2:B948,B948,$E$2:E948,E948)&gt;1,"Possible duplicate","")))</f>
      </c>
    </row>
    <row r="949" spans="3:14" x14ac:dyDescent="0.3">
      <c r="A949"/>
      <c r="C949" s="16"/>
      <c r="G949" s="5">
        <f>IF(A949="","","Checking")</f>
      </c>
      <c r="H949">
        <f>IF(A949="","",IFERROR(XLOOKUP(D949,Setup!$E$15:$E$79,Setup!$F$15:$F$79),"Miscellaneous"))</f>
      </c>
      <c r="I949">
        <f>IF(A949="","",IFERROR(XLOOKUP(D949,Setup!$E$15:$E$79,Setup!$G$15:$G$79),"Uncategorized"))</f>
      </c>
      <c r="J949">
        <f>IF(A949="","",IF(OR(H949="Transfers",H949="Income",D949="Transfer",D949="Category Pending",F949="Pending"),"No","Yes"))</f>
      </c>
      <c r="K949" s="4">
        <f>IF(A949="","",TEXT(IF(DAY(A949)&gt;=Setup!$B$9,DATE(YEAR(A949),MONTH(A949)+1,1),DATE(YEAR(A949),MONTH(A949),1)),"mmmm yyyy"))</f>
      </c>
      <c r="L949" s="47">
        <f>IF(A949="",0,IF(AND(J949="Yes",E949&lt;0),-E949,0))</f>
      </c>
      <c r="M949" s="47">
        <f>IF(A949="",0,IF(AND(J949="Yes",E949&gt;0),E949,0))</f>
      </c>
      <c r="N949">
        <f>IF(A949="","",IF(D949="Category Pending","Needs categorization",IF(COUNTIFS($A$2:A949,A949,$B$2:B949,B949,$E$2:E949,E949)&gt;1,"Possible duplicate","")))</f>
      </c>
    </row>
    <row r="950" spans="3:14" x14ac:dyDescent="0.3">
      <c r="A950"/>
      <c r="C950" s="16"/>
      <c r="G950" s="5">
        <f>IF(A950="","","Checking")</f>
      </c>
      <c r="H950">
        <f>IF(A950="","",IFERROR(XLOOKUP(D950,Setup!$E$15:$E$79,Setup!$F$15:$F$79),"Miscellaneous"))</f>
      </c>
      <c r="I950">
        <f>IF(A950="","",IFERROR(XLOOKUP(D950,Setup!$E$15:$E$79,Setup!$G$15:$G$79),"Uncategorized"))</f>
      </c>
      <c r="J950">
        <f>IF(A950="","",IF(OR(H950="Transfers",H950="Income",D950="Transfer",D950="Category Pending",F950="Pending"),"No","Yes"))</f>
      </c>
      <c r="K950" s="4">
        <f>IF(A950="","",TEXT(IF(DAY(A950)&gt;=Setup!$B$9,DATE(YEAR(A950),MONTH(A950)+1,1),DATE(YEAR(A950),MONTH(A950),1)),"mmmm yyyy"))</f>
      </c>
      <c r="L950" s="47">
        <f>IF(A950="",0,IF(AND(J950="Yes",E950&lt;0),-E950,0))</f>
      </c>
      <c r="M950" s="47">
        <f>IF(A950="",0,IF(AND(J950="Yes",E950&gt;0),E950,0))</f>
      </c>
      <c r="N950">
        <f>IF(A950="","",IF(D950="Category Pending","Needs categorization",IF(COUNTIFS($A$2:A950,A950,$B$2:B950,B950,$E$2:E950,E950)&gt;1,"Possible duplicate","")))</f>
      </c>
    </row>
    <row r="951" spans="3:14" x14ac:dyDescent="0.3">
      <c r="A951"/>
      <c r="C951" s="16"/>
      <c r="G951" s="5">
        <f>IF(A951="","","Checking")</f>
      </c>
      <c r="H951">
        <f>IF(A951="","",IFERROR(XLOOKUP(D951,Setup!$E$15:$E$79,Setup!$F$15:$F$79),"Miscellaneous"))</f>
      </c>
      <c r="I951">
        <f>IF(A951="","",IFERROR(XLOOKUP(D951,Setup!$E$15:$E$79,Setup!$G$15:$G$79),"Uncategorized"))</f>
      </c>
      <c r="J951">
        <f>IF(A951="","",IF(OR(H951="Transfers",H951="Income",D951="Transfer",D951="Category Pending",F951="Pending"),"No","Yes"))</f>
      </c>
      <c r="K951" s="4">
        <f>IF(A951="","",TEXT(IF(DAY(A951)&gt;=Setup!$B$9,DATE(YEAR(A951),MONTH(A951)+1,1),DATE(YEAR(A951),MONTH(A951),1)),"mmmm yyyy"))</f>
      </c>
      <c r="L951" s="47">
        <f>IF(A951="",0,IF(AND(J951="Yes",E951&lt;0),-E951,0))</f>
      </c>
      <c r="M951" s="47">
        <f>IF(A951="",0,IF(AND(J951="Yes",E951&gt;0),E951,0))</f>
      </c>
      <c r="N951">
        <f>IF(A951="","",IF(D951="Category Pending","Needs categorization",IF(COUNTIFS($A$2:A951,A951,$B$2:B951,B951,$E$2:E951,E951)&gt;1,"Possible duplicate","")))</f>
      </c>
    </row>
    <row r="952" spans="3:14" x14ac:dyDescent="0.3">
      <c r="A952"/>
      <c r="C952" s="16"/>
      <c r="G952" s="5">
        <f>IF(A952="","","Checking")</f>
      </c>
      <c r="H952">
        <f>IF(A952="","",IFERROR(XLOOKUP(D952,Setup!$E$15:$E$79,Setup!$F$15:$F$79),"Miscellaneous"))</f>
      </c>
      <c r="I952">
        <f>IF(A952="","",IFERROR(XLOOKUP(D952,Setup!$E$15:$E$79,Setup!$G$15:$G$79),"Uncategorized"))</f>
      </c>
      <c r="J952">
        <f>IF(A952="","",IF(OR(H952="Transfers",H952="Income",D952="Transfer",D952="Category Pending",F952="Pending"),"No","Yes"))</f>
      </c>
      <c r="K952" s="4">
        <f>IF(A952="","",TEXT(IF(DAY(A952)&gt;=Setup!$B$9,DATE(YEAR(A952),MONTH(A952)+1,1),DATE(YEAR(A952),MONTH(A952),1)),"mmmm yyyy"))</f>
      </c>
      <c r="L952" s="47">
        <f>IF(A952="",0,IF(AND(J952="Yes",E952&lt;0),-E952,0))</f>
      </c>
      <c r="M952" s="47">
        <f>IF(A952="",0,IF(AND(J952="Yes",E952&gt;0),E952,0))</f>
      </c>
      <c r="N952">
        <f>IF(A952="","",IF(D952="Category Pending","Needs categorization",IF(COUNTIFS($A$2:A952,A952,$B$2:B952,B952,$E$2:E952,E952)&gt;1,"Possible duplicate","")))</f>
      </c>
    </row>
    <row r="953" spans="3:14" x14ac:dyDescent="0.3">
      <c r="A953"/>
      <c r="C953" s="16"/>
      <c r="G953" s="5">
        <f>IF(A953="","","Checking")</f>
      </c>
      <c r="H953">
        <f>IF(A953="","",IFERROR(XLOOKUP(D953,Setup!$E$15:$E$79,Setup!$F$15:$F$79),"Miscellaneous"))</f>
      </c>
      <c r="I953">
        <f>IF(A953="","",IFERROR(XLOOKUP(D953,Setup!$E$15:$E$79,Setup!$G$15:$G$79),"Uncategorized"))</f>
      </c>
      <c r="J953">
        <f>IF(A953="","",IF(OR(H953="Transfers",H953="Income",D953="Transfer",D953="Category Pending",F953="Pending"),"No","Yes"))</f>
      </c>
      <c r="K953" s="4">
        <f>IF(A953="","",TEXT(IF(DAY(A953)&gt;=Setup!$B$9,DATE(YEAR(A953),MONTH(A953)+1,1),DATE(YEAR(A953),MONTH(A953),1)),"mmmm yyyy"))</f>
      </c>
      <c r="L953" s="47">
        <f>IF(A953="",0,IF(AND(J953="Yes",E953&lt;0),-E953,0))</f>
      </c>
      <c r="M953" s="47">
        <f>IF(A953="",0,IF(AND(J953="Yes",E953&gt;0),E953,0))</f>
      </c>
      <c r="N953">
        <f>IF(A953="","",IF(D953="Category Pending","Needs categorization",IF(COUNTIFS($A$2:A953,A953,$B$2:B953,B953,$E$2:E953,E953)&gt;1,"Possible duplicate","")))</f>
      </c>
    </row>
    <row r="954" spans="3:14" x14ac:dyDescent="0.3">
      <c r="A954"/>
      <c r="C954" s="16"/>
      <c r="G954" s="5">
        <f>IF(A954="","","Checking")</f>
      </c>
      <c r="H954">
        <f>IF(A954="","",IFERROR(XLOOKUP(D954,Setup!$E$15:$E$79,Setup!$F$15:$F$79),"Miscellaneous"))</f>
      </c>
      <c r="I954">
        <f>IF(A954="","",IFERROR(XLOOKUP(D954,Setup!$E$15:$E$79,Setup!$G$15:$G$79),"Uncategorized"))</f>
      </c>
      <c r="J954">
        <f>IF(A954="","",IF(OR(H954="Transfers",H954="Income",D954="Transfer",D954="Category Pending",F954="Pending"),"No","Yes"))</f>
      </c>
      <c r="K954" s="4">
        <f>IF(A954="","",TEXT(IF(DAY(A954)&gt;=Setup!$B$9,DATE(YEAR(A954),MONTH(A954)+1,1),DATE(YEAR(A954),MONTH(A954),1)),"mmmm yyyy"))</f>
      </c>
      <c r="L954" s="47">
        <f>IF(A954="",0,IF(AND(J954="Yes",E954&lt;0),-E954,0))</f>
      </c>
      <c r="M954" s="47">
        <f>IF(A954="",0,IF(AND(J954="Yes",E954&gt;0),E954,0))</f>
      </c>
      <c r="N954">
        <f>IF(A954="","",IF(D954="Category Pending","Needs categorization",IF(COUNTIFS($A$2:A954,A954,$B$2:B954,B954,$E$2:E954,E954)&gt;1,"Possible duplicate","")))</f>
      </c>
    </row>
    <row r="955" spans="3:14" x14ac:dyDescent="0.3">
      <c r="A955"/>
      <c r="C955" s="16"/>
      <c r="G955" s="5">
        <f>IF(A955="","","Checking")</f>
      </c>
      <c r="H955">
        <f>IF(A955="","",IFERROR(XLOOKUP(D955,Setup!$E$15:$E$79,Setup!$F$15:$F$79),"Miscellaneous"))</f>
      </c>
      <c r="I955">
        <f>IF(A955="","",IFERROR(XLOOKUP(D955,Setup!$E$15:$E$79,Setup!$G$15:$G$79),"Uncategorized"))</f>
      </c>
      <c r="J955">
        <f>IF(A955="","",IF(OR(H955="Transfers",H955="Income",D955="Transfer",D955="Category Pending",F955="Pending"),"No","Yes"))</f>
      </c>
      <c r="K955" s="4">
        <f>IF(A955="","",TEXT(IF(DAY(A955)&gt;=Setup!$B$9,DATE(YEAR(A955),MONTH(A955)+1,1),DATE(YEAR(A955),MONTH(A955),1)),"mmmm yyyy"))</f>
      </c>
      <c r="L955" s="47">
        <f>IF(A955="",0,IF(AND(J955="Yes",E955&lt;0),-E955,0))</f>
      </c>
      <c r="M955" s="47">
        <f>IF(A955="",0,IF(AND(J955="Yes",E955&gt;0),E955,0))</f>
      </c>
      <c r="N955">
        <f>IF(A955="","",IF(D955="Category Pending","Needs categorization",IF(COUNTIFS($A$2:A955,A955,$B$2:B955,B955,$E$2:E955,E955)&gt;1,"Possible duplicate","")))</f>
      </c>
    </row>
    <row r="956" spans="3:14" x14ac:dyDescent="0.3">
      <c r="A956"/>
      <c r="C956" s="16"/>
      <c r="G956" s="5">
        <f>IF(A956="","","Checking")</f>
      </c>
      <c r="H956">
        <f>IF(A956="","",IFERROR(XLOOKUP(D956,Setup!$E$15:$E$79,Setup!$F$15:$F$79),"Miscellaneous"))</f>
      </c>
      <c r="I956">
        <f>IF(A956="","",IFERROR(XLOOKUP(D956,Setup!$E$15:$E$79,Setup!$G$15:$G$79),"Uncategorized"))</f>
      </c>
      <c r="J956">
        <f>IF(A956="","",IF(OR(H956="Transfers",H956="Income",D956="Transfer",D956="Category Pending",F956="Pending"),"No","Yes"))</f>
      </c>
      <c r="K956" s="4">
        <f>IF(A956="","",TEXT(IF(DAY(A956)&gt;=Setup!$B$9,DATE(YEAR(A956),MONTH(A956)+1,1),DATE(YEAR(A956),MONTH(A956),1)),"mmmm yyyy"))</f>
      </c>
      <c r="L956" s="47">
        <f>IF(A956="",0,IF(AND(J956="Yes",E956&lt;0),-E956,0))</f>
      </c>
      <c r="M956" s="47">
        <f>IF(A956="",0,IF(AND(J956="Yes",E956&gt;0),E956,0))</f>
      </c>
      <c r="N956">
        <f>IF(A956="","",IF(D956="Category Pending","Needs categorization",IF(COUNTIFS($A$2:A956,A956,$B$2:B956,B956,$E$2:E956,E956)&gt;1,"Possible duplicate","")))</f>
      </c>
    </row>
    <row r="957" spans="3:14" x14ac:dyDescent="0.3">
      <c r="A957"/>
      <c r="C957" s="16"/>
      <c r="G957" s="5">
        <f>IF(A957="","","Checking")</f>
      </c>
      <c r="H957">
        <f>IF(A957="","",IFERROR(XLOOKUP(D957,Setup!$E$15:$E$79,Setup!$F$15:$F$79),"Miscellaneous"))</f>
      </c>
      <c r="I957">
        <f>IF(A957="","",IFERROR(XLOOKUP(D957,Setup!$E$15:$E$79,Setup!$G$15:$G$79),"Uncategorized"))</f>
      </c>
      <c r="J957">
        <f>IF(A957="","",IF(OR(H957="Transfers",H957="Income",D957="Transfer",D957="Category Pending",F957="Pending"),"No","Yes"))</f>
      </c>
      <c r="K957" s="4">
        <f>IF(A957="","",TEXT(IF(DAY(A957)&gt;=Setup!$B$9,DATE(YEAR(A957),MONTH(A957)+1,1),DATE(YEAR(A957),MONTH(A957),1)),"mmmm yyyy"))</f>
      </c>
      <c r="L957" s="47">
        <f>IF(A957="",0,IF(AND(J957="Yes",E957&lt;0),-E957,0))</f>
      </c>
      <c r="M957" s="47">
        <f>IF(A957="",0,IF(AND(J957="Yes",E957&gt;0),E957,0))</f>
      </c>
      <c r="N957">
        <f>IF(A957="","",IF(D957="Category Pending","Needs categorization",IF(COUNTIFS($A$2:A957,A957,$B$2:B957,B957,$E$2:E957,E957)&gt;1,"Possible duplicate","")))</f>
      </c>
    </row>
    <row r="958" spans="3:14" x14ac:dyDescent="0.3">
      <c r="A958"/>
      <c r="C958" s="16"/>
      <c r="G958" s="5">
        <f>IF(A958="","","Checking")</f>
      </c>
      <c r="H958">
        <f>IF(A958="","",IFERROR(XLOOKUP(D958,Setup!$E$15:$E$79,Setup!$F$15:$F$79),"Miscellaneous"))</f>
      </c>
      <c r="I958">
        <f>IF(A958="","",IFERROR(XLOOKUP(D958,Setup!$E$15:$E$79,Setup!$G$15:$G$79),"Uncategorized"))</f>
      </c>
      <c r="J958">
        <f>IF(A958="","",IF(OR(H958="Transfers",H958="Income",D958="Transfer",D958="Category Pending",F958="Pending"),"No","Yes"))</f>
      </c>
      <c r="K958" s="4">
        <f>IF(A958="","",TEXT(IF(DAY(A958)&gt;=Setup!$B$9,DATE(YEAR(A958),MONTH(A958)+1,1),DATE(YEAR(A958),MONTH(A958),1)),"mmmm yyyy"))</f>
      </c>
      <c r="L958" s="47">
        <f>IF(A958="",0,IF(AND(J958="Yes",E958&lt;0),-E958,0))</f>
      </c>
      <c r="M958" s="47">
        <f>IF(A958="",0,IF(AND(J958="Yes",E958&gt;0),E958,0))</f>
      </c>
      <c r="N958">
        <f>IF(A958="","",IF(D958="Category Pending","Needs categorization",IF(COUNTIFS($A$2:A958,A958,$B$2:B958,B958,$E$2:E958,E958)&gt;1,"Possible duplicate","")))</f>
      </c>
    </row>
    <row r="959" spans="3:14" x14ac:dyDescent="0.3">
      <c r="A959"/>
      <c r="C959" s="16"/>
      <c r="G959" s="5">
        <f>IF(A959="","","Checking")</f>
      </c>
      <c r="H959">
        <f>IF(A959="","",IFERROR(XLOOKUP(D959,Setup!$E$15:$E$79,Setup!$F$15:$F$79),"Miscellaneous"))</f>
      </c>
      <c r="I959">
        <f>IF(A959="","",IFERROR(XLOOKUP(D959,Setup!$E$15:$E$79,Setup!$G$15:$G$79),"Uncategorized"))</f>
      </c>
      <c r="J959">
        <f>IF(A959="","",IF(OR(H959="Transfers",H959="Income",D959="Transfer",D959="Category Pending",F959="Pending"),"No","Yes"))</f>
      </c>
      <c r="K959" s="4">
        <f>IF(A959="","",TEXT(IF(DAY(A959)&gt;=Setup!$B$9,DATE(YEAR(A959),MONTH(A959)+1,1),DATE(YEAR(A959),MONTH(A959),1)),"mmmm yyyy"))</f>
      </c>
      <c r="L959" s="47">
        <f>IF(A959="",0,IF(AND(J959="Yes",E959&lt;0),-E959,0))</f>
      </c>
      <c r="M959" s="47">
        <f>IF(A959="",0,IF(AND(J959="Yes",E959&gt;0),E959,0))</f>
      </c>
      <c r="N959">
        <f>IF(A959="","",IF(D959="Category Pending","Needs categorization",IF(COUNTIFS($A$2:A959,A959,$B$2:B959,B959,$E$2:E959,E959)&gt;1,"Possible duplicate","")))</f>
      </c>
    </row>
    <row r="960" spans="3:14" x14ac:dyDescent="0.3">
      <c r="A960"/>
      <c r="C960" s="16"/>
      <c r="G960" s="5">
        <f>IF(A960="","","Checking")</f>
      </c>
      <c r="H960">
        <f>IF(A960="","",IFERROR(XLOOKUP(D960,Setup!$E$15:$E$79,Setup!$F$15:$F$79),"Miscellaneous"))</f>
      </c>
      <c r="I960">
        <f>IF(A960="","",IFERROR(XLOOKUP(D960,Setup!$E$15:$E$79,Setup!$G$15:$G$79),"Uncategorized"))</f>
      </c>
      <c r="J960">
        <f>IF(A960="","",IF(OR(H960="Transfers",H960="Income",D960="Transfer",D960="Category Pending",F960="Pending"),"No","Yes"))</f>
      </c>
      <c r="K960" s="4">
        <f>IF(A960="","",TEXT(IF(DAY(A960)&gt;=Setup!$B$9,DATE(YEAR(A960),MONTH(A960)+1,1),DATE(YEAR(A960),MONTH(A960),1)),"mmmm yyyy"))</f>
      </c>
      <c r="L960" s="47">
        <f>IF(A960="",0,IF(AND(J960="Yes",E960&lt;0),-E960,0))</f>
      </c>
      <c r="M960" s="47">
        <f>IF(A960="",0,IF(AND(J960="Yes",E960&gt;0),E960,0))</f>
      </c>
      <c r="N960">
        <f>IF(A960="","",IF(D960="Category Pending","Needs categorization",IF(COUNTIFS($A$2:A960,A960,$B$2:B960,B960,$E$2:E960,E960)&gt;1,"Possible duplicate","")))</f>
      </c>
    </row>
    <row r="961" spans="3:14" x14ac:dyDescent="0.3">
      <c r="A961"/>
      <c r="C961" s="16"/>
      <c r="G961" s="5">
        <f>IF(A961="","","Checking")</f>
      </c>
      <c r="H961">
        <f>IF(A961="","",IFERROR(XLOOKUP(D961,Setup!$E$15:$E$79,Setup!$F$15:$F$79),"Miscellaneous"))</f>
      </c>
      <c r="I961">
        <f>IF(A961="","",IFERROR(XLOOKUP(D961,Setup!$E$15:$E$79,Setup!$G$15:$G$79),"Uncategorized"))</f>
      </c>
      <c r="J961">
        <f>IF(A961="","",IF(OR(H961="Transfers",H961="Income",D961="Transfer",D961="Category Pending",F961="Pending"),"No","Yes"))</f>
      </c>
      <c r="K961" s="4">
        <f>IF(A961="","",TEXT(IF(DAY(A961)&gt;=Setup!$B$9,DATE(YEAR(A961),MONTH(A961)+1,1),DATE(YEAR(A961),MONTH(A961),1)),"mmmm yyyy"))</f>
      </c>
      <c r="L961" s="47">
        <f>IF(A961="",0,IF(AND(J961="Yes",E961&lt;0),-E961,0))</f>
      </c>
      <c r="M961" s="47">
        <f>IF(A961="",0,IF(AND(J961="Yes",E961&gt;0),E961,0))</f>
      </c>
      <c r="N961">
        <f>IF(A961="","",IF(D961="Category Pending","Needs categorization",IF(COUNTIFS($A$2:A961,A961,$B$2:B961,B961,$E$2:E961,E961)&gt;1,"Possible duplicate","")))</f>
      </c>
    </row>
    <row r="962" spans="3:14" x14ac:dyDescent="0.3">
      <c r="A962"/>
      <c r="C962" s="16"/>
      <c r="G962" s="5">
        <f>IF(A962="","","Checking")</f>
      </c>
      <c r="H962">
        <f>IF(A962="","",IFERROR(XLOOKUP(D962,Setup!$E$15:$E$79,Setup!$F$15:$F$79),"Miscellaneous"))</f>
      </c>
      <c r="I962">
        <f>IF(A962="","",IFERROR(XLOOKUP(D962,Setup!$E$15:$E$79,Setup!$G$15:$G$79),"Uncategorized"))</f>
      </c>
      <c r="J962">
        <f>IF(A962="","",IF(OR(H962="Transfers",H962="Income",D962="Transfer",D962="Category Pending",F962="Pending"),"No","Yes"))</f>
      </c>
      <c r="K962" s="4">
        <f>IF(A962="","",TEXT(IF(DAY(A962)&gt;=Setup!$B$9,DATE(YEAR(A962),MONTH(A962)+1,1),DATE(YEAR(A962),MONTH(A962),1)),"mmmm yyyy"))</f>
      </c>
      <c r="L962" s="47">
        <f>IF(A962="",0,IF(AND(J962="Yes",E962&lt;0),-E962,0))</f>
      </c>
      <c r="M962" s="47">
        <f>IF(A962="",0,IF(AND(J962="Yes",E962&gt;0),E962,0))</f>
      </c>
      <c r="N962">
        <f>IF(A962="","",IF(D962="Category Pending","Needs categorization",IF(COUNTIFS($A$2:A962,A962,$B$2:B962,B962,$E$2:E962,E962)&gt;1,"Possible duplicate","")))</f>
      </c>
    </row>
    <row r="963" spans="3:14" x14ac:dyDescent="0.3">
      <c r="A963"/>
      <c r="C963" s="16"/>
      <c r="G963" s="5">
        <f>IF(A963="","","Checking")</f>
      </c>
      <c r="H963">
        <f>IF(A963="","",IFERROR(XLOOKUP(D963,Setup!$E$15:$E$79,Setup!$F$15:$F$79),"Miscellaneous"))</f>
      </c>
      <c r="I963">
        <f>IF(A963="","",IFERROR(XLOOKUP(D963,Setup!$E$15:$E$79,Setup!$G$15:$G$79),"Uncategorized"))</f>
      </c>
      <c r="J963">
        <f>IF(A963="","",IF(OR(H963="Transfers",H963="Income",D963="Transfer",D963="Category Pending",F963="Pending"),"No","Yes"))</f>
      </c>
      <c r="K963" s="4">
        <f>IF(A963="","",TEXT(IF(DAY(A963)&gt;=Setup!$B$9,DATE(YEAR(A963),MONTH(A963)+1,1),DATE(YEAR(A963),MONTH(A963),1)),"mmmm yyyy"))</f>
      </c>
      <c r="L963" s="47">
        <f>IF(A963="",0,IF(AND(J963="Yes",E963&lt;0),-E963,0))</f>
      </c>
      <c r="M963" s="47">
        <f>IF(A963="",0,IF(AND(J963="Yes",E963&gt;0),E963,0))</f>
      </c>
      <c r="N963">
        <f>IF(A963="","",IF(D963="Category Pending","Needs categorization",IF(COUNTIFS($A$2:A963,A963,$B$2:B963,B963,$E$2:E963,E963)&gt;1,"Possible duplicate","")))</f>
      </c>
    </row>
    <row r="964" spans="3:14" x14ac:dyDescent="0.3">
      <c r="A964"/>
      <c r="C964" s="16"/>
      <c r="G964" s="5">
        <f>IF(A964="","","Checking")</f>
      </c>
      <c r="H964">
        <f>IF(A964="","",IFERROR(XLOOKUP(D964,Setup!$E$15:$E$79,Setup!$F$15:$F$79),"Miscellaneous"))</f>
      </c>
      <c r="I964">
        <f>IF(A964="","",IFERROR(XLOOKUP(D964,Setup!$E$15:$E$79,Setup!$G$15:$G$79),"Uncategorized"))</f>
      </c>
      <c r="J964">
        <f>IF(A964="","",IF(OR(H964="Transfers",H964="Income",D964="Transfer",D964="Category Pending",F964="Pending"),"No","Yes"))</f>
      </c>
      <c r="K964" s="4">
        <f>IF(A964="","",TEXT(IF(DAY(A964)&gt;=Setup!$B$9,DATE(YEAR(A964),MONTH(A964)+1,1),DATE(YEAR(A964),MONTH(A964),1)),"mmmm yyyy"))</f>
      </c>
      <c r="L964" s="47">
        <f>IF(A964="",0,IF(AND(J964="Yes",E964&lt;0),-E964,0))</f>
      </c>
      <c r="M964" s="47">
        <f>IF(A964="",0,IF(AND(J964="Yes",E964&gt;0),E964,0))</f>
      </c>
      <c r="N964">
        <f>IF(A964="","",IF(D964="Category Pending","Needs categorization",IF(COUNTIFS($A$2:A964,A964,$B$2:B964,B964,$E$2:E964,E964)&gt;1,"Possible duplicate","")))</f>
      </c>
    </row>
    <row r="965" spans="3:14" x14ac:dyDescent="0.3">
      <c r="A965"/>
      <c r="C965" s="16"/>
      <c r="G965" s="5">
        <f>IF(A965="","","Checking")</f>
      </c>
      <c r="H965">
        <f>IF(A965="","",IFERROR(XLOOKUP(D965,Setup!$E$15:$E$79,Setup!$F$15:$F$79),"Miscellaneous"))</f>
      </c>
      <c r="I965">
        <f>IF(A965="","",IFERROR(XLOOKUP(D965,Setup!$E$15:$E$79,Setup!$G$15:$G$79),"Uncategorized"))</f>
      </c>
      <c r="J965">
        <f>IF(A965="","",IF(OR(H965="Transfers",H965="Income",D965="Transfer",D965="Category Pending",F965="Pending"),"No","Yes"))</f>
      </c>
      <c r="K965" s="4">
        <f>IF(A965="","",TEXT(IF(DAY(A965)&gt;=Setup!$B$9,DATE(YEAR(A965),MONTH(A965)+1,1),DATE(YEAR(A965),MONTH(A965),1)),"mmmm yyyy"))</f>
      </c>
      <c r="L965" s="47">
        <f>IF(A965="",0,IF(AND(J965="Yes",E965&lt;0),-E965,0))</f>
      </c>
      <c r="M965" s="47">
        <f>IF(A965="",0,IF(AND(J965="Yes",E965&gt;0),E965,0))</f>
      </c>
      <c r="N965">
        <f>IF(A965="","",IF(D965="Category Pending","Needs categorization",IF(COUNTIFS($A$2:A965,A965,$B$2:B965,B965,$E$2:E965,E965)&gt;1,"Possible duplicate","")))</f>
      </c>
    </row>
    <row r="966" spans="3:14" x14ac:dyDescent="0.3">
      <c r="A966"/>
      <c r="C966" s="16"/>
      <c r="G966" s="5">
        <f>IF(A966="","","Checking")</f>
      </c>
      <c r="H966">
        <f>IF(A966="","",IFERROR(XLOOKUP(D966,Setup!$E$15:$E$79,Setup!$F$15:$F$79),"Miscellaneous"))</f>
      </c>
      <c r="I966">
        <f>IF(A966="","",IFERROR(XLOOKUP(D966,Setup!$E$15:$E$79,Setup!$G$15:$G$79),"Uncategorized"))</f>
      </c>
      <c r="J966">
        <f>IF(A966="","",IF(OR(H966="Transfers",H966="Income",D966="Transfer",D966="Category Pending",F966="Pending"),"No","Yes"))</f>
      </c>
      <c r="K966" s="4">
        <f>IF(A966="","",TEXT(IF(DAY(A966)&gt;=Setup!$B$9,DATE(YEAR(A966),MONTH(A966)+1,1),DATE(YEAR(A966),MONTH(A966),1)),"mmmm yyyy"))</f>
      </c>
      <c r="L966" s="47">
        <f>IF(A966="",0,IF(AND(J966="Yes",E966&lt;0),-E966,0))</f>
      </c>
      <c r="M966" s="47">
        <f>IF(A966="",0,IF(AND(J966="Yes",E966&gt;0),E966,0))</f>
      </c>
      <c r="N966">
        <f>IF(A966="","",IF(D966="Category Pending","Needs categorization",IF(COUNTIFS($A$2:A966,A966,$B$2:B966,B966,$E$2:E966,E966)&gt;1,"Possible duplicate","")))</f>
      </c>
    </row>
    <row r="967" spans="3:14" x14ac:dyDescent="0.3">
      <c r="A967"/>
      <c r="C967" s="16"/>
      <c r="G967" s="5">
        <f>IF(A967="","","Checking")</f>
      </c>
      <c r="H967">
        <f>IF(A967="","",IFERROR(XLOOKUP(D967,Setup!$E$15:$E$79,Setup!$F$15:$F$79),"Miscellaneous"))</f>
      </c>
      <c r="I967">
        <f>IF(A967="","",IFERROR(XLOOKUP(D967,Setup!$E$15:$E$79,Setup!$G$15:$G$79),"Uncategorized"))</f>
      </c>
      <c r="J967">
        <f>IF(A967="","",IF(OR(H967="Transfers",H967="Income",D967="Transfer",D967="Category Pending",F967="Pending"),"No","Yes"))</f>
      </c>
      <c r="K967" s="4">
        <f>IF(A967="","",TEXT(IF(DAY(A967)&gt;=Setup!$B$9,DATE(YEAR(A967),MONTH(A967)+1,1),DATE(YEAR(A967),MONTH(A967),1)),"mmmm yyyy"))</f>
      </c>
      <c r="L967" s="47">
        <f>IF(A967="",0,IF(AND(J967="Yes",E967&lt;0),-E967,0))</f>
      </c>
      <c r="M967" s="47">
        <f>IF(A967="",0,IF(AND(J967="Yes",E967&gt;0),E967,0))</f>
      </c>
      <c r="N967">
        <f>IF(A967="","",IF(D967="Category Pending","Needs categorization",IF(COUNTIFS($A$2:A967,A967,$B$2:B967,B967,$E$2:E967,E967)&gt;1,"Possible duplicate","")))</f>
      </c>
    </row>
    <row r="968" spans="3:14" x14ac:dyDescent="0.3">
      <c r="A968"/>
      <c r="C968" s="16"/>
      <c r="G968" s="5">
        <f>IF(A968="","","Checking")</f>
      </c>
      <c r="H968">
        <f>IF(A968="","",IFERROR(XLOOKUP(D968,Setup!$E$15:$E$79,Setup!$F$15:$F$79),"Miscellaneous"))</f>
      </c>
      <c r="I968">
        <f>IF(A968="","",IFERROR(XLOOKUP(D968,Setup!$E$15:$E$79,Setup!$G$15:$G$79),"Uncategorized"))</f>
      </c>
      <c r="J968">
        <f>IF(A968="","",IF(OR(H968="Transfers",H968="Income",D968="Transfer",D968="Category Pending",F968="Pending"),"No","Yes"))</f>
      </c>
      <c r="K968" s="4">
        <f>IF(A968="","",TEXT(IF(DAY(A968)&gt;=Setup!$B$9,DATE(YEAR(A968),MONTH(A968)+1,1),DATE(YEAR(A968),MONTH(A968),1)),"mmmm yyyy"))</f>
      </c>
      <c r="L968" s="47">
        <f>IF(A968="",0,IF(AND(J968="Yes",E968&lt;0),-E968,0))</f>
      </c>
      <c r="M968" s="47">
        <f>IF(A968="",0,IF(AND(J968="Yes",E968&gt;0),E968,0))</f>
      </c>
      <c r="N968">
        <f>IF(A968="","",IF(D968="Category Pending","Needs categorization",IF(COUNTIFS($A$2:A968,A968,$B$2:B968,B968,$E$2:E968,E968)&gt;1,"Possible duplicate","")))</f>
      </c>
    </row>
    <row r="969" spans="3:14" x14ac:dyDescent="0.3">
      <c r="A969"/>
      <c r="C969" s="16"/>
      <c r="G969" s="5">
        <f>IF(A969="","","Checking")</f>
      </c>
      <c r="H969">
        <f>IF(A969="","",IFERROR(XLOOKUP(D969,Setup!$E$15:$E$79,Setup!$F$15:$F$79),"Miscellaneous"))</f>
      </c>
      <c r="I969">
        <f>IF(A969="","",IFERROR(XLOOKUP(D969,Setup!$E$15:$E$79,Setup!$G$15:$G$79),"Uncategorized"))</f>
      </c>
      <c r="J969">
        <f>IF(A969="","",IF(OR(H969="Transfers",H969="Income",D969="Transfer",D969="Category Pending",F969="Pending"),"No","Yes"))</f>
      </c>
      <c r="K969" s="4">
        <f>IF(A969="","",TEXT(IF(DAY(A969)&gt;=Setup!$B$9,DATE(YEAR(A969),MONTH(A969)+1,1),DATE(YEAR(A969),MONTH(A969),1)),"mmmm yyyy"))</f>
      </c>
      <c r="L969" s="47">
        <f>IF(A969="",0,IF(AND(J969="Yes",E969&lt;0),-E969,0))</f>
      </c>
      <c r="M969" s="47">
        <f>IF(A969="",0,IF(AND(J969="Yes",E969&gt;0),E969,0))</f>
      </c>
      <c r="N969">
        <f>IF(A969="","",IF(D969="Category Pending","Needs categorization",IF(COUNTIFS($A$2:A969,A969,$B$2:B969,B969,$E$2:E969,E969)&gt;1,"Possible duplicate","")))</f>
      </c>
    </row>
    <row r="970" spans="3:14" x14ac:dyDescent="0.3">
      <c r="A970"/>
      <c r="C970" s="16"/>
      <c r="G970" s="5">
        <f>IF(A970="","","Checking")</f>
      </c>
      <c r="H970">
        <f>IF(A970="","",IFERROR(XLOOKUP(D970,Setup!$E$15:$E$79,Setup!$F$15:$F$79),"Miscellaneous"))</f>
      </c>
      <c r="I970">
        <f>IF(A970="","",IFERROR(XLOOKUP(D970,Setup!$E$15:$E$79,Setup!$G$15:$G$79),"Uncategorized"))</f>
      </c>
      <c r="J970">
        <f>IF(A970="","",IF(OR(H970="Transfers",H970="Income",D970="Transfer",D970="Category Pending",F970="Pending"),"No","Yes"))</f>
      </c>
      <c r="K970" s="4">
        <f>IF(A970="","",TEXT(IF(DAY(A970)&gt;=Setup!$B$9,DATE(YEAR(A970),MONTH(A970)+1,1),DATE(YEAR(A970),MONTH(A970),1)),"mmmm yyyy"))</f>
      </c>
      <c r="L970" s="47">
        <f>IF(A970="",0,IF(AND(J970="Yes",E970&lt;0),-E970,0))</f>
      </c>
      <c r="M970" s="47">
        <f>IF(A970="",0,IF(AND(J970="Yes",E970&gt;0),E970,0))</f>
      </c>
      <c r="N970">
        <f>IF(A970="","",IF(D970="Category Pending","Needs categorization",IF(COUNTIFS($A$2:A970,A970,$B$2:B970,B970,$E$2:E970,E970)&gt;1,"Possible duplicate","")))</f>
      </c>
    </row>
    <row r="971" spans="3:14" x14ac:dyDescent="0.3">
      <c r="A971"/>
      <c r="C971" s="16"/>
      <c r="G971" s="5">
        <f>IF(A971="","","Checking")</f>
      </c>
      <c r="H971">
        <f>IF(A971="","",IFERROR(XLOOKUP(D971,Setup!$E$15:$E$79,Setup!$F$15:$F$79),"Miscellaneous"))</f>
      </c>
      <c r="I971">
        <f>IF(A971="","",IFERROR(XLOOKUP(D971,Setup!$E$15:$E$79,Setup!$G$15:$G$79),"Uncategorized"))</f>
      </c>
      <c r="J971">
        <f>IF(A971="","",IF(OR(H971="Transfers",H971="Income",D971="Transfer",D971="Category Pending",F971="Pending"),"No","Yes"))</f>
      </c>
      <c r="K971" s="4">
        <f>IF(A971="","",TEXT(IF(DAY(A971)&gt;=Setup!$B$9,DATE(YEAR(A971),MONTH(A971)+1,1),DATE(YEAR(A971),MONTH(A971),1)),"mmmm yyyy"))</f>
      </c>
      <c r="L971" s="47">
        <f>IF(A971="",0,IF(AND(J971="Yes",E971&lt;0),-E971,0))</f>
      </c>
      <c r="M971" s="47">
        <f>IF(A971="",0,IF(AND(J971="Yes",E971&gt;0),E971,0))</f>
      </c>
      <c r="N971">
        <f>IF(A971="","",IF(D971="Category Pending","Needs categorization",IF(COUNTIFS($A$2:A971,A971,$B$2:B971,B971,$E$2:E971,E971)&gt;1,"Possible duplicate","")))</f>
      </c>
    </row>
    <row r="972" spans="3:14" x14ac:dyDescent="0.3">
      <c r="A972"/>
      <c r="C972" s="16"/>
      <c r="G972" s="5">
        <f>IF(A972="","","Checking")</f>
      </c>
      <c r="H972">
        <f>IF(A972="","",IFERROR(XLOOKUP(D972,Setup!$E$15:$E$79,Setup!$F$15:$F$79),"Miscellaneous"))</f>
      </c>
      <c r="I972">
        <f>IF(A972="","",IFERROR(XLOOKUP(D972,Setup!$E$15:$E$79,Setup!$G$15:$G$79),"Uncategorized"))</f>
      </c>
      <c r="J972">
        <f>IF(A972="","",IF(OR(H972="Transfers",H972="Income",D972="Transfer",D972="Category Pending",F972="Pending"),"No","Yes"))</f>
      </c>
      <c r="K972" s="4">
        <f>IF(A972="","",TEXT(IF(DAY(A972)&gt;=Setup!$B$9,DATE(YEAR(A972),MONTH(A972)+1,1),DATE(YEAR(A972),MONTH(A972),1)),"mmmm yyyy"))</f>
      </c>
      <c r="L972" s="47">
        <f>IF(A972="",0,IF(AND(J972="Yes",E972&lt;0),-E972,0))</f>
      </c>
      <c r="M972" s="47">
        <f>IF(A972="",0,IF(AND(J972="Yes",E972&gt;0),E972,0))</f>
      </c>
      <c r="N972">
        <f>IF(A972="","",IF(D972="Category Pending","Needs categorization",IF(COUNTIFS($A$2:A972,A972,$B$2:B972,B972,$E$2:E972,E972)&gt;1,"Possible duplicate","")))</f>
      </c>
    </row>
    <row r="973" spans="3:14" x14ac:dyDescent="0.3">
      <c r="A973"/>
      <c r="C973" s="16"/>
      <c r="G973" s="5">
        <f>IF(A973="","","Checking")</f>
      </c>
      <c r="H973">
        <f>IF(A973="","",IFERROR(XLOOKUP(D973,Setup!$E$15:$E$79,Setup!$F$15:$F$79),"Miscellaneous"))</f>
      </c>
      <c r="I973">
        <f>IF(A973="","",IFERROR(XLOOKUP(D973,Setup!$E$15:$E$79,Setup!$G$15:$G$79),"Uncategorized"))</f>
      </c>
      <c r="J973">
        <f>IF(A973="","",IF(OR(H973="Transfers",H973="Income",D973="Transfer",D973="Category Pending",F973="Pending"),"No","Yes"))</f>
      </c>
      <c r="K973" s="4">
        <f>IF(A973="","",TEXT(IF(DAY(A973)&gt;=Setup!$B$9,DATE(YEAR(A973),MONTH(A973)+1,1),DATE(YEAR(A973),MONTH(A973),1)),"mmmm yyyy"))</f>
      </c>
      <c r="L973" s="47">
        <f>IF(A973="",0,IF(AND(J973="Yes",E973&lt;0),-E973,0))</f>
      </c>
      <c r="M973" s="47">
        <f>IF(A973="",0,IF(AND(J973="Yes",E973&gt;0),E973,0))</f>
      </c>
      <c r="N973">
        <f>IF(A973="","",IF(D973="Category Pending","Needs categorization",IF(COUNTIFS($A$2:A973,A973,$B$2:B973,B973,$E$2:E973,E973)&gt;1,"Possible duplicate","")))</f>
      </c>
    </row>
    <row r="974" spans="3:14" x14ac:dyDescent="0.3">
      <c r="A974"/>
      <c r="C974" s="16"/>
      <c r="G974" s="5">
        <f>IF(A974="","","Checking")</f>
      </c>
      <c r="H974">
        <f>IF(A974="","",IFERROR(XLOOKUP(D974,Setup!$E$15:$E$79,Setup!$F$15:$F$79),"Miscellaneous"))</f>
      </c>
      <c r="I974">
        <f>IF(A974="","",IFERROR(XLOOKUP(D974,Setup!$E$15:$E$79,Setup!$G$15:$G$79),"Uncategorized"))</f>
      </c>
      <c r="J974">
        <f>IF(A974="","",IF(OR(H974="Transfers",H974="Income",D974="Transfer",D974="Category Pending",F974="Pending"),"No","Yes"))</f>
      </c>
      <c r="K974" s="4">
        <f>IF(A974="","",TEXT(IF(DAY(A974)&gt;=Setup!$B$9,DATE(YEAR(A974),MONTH(A974)+1,1),DATE(YEAR(A974),MONTH(A974),1)),"mmmm yyyy"))</f>
      </c>
      <c r="L974" s="47">
        <f>IF(A974="",0,IF(AND(J974="Yes",E974&lt;0),-E974,0))</f>
      </c>
      <c r="M974" s="47">
        <f>IF(A974="",0,IF(AND(J974="Yes",E974&gt;0),E974,0))</f>
      </c>
      <c r="N974">
        <f>IF(A974="","",IF(D974="Category Pending","Needs categorization",IF(COUNTIFS($A$2:A974,A974,$B$2:B974,B974,$E$2:E974,E974)&gt;1,"Possible duplicate","")))</f>
      </c>
    </row>
    <row r="975" spans="3:14" x14ac:dyDescent="0.3">
      <c r="A975"/>
      <c r="C975" s="16"/>
      <c r="G975" s="5">
        <f>IF(A975="","","Checking")</f>
      </c>
      <c r="H975">
        <f>IF(A975="","",IFERROR(XLOOKUP(D975,Setup!$E$15:$E$79,Setup!$F$15:$F$79),"Miscellaneous"))</f>
      </c>
      <c r="I975">
        <f>IF(A975="","",IFERROR(XLOOKUP(D975,Setup!$E$15:$E$79,Setup!$G$15:$G$79),"Uncategorized"))</f>
      </c>
      <c r="J975">
        <f>IF(A975="","",IF(OR(H975="Transfers",H975="Income",D975="Transfer",D975="Category Pending",F975="Pending"),"No","Yes"))</f>
      </c>
      <c r="K975" s="4">
        <f>IF(A975="","",TEXT(IF(DAY(A975)&gt;=Setup!$B$9,DATE(YEAR(A975),MONTH(A975)+1,1),DATE(YEAR(A975),MONTH(A975),1)),"mmmm yyyy"))</f>
      </c>
      <c r="L975" s="47">
        <f>IF(A975="",0,IF(AND(J975="Yes",E975&lt;0),-E975,0))</f>
      </c>
      <c r="M975" s="47">
        <f>IF(A975="",0,IF(AND(J975="Yes",E975&gt;0),E975,0))</f>
      </c>
      <c r="N975">
        <f>IF(A975="","",IF(D975="Category Pending","Needs categorization",IF(COUNTIFS($A$2:A975,A975,$B$2:B975,B975,$E$2:E975,E975)&gt;1,"Possible duplicate","")))</f>
      </c>
    </row>
    <row r="976" spans="3:14" x14ac:dyDescent="0.3">
      <c r="A976"/>
      <c r="C976" s="16"/>
      <c r="G976" s="5">
        <f>IF(A976="","","Checking")</f>
      </c>
      <c r="H976">
        <f>IF(A976="","",IFERROR(XLOOKUP(D976,Setup!$E$15:$E$79,Setup!$F$15:$F$79),"Miscellaneous"))</f>
      </c>
      <c r="I976">
        <f>IF(A976="","",IFERROR(XLOOKUP(D976,Setup!$E$15:$E$79,Setup!$G$15:$G$79),"Uncategorized"))</f>
      </c>
      <c r="J976">
        <f>IF(A976="","",IF(OR(H976="Transfers",H976="Income",D976="Transfer",D976="Category Pending",F976="Pending"),"No","Yes"))</f>
      </c>
      <c r="K976" s="4">
        <f>IF(A976="","",TEXT(IF(DAY(A976)&gt;=Setup!$B$9,DATE(YEAR(A976),MONTH(A976)+1,1),DATE(YEAR(A976),MONTH(A976),1)),"mmmm yyyy"))</f>
      </c>
      <c r="L976" s="47">
        <f>IF(A976="",0,IF(AND(J976="Yes",E976&lt;0),-E976,0))</f>
      </c>
      <c r="M976" s="47">
        <f>IF(A976="",0,IF(AND(J976="Yes",E976&gt;0),E976,0))</f>
      </c>
      <c r="N976">
        <f>IF(A976="","",IF(D976="Category Pending","Needs categorization",IF(COUNTIFS($A$2:A976,A976,$B$2:B976,B976,$E$2:E976,E976)&gt;1,"Possible duplicate","")))</f>
      </c>
    </row>
    <row r="977" spans="3:14" x14ac:dyDescent="0.3">
      <c r="A977"/>
      <c r="C977" s="16"/>
      <c r="G977" s="5">
        <f>IF(A977="","","Checking")</f>
      </c>
      <c r="H977">
        <f>IF(A977="","",IFERROR(XLOOKUP(D977,Setup!$E$15:$E$79,Setup!$F$15:$F$79),"Miscellaneous"))</f>
      </c>
      <c r="I977">
        <f>IF(A977="","",IFERROR(XLOOKUP(D977,Setup!$E$15:$E$79,Setup!$G$15:$G$79),"Uncategorized"))</f>
      </c>
      <c r="J977">
        <f>IF(A977="","",IF(OR(H977="Transfers",H977="Income",D977="Transfer",D977="Category Pending",F977="Pending"),"No","Yes"))</f>
      </c>
      <c r="K977" s="4">
        <f>IF(A977="","",TEXT(IF(DAY(A977)&gt;=Setup!$B$9,DATE(YEAR(A977),MONTH(A977)+1,1),DATE(YEAR(A977),MONTH(A977),1)),"mmmm yyyy"))</f>
      </c>
      <c r="L977" s="47">
        <f>IF(A977="",0,IF(AND(J977="Yes",E977&lt;0),-E977,0))</f>
      </c>
      <c r="M977" s="47">
        <f>IF(A977="",0,IF(AND(J977="Yes",E977&gt;0),E977,0))</f>
      </c>
      <c r="N977">
        <f>IF(A977="","",IF(D977="Category Pending","Needs categorization",IF(COUNTIFS($A$2:A977,A977,$B$2:B977,B977,$E$2:E977,E977)&gt;1,"Possible duplicate","")))</f>
      </c>
    </row>
    <row r="978" spans="3:14" x14ac:dyDescent="0.3">
      <c r="A978"/>
      <c r="C978" s="16"/>
      <c r="G978" s="5">
        <f>IF(A978="","","Checking")</f>
      </c>
      <c r="H978">
        <f>IF(A978="","",IFERROR(XLOOKUP(D978,Setup!$E$15:$E$79,Setup!$F$15:$F$79),"Miscellaneous"))</f>
      </c>
      <c r="I978">
        <f>IF(A978="","",IFERROR(XLOOKUP(D978,Setup!$E$15:$E$79,Setup!$G$15:$G$79),"Uncategorized"))</f>
      </c>
      <c r="J978">
        <f>IF(A978="","",IF(OR(H978="Transfers",H978="Income",D978="Transfer",D978="Category Pending",F978="Pending"),"No","Yes"))</f>
      </c>
      <c r="K978" s="4">
        <f>IF(A978="","",TEXT(IF(DAY(A978)&gt;=Setup!$B$9,DATE(YEAR(A978),MONTH(A978)+1,1),DATE(YEAR(A978),MONTH(A978),1)),"mmmm yyyy"))</f>
      </c>
      <c r="L978" s="47">
        <f>IF(A978="",0,IF(AND(J978="Yes",E978&lt;0),-E978,0))</f>
      </c>
      <c r="M978" s="47">
        <f>IF(A978="",0,IF(AND(J978="Yes",E978&gt;0),E978,0))</f>
      </c>
      <c r="N978">
        <f>IF(A978="","",IF(D978="Category Pending","Needs categorization",IF(COUNTIFS($A$2:A978,A978,$B$2:B978,B978,$E$2:E978,E978)&gt;1,"Possible duplicate","")))</f>
      </c>
    </row>
    <row r="979" spans="3:14" x14ac:dyDescent="0.3">
      <c r="A979"/>
      <c r="C979" s="16"/>
      <c r="G979" s="5">
        <f>IF(A979="","","Checking")</f>
      </c>
      <c r="H979">
        <f>IF(A979="","",IFERROR(XLOOKUP(D979,Setup!$E$15:$E$79,Setup!$F$15:$F$79),"Miscellaneous"))</f>
      </c>
      <c r="I979">
        <f>IF(A979="","",IFERROR(XLOOKUP(D979,Setup!$E$15:$E$79,Setup!$G$15:$G$79),"Uncategorized"))</f>
      </c>
      <c r="J979">
        <f>IF(A979="","",IF(OR(H979="Transfers",H979="Income",D979="Transfer",D979="Category Pending",F979="Pending"),"No","Yes"))</f>
      </c>
      <c r="K979" s="4">
        <f>IF(A979="","",TEXT(IF(DAY(A979)&gt;=Setup!$B$9,DATE(YEAR(A979),MONTH(A979)+1,1),DATE(YEAR(A979),MONTH(A979),1)),"mmmm yyyy"))</f>
      </c>
      <c r="L979" s="47">
        <f>IF(A979="",0,IF(AND(J979="Yes",E979&lt;0),-E979,0))</f>
      </c>
      <c r="M979" s="47">
        <f>IF(A979="",0,IF(AND(J979="Yes",E979&gt;0),E979,0))</f>
      </c>
      <c r="N979">
        <f>IF(A979="","",IF(D979="Category Pending","Needs categorization",IF(COUNTIFS($A$2:A979,A979,$B$2:B979,B979,$E$2:E979,E979)&gt;1,"Possible duplicate","")))</f>
      </c>
    </row>
    <row r="980" spans="3:14" x14ac:dyDescent="0.3">
      <c r="A980"/>
      <c r="C980" s="16"/>
      <c r="G980" s="5">
        <f>IF(A980="","","Checking")</f>
      </c>
      <c r="H980">
        <f>IF(A980="","",IFERROR(XLOOKUP(D980,Setup!$E$15:$E$79,Setup!$F$15:$F$79),"Miscellaneous"))</f>
      </c>
      <c r="I980">
        <f>IF(A980="","",IFERROR(XLOOKUP(D980,Setup!$E$15:$E$79,Setup!$G$15:$G$79),"Uncategorized"))</f>
      </c>
      <c r="J980">
        <f>IF(A980="","",IF(OR(H980="Transfers",H980="Income",D980="Transfer",D980="Category Pending",F980="Pending"),"No","Yes"))</f>
      </c>
      <c r="K980" s="4">
        <f>IF(A980="","",TEXT(IF(DAY(A980)&gt;=Setup!$B$9,DATE(YEAR(A980),MONTH(A980)+1,1),DATE(YEAR(A980),MONTH(A980),1)),"mmmm yyyy"))</f>
      </c>
      <c r="L980" s="47">
        <f>IF(A980="",0,IF(AND(J980="Yes",E980&lt;0),-E980,0))</f>
      </c>
      <c r="M980" s="47">
        <f>IF(A980="",0,IF(AND(J980="Yes",E980&gt;0),E980,0))</f>
      </c>
      <c r="N980">
        <f>IF(A980="","",IF(D980="Category Pending","Needs categorization",IF(COUNTIFS($A$2:A980,A980,$B$2:B980,B980,$E$2:E980,E980)&gt;1,"Possible duplicate","")))</f>
      </c>
    </row>
    <row r="981" spans="3:14" x14ac:dyDescent="0.3">
      <c r="A981"/>
      <c r="C981" s="16"/>
      <c r="G981" s="5">
        <f>IF(A981="","","Checking")</f>
      </c>
      <c r="H981">
        <f>IF(A981="","",IFERROR(XLOOKUP(D981,Setup!$E$15:$E$79,Setup!$F$15:$F$79),"Miscellaneous"))</f>
      </c>
      <c r="I981">
        <f>IF(A981="","",IFERROR(XLOOKUP(D981,Setup!$E$15:$E$79,Setup!$G$15:$G$79),"Uncategorized"))</f>
      </c>
      <c r="J981">
        <f>IF(A981="","",IF(OR(H981="Transfers",H981="Income",D981="Transfer",D981="Category Pending",F981="Pending"),"No","Yes"))</f>
      </c>
      <c r="K981" s="4">
        <f>IF(A981="","",TEXT(IF(DAY(A981)&gt;=Setup!$B$9,DATE(YEAR(A981),MONTH(A981)+1,1),DATE(YEAR(A981),MONTH(A981),1)),"mmmm yyyy"))</f>
      </c>
      <c r="L981" s="47">
        <f>IF(A981="",0,IF(AND(J981="Yes",E981&lt;0),-E981,0))</f>
      </c>
      <c r="M981" s="47">
        <f>IF(A981="",0,IF(AND(J981="Yes",E981&gt;0),E981,0))</f>
      </c>
      <c r="N981">
        <f>IF(A981="","",IF(D981="Category Pending","Needs categorization",IF(COUNTIFS($A$2:A981,A981,$B$2:B981,B981,$E$2:E981,E981)&gt;1,"Possible duplicate","")))</f>
      </c>
    </row>
    <row r="982" spans="3:14" x14ac:dyDescent="0.3">
      <c r="A982"/>
      <c r="C982" s="16"/>
      <c r="G982" s="5">
        <f>IF(A982="","","Checking")</f>
      </c>
      <c r="H982">
        <f>IF(A982="","",IFERROR(XLOOKUP(D982,Setup!$E$15:$E$79,Setup!$F$15:$F$79),"Miscellaneous"))</f>
      </c>
      <c r="I982">
        <f>IF(A982="","",IFERROR(XLOOKUP(D982,Setup!$E$15:$E$79,Setup!$G$15:$G$79),"Uncategorized"))</f>
      </c>
      <c r="J982">
        <f>IF(A982="","",IF(OR(H982="Transfers",H982="Income",D982="Transfer",D982="Category Pending",F982="Pending"),"No","Yes"))</f>
      </c>
      <c r="K982" s="4">
        <f>IF(A982="","",TEXT(IF(DAY(A982)&gt;=Setup!$B$9,DATE(YEAR(A982),MONTH(A982)+1,1),DATE(YEAR(A982),MONTH(A982),1)),"mmmm yyyy"))</f>
      </c>
      <c r="L982" s="47">
        <f>IF(A982="",0,IF(AND(J982="Yes",E982&lt;0),-E982,0))</f>
      </c>
      <c r="M982" s="47">
        <f>IF(A982="",0,IF(AND(J982="Yes",E982&gt;0),E982,0))</f>
      </c>
      <c r="N982">
        <f>IF(A982="","",IF(D982="Category Pending","Needs categorization",IF(COUNTIFS($A$2:A982,A982,$B$2:B982,B982,$E$2:E982,E982)&gt;1,"Possible duplicate","")))</f>
      </c>
    </row>
    <row r="983" spans="3:14" x14ac:dyDescent="0.3">
      <c r="A983"/>
      <c r="C983" s="16"/>
      <c r="G983" s="5">
        <f>IF(A983="","","Checking")</f>
      </c>
      <c r="H983">
        <f>IF(A983="","",IFERROR(XLOOKUP(D983,Setup!$E$15:$E$79,Setup!$F$15:$F$79),"Miscellaneous"))</f>
      </c>
      <c r="I983">
        <f>IF(A983="","",IFERROR(XLOOKUP(D983,Setup!$E$15:$E$79,Setup!$G$15:$G$79),"Uncategorized"))</f>
      </c>
      <c r="J983">
        <f>IF(A983="","",IF(OR(H983="Transfers",H983="Income",D983="Transfer",D983="Category Pending",F983="Pending"),"No","Yes"))</f>
      </c>
      <c r="K983" s="4">
        <f>IF(A983="","",TEXT(IF(DAY(A983)&gt;=Setup!$B$9,DATE(YEAR(A983),MONTH(A983)+1,1),DATE(YEAR(A983),MONTH(A983),1)),"mmmm yyyy"))</f>
      </c>
      <c r="L983" s="47">
        <f>IF(A983="",0,IF(AND(J983="Yes",E983&lt;0),-E983,0))</f>
      </c>
      <c r="M983" s="47">
        <f>IF(A983="",0,IF(AND(J983="Yes",E983&gt;0),E983,0))</f>
      </c>
      <c r="N983">
        <f>IF(A983="","",IF(D983="Category Pending","Needs categorization",IF(COUNTIFS($A$2:A983,A983,$B$2:B983,B983,$E$2:E983,E983)&gt;1,"Possible duplicate","")))</f>
      </c>
    </row>
    <row r="984" spans="3:14" x14ac:dyDescent="0.3">
      <c r="A984"/>
      <c r="C984" s="16"/>
      <c r="G984" s="5">
        <f>IF(A984="","","Checking")</f>
      </c>
      <c r="H984">
        <f>IF(A984="","",IFERROR(XLOOKUP(D984,Setup!$E$15:$E$79,Setup!$F$15:$F$79),"Miscellaneous"))</f>
      </c>
      <c r="I984">
        <f>IF(A984="","",IFERROR(XLOOKUP(D984,Setup!$E$15:$E$79,Setup!$G$15:$G$79),"Uncategorized"))</f>
      </c>
      <c r="J984">
        <f>IF(A984="","",IF(OR(H984="Transfers",H984="Income",D984="Transfer",D984="Category Pending",F984="Pending"),"No","Yes"))</f>
      </c>
      <c r="K984" s="4">
        <f>IF(A984="","",TEXT(IF(DAY(A984)&gt;=Setup!$B$9,DATE(YEAR(A984),MONTH(A984)+1,1),DATE(YEAR(A984),MONTH(A984),1)),"mmmm yyyy"))</f>
      </c>
      <c r="L984" s="47">
        <f>IF(A984="",0,IF(AND(J984="Yes",E984&lt;0),-E984,0))</f>
      </c>
      <c r="M984" s="47">
        <f>IF(A984="",0,IF(AND(J984="Yes",E984&gt;0),E984,0))</f>
      </c>
      <c r="N984">
        <f>IF(A984="","",IF(D984="Category Pending","Needs categorization",IF(COUNTIFS($A$2:A984,A984,$B$2:B984,B984,$E$2:E984,E984)&gt;1,"Possible duplicate","")))</f>
      </c>
    </row>
    <row r="985" spans="3:14" x14ac:dyDescent="0.3">
      <c r="A985"/>
      <c r="C985" s="16"/>
      <c r="G985" s="5">
        <f>IF(A985="","","Checking")</f>
      </c>
      <c r="H985">
        <f>IF(A985="","",IFERROR(XLOOKUP(D985,Setup!$E$15:$E$79,Setup!$F$15:$F$79),"Miscellaneous"))</f>
      </c>
      <c r="I985">
        <f>IF(A985="","",IFERROR(XLOOKUP(D985,Setup!$E$15:$E$79,Setup!$G$15:$G$79),"Uncategorized"))</f>
      </c>
      <c r="J985">
        <f>IF(A985="","",IF(OR(H985="Transfers",H985="Income",D985="Transfer",D985="Category Pending",F985="Pending"),"No","Yes"))</f>
      </c>
      <c r="K985" s="4">
        <f>IF(A985="","",TEXT(IF(DAY(A985)&gt;=Setup!$B$9,DATE(YEAR(A985),MONTH(A985)+1,1),DATE(YEAR(A985),MONTH(A985),1)),"mmmm yyyy"))</f>
      </c>
      <c r="L985" s="47">
        <f>IF(A985="",0,IF(AND(J985="Yes",E985&lt;0),-E985,0))</f>
      </c>
      <c r="M985" s="47">
        <f>IF(A985="",0,IF(AND(J985="Yes",E985&gt;0),E985,0))</f>
      </c>
      <c r="N985">
        <f>IF(A985="","",IF(D985="Category Pending","Needs categorization",IF(COUNTIFS($A$2:A985,A985,$B$2:B985,B985,$E$2:E985,E985)&gt;1,"Possible duplicate","")))</f>
      </c>
    </row>
    <row r="986" spans="3:14" x14ac:dyDescent="0.3">
      <c r="A986"/>
      <c r="C986" s="16"/>
      <c r="G986" s="5">
        <f>IF(A986="","","Checking")</f>
      </c>
      <c r="H986">
        <f>IF(A986="","",IFERROR(XLOOKUP(D986,Setup!$E$15:$E$79,Setup!$F$15:$F$79),"Miscellaneous"))</f>
      </c>
      <c r="I986">
        <f>IF(A986="","",IFERROR(XLOOKUP(D986,Setup!$E$15:$E$79,Setup!$G$15:$G$79),"Uncategorized"))</f>
      </c>
      <c r="J986">
        <f>IF(A986="","",IF(OR(H986="Transfers",H986="Income",D986="Transfer",D986="Category Pending",F986="Pending"),"No","Yes"))</f>
      </c>
      <c r="K986" s="4">
        <f>IF(A986="","",TEXT(IF(DAY(A986)&gt;=Setup!$B$9,DATE(YEAR(A986),MONTH(A986)+1,1),DATE(YEAR(A986),MONTH(A986),1)),"mmmm yyyy"))</f>
      </c>
      <c r="L986" s="47">
        <f>IF(A986="",0,IF(AND(J986="Yes",E986&lt;0),-E986,0))</f>
      </c>
      <c r="M986" s="47">
        <f>IF(A986="",0,IF(AND(J986="Yes",E986&gt;0),E986,0))</f>
      </c>
      <c r="N986">
        <f>IF(A986="","",IF(D986="Category Pending","Needs categorization",IF(COUNTIFS($A$2:A986,A986,$B$2:B986,B986,$E$2:E986,E986)&gt;1,"Possible duplicate","")))</f>
      </c>
    </row>
    <row r="987" spans="3:14" x14ac:dyDescent="0.3">
      <c r="A987"/>
      <c r="C987" s="16"/>
      <c r="G987" s="5">
        <f>IF(A987="","","Checking")</f>
      </c>
      <c r="H987">
        <f>IF(A987="","",IFERROR(XLOOKUP(D987,Setup!$E$15:$E$79,Setup!$F$15:$F$79),"Miscellaneous"))</f>
      </c>
      <c r="I987">
        <f>IF(A987="","",IFERROR(XLOOKUP(D987,Setup!$E$15:$E$79,Setup!$G$15:$G$79),"Uncategorized"))</f>
      </c>
      <c r="J987">
        <f>IF(A987="","",IF(OR(H987="Transfers",H987="Income",D987="Transfer",D987="Category Pending",F987="Pending"),"No","Yes"))</f>
      </c>
      <c r="K987" s="4">
        <f>IF(A987="","",TEXT(IF(DAY(A987)&gt;=Setup!$B$9,DATE(YEAR(A987),MONTH(A987)+1,1),DATE(YEAR(A987),MONTH(A987),1)),"mmmm yyyy"))</f>
      </c>
      <c r="L987" s="47">
        <f>IF(A987="",0,IF(AND(J987="Yes",E987&lt;0),-E987,0))</f>
      </c>
      <c r="M987" s="47">
        <f>IF(A987="",0,IF(AND(J987="Yes",E987&gt;0),E987,0))</f>
      </c>
      <c r="N987">
        <f>IF(A987="","",IF(D987="Category Pending","Needs categorization",IF(COUNTIFS($A$2:A987,A987,$B$2:B987,B987,$E$2:E987,E987)&gt;1,"Possible duplicate","")))</f>
      </c>
    </row>
    <row r="988" spans="3:14" x14ac:dyDescent="0.3">
      <c r="A988"/>
      <c r="C988" s="16"/>
      <c r="G988" s="5">
        <f>IF(A988="","","Checking")</f>
      </c>
      <c r="H988">
        <f>IF(A988="","",IFERROR(XLOOKUP(D988,Setup!$E$15:$E$79,Setup!$F$15:$F$79),"Miscellaneous"))</f>
      </c>
      <c r="I988">
        <f>IF(A988="","",IFERROR(XLOOKUP(D988,Setup!$E$15:$E$79,Setup!$G$15:$G$79),"Uncategorized"))</f>
      </c>
      <c r="J988">
        <f>IF(A988="","",IF(OR(H988="Transfers",H988="Income",D988="Transfer",D988="Category Pending",F988="Pending"),"No","Yes"))</f>
      </c>
      <c r="K988" s="4">
        <f>IF(A988="","",TEXT(IF(DAY(A988)&gt;=Setup!$B$9,DATE(YEAR(A988),MONTH(A988)+1,1),DATE(YEAR(A988),MONTH(A988),1)),"mmmm yyyy"))</f>
      </c>
      <c r="L988" s="47">
        <f>IF(A988="",0,IF(AND(J988="Yes",E988&lt;0),-E988,0))</f>
      </c>
      <c r="M988" s="47">
        <f>IF(A988="",0,IF(AND(J988="Yes",E988&gt;0),E988,0))</f>
      </c>
      <c r="N988">
        <f>IF(A988="","",IF(D988="Category Pending","Needs categorization",IF(COUNTIFS($A$2:A988,A988,$B$2:B988,B988,$E$2:E988,E988)&gt;1,"Possible duplicate","")))</f>
      </c>
    </row>
    <row r="989" spans="3:14" x14ac:dyDescent="0.3">
      <c r="A989"/>
      <c r="C989" s="16"/>
      <c r="G989" s="5">
        <f>IF(A989="","","Checking")</f>
      </c>
      <c r="H989">
        <f>IF(A989="","",IFERROR(XLOOKUP(D989,Setup!$E$15:$E$79,Setup!$F$15:$F$79),"Miscellaneous"))</f>
      </c>
      <c r="I989">
        <f>IF(A989="","",IFERROR(XLOOKUP(D989,Setup!$E$15:$E$79,Setup!$G$15:$G$79),"Uncategorized"))</f>
      </c>
      <c r="J989">
        <f>IF(A989="","",IF(OR(H989="Transfers",H989="Income",D989="Transfer",D989="Category Pending",F989="Pending"),"No","Yes"))</f>
      </c>
      <c r="K989" s="4">
        <f>IF(A989="","",TEXT(IF(DAY(A989)&gt;=Setup!$B$9,DATE(YEAR(A989),MONTH(A989)+1,1),DATE(YEAR(A989),MONTH(A989),1)),"mmmm yyyy"))</f>
      </c>
      <c r="L989" s="47">
        <f>IF(A989="",0,IF(AND(J989="Yes",E989&lt;0),-E989,0))</f>
      </c>
      <c r="M989" s="47">
        <f>IF(A989="",0,IF(AND(J989="Yes",E989&gt;0),E989,0))</f>
      </c>
      <c r="N989">
        <f>IF(A989="","",IF(D989="Category Pending","Needs categorization",IF(COUNTIFS($A$2:A989,A989,$B$2:B989,B989,$E$2:E989,E989)&gt;1,"Possible duplicate","")))</f>
      </c>
    </row>
    <row r="990" spans="3:14" x14ac:dyDescent="0.3">
      <c r="A990"/>
      <c r="C990" s="16"/>
      <c r="G990" s="5">
        <f>IF(A990="","","Checking")</f>
      </c>
      <c r="H990">
        <f>IF(A990="","",IFERROR(XLOOKUP(D990,Setup!$E$15:$E$79,Setup!$F$15:$F$79),"Miscellaneous"))</f>
      </c>
      <c r="I990">
        <f>IF(A990="","",IFERROR(XLOOKUP(D990,Setup!$E$15:$E$79,Setup!$G$15:$G$79),"Uncategorized"))</f>
      </c>
      <c r="J990">
        <f>IF(A990="","",IF(OR(H990="Transfers",H990="Income",D990="Transfer",D990="Category Pending",F990="Pending"),"No","Yes"))</f>
      </c>
      <c r="K990" s="4">
        <f>IF(A990="","",TEXT(IF(DAY(A990)&gt;=Setup!$B$9,DATE(YEAR(A990),MONTH(A990)+1,1),DATE(YEAR(A990),MONTH(A990),1)),"mmmm yyyy"))</f>
      </c>
      <c r="L990" s="47">
        <f>IF(A990="",0,IF(AND(J990="Yes",E990&lt;0),-E990,0))</f>
      </c>
      <c r="M990" s="47">
        <f>IF(A990="",0,IF(AND(J990="Yes",E990&gt;0),E990,0))</f>
      </c>
      <c r="N990">
        <f>IF(A990="","",IF(D990="Category Pending","Needs categorization",IF(COUNTIFS($A$2:A990,A990,$B$2:B990,B990,$E$2:E990,E990)&gt;1,"Possible duplicate","")))</f>
      </c>
    </row>
    <row r="991" spans="3:14" x14ac:dyDescent="0.3">
      <c r="A991"/>
      <c r="C991" s="16"/>
      <c r="G991" s="5">
        <f>IF(A991="","","Checking")</f>
      </c>
      <c r="H991">
        <f>IF(A991="","",IFERROR(XLOOKUP(D991,Setup!$E$15:$E$79,Setup!$F$15:$F$79),"Miscellaneous"))</f>
      </c>
      <c r="I991">
        <f>IF(A991="","",IFERROR(XLOOKUP(D991,Setup!$E$15:$E$79,Setup!$G$15:$G$79),"Uncategorized"))</f>
      </c>
      <c r="J991">
        <f>IF(A991="","",IF(OR(H991="Transfers",H991="Income",D991="Transfer",D991="Category Pending",F991="Pending"),"No","Yes"))</f>
      </c>
      <c r="K991" s="4">
        <f>IF(A991="","",TEXT(IF(DAY(A991)&gt;=Setup!$B$9,DATE(YEAR(A991),MONTH(A991)+1,1),DATE(YEAR(A991),MONTH(A991),1)),"mmmm yyyy"))</f>
      </c>
      <c r="L991" s="47">
        <f>IF(A991="",0,IF(AND(J991="Yes",E991&lt;0),-E991,0))</f>
      </c>
      <c r="M991" s="47">
        <f>IF(A991="",0,IF(AND(J991="Yes",E991&gt;0),E991,0))</f>
      </c>
      <c r="N991">
        <f>IF(A991="","",IF(D991="Category Pending","Needs categorization",IF(COUNTIFS($A$2:A991,A991,$B$2:B991,B991,$E$2:E991,E991)&gt;1,"Possible duplicate","")))</f>
      </c>
    </row>
    <row r="992" spans="3:14" x14ac:dyDescent="0.3">
      <c r="A992"/>
      <c r="C992" s="16"/>
      <c r="G992" s="5">
        <f>IF(A992="","","Checking")</f>
      </c>
      <c r="H992">
        <f>IF(A992="","",IFERROR(XLOOKUP(D992,Setup!$E$15:$E$79,Setup!$F$15:$F$79),"Miscellaneous"))</f>
      </c>
      <c r="I992">
        <f>IF(A992="","",IFERROR(XLOOKUP(D992,Setup!$E$15:$E$79,Setup!$G$15:$G$79),"Uncategorized"))</f>
      </c>
      <c r="J992">
        <f>IF(A992="","",IF(OR(H992="Transfers",H992="Income",D992="Transfer",D992="Category Pending",F992="Pending"),"No","Yes"))</f>
      </c>
      <c r="K992" s="4">
        <f>IF(A992="","",TEXT(IF(DAY(A992)&gt;=Setup!$B$9,DATE(YEAR(A992),MONTH(A992)+1,1),DATE(YEAR(A992),MONTH(A992),1)),"mmmm yyyy"))</f>
      </c>
      <c r="L992" s="47">
        <f>IF(A992="",0,IF(AND(J992="Yes",E992&lt;0),-E992,0))</f>
      </c>
      <c r="M992" s="47">
        <f>IF(A992="",0,IF(AND(J992="Yes",E992&gt;0),E992,0))</f>
      </c>
      <c r="N992">
        <f>IF(A992="","",IF(D992="Category Pending","Needs categorization",IF(COUNTIFS($A$2:A992,A992,$B$2:B992,B992,$E$2:E992,E992)&gt;1,"Possible duplicate","")))</f>
      </c>
    </row>
    <row r="993" spans="3:14" x14ac:dyDescent="0.3">
      <c r="A993"/>
      <c r="C993" s="16"/>
      <c r="G993" s="5">
        <f>IF(A993="","","Checking")</f>
      </c>
      <c r="H993">
        <f>IF(A993="","",IFERROR(XLOOKUP(D993,Setup!$E$15:$E$79,Setup!$F$15:$F$79),"Miscellaneous"))</f>
      </c>
      <c r="I993">
        <f>IF(A993="","",IFERROR(XLOOKUP(D993,Setup!$E$15:$E$79,Setup!$G$15:$G$79),"Uncategorized"))</f>
      </c>
      <c r="J993">
        <f>IF(A993="","",IF(OR(H993="Transfers",H993="Income",D993="Transfer",D993="Category Pending",F993="Pending"),"No","Yes"))</f>
      </c>
      <c r="K993" s="4">
        <f>IF(A993="","",TEXT(IF(DAY(A993)&gt;=Setup!$B$9,DATE(YEAR(A993),MONTH(A993)+1,1),DATE(YEAR(A993),MONTH(A993),1)),"mmmm yyyy"))</f>
      </c>
      <c r="L993" s="47">
        <f>IF(A993="",0,IF(AND(J993="Yes",E993&lt;0),-E993,0))</f>
      </c>
      <c r="M993" s="47">
        <f>IF(A993="",0,IF(AND(J993="Yes",E993&gt;0),E993,0))</f>
      </c>
      <c r="N993">
        <f>IF(A993="","",IF(D993="Category Pending","Needs categorization",IF(COUNTIFS($A$2:A993,A993,$B$2:B993,B993,$E$2:E993,E993)&gt;1,"Possible duplicate","")))</f>
      </c>
    </row>
    <row r="994" spans="3:14" x14ac:dyDescent="0.3">
      <c r="A994"/>
      <c r="C994" s="16"/>
      <c r="G994" s="5">
        <f>IF(A994="","","Checking")</f>
      </c>
      <c r="H994">
        <f>IF(A994="","",IFERROR(XLOOKUP(D994,Setup!$E$15:$E$79,Setup!$F$15:$F$79),"Miscellaneous"))</f>
      </c>
      <c r="I994">
        <f>IF(A994="","",IFERROR(XLOOKUP(D994,Setup!$E$15:$E$79,Setup!$G$15:$G$79),"Uncategorized"))</f>
      </c>
      <c r="J994">
        <f>IF(A994="","",IF(OR(H994="Transfers",H994="Income",D994="Transfer",D994="Category Pending",F994="Pending"),"No","Yes"))</f>
      </c>
      <c r="K994" s="4">
        <f>IF(A994="","",TEXT(IF(DAY(A994)&gt;=Setup!$B$9,DATE(YEAR(A994),MONTH(A994)+1,1),DATE(YEAR(A994),MONTH(A994),1)),"mmmm yyyy"))</f>
      </c>
      <c r="L994" s="47">
        <f>IF(A994="",0,IF(AND(J994="Yes",E994&lt;0),-E994,0))</f>
      </c>
      <c r="M994" s="47">
        <f>IF(A994="",0,IF(AND(J994="Yes",E994&gt;0),E994,0))</f>
      </c>
      <c r="N994">
        <f>IF(A994="","",IF(D994="Category Pending","Needs categorization",IF(COUNTIFS($A$2:A994,A994,$B$2:B994,B994,$E$2:E994,E994)&gt;1,"Possible duplicate","")))</f>
      </c>
    </row>
    <row r="995" spans="3:14" x14ac:dyDescent="0.3">
      <c r="A995"/>
      <c r="C995" s="16"/>
      <c r="G995" s="5">
        <f>IF(A995="","","Checking")</f>
      </c>
      <c r="H995">
        <f>IF(A995="","",IFERROR(XLOOKUP(D995,Setup!$E$15:$E$79,Setup!$F$15:$F$79),"Miscellaneous"))</f>
      </c>
      <c r="I995">
        <f>IF(A995="","",IFERROR(XLOOKUP(D995,Setup!$E$15:$E$79,Setup!$G$15:$G$79),"Uncategorized"))</f>
      </c>
      <c r="J995">
        <f>IF(A995="","",IF(OR(H995="Transfers",H995="Income",D995="Transfer",D995="Category Pending",F995="Pending"),"No","Yes"))</f>
      </c>
      <c r="K995" s="4">
        <f>IF(A995="","",TEXT(IF(DAY(A995)&gt;=Setup!$B$9,DATE(YEAR(A995),MONTH(A995)+1,1),DATE(YEAR(A995),MONTH(A995),1)),"mmmm yyyy"))</f>
      </c>
      <c r="L995" s="47">
        <f>IF(A995="",0,IF(AND(J995="Yes",E995&lt;0),-E995,0))</f>
      </c>
      <c r="M995" s="47">
        <f>IF(A995="",0,IF(AND(J995="Yes",E995&gt;0),E995,0))</f>
      </c>
      <c r="N995">
        <f>IF(A995="","",IF(D995="Category Pending","Needs categorization",IF(COUNTIFS($A$2:A995,A995,$B$2:B995,B995,$E$2:E995,E995)&gt;1,"Possible duplicate","")))</f>
      </c>
    </row>
    <row r="996" spans="3:14" x14ac:dyDescent="0.3">
      <c r="A996"/>
      <c r="C996" s="16"/>
      <c r="G996" s="5">
        <f>IF(A996="","","Checking")</f>
      </c>
      <c r="H996">
        <f>IF(A996="","",IFERROR(XLOOKUP(D996,Setup!$E$15:$E$79,Setup!$F$15:$F$79),"Miscellaneous"))</f>
      </c>
      <c r="I996">
        <f>IF(A996="","",IFERROR(XLOOKUP(D996,Setup!$E$15:$E$79,Setup!$G$15:$G$79),"Uncategorized"))</f>
      </c>
      <c r="J996">
        <f>IF(A996="","",IF(OR(H996="Transfers",H996="Income",D996="Transfer",D996="Category Pending",F996="Pending"),"No","Yes"))</f>
      </c>
      <c r="K996" s="4">
        <f>IF(A996="","",TEXT(IF(DAY(A996)&gt;=Setup!$B$9,DATE(YEAR(A996),MONTH(A996)+1,1),DATE(YEAR(A996),MONTH(A996),1)),"mmmm yyyy"))</f>
      </c>
      <c r="L996" s="47">
        <f>IF(A996="",0,IF(AND(J996="Yes",E996&lt;0),-E996,0))</f>
      </c>
      <c r="M996" s="47">
        <f>IF(A996="",0,IF(AND(J996="Yes",E996&gt;0),E996,0))</f>
      </c>
      <c r="N996">
        <f>IF(A996="","",IF(D996="Category Pending","Needs categorization",IF(COUNTIFS($A$2:A996,A996,$B$2:B996,B996,$E$2:E996,E996)&gt;1,"Possible duplicate","")))</f>
      </c>
    </row>
    <row r="997" spans="3:14" x14ac:dyDescent="0.3">
      <c r="A997"/>
      <c r="C997" s="16"/>
      <c r="G997" s="5">
        <f>IF(A997="","","Checking")</f>
      </c>
      <c r="H997">
        <f>IF(A997="","",IFERROR(XLOOKUP(D997,Setup!$E$15:$E$79,Setup!$F$15:$F$79),"Miscellaneous"))</f>
      </c>
      <c r="I997">
        <f>IF(A997="","",IFERROR(XLOOKUP(D997,Setup!$E$15:$E$79,Setup!$G$15:$G$79),"Uncategorized"))</f>
      </c>
      <c r="J997">
        <f>IF(A997="","",IF(OR(H997="Transfers",H997="Income",D997="Transfer",D997="Category Pending",F997="Pending"),"No","Yes"))</f>
      </c>
      <c r="K997" s="4">
        <f>IF(A997="","",TEXT(IF(DAY(A997)&gt;=Setup!$B$9,DATE(YEAR(A997),MONTH(A997)+1,1),DATE(YEAR(A997),MONTH(A997),1)),"mmmm yyyy"))</f>
      </c>
      <c r="L997" s="47">
        <f>IF(A997="",0,IF(AND(J997="Yes",E997&lt;0),-E997,0))</f>
      </c>
      <c r="M997" s="47">
        <f>IF(A997="",0,IF(AND(J997="Yes",E997&gt;0),E997,0))</f>
      </c>
      <c r="N997">
        <f>IF(A997="","",IF(D997="Category Pending","Needs categorization",IF(COUNTIFS($A$2:A997,A997,$B$2:B997,B997,$E$2:E997,E997)&gt;1,"Possible duplicate","")))</f>
      </c>
    </row>
    <row r="998" spans="3:14" x14ac:dyDescent="0.3">
      <c r="A998"/>
      <c r="C998" s="16"/>
      <c r="G998" s="5">
        <f>IF(A998="","","Checking")</f>
      </c>
      <c r="H998">
        <f>IF(A998="","",IFERROR(XLOOKUP(D998,Setup!$E$15:$E$79,Setup!$F$15:$F$79),"Miscellaneous"))</f>
      </c>
      <c r="I998">
        <f>IF(A998="","",IFERROR(XLOOKUP(D998,Setup!$E$15:$E$79,Setup!$G$15:$G$79),"Uncategorized"))</f>
      </c>
      <c r="J998">
        <f>IF(A998="","",IF(OR(H998="Transfers",H998="Income",D998="Transfer",D998="Category Pending",F998="Pending"),"No","Yes"))</f>
      </c>
      <c r="K998" s="4">
        <f>IF(A998="","",TEXT(IF(DAY(A998)&gt;=Setup!$B$9,DATE(YEAR(A998),MONTH(A998)+1,1),DATE(YEAR(A998),MONTH(A998),1)),"mmmm yyyy"))</f>
      </c>
      <c r="L998" s="47">
        <f>IF(A998="",0,IF(AND(J998="Yes",E998&lt;0),-E998,0))</f>
      </c>
      <c r="M998" s="47">
        <f>IF(A998="",0,IF(AND(J998="Yes",E998&gt;0),E998,0))</f>
      </c>
      <c r="N998">
        <f>IF(A998="","",IF(D998="Category Pending","Needs categorization",IF(COUNTIFS($A$2:A998,A998,$B$2:B998,B998,$E$2:E998,E998)&gt;1,"Possible duplicate","")))</f>
      </c>
    </row>
    <row r="999" spans="3:14" x14ac:dyDescent="0.3">
      <c r="A999"/>
      <c r="C999" s="16"/>
      <c r="G999" s="5">
        <f>IF(A999="","","Checking")</f>
      </c>
      <c r="H999">
        <f>IF(A999="","",IFERROR(XLOOKUP(D999,Setup!$E$15:$E$79,Setup!$F$15:$F$79),"Miscellaneous"))</f>
      </c>
      <c r="I999">
        <f>IF(A999="","",IFERROR(XLOOKUP(D999,Setup!$E$15:$E$79,Setup!$G$15:$G$79),"Uncategorized"))</f>
      </c>
      <c r="J999">
        <f>IF(A999="","",IF(OR(H999="Transfers",H999="Income",D999="Transfer",D999="Category Pending",F999="Pending"),"No","Yes"))</f>
      </c>
      <c r="K999" s="4">
        <f>IF(A999="","",TEXT(IF(DAY(A999)&gt;=Setup!$B$9,DATE(YEAR(A999),MONTH(A999)+1,1),DATE(YEAR(A999),MONTH(A999),1)),"mmmm yyyy"))</f>
      </c>
      <c r="L999" s="47">
        <f>IF(A999="",0,IF(AND(J999="Yes",E999&lt;0),-E999,0))</f>
      </c>
      <c r="M999" s="47">
        <f>IF(A999="",0,IF(AND(J999="Yes",E999&gt;0),E999,0))</f>
      </c>
      <c r="N999">
        <f>IF(A999="","",IF(D999="Category Pending","Needs categorization",IF(COUNTIFS($A$2:A999,A999,$B$2:B999,B999,$E$2:E999,E999)&gt;1,"Possible duplicate","")))</f>
      </c>
    </row>
    <row r="1000" spans="3:14" x14ac:dyDescent="0.3">
      <c r="A1000"/>
      <c r="C1000" s="16"/>
      <c r="G1000" s="5">
        <f>IF(A1000="","","Checking")</f>
      </c>
      <c r="H1000">
        <f>IF(A1000="","",IFERROR(XLOOKUP(D1000,Setup!$E$15:$E$79,Setup!$F$15:$F$79),"Miscellaneous"))</f>
      </c>
      <c r="I1000">
        <f>IF(A1000="","",IFERROR(XLOOKUP(D1000,Setup!$E$15:$E$79,Setup!$G$15:$G$79),"Uncategorized"))</f>
      </c>
      <c r="J1000">
        <f>IF(A1000="","",IF(OR(H1000="Transfers",H1000="Income",D1000="Transfer",D1000="Category Pending",F1000="Pending"),"No","Yes"))</f>
      </c>
      <c r="K1000" s="4">
        <f>IF(A1000="","",TEXT(IF(DAY(A1000)&gt;=Setup!$B$9,DATE(YEAR(A1000),MONTH(A1000)+1,1),DATE(YEAR(A1000),MONTH(A1000),1)),"mmmm yyyy"))</f>
      </c>
      <c r="L1000" s="47">
        <f>IF(A1000="",0,IF(AND(J1000="Yes",E1000&lt;0),-E1000,0))</f>
      </c>
      <c r="M1000" s="47">
        <f>IF(A1000="",0,IF(AND(J1000="Yes",E1000&gt;0),E1000,0))</f>
      </c>
      <c r="N1000">
        <f>IF(A1000="","",IF(D1000="Category Pending","Needs categorization",IF(COUNTIFS($A$2:A1000,A1000,$B$2:B1000,B1000,$E$2:E1000,E1000)&gt;1,"Possible duplicate","")))</f>
      </c>
    </row>
    <row r="1001" spans="3:14" x14ac:dyDescent="0.3">
      <c r="A1001"/>
      <c r="C1001" s="16"/>
      <c r="G1001" s="5">
        <f>IF(A1001="","","Checking")</f>
      </c>
      <c r="H1001">
        <f>IF(A1001="","",IFERROR(XLOOKUP(D1001,Setup!$E$15:$E$79,Setup!$F$15:$F$79),"Miscellaneous"))</f>
      </c>
      <c r="I1001">
        <f>IF(A1001="","",IFERROR(XLOOKUP(D1001,Setup!$E$15:$E$79,Setup!$G$15:$G$79),"Uncategorized"))</f>
      </c>
      <c r="J1001">
        <f>IF(A1001="","",IF(OR(H1001="Transfers",H1001="Income",D1001="Transfer",D1001="Category Pending",F1001="Pending"),"No","Yes"))</f>
      </c>
      <c r="K1001" s="4">
        <f>IF(A1001="","",TEXT(IF(DAY(A1001)&gt;=Setup!$B$9,DATE(YEAR(A1001),MONTH(A1001)+1,1),DATE(YEAR(A1001),MONTH(A1001),1)),"mmmm yyyy"))</f>
      </c>
      <c r="L1001" s="47">
        <f>IF(A1001="",0,IF(AND(J1001="Yes",E1001&lt;0),-E1001,0))</f>
      </c>
      <c r="M1001" s="47">
        <f>IF(A1001="",0,IF(AND(J1001="Yes",E1001&gt;0),E1001,0))</f>
      </c>
      <c r="N1001">
        <f>IF(A1001="","",IF(D1001="Category Pending","Needs categorization",IF(COUNTIFS($A$2:A1001,A1001,$B$2:B1001,B1001,$E$2:E1001,E1001)&gt;1,"Possible duplicate","")))</f>
      </c>
    </row>
    <row r="1002" spans="3:14" x14ac:dyDescent="0.3">
      <c r="A1002"/>
      <c r="C1002" s="16"/>
      <c r="G1002" s="5">
        <f>IF(A1002="","","Checking")</f>
      </c>
      <c r="H1002">
        <f>IF(A1002="","",IFERROR(XLOOKUP(D1002,Setup!$E$15:$E$79,Setup!$F$15:$F$79),"Miscellaneous"))</f>
      </c>
      <c r="I1002">
        <f>IF(A1002="","",IFERROR(XLOOKUP(D1002,Setup!$E$15:$E$79,Setup!$G$15:$G$79),"Uncategorized"))</f>
      </c>
      <c r="J1002">
        <f>IF(A1002="","",IF(OR(H1002="Transfers",H1002="Income",D1002="Transfer",D1002="Category Pending",F1002="Pending"),"No","Yes"))</f>
      </c>
      <c r="K1002" s="4">
        <f>IF(A1002="","",TEXT(IF(DAY(A1002)&gt;=Setup!$B$9,DATE(YEAR(A1002),MONTH(A1002)+1,1),DATE(YEAR(A1002),MONTH(A1002),1)),"mmmm yyyy"))</f>
      </c>
      <c r="L1002" s="47">
        <f>IF(A1002="",0,IF(AND(J1002="Yes",E1002&lt;0),-E1002,0))</f>
      </c>
      <c r="M1002" s="47">
        <f>IF(A1002="",0,IF(AND(J1002="Yes",E1002&gt;0),E1002,0))</f>
      </c>
      <c r="N1002">
        <f>IF(A1002="","",IF(D1002="Category Pending","Needs categorization",IF(COUNTIFS($A$2:A1002,A1002,$B$2:B1002,B1002,$E$2:E1002,E1002)&gt;1,"Possible duplicate","")))</f>
      </c>
    </row>
    <row r="1003" spans="3:14" x14ac:dyDescent="0.3">
      <c r="A1003"/>
      <c r="C1003" s="16"/>
      <c r="G1003" s="5">
        <f>IF(A1003="","","Checking")</f>
      </c>
      <c r="H1003">
        <f>IF(A1003="","",IFERROR(XLOOKUP(D1003,Setup!$E$15:$E$79,Setup!$F$15:$F$79),"Miscellaneous"))</f>
      </c>
      <c r="I1003">
        <f>IF(A1003="","",IFERROR(XLOOKUP(D1003,Setup!$E$15:$E$79,Setup!$G$15:$G$79),"Uncategorized"))</f>
      </c>
      <c r="J1003">
        <f>IF(A1003="","",IF(OR(H1003="Transfers",H1003="Income",D1003="Transfer",D1003="Category Pending",F1003="Pending"),"No","Yes"))</f>
      </c>
      <c r="K1003" s="4">
        <f>IF(A1003="","",TEXT(IF(DAY(A1003)&gt;=Setup!$B$9,DATE(YEAR(A1003),MONTH(A1003)+1,1),DATE(YEAR(A1003),MONTH(A1003),1)),"mmmm yyyy"))</f>
      </c>
      <c r="L1003" s="47">
        <f>IF(A1003="",0,IF(AND(J1003="Yes",E1003&lt;0),-E1003,0))</f>
      </c>
      <c r="M1003" s="47">
        <f>IF(A1003="",0,IF(AND(J1003="Yes",E1003&gt;0),E1003,0))</f>
      </c>
      <c r="N1003">
        <f>IF(A1003="","",IF(D1003="Category Pending","Needs categorization",IF(COUNTIFS($A$2:A1003,A1003,$B$2:B1003,B1003,$E$2:E1003,E1003)&gt;1,"Possible duplicate","")))</f>
      </c>
    </row>
    <row r="1004" spans="3:14" x14ac:dyDescent="0.3">
      <c r="A1004"/>
      <c r="C1004" s="16"/>
      <c r="G1004" s="5">
        <f>IF(A1004="","","Checking")</f>
      </c>
      <c r="H1004">
        <f>IF(A1004="","",IFERROR(XLOOKUP(D1004,Setup!$E$15:$E$79,Setup!$F$15:$F$79),"Miscellaneous"))</f>
      </c>
      <c r="I1004">
        <f>IF(A1004="","",IFERROR(XLOOKUP(D1004,Setup!$E$15:$E$79,Setup!$G$15:$G$79),"Uncategorized"))</f>
      </c>
      <c r="J1004">
        <f>IF(A1004="","",IF(OR(H1004="Transfers",H1004="Income",D1004="Transfer",D1004="Category Pending",F1004="Pending"),"No","Yes"))</f>
      </c>
      <c r="K1004" s="4">
        <f>IF(A1004="","",TEXT(IF(DAY(A1004)&gt;=Setup!$B$9,DATE(YEAR(A1004),MONTH(A1004)+1,1),DATE(YEAR(A1004),MONTH(A1004),1)),"mmmm yyyy"))</f>
      </c>
      <c r="L1004" s="47">
        <f>IF(A1004="",0,IF(AND(J1004="Yes",E1004&lt;0),-E1004,0))</f>
      </c>
      <c r="M1004" s="47">
        <f>IF(A1004="",0,IF(AND(J1004="Yes",E1004&gt;0),E1004,0))</f>
      </c>
      <c r="N1004">
        <f>IF(A1004="","",IF(D1004="Category Pending","Needs categorization",IF(COUNTIFS($A$2:A1004,A1004,$B$2:B1004,B1004,$E$2:E1004,E1004)&gt;1,"Possible duplicate","")))</f>
      </c>
    </row>
    <row r="1005" spans="3:14" x14ac:dyDescent="0.3">
      <c r="A1005"/>
      <c r="C1005" s="16"/>
      <c r="G1005" s="5">
        <f>IF(A1005="","","Checking")</f>
      </c>
      <c r="H1005">
        <f>IF(A1005="","",IFERROR(XLOOKUP(D1005,Setup!$E$15:$E$79,Setup!$F$15:$F$79),"Miscellaneous"))</f>
      </c>
      <c r="I1005">
        <f>IF(A1005="","",IFERROR(XLOOKUP(D1005,Setup!$E$15:$E$79,Setup!$G$15:$G$79),"Uncategorized"))</f>
      </c>
      <c r="J1005">
        <f>IF(A1005="","",IF(OR(H1005="Transfers",H1005="Income",D1005="Transfer",D1005="Category Pending",F1005="Pending"),"No","Yes"))</f>
      </c>
      <c r="K1005" s="4">
        <f>IF(A1005="","",TEXT(IF(DAY(A1005)&gt;=Setup!$B$9,DATE(YEAR(A1005),MONTH(A1005)+1,1),DATE(YEAR(A1005),MONTH(A1005),1)),"mmmm yyyy"))</f>
      </c>
      <c r="L1005" s="47">
        <f>IF(A1005="",0,IF(AND(J1005="Yes",E1005&lt;0),-E1005,0))</f>
      </c>
      <c r="M1005" s="47">
        <f>IF(A1005="",0,IF(AND(J1005="Yes",E1005&gt;0),E1005,0))</f>
      </c>
      <c r="N1005">
        <f>IF(A1005="","",IF(D1005="Category Pending","Needs categorization",IF(COUNTIFS($A$2:A1005,A1005,$B$2:B1005,B1005,$E$2:E1005,E1005)&gt;1,"Possible duplicate","")))</f>
      </c>
    </row>
    <row r="1006" spans="3:14" x14ac:dyDescent="0.3">
      <c r="A1006"/>
      <c r="C1006" s="16"/>
      <c r="G1006" s="5">
        <f>IF(A1006="","","Checking")</f>
      </c>
      <c r="H1006">
        <f>IF(A1006="","",IFERROR(XLOOKUP(D1006,Setup!$E$15:$E$79,Setup!$F$15:$F$79),"Miscellaneous"))</f>
      </c>
      <c r="I1006">
        <f>IF(A1006="","",IFERROR(XLOOKUP(D1006,Setup!$E$15:$E$79,Setup!$G$15:$G$79),"Uncategorized"))</f>
      </c>
      <c r="J1006">
        <f>IF(A1006="","",IF(OR(H1006="Transfers",H1006="Income",D1006="Transfer",D1006="Category Pending",F1006="Pending"),"No","Yes"))</f>
      </c>
      <c r="K1006" s="4">
        <f>IF(A1006="","",TEXT(IF(DAY(A1006)&gt;=Setup!$B$9,DATE(YEAR(A1006),MONTH(A1006)+1,1),DATE(YEAR(A1006),MONTH(A1006),1)),"mmmm yyyy"))</f>
      </c>
      <c r="L1006" s="47">
        <f>IF(A1006="",0,IF(AND(J1006="Yes",E1006&lt;0),-E1006,0))</f>
      </c>
      <c r="M1006" s="47">
        <f>IF(A1006="",0,IF(AND(J1006="Yes",E1006&gt;0),E1006,0))</f>
      </c>
      <c r="N1006">
        <f>IF(A1006="","",IF(D1006="Category Pending","Needs categorization",IF(COUNTIFS($A$2:A1006,A1006,$B$2:B1006,B1006,$E$2:E1006,E1006)&gt;1,"Possible duplicate","")))</f>
      </c>
    </row>
    <row r="1007" spans="3:14" x14ac:dyDescent="0.3">
      <c r="A1007"/>
      <c r="C1007" s="16"/>
      <c r="G1007" s="5">
        <f>IF(A1007="","","Checking")</f>
      </c>
      <c r="H1007">
        <f>IF(A1007="","",IFERROR(XLOOKUP(D1007,Setup!$E$15:$E$79,Setup!$F$15:$F$79),"Miscellaneous"))</f>
      </c>
      <c r="I1007">
        <f>IF(A1007="","",IFERROR(XLOOKUP(D1007,Setup!$E$15:$E$79,Setup!$G$15:$G$79),"Uncategorized"))</f>
      </c>
      <c r="J1007">
        <f>IF(A1007="","",IF(OR(H1007="Transfers",H1007="Income",D1007="Transfer",D1007="Category Pending",F1007="Pending"),"No","Yes"))</f>
      </c>
      <c r="K1007" s="4">
        <f>IF(A1007="","",TEXT(IF(DAY(A1007)&gt;=Setup!$B$9,DATE(YEAR(A1007),MONTH(A1007)+1,1),DATE(YEAR(A1007),MONTH(A1007),1)),"mmmm yyyy"))</f>
      </c>
      <c r="L1007" s="47">
        <f>IF(A1007="",0,IF(AND(J1007="Yes",E1007&lt;0),-E1007,0))</f>
      </c>
      <c r="M1007" s="47">
        <f>IF(A1007="",0,IF(AND(J1007="Yes",E1007&gt;0),E1007,0))</f>
      </c>
      <c r="N1007">
        <f>IF(A1007="","",IF(D1007="Category Pending","Needs categorization",IF(COUNTIFS($A$2:A1007,A1007,$B$2:B1007,B1007,$E$2:E1007,E1007)&gt;1,"Possible duplicate","")))</f>
      </c>
    </row>
    <row r="1008" spans="3:14" x14ac:dyDescent="0.3">
      <c r="A1008"/>
      <c r="C1008" s="16"/>
      <c r="G1008" s="5">
        <f>IF(A1008="","","Checking")</f>
      </c>
      <c r="H1008">
        <f>IF(A1008="","",IFERROR(XLOOKUP(D1008,Setup!$E$15:$E$79,Setup!$F$15:$F$79),"Miscellaneous"))</f>
      </c>
      <c r="I1008">
        <f>IF(A1008="","",IFERROR(XLOOKUP(D1008,Setup!$E$15:$E$79,Setup!$G$15:$G$79),"Uncategorized"))</f>
      </c>
      <c r="J1008">
        <f>IF(A1008="","",IF(OR(H1008="Transfers",H1008="Income",D1008="Transfer",D1008="Category Pending",F1008="Pending"),"No","Yes"))</f>
      </c>
      <c r="K1008" s="4">
        <f>IF(A1008="","",TEXT(IF(DAY(A1008)&gt;=Setup!$B$9,DATE(YEAR(A1008),MONTH(A1008)+1,1),DATE(YEAR(A1008),MONTH(A1008),1)),"mmmm yyyy"))</f>
      </c>
      <c r="L1008" s="47">
        <f>IF(A1008="",0,IF(AND(J1008="Yes",E1008&lt;0),-E1008,0))</f>
      </c>
      <c r="M1008" s="47">
        <f>IF(A1008="",0,IF(AND(J1008="Yes",E1008&gt;0),E1008,0))</f>
      </c>
      <c r="N1008">
        <f>IF(A1008="","",IF(D1008="Category Pending","Needs categorization",IF(COUNTIFS($A$2:A1008,A1008,$B$2:B1008,B1008,$E$2:E1008,E1008)&gt;1,"Possible duplicate","")))</f>
      </c>
    </row>
    <row r="1009" spans="3:14" x14ac:dyDescent="0.3">
      <c r="A1009"/>
      <c r="C1009" s="16"/>
      <c r="G1009" s="5">
        <f>IF(A1009="","","Checking")</f>
      </c>
      <c r="H1009">
        <f>IF(A1009="","",IFERROR(XLOOKUP(D1009,Setup!$E$15:$E$79,Setup!$F$15:$F$79),"Miscellaneous"))</f>
      </c>
      <c r="I1009">
        <f>IF(A1009="","",IFERROR(XLOOKUP(D1009,Setup!$E$15:$E$79,Setup!$G$15:$G$79),"Uncategorized"))</f>
      </c>
      <c r="J1009">
        <f>IF(A1009="","",IF(OR(H1009="Transfers",H1009="Income",D1009="Transfer",D1009="Category Pending",F1009="Pending"),"No","Yes"))</f>
      </c>
      <c r="K1009" s="4">
        <f>IF(A1009="","",TEXT(IF(DAY(A1009)&gt;=Setup!$B$9,DATE(YEAR(A1009),MONTH(A1009)+1,1),DATE(YEAR(A1009),MONTH(A1009),1)),"mmmm yyyy"))</f>
      </c>
      <c r="L1009" s="47">
        <f>IF(A1009="",0,IF(AND(J1009="Yes",E1009&lt;0),-E1009,0))</f>
      </c>
      <c r="M1009" s="47">
        <f>IF(A1009="",0,IF(AND(J1009="Yes",E1009&gt;0),E1009,0))</f>
      </c>
      <c r="N1009">
        <f>IF(A1009="","",IF(D1009="Category Pending","Needs categorization",IF(COUNTIFS($A$2:A1009,A1009,$B$2:B1009,B1009,$E$2:E1009,E1009)&gt;1,"Possible duplicate","")))</f>
      </c>
    </row>
    <row r="1010" spans="3:14" x14ac:dyDescent="0.3">
      <c r="A1010"/>
      <c r="C1010" s="16"/>
      <c r="G1010" s="5">
        <f>IF(A1010="","","Checking")</f>
      </c>
      <c r="H1010">
        <f>IF(A1010="","",IFERROR(XLOOKUP(D1010,Setup!$E$15:$E$79,Setup!$F$15:$F$79),"Miscellaneous"))</f>
      </c>
      <c r="I1010">
        <f>IF(A1010="","",IFERROR(XLOOKUP(D1010,Setup!$E$15:$E$79,Setup!$G$15:$G$79),"Uncategorized"))</f>
      </c>
      <c r="J1010">
        <f>IF(A1010="","",IF(OR(H1010="Transfers",H1010="Income",D1010="Transfer",D1010="Category Pending",F1010="Pending"),"No","Yes"))</f>
      </c>
      <c r="K1010" s="4">
        <f>IF(A1010="","",TEXT(IF(DAY(A1010)&gt;=Setup!$B$9,DATE(YEAR(A1010),MONTH(A1010)+1,1),DATE(YEAR(A1010),MONTH(A1010),1)),"mmmm yyyy"))</f>
      </c>
      <c r="L1010" s="47">
        <f>IF(A1010="",0,IF(AND(J1010="Yes",E1010&lt;0),-E1010,0))</f>
      </c>
      <c r="M1010" s="47">
        <f>IF(A1010="",0,IF(AND(J1010="Yes",E1010&gt;0),E1010,0))</f>
      </c>
      <c r="N1010">
        <f>IF(A1010="","",IF(D1010="Category Pending","Needs categorization",IF(COUNTIFS($A$2:A1010,A1010,$B$2:B1010,B1010,$E$2:E1010,E1010)&gt;1,"Possible duplicate","")))</f>
      </c>
    </row>
    <row r="1011" spans="3:14" x14ac:dyDescent="0.3">
      <c r="A1011"/>
      <c r="C1011" s="16"/>
      <c r="G1011" s="5">
        <f>IF(A1011="","","Checking")</f>
      </c>
      <c r="H1011">
        <f>IF(A1011="","",IFERROR(XLOOKUP(D1011,Setup!$E$15:$E$79,Setup!$F$15:$F$79),"Miscellaneous"))</f>
      </c>
      <c r="I1011">
        <f>IF(A1011="","",IFERROR(XLOOKUP(D1011,Setup!$E$15:$E$79,Setup!$G$15:$G$79),"Uncategorized"))</f>
      </c>
      <c r="J1011">
        <f>IF(A1011="","",IF(OR(H1011="Transfers",H1011="Income",D1011="Transfer",D1011="Category Pending",F1011="Pending"),"No","Yes"))</f>
      </c>
      <c r="K1011" s="4">
        <f>IF(A1011="","",TEXT(IF(DAY(A1011)&gt;=Setup!$B$9,DATE(YEAR(A1011),MONTH(A1011)+1,1),DATE(YEAR(A1011),MONTH(A1011),1)),"mmmm yyyy"))</f>
      </c>
      <c r="L1011" s="47">
        <f>IF(A1011="",0,IF(AND(J1011="Yes",E1011&lt;0),-E1011,0))</f>
      </c>
      <c r="M1011" s="47">
        <f>IF(A1011="",0,IF(AND(J1011="Yes",E1011&gt;0),E1011,0))</f>
      </c>
      <c r="N1011">
        <f>IF(A1011="","",IF(D1011="Category Pending","Needs categorization",IF(COUNTIFS($A$2:A1011,A1011,$B$2:B1011,B1011,$E$2:E1011,E1011)&gt;1,"Possible duplicate","")))</f>
      </c>
    </row>
    <row r="1012" spans="3:14" x14ac:dyDescent="0.3">
      <c r="A1012"/>
      <c r="C1012" s="16"/>
      <c r="G1012" s="5">
        <f>IF(A1012="","","Checking")</f>
      </c>
      <c r="H1012">
        <f>IF(A1012="","",IFERROR(XLOOKUP(D1012,Setup!$E$15:$E$79,Setup!$F$15:$F$79),"Miscellaneous"))</f>
      </c>
      <c r="I1012">
        <f>IF(A1012="","",IFERROR(XLOOKUP(D1012,Setup!$E$15:$E$79,Setup!$G$15:$G$79),"Uncategorized"))</f>
      </c>
      <c r="J1012">
        <f>IF(A1012="","",IF(OR(H1012="Transfers",H1012="Income",D1012="Transfer",D1012="Category Pending",F1012="Pending"),"No","Yes"))</f>
      </c>
      <c r="K1012" s="4">
        <f>IF(A1012="","",TEXT(IF(DAY(A1012)&gt;=Setup!$B$9,DATE(YEAR(A1012),MONTH(A1012)+1,1),DATE(YEAR(A1012),MONTH(A1012),1)),"mmmm yyyy"))</f>
      </c>
      <c r="L1012" s="47">
        <f>IF(A1012="",0,IF(AND(J1012="Yes",E1012&lt;0),-E1012,0))</f>
      </c>
      <c r="M1012" s="47">
        <f>IF(A1012="",0,IF(AND(J1012="Yes",E1012&gt;0),E1012,0))</f>
      </c>
      <c r="N1012">
        <f>IF(A1012="","",IF(D1012="Category Pending","Needs categorization",IF(COUNTIFS($A$2:A1012,A1012,$B$2:B1012,B1012,$E$2:E1012,E1012)&gt;1,"Possible duplicate","")))</f>
      </c>
    </row>
    <row r="1013" spans="3:14" x14ac:dyDescent="0.3">
      <c r="A1013"/>
      <c r="C1013" s="16"/>
      <c r="G1013" s="5">
        <f>IF(A1013="","","Checking")</f>
      </c>
      <c r="H1013">
        <f>IF(A1013="","",IFERROR(XLOOKUP(D1013,Setup!$E$15:$E$79,Setup!$F$15:$F$79),"Miscellaneous"))</f>
      </c>
      <c r="I1013">
        <f>IF(A1013="","",IFERROR(XLOOKUP(D1013,Setup!$E$15:$E$79,Setup!$G$15:$G$79),"Uncategorized"))</f>
      </c>
      <c r="J1013">
        <f>IF(A1013="","",IF(OR(H1013="Transfers",H1013="Income",D1013="Transfer",D1013="Category Pending",F1013="Pending"),"No","Yes"))</f>
      </c>
      <c r="K1013" s="4">
        <f>IF(A1013="","",TEXT(IF(DAY(A1013)&gt;=Setup!$B$9,DATE(YEAR(A1013),MONTH(A1013)+1,1),DATE(YEAR(A1013),MONTH(A1013),1)),"mmmm yyyy"))</f>
      </c>
      <c r="L1013" s="47">
        <f>IF(A1013="",0,IF(AND(J1013="Yes",E1013&lt;0),-E1013,0))</f>
      </c>
      <c r="M1013" s="47">
        <f>IF(A1013="",0,IF(AND(J1013="Yes",E1013&gt;0),E1013,0))</f>
      </c>
      <c r="N1013">
        <f>IF(A1013="","",IF(D1013="Category Pending","Needs categorization",IF(COUNTIFS($A$2:A1013,A1013,$B$2:B1013,B1013,$E$2:E1013,E1013)&gt;1,"Possible duplicate","")))</f>
      </c>
    </row>
    <row r="1014" spans="3:14" x14ac:dyDescent="0.3">
      <c r="A1014"/>
      <c r="C1014" s="16"/>
      <c r="G1014" s="5">
        <f>IF(A1014="","","Checking")</f>
      </c>
      <c r="H1014">
        <f>IF(A1014="","",IFERROR(XLOOKUP(D1014,Setup!$E$15:$E$79,Setup!$F$15:$F$79),"Miscellaneous"))</f>
      </c>
      <c r="I1014">
        <f>IF(A1014="","",IFERROR(XLOOKUP(D1014,Setup!$E$15:$E$79,Setup!$G$15:$G$79),"Uncategorized"))</f>
      </c>
      <c r="J1014">
        <f>IF(A1014="","",IF(OR(H1014="Transfers",H1014="Income",D1014="Transfer",D1014="Category Pending",F1014="Pending"),"No","Yes"))</f>
      </c>
      <c r="K1014" s="4">
        <f>IF(A1014="","",TEXT(IF(DAY(A1014)&gt;=Setup!$B$9,DATE(YEAR(A1014),MONTH(A1014)+1,1),DATE(YEAR(A1014),MONTH(A1014),1)),"mmmm yyyy"))</f>
      </c>
      <c r="L1014" s="47">
        <f>IF(A1014="",0,IF(AND(J1014="Yes",E1014&lt;0),-E1014,0))</f>
      </c>
      <c r="M1014" s="47">
        <f>IF(A1014="",0,IF(AND(J1014="Yes",E1014&gt;0),E1014,0))</f>
      </c>
      <c r="N1014">
        <f>IF(A1014="","",IF(D1014="Category Pending","Needs categorization",IF(COUNTIFS($A$2:A1014,A1014,$B$2:B1014,B1014,$E$2:E1014,E1014)&gt;1,"Possible duplicate","")))</f>
      </c>
    </row>
    <row r="1015" spans="3:14" x14ac:dyDescent="0.3">
      <c r="A1015"/>
      <c r="C1015" s="16"/>
      <c r="G1015" s="5">
        <f>IF(A1015="","","Checking")</f>
      </c>
      <c r="H1015">
        <f>IF(A1015="","",IFERROR(XLOOKUP(D1015,Setup!$E$15:$E$79,Setup!$F$15:$F$79),"Miscellaneous"))</f>
      </c>
      <c r="I1015">
        <f>IF(A1015="","",IFERROR(XLOOKUP(D1015,Setup!$E$15:$E$79,Setup!$G$15:$G$79),"Uncategorized"))</f>
      </c>
      <c r="J1015">
        <f>IF(A1015="","",IF(OR(H1015="Transfers",H1015="Income",D1015="Transfer",D1015="Category Pending",F1015="Pending"),"No","Yes"))</f>
      </c>
      <c r="K1015" s="4">
        <f>IF(A1015="","",TEXT(IF(DAY(A1015)&gt;=Setup!$B$9,DATE(YEAR(A1015),MONTH(A1015)+1,1),DATE(YEAR(A1015),MONTH(A1015),1)),"mmmm yyyy"))</f>
      </c>
      <c r="L1015" s="47">
        <f>IF(A1015="",0,IF(AND(J1015="Yes",E1015&lt;0),-E1015,0))</f>
      </c>
      <c r="M1015" s="47">
        <f>IF(A1015="",0,IF(AND(J1015="Yes",E1015&gt;0),E1015,0))</f>
      </c>
      <c r="N1015">
        <f>IF(A1015="","",IF(D1015="Category Pending","Needs categorization",IF(COUNTIFS($A$2:A1015,A1015,$B$2:B1015,B1015,$E$2:E1015,E1015)&gt;1,"Possible duplicate","")))</f>
      </c>
    </row>
    <row r="1016" spans="3:14" x14ac:dyDescent="0.3">
      <c r="A1016"/>
      <c r="C1016" s="16"/>
      <c r="G1016" s="5">
        <f>IF(A1016="","","Checking")</f>
      </c>
      <c r="H1016">
        <f>IF(A1016="","",IFERROR(XLOOKUP(D1016,Setup!$E$15:$E$79,Setup!$F$15:$F$79),"Miscellaneous"))</f>
      </c>
      <c r="I1016">
        <f>IF(A1016="","",IFERROR(XLOOKUP(D1016,Setup!$E$15:$E$79,Setup!$G$15:$G$79),"Uncategorized"))</f>
      </c>
      <c r="J1016">
        <f>IF(A1016="","",IF(OR(H1016="Transfers",H1016="Income",D1016="Transfer",D1016="Category Pending",F1016="Pending"),"No","Yes"))</f>
      </c>
      <c r="K1016" s="4">
        <f>IF(A1016="","",TEXT(IF(DAY(A1016)&gt;=Setup!$B$9,DATE(YEAR(A1016),MONTH(A1016)+1,1),DATE(YEAR(A1016),MONTH(A1016),1)),"mmmm yyyy"))</f>
      </c>
      <c r="L1016" s="47">
        <f>IF(A1016="",0,IF(AND(J1016="Yes",E1016&lt;0),-E1016,0))</f>
      </c>
      <c r="M1016" s="47">
        <f>IF(A1016="",0,IF(AND(J1016="Yes",E1016&gt;0),E1016,0))</f>
      </c>
      <c r="N1016">
        <f>IF(A1016="","",IF(D1016="Category Pending","Needs categorization",IF(COUNTIFS($A$2:A1016,A1016,$B$2:B1016,B1016,$E$2:E1016,E1016)&gt;1,"Possible duplicate","")))</f>
      </c>
    </row>
    <row r="1017" spans="3:14" x14ac:dyDescent="0.3">
      <c r="A1017"/>
      <c r="C1017" s="16"/>
      <c r="G1017" s="5">
        <f>IF(A1017="","","Checking")</f>
      </c>
      <c r="H1017">
        <f>IF(A1017="","",IFERROR(XLOOKUP(D1017,Setup!$E$15:$E$79,Setup!$F$15:$F$79),"Miscellaneous"))</f>
      </c>
      <c r="I1017">
        <f>IF(A1017="","",IFERROR(XLOOKUP(D1017,Setup!$E$15:$E$79,Setup!$G$15:$G$79),"Uncategorized"))</f>
      </c>
      <c r="J1017">
        <f>IF(A1017="","",IF(OR(H1017="Transfers",H1017="Income",D1017="Transfer",D1017="Category Pending",F1017="Pending"),"No","Yes"))</f>
      </c>
      <c r="K1017" s="4">
        <f>IF(A1017="","",TEXT(IF(DAY(A1017)&gt;=Setup!$B$9,DATE(YEAR(A1017),MONTH(A1017)+1,1),DATE(YEAR(A1017),MONTH(A1017),1)),"mmmm yyyy"))</f>
      </c>
      <c r="L1017" s="47">
        <f>IF(A1017="",0,IF(AND(J1017="Yes",E1017&lt;0),-E1017,0))</f>
      </c>
      <c r="M1017" s="47">
        <f>IF(A1017="",0,IF(AND(J1017="Yes",E1017&gt;0),E1017,0))</f>
      </c>
      <c r="N1017">
        <f>IF(A1017="","",IF(D1017="Category Pending","Needs categorization",IF(COUNTIFS($A$2:A1017,A1017,$B$2:B1017,B1017,$E$2:E1017,E1017)&gt;1,"Possible duplicate","")))</f>
      </c>
    </row>
    <row r="1018" spans="3:14" x14ac:dyDescent="0.3">
      <c r="A1018"/>
      <c r="C1018" s="16"/>
      <c r="G1018" s="5">
        <f>IF(A1018="","","Checking")</f>
      </c>
      <c r="H1018">
        <f>IF(A1018="","",IFERROR(XLOOKUP(D1018,Setup!$E$15:$E$79,Setup!$F$15:$F$79),"Miscellaneous"))</f>
      </c>
      <c r="I1018">
        <f>IF(A1018="","",IFERROR(XLOOKUP(D1018,Setup!$E$15:$E$79,Setup!$G$15:$G$79),"Uncategorized"))</f>
      </c>
      <c r="J1018">
        <f>IF(A1018="","",IF(OR(H1018="Transfers",H1018="Income",D1018="Transfer",D1018="Category Pending",F1018="Pending"),"No","Yes"))</f>
      </c>
      <c r="K1018" s="4">
        <f>IF(A1018="","",TEXT(IF(DAY(A1018)&gt;=Setup!$B$9,DATE(YEAR(A1018),MONTH(A1018)+1,1),DATE(YEAR(A1018),MONTH(A1018),1)),"mmmm yyyy"))</f>
      </c>
      <c r="L1018" s="47">
        <f>IF(A1018="",0,IF(AND(J1018="Yes",E1018&lt;0),-E1018,0))</f>
      </c>
      <c r="M1018" s="47">
        <f>IF(A1018="",0,IF(AND(J1018="Yes",E1018&gt;0),E1018,0))</f>
      </c>
      <c r="N1018">
        <f>IF(A1018="","",IF(D1018="Category Pending","Needs categorization",IF(COUNTIFS($A$2:A1018,A1018,$B$2:B1018,B1018,$E$2:E1018,E1018)&gt;1,"Possible duplicate","")))</f>
      </c>
    </row>
    <row r="1019" spans="3:14" x14ac:dyDescent="0.3">
      <c r="A1019"/>
      <c r="C1019" s="16"/>
      <c r="G1019" s="5">
        <f>IF(A1019="","","Checking")</f>
      </c>
      <c r="H1019">
        <f>IF(A1019="","",IFERROR(XLOOKUP(D1019,Setup!$E$15:$E$79,Setup!$F$15:$F$79),"Miscellaneous"))</f>
      </c>
      <c r="I1019">
        <f>IF(A1019="","",IFERROR(XLOOKUP(D1019,Setup!$E$15:$E$79,Setup!$G$15:$G$79),"Uncategorized"))</f>
      </c>
      <c r="J1019">
        <f>IF(A1019="","",IF(OR(H1019="Transfers",H1019="Income",D1019="Transfer",D1019="Category Pending",F1019="Pending"),"No","Yes"))</f>
      </c>
      <c r="K1019" s="4">
        <f>IF(A1019="","",TEXT(IF(DAY(A1019)&gt;=Setup!$B$9,DATE(YEAR(A1019),MONTH(A1019)+1,1),DATE(YEAR(A1019),MONTH(A1019),1)),"mmmm yyyy"))</f>
      </c>
      <c r="L1019" s="47">
        <f>IF(A1019="",0,IF(AND(J1019="Yes",E1019&lt;0),-E1019,0))</f>
      </c>
      <c r="M1019" s="47">
        <f>IF(A1019="",0,IF(AND(J1019="Yes",E1019&gt;0),E1019,0))</f>
      </c>
      <c r="N1019">
        <f>IF(A1019="","",IF(D1019="Category Pending","Needs categorization",IF(COUNTIFS($A$2:A1019,A1019,$B$2:B1019,B1019,$E$2:E1019,E1019)&gt;1,"Possible duplicate","")))</f>
      </c>
    </row>
    <row r="1020" spans="3:14" x14ac:dyDescent="0.3">
      <c r="A1020"/>
      <c r="C1020" s="16"/>
      <c r="G1020" s="5">
        <f>IF(A1020="","","Checking")</f>
      </c>
      <c r="H1020">
        <f>IF(A1020="","",IFERROR(XLOOKUP(D1020,Setup!$E$15:$E$79,Setup!$F$15:$F$79),"Miscellaneous"))</f>
      </c>
      <c r="I1020">
        <f>IF(A1020="","",IFERROR(XLOOKUP(D1020,Setup!$E$15:$E$79,Setup!$G$15:$G$79),"Uncategorized"))</f>
      </c>
      <c r="J1020">
        <f>IF(A1020="","",IF(OR(H1020="Transfers",H1020="Income",D1020="Transfer",D1020="Category Pending",F1020="Pending"),"No","Yes"))</f>
      </c>
      <c r="K1020" s="4">
        <f>IF(A1020="","",TEXT(IF(DAY(A1020)&gt;=Setup!$B$9,DATE(YEAR(A1020),MONTH(A1020)+1,1),DATE(YEAR(A1020),MONTH(A1020),1)),"mmmm yyyy"))</f>
      </c>
      <c r="L1020" s="47">
        <f>IF(A1020="",0,IF(AND(J1020="Yes",E1020&lt;0),-E1020,0))</f>
      </c>
      <c r="M1020" s="47">
        <f>IF(A1020="",0,IF(AND(J1020="Yes",E1020&gt;0),E1020,0))</f>
      </c>
      <c r="N1020">
        <f>IF(A1020="","",IF(D1020="Category Pending","Needs categorization",IF(COUNTIFS($A$2:A1020,A1020,$B$2:B1020,B1020,$E$2:E1020,E1020)&gt;1,"Possible duplicate","")))</f>
      </c>
    </row>
    <row r="1021" spans="3:14" x14ac:dyDescent="0.3">
      <c r="A1021"/>
      <c r="C1021" s="16"/>
      <c r="G1021" s="5">
        <f>IF(A1021="","","Checking")</f>
      </c>
      <c r="H1021">
        <f>IF(A1021="","",IFERROR(XLOOKUP(D1021,Setup!$E$15:$E$79,Setup!$F$15:$F$79),"Miscellaneous"))</f>
      </c>
      <c r="I1021">
        <f>IF(A1021="","",IFERROR(XLOOKUP(D1021,Setup!$E$15:$E$79,Setup!$G$15:$G$79),"Uncategorized"))</f>
      </c>
      <c r="J1021">
        <f>IF(A1021="","",IF(OR(H1021="Transfers",H1021="Income",D1021="Transfer",D1021="Category Pending",F1021="Pending"),"No","Yes"))</f>
      </c>
      <c r="K1021" s="4">
        <f>IF(A1021="","",TEXT(IF(DAY(A1021)&gt;=Setup!$B$9,DATE(YEAR(A1021),MONTH(A1021)+1,1),DATE(YEAR(A1021),MONTH(A1021),1)),"mmmm yyyy"))</f>
      </c>
      <c r="L1021" s="47">
        <f>IF(A1021="",0,IF(AND(J1021="Yes",E1021&lt;0),-E1021,0))</f>
      </c>
      <c r="M1021" s="47">
        <f>IF(A1021="",0,IF(AND(J1021="Yes",E1021&gt;0),E1021,0))</f>
      </c>
      <c r="N1021">
        <f>IF(A1021="","",IF(D1021="Category Pending","Needs categorization",IF(COUNTIFS($A$2:A1021,A1021,$B$2:B1021,B1021,$E$2:E1021,E1021)&gt;1,"Possible duplicate","")))</f>
      </c>
    </row>
    <row r="1022" spans="3:14" x14ac:dyDescent="0.3">
      <c r="A1022"/>
      <c r="C1022" s="16"/>
      <c r="G1022" s="5">
        <f>IF(A1022="","","Checking")</f>
      </c>
      <c r="H1022">
        <f>IF(A1022="","",IFERROR(XLOOKUP(D1022,Setup!$E$15:$E$79,Setup!$F$15:$F$79),"Miscellaneous"))</f>
      </c>
      <c r="I1022">
        <f>IF(A1022="","",IFERROR(XLOOKUP(D1022,Setup!$E$15:$E$79,Setup!$G$15:$G$79),"Uncategorized"))</f>
      </c>
      <c r="J1022">
        <f>IF(A1022="","",IF(OR(H1022="Transfers",H1022="Income",D1022="Transfer",D1022="Category Pending",F1022="Pending"),"No","Yes"))</f>
      </c>
      <c r="K1022" s="4">
        <f>IF(A1022="","",TEXT(IF(DAY(A1022)&gt;=Setup!$B$9,DATE(YEAR(A1022),MONTH(A1022)+1,1),DATE(YEAR(A1022),MONTH(A1022),1)),"mmmm yyyy"))</f>
      </c>
      <c r="L1022" s="47">
        <f>IF(A1022="",0,IF(AND(J1022="Yes",E1022&lt;0),-E1022,0))</f>
      </c>
      <c r="M1022" s="47">
        <f>IF(A1022="",0,IF(AND(J1022="Yes",E1022&gt;0),E1022,0))</f>
      </c>
      <c r="N1022">
        <f>IF(A1022="","",IF(D1022="Category Pending","Needs categorization",IF(COUNTIFS($A$2:A1022,A1022,$B$2:B1022,B1022,$E$2:E1022,E1022)&gt;1,"Possible duplicate","")))</f>
      </c>
    </row>
    <row r="1023" spans="3:14" x14ac:dyDescent="0.3">
      <c r="A1023"/>
      <c r="C1023" s="16"/>
      <c r="G1023" s="5">
        <f>IF(A1023="","","Checking")</f>
      </c>
      <c r="H1023">
        <f>IF(A1023="","",IFERROR(XLOOKUP(D1023,Setup!$E$15:$E$79,Setup!$F$15:$F$79),"Miscellaneous"))</f>
      </c>
      <c r="I1023">
        <f>IF(A1023="","",IFERROR(XLOOKUP(D1023,Setup!$E$15:$E$79,Setup!$G$15:$G$79),"Uncategorized"))</f>
      </c>
      <c r="J1023">
        <f>IF(A1023="","",IF(OR(H1023="Transfers",H1023="Income",D1023="Transfer",D1023="Category Pending",F1023="Pending"),"No","Yes"))</f>
      </c>
      <c r="K1023" s="4">
        <f>IF(A1023="","",TEXT(IF(DAY(A1023)&gt;=Setup!$B$9,DATE(YEAR(A1023),MONTH(A1023)+1,1),DATE(YEAR(A1023),MONTH(A1023),1)),"mmmm yyyy"))</f>
      </c>
      <c r="L1023" s="47">
        <f>IF(A1023="",0,IF(AND(J1023="Yes",E1023&lt;0),-E1023,0))</f>
      </c>
      <c r="M1023" s="47">
        <f>IF(A1023="",0,IF(AND(J1023="Yes",E1023&gt;0),E1023,0))</f>
      </c>
      <c r="N1023">
        <f>IF(A1023="","",IF(D1023="Category Pending","Needs categorization",IF(COUNTIFS($A$2:A1023,A1023,$B$2:B1023,B1023,$E$2:E1023,E1023)&gt;1,"Possible duplicate","")))</f>
      </c>
    </row>
    <row r="1024" spans="3:14" x14ac:dyDescent="0.3">
      <c r="A1024"/>
      <c r="C1024" s="16"/>
      <c r="G1024" s="5">
        <f>IF(A1024="","","Checking")</f>
      </c>
      <c r="H1024">
        <f>IF(A1024="","",IFERROR(XLOOKUP(D1024,Setup!$E$15:$E$79,Setup!$F$15:$F$79),"Miscellaneous"))</f>
      </c>
      <c r="I1024">
        <f>IF(A1024="","",IFERROR(XLOOKUP(D1024,Setup!$E$15:$E$79,Setup!$G$15:$G$79),"Uncategorized"))</f>
      </c>
      <c r="J1024">
        <f>IF(A1024="","",IF(OR(H1024="Transfers",H1024="Income",D1024="Transfer",D1024="Category Pending",F1024="Pending"),"No","Yes"))</f>
      </c>
      <c r="K1024" s="4">
        <f>IF(A1024="","",TEXT(IF(DAY(A1024)&gt;=Setup!$B$9,DATE(YEAR(A1024),MONTH(A1024)+1,1),DATE(YEAR(A1024),MONTH(A1024),1)),"mmmm yyyy"))</f>
      </c>
      <c r="L1024" s="47">
        <f>IF(A1024="",0,IF(AND(J1024="Yes",E1024&lt;0),-E1024,0))</f>
      </c>
      <c r="M1024" s="47">
        <f>IF(A1024="",0,IF(AND(J1024="Yes",E1024&gt;0),E1024,0))</f>
      </c>
      <c r="N1024">
        <f>IF(A1024="","",IF(D1024="Category Pending","Needs categorization",IF(COUNTIFS($A$2:A1024,A1024,$B$2:B1024,B1024,$E$2:E1024,E1024)&gt;1,"Possible duplicate","")))</f>
      </c>
    </row>
    <row r="1025" spans="3:14" x14ac:dyDescent="0.3">
      <c r="A1025"/>
      <c r="C1025" s="16"/>
      <c r="G1025" s="5">
        <f>IF(A1025="","","Checking")</f>
      </c>
      <c r="H1025">
        <f>IF(A1025="","",IFERROR(XLOOKUP(D1025,Setup!$E$15:$E$79,Setup!$F$15:$F$79),"Miscellaneous"))</f>
      </c>
      <c r="I1025">
        <f>IF(A1025="","",IFERROR(XLOOKUP(D1025,Setup!$E$15:$E$79,Setup!$G$15:$G$79),"Uncategorized"))</f>
      </c>
      <c r="J1025">
        <f>IF(A1025="","",IF(OR(H1025="Transfers",H1025="Income",D1025="Transfer",D1025="Category Pending",F1025="Pending"),"No","Yes"))</f>
      </c>
      <c r="K1025" s="4">
        <f>IF(A1025="","",TEXT(IF(DAY(A1025)&gt;=Setup!$B$9,DATE(YEAR(A1025),MONTH(A1025)+1,1),DATE(YEAR(A1025),MONTH(A1025),1)),"mmmm yyyy"))</f>
      </c>
      <c r="L1025" s="47">
        <f>IF(A1025="",0,IF(AND(J1025="Yes",E1025&lt;0),-E1025,0))</f>
      </c>
      <c r="M1025" s="47">
        <f>IF(A1025="",0,IF(AND(J1025="Yes",E1025&gt;0),E1025,0))</f>
      </c>
      <c r="N1025">
        <f>IF(A1025="","",IF(D1025="Category Pending","Needs categorization",IF(COUNTIFS($A$2:A1025,A1025,$B$2:B1025,B1025,$E$2:E1025,E1025)&gt;1,"Possible duplicate","")))</f>
      </c>
    </row>
    <row r="1026" spans="3:14" x14ac:dyDescent="0.3">
      <c r="A1026"/>
      <c r="C1026" s="16"/>
      <c r="G1026" s="5">
        <f>IF(A1026="","","Checking")</f>
      </c>
      <c r="H1026">
        <f>IF(A1026="","",IFERROR(XLOOKUP(D1026,Setup!$E$15:$E$79,Setup!$F$15:$F$79),"Miscellaneous"))</f>
      </c>
      <c r="I1026">
        <f>IF(A1026="","",IFERROR(XLOOKUP(D1026,Setup!$E$15:$E$79,Setup!$G$15:$G$79),"Uncategorized"))</f>
      </c>
      <c r="J1026">
        <f>IF(A1026="","",IF(OR(H1026="Transfers",H1026="Income",D1026="Transfer",D1026="Category Pending",F1026="Pending"),"No","Yes"))</f>
      </c>
      <c r="K1026" s="4">
        <f>IF(A1026="","",TEXT(IF(DAY(A1026)&gt;=Setup!$B$9,DATE(YEAR(A1026),MONTH(A1026)+1,1),DATE(YEAR(A1026),MONTH(A1026),1)),"mmmm yyyy"))</f>
      </c>
      <c r="L1026" s="47">
        <f>IF(A1026="",0,IF(AND(J1026="Yes",E1026&lt;0),-E1026,0))</f>
      </c>
      <c r="M1026" s="47">
        <f>IF(A1026="",0,IF(AND(J1026="Yes",E1026&gt;0),E1026,0))</f>
      </c>
      <c r="N1026">
        <f>IF(A1026="","",IF(D1026="Category Pending","Needs categorization",IF(COUNTIFS($A$2:A1026,A1026,$B$2:B1026,B1026,$E$2:E1026,E1026)&gt;1,"Possible duplicate","")))</f>
      </c>
    </row>
    <row r="1027" spans="3:14" x14ac:dyDescent="0.3">
      <c r="A1027"/>
      <c r="C1027" s="16"/>
      <c r="G1027" s="5">
        <f>IF(A1027="","","Checking")</f>
      </c>
      <c r="H1027">
        <f>IF(A1027="","",IFERROR(XLOOKUP(D1027,Setup!$E$15:$E$79,Setup!$F$15:$F$79),"Miscellaneous"))</f>
      </c>
      <c r="I1027">
        <f>IF(A1027="","",IFERROR(XLOOKUP(D1027,Setup!$E$15:$E$79,Setup!$G$15:$G$79),"Uncategorized"))</f>
      </c>
      <c r="J1027">
        <f>IF(A1027="","",IF(OR(H1027="Transfers",H1027="Income",D1027="Transfer",D1027="Category Pending",F1027="Pending"),"No","Yes"))</f>
      </c>
      <c r="K1027" s="4">
        <f>IF(A1027="","",TEXT(IF(DAY(A1027)&gt;=Setup!$B$9,DATE(YEAR(A1027),MONTH(A1027)+1,1),DATE(YEAR(A1027),MONTH(A1027),1)),"mmmm yyyy"))</f>
      </c>
      <c r="L1027" s="47">
        <f>IF(A1027="",0,IF(AND(J1027="Yes",E1027&lt;0),-E1027,0))</f>
      </c>
      <c r="M1027" s="47">
        <f>IF(A1027="",0,IF(AND(J1027="Yes",E1027&gt;0),E1027,0))</f>
      </c>
      <c r="N1027">
        <f>IF(A1027="","",IF(D1027="Category Pending","Needs categorization",IF(COUNTIFS($A$2:A1027,A1027,$B$2:B1027,B1027,$E$2:E1027,E1027)&gt;1,"Possible duplicate","")))</f>
      </c>
    </row>
    <row r="1028" spans="3:14" x14ac:dyDescent="0.3">
      <c r="A1028"/>
      <c r="C1028" s="16"/>
      <c r="G1028" s="5">
        <f>IF(A1028="","","Checking")</f>
      </c>
      <c r="H1028">
        <f>IF(A1028="","",IFERROR(XLOOKUP(D1028,Setup!$E$15:$E$79,Setup!$F$15:$F$79),"Miscellaneous"))</f>
      </c>
      <c r="I1028">
        <f>IF(A1028="","",IFERROR(XLOOKUP(D1028,Setup!$E$15:$E$79,Setup!$G$15:$G$79),"Uncategorized"))</f>
      </c>
      <c r="J1028">
        <f>IF(A1028="","",IF(OR(H1028="Transfers",H1028="Income",D1028="Transfer",D1028="Category Pending",F1028="Pending"),"No","Yes"))</f>
      </c>
      <c r="K1028" s="4">
        <f>IF(A1028="","",TEXT(IF(DAY(A1028)&gt;=Setup!$B$9,DATE(YEAR(A1028),MONTH(A1028)+1,1),DATE(YEAR(A1028),MONTH(A1028),1)),"mmmm yyyy"))</f>
      </c>
      <c r="L1028" s="47">
        <f>IF(A1028="",0,IF(AND(J1028="Yes",E1028&lt;0),-E1028,0))</f>
      </c>
      <c r="M1028" s="47">
        <f>IF(A1028="",0,IF(AND(J1028="Yes",E1028&gt;0),E1028,0))</f>
      </c>
      <c r="N1028">
        <f>IF(A1028="","",IF(D1028="Category Pending","Needs categorization",IF(COUNTIFS($A$2:A1028,A1028,$B$2:B1028,B1028,$E$2:E1028,E1028)&gt;1,"Possible duplicate","")))</f>
      </c>
    </row>
    <row r="1029" spans="3:14" x14ac:dyDescent="0.3">
      <c r="A1029"/>
      <c r="C1029" s="16"/>
      <c r="G1029" s="5">
        <f>IF(A1029="","","Checking")</f>
      </c>
      <c r="H1029">
        <f>IF(A1029="","",IFERROR(XLOOKUP(D1029,Setup!$E$15:$E$79,Setup!$F$15:$F$79),"Miscellaneous"))</f>
      </c>
      <c r="I1029">
        <f>IF(A1029="","",IFERROR(XLOOKUP(D1029,Setup!$E$15:$E$79,Setup!$G$15:$G$79),"Uncategorized"))</f>
      </c>
      <c r="J1029">
        <f>IF(A1029="","",IF(OR(H1029="Transfers",H1029="Income",D1029="Transfer",D1029="Category Pending",F1029="Pending"),"No","Yes"))</f>
      </c>
      <c r="K1029" s="4">
        <f>IF(A1029="","",TEXT(IF(DAY(A1029)&gt;=Setup!$B$9,DATE(YEAR(A1029),MONTH(A1029)+1,1),DATE(YEAR(A1029),MONTH(A1029),1)),"mmmm yyyy"))</f>
      </c>
      <c r="L1029" s="47">
        <f>IF(A1029="",0,IF(AND(J1029="Yes",E1029&lt;0),-E1029,0))</f>
      </c>
      <c r="M1029" s="47">
        <f>IF(A1029="",0,IF(AND(J1029="Yes",E1029&gt;0),E1029,0))</f>
      </c>
      <c r="N1029">
        <f>IF(A1029="","",IF(D1029="Category Pending","Needs categorization",IF(COUNTIFS($A$2:A1029,A1029,$B$2:B1029,B1029,$E$2:E1029,E1029)&gt;1,"Possible duplicate","")))</f>
      </c>
    </row>
    <row r="1030" spans="3:14" x14ac:dyDescent="0.3">
      <c r="A1030"/>
      <c r="C1030" s="16"/>
      <c r="G1030" s="5">
        <f>IF(A1030="","","Checking")</f>
      </c>
      <c r="H1030">
        <f>IF(A1030="","",IFERROR(XLOOKUP(D1030,Setup!$E$15:$E$79,Setup!$F$15:$F$79),"Miscellaneous"))</f>
      </c>
      <c r="I1030">
        <f>IF(A1030="","",IFERROR(XLOOKUP(D1030,Setup!$E$15:$E$79,Setup!$G$15:$G$79),"Uncategorized"))</f>
      </c>
      <c r="J1030">
        <f>IF(A1030="","",IF(OR(H1030="Transfers",H1030="Income",D1030="Transfer",D1030="Category Pending",F1030="Pending"),"No","Yes"))</f>
      </c>
      <c r="K1030" s="4">
        <f>IF(A1030="","",TEXT(IF(DAY(A1030)&gt;=Setup!$B$9,DATE(YEAR(A1030),MONTH(A1030)+1,1),DATE(YEAR(A1030),MONTH(A1030),1)),"mmmm yyyy"))</f>
      </c>
      <c r="L1030" s="47">
        <f>IF(A1030="",0,IF(AND(J1030="Yes",E1030&lt;0),-E1030,0))</f>
      </c>
      <c r="M1030" s="47">
        <f>IF(A1030="",0,IF(AND(J1030="Yes",E1030&gt;0),E1030,0))</f>
      </c>
      <c r="N1030">
        <f>IF(A1030="","",IF(D1030="Category Pending","Needs categorization",IF(COUNTIFS($A$2:A1030,A1030,$B$2:B1030,B1030,$E$2:E1030,E1030)&gt;1,"Possible duplicate","")))</f>
      </c>
    </row>
    <row r="1031" spans="3:14" x14ac:dyDescent="0.3">
      <c r="A1031"/>
      <c r="C1031" s="16"/>
      <c r="G1031" s="5">
        <f>IF(A1031="","","Checking")</f>
      </c>
      <c r="H1031">
        <f>IF(A1031="","",IFERROR(XLOOKUP(D1031,Setup!$E$15:$E$79,Setup!$F$15:$F$79),"Miscellaneous"))</f>
      </c>
      <c r="I1031">
        <f>IF(A1031="","",IFERROR(XLOOKUP(D1031,Setup!$E$15:$E$79,Setup!$G$15:$G$79),"Uncategorized"))</f>
      </c>
      <c r="J1031">
        <f>IF(A1031="","",IF(OR(H1031="Transfers",H1031="Income",D1031="Transfer",D1031="Category Pending",F1031="Pending"),"No","Yes"))</f>
      </c>
      <c r="K1031" s="4">
        <f>IF(A1031="","",TEXT(IF(DAY(A1031)&gt;=Setup!$B$9,DATE(YEAR(A1031),MONTH(A1031)+1,1),DATE(YEAR(A1031),MONTH(A1031),1)),"mmmm yyyy"))</f>
      </c>
      <c r="L1031" s="47">
        <f>IF(A1031="",0,IF(AND(J1031="Yes",E1031&lt;0),-E1031,0))</f>
      </c>
      <c r="M1031" s="47">
        <f>IF(A1031="",0,IF(AND(J1031="Yes",E1031&gt;0),E1031,0))</f>
      </c>
      <c r="N1031">
        <f>IF(A1031="","",IF(D1031="Category Pending","Needs categorization",IF(COUNTIFS($A$2:A1031,A1031,$B$2:B1031,B1031,$E$2:E1031,E1031)&gt;1,"Possible duplicate","")))</f>
      </c>
    </row>
    <row r="1032" spans="3:14" x14ac:dyDescent="0.3">
      <c r="A1032"/>
      <c r="C1032" s="16"/>
      <c r="G1032" s="5">
        <f>IF(A1032="","","Checking")</f>
      </c>
      <c r="H1032">
        <f>IF(A1032="","",IFERROR(XLOOKUP(D1032,Setup!$E$15:$E$79,Setup!$F$15:$F$79),"Miscellaneous"))</f>
      </c>
      <c r="I1032">
        <f>IF(A1032="","",IFERROR(XLOOKUP(D1032,Setup!$E$15:$E$79,Setup!$G$15:$G$79),"Uncategorized"))</f>
      </c>
      <c r="J1032">
        <f>IF(A1032="","",IF(OR(H1032="Transfers",H1032="Income",D1032="Transfer",D1032="Category Pending",F1032="Pending"),"No","Yes"))</f>
      </c>
      <c r="K1032" s="4">
        <f>IF(A1032="","",TEXT(IF(DAY(A1032)&gt;=Setup!$B$9,DATE(YEAR(A1032),MONTH(A1032)+1,1),DATE(YEAR(A1032),MONTH(A1032),1)),"mmmm yyyy"))</f>
      </c>
      <c r="L1032" s="47">
        <f>IF(A1032="",0,IF(AND(J1032="Yes",E1032&lt;0),-E1032,0))</f>
      </c>
      <c r="M1032" s="47">
        <f>IF(A1032="",0,IF(AND(J1032="Yes",E1032&gt;0),E1032,0))</f>
      </c>
      <c r="N1032">
        <f>IF(A1032="","",IF(D1032="Category Pending","Needs categorization",IF(COUNTIFS($A$2:A1032,A1032,$B$2:B1032,B1032,$E$2:E1032,E1032)&gt;1,"Possible duplicate","")))</f>
      </c>
    </row>
    <row r="1033" spans="3:14" x14ac:dyDescent="0.3">
      <c r="A1033"/>
      <c r="C1033" s="16"/>
      <c r="G1033" s="5">
        <f>IF(A1033="","","Checking")</f>
      </c>
      <c r="H1033">
        <f>IF(A1033="","",IFERROR(XLOOKUP(D1033,Setup!$E$15:$E$79,Setup!$F$15:$F$79),"Miscellaneous"))</f>
      </c>
      <c r="I1033">
        <f>IF(A1033="","",IFERROR(XLOOKUP(D1033,Setup!$E$15:$E$79,Setup!$G$15:$G$79),"Uncategorized"))</f>
      </c>
      <c r="J1033">
        <f>IF(A1033="","",IF(OR(H1033="Transfers",H1033="Income",D1033="Transfer",D1033="Category Pending",F1033="Pending"),"No","Yes"))</f>
      </c>
      <c r="K1033" s="4">
        <f>IF(A1033="","",TEXT(IF(DAY(A1033)&gt;=Setup!$B$9,DATE(YEAR(A1033),MONTH(A1033)+1,1),DATE(YEAR(A1033),MONTH(A1033),1)),"mmmm yyyy"))</f>
      </c>
      <c r="L1033" s="47">
        <f>IF(A1033="",0,IF(AND(J1033="Yes",E1033&lt;0),-E1033,0))</f>
      </c>
      <c r="M1033" s="47">
        <f>IF(A1033="",0,IF(AND(J1033="Yes",E1033&gt;0),E1033,0))</f>
      </c>
      <c r="N1033">
        <f>IF(A1033="","",IF(D1033="Category Pending","Needs categorization",IF(COUNTIFS($A$2:A1033,A1033,$B$2:B1033,B1033,$E$2:E1033,E1033)&gt;1,"Possible duplicate","")))</f>
      </c>
    </row>
    <row r="1034" spans="3:14" x14ac:dyDescent="0.3">
      <c r="A1034"/>
      <c r="C1034" s="16"/>
      <c r="G1034" s="5">
        <f>IF(A1034="","","Checking")</f>
      </c>
      <c r="H1034">
        <f>IF(A1034="","",IFERROR(XLOOKUP(D1034,Setup!$E$15:$E$79,Setup!$F$15:$F$79),"Miscellaneous"))</f>
      </c>
      <c r="I1034">
        <f>IF(A1034="","",IFERROR(XLOOKUP(D1034,Setup!$E$15:$E$79,Setup!$G$15:$G$79),"Uncategorized"))</f>
      </c>
      <c r="J1034">
        <f>IF(A1034="","",IF(OR(H1034="Transfers",H1034="Income",D1034="Transfer",D1034="Category Pending",F1034="Pending"),"No","Yes"))</f>
      </c>
      <c r="K1034" s="4">
        <f>IF(A1034="","",TEXT(IF(DAY(A1034)&gt;=Setup!$B$9,DATE(YEAR(A1034),MONTH(A1034)+1,1),DATE(YEAR(A1034),MONTH(A1034),1)),"mmmm yyyy"))</f>
      </c>
      <c r="L1034" s="47">
        <f>IF(A1034="",0,IF(AND(J1034="Yes",E1034&lt;0),-E1034,0))</f>
      </c>
      <c r="M1034" s="47">
        <f>IF(A1034="",0,IF(AND(J1034="Yes",E1034&gt;0),E1034,0))</f>
      </c>
      <c r="N1034">
        <f>IF(A1034="","",IF(D1034="Category Pending","Needs categorization",IF(COUNTIFS($A$2:A1034,A1034,$B$2:B1034,B1034,$E$2:E1034,E1034)&gt;1,"Possible duplicate","")))</f>
      </c>
    </row>
    <row r="1035" spans="3:14" x14ac:dyDescent="0.3">
      <c r="A1035"/>
      <c r="C1035" s="16"/>
      <c r="G1035" s="5">
        <f>IF(A1035="","","Checking")</f>
      </c>
      <c r="H1035">
        <f>IF(A1035="","",IFERROR(XLOOKUP(D1035,Setup!$E$15:$E$79,Setup!$F$15:$F$79),"Miscellaneous"))</f>
      </c>
      <c r="I1035">
        <f>IF(A1035="","",IFERROR(XLOOKUP(D1035,Setup!$E$15:$E$79,Setup!$G$15:$G$79),"Uncategorized"))</f>
      </c>
      <c r="J1035">
        <f>IF(A1035="","",IF(OR(H1035="Transfers",H1035="Income",D1035="Transfer",D1035="Category Pending",F1035="Pending"),"No","Yes"))</f>
      </c>
      <c r="K1035" s="4">
        <f>IF(A1035="","",TEXT(IF(DAY(A1035)&gt;=Setup!$B$9,DATE(YEAR(A1035),MONTH(A1035)+1,1),DATE(YEAR(A1035),MONTH(A1035),1)),"mmmm yyyy"))</f>
      </c>
      <c r="L1035" s="47">
        <f>IF(A1035="",0,IF(AND(J1035="Yes",E1035&lt;0),-E1035,0))</f>
      </c>
      <c r="M1035" s="47">
        <f>IF(A1035="",0,IF(AND(J1035="Yes",E1035&gt;0),E1035,0))</f>
      </c>
      <c r="N1035">
        <f>IF(A1035="","",IF(D1035="Category Pending","Needs categorization",IF(COUNTIFS($A$2:A1035,A1035,$B$2:B1035,B1035,$E$2:E1035,E1035)&gt;1,"Possible duplicate","")))</f>
      </c>
    </row>
    <row r="1036" spans="3:14" x14ac:dyDescent="0.3">
      <c r="A1036"/>
      <c r="C1036" s="16"/>
      <c r="G1036" s="5">
        <f>IF(A1036="","","Checking")</f>
      </c>
      <c r="H1036">
        <f>IF(A1036="","",IFERROR(XLOOKUP(D1036,Setup!$E$15:$E$79,Setup!$F$15:$F$79),"Miscellaneous"))</f>
      </c>
      <c r="I1036">
        <f>IF(A1036="","",IFERROR(XLOOKUP(D1036,Setup!$E$15:$E$79,Setup!$G$15:$G$79),"Uncategorized"))</f>
      </c>
      <c r="J1036">
        <f>IF(A1036="","",IF(OR(H1036="Transfers",H1036="Income",D1036="Transfer",D1036="Category Pending",F1036="Pending"),"No","Yes"))</f>
      </c>
      <c r="K1036" s="4">
        <f>IF(A1036="","",TEXT(IF(DAY(A1036)&gt;=Setup!$B$9,DATE(YEAR(A1036),MONTH(A1036)+1,1),DATE(YEAR(A1036),MONTH(A1036),1)),"mmmm yyyy"))</f>
      </c>
      <c r="L1036" s="47">
        <f>IF(A1036="",0,IF(AND(J1036="Yes",E1036&lt;0),-E1036,0))</f>
      </c>
      <c r="M1036" s="47">
        <f>IF(A1036="",0,IF(AND(J1036="Yes",E1036&gt;0),E1036,0))</f>
      </c>
      <c r="N1036">
        <f>IF(A1036="","",IF(D1036="Category Pending","Needs categorization",IF(COUNTIFS($A$2:A1036,A1036,$B$2:B1036,B1036,$E$2:E1036,E1036)&gt;1,"Possible duplicate","")))</f>
      </c>
    </row>
    <row r="1037" spans="3:14" x14ac:dyDescent="0.3">
      <c r="A1037"/>
      <c r="C1037" s="16"/>
      <c r="G1037" s="5">
        <f>IF(A1037="","","Checking")</f>
      </c>
      <c r="H1037">
        <f>IF(A1037="","",IFERROR(XLOOKUP(D1037,Setup!$E$15:$E$79,Setup!$F$15:$F$79),"Miscellaneous"))</f>
      </c>
      <c r="I1037">
        <f>IF(A1037="","",IFERROR(XLOOKUP(D1037,Setup!$E$15:$E$79,Setup!$G$15:$G$79),"Uncategorized"))</f>
      </c>
      <c r="J1037">
        <f>IF(A1037="","",IF(OR(H1037="Transfers",H1037="Income",D1037="Transfer",D1037="Category Pending",F1037="Pending"),"No","Yes"))</f>
      </c>
      <c r="K1037" s="4">
        <f>IF(A1037="","",TEXT(IF(DAY(A1037)&gt;=Setup!$B$9,DATE(YEAR(A1037),MONTH(A1037)+1,1),DATE(YEAR(A1037),MONTH(A1037),1)),"mmmm yyyy"))</f>
      </c>
      <c r="L1037" s="47">
        <f>IF(A1037="",0,IF(AND(J1037="Yes",E1037&lt;0),-E1037,0))</f>
      </c>
      <c r="M1037" s="47">
        <f>IF(A1037="",0,IF(AND(J1037="Yes",E1037&gt;0),E1037,0))</f>
      </c>
      <c r="N1037">
        <f>IF(A1037="","",IF(D1037="Category Pending","Needs categorization",IF(COUNTIFS($A$2:A1037,A1037,$B$2:B1037,B1037,$E$2:E1037,E1037)&gt;1,"Possible duplicate","")))</f>
      </c>
    </row>
    <row r="1038" spans="3:14" x14ac:dyDescent="0.3">
      <c r="A1038"/>
      <c r="C1038" s="16"/>
      <c r="G1038" s="5">
        <f>IF(A1038="","","Checking")</f>
      </c>
      <c r="H1038">
        <f>IF(A1038="","",IFERROR(XLOOKUP(D1038,Setup!$E$15:$E$79,Setup!$F$15:$F$79),"Miscellaneous"))</f>
      </c>
      <c r="I1038">
        <f>IF(A1038="","",IFERROR(XLOOKUP(D1038,Setup!$E$15:$E$79,Setup!$G$15:$G$79),"Uncategorized"))</f>
      </c>
      <c r="J1038">
        <f>IF(A1038="","",IF(OR(H1038="Transfers",H1038="Income",D1038="Transfer",D1038="Category Pending",F1038="Pending"),"No","Yes"))</f>
      </c>
      <c r="K1038" s="4">
        <f>IF(A1038="","",TEXT(IF(DAY(A1038)&gt;=Setup!$B$9,DATE(YEAR(A1038),MONTH(A1038)+1,1),DATE(YEAR(A1038),MONTH(A1038),1)),"mmmm yyyy"))</f>
      </c>
      <c r="L1038" s="47">
        <f>IF(A1038="",0,IF(AND(J1038="Yes",E1038&lt;0),-E1038,0))</f>
      </c>
      <c r="M1038" s="47">
        <f>IF(A1038="",0,IF(AND(J1038="Yes",E1038&gt;0),E1038,0))</f>
      </c>
      <c r="N1038">
        <f>IF(A1038="","",IF(D1038="Category Pending","Needs categorization",IF(COUNTIFS($A$2:A1038,A1038,$B$2:B1038,B1038,$E$2:E1038,E1038)&gt;1,"Possible duplicate","")))</f>
      </c>
    </row>
    <row r="1039" spans="3:14" x14ac:dyDescent="0.3">
      <c r="A1039"/>
      <c r="C1039" s="16"/>
      <c r="G1039" s="5">
        <f>IF(A1039="","","Checking")</f>
      </c>
      <c r="H1039">
        <f>IF(A1039="","",IFERROR(XLOOKUP(D1039,Setup!$E$15:$E$79,Setup!$F$15:$F$79),"Miscellaneous"))</f>
      </c>
      <c r="I1039">
        <f>IF(A1039="","",IFERROR(XLOOKUP(D1039,Setup!$E$15:$E$79,Setup!$G$15:$G$79),"Uncategorized"))</f>
      </c>
      <c r="J1039">
        <f>IF(A1039="","",IF(OR(H1039="Transfers",H1039="Income",D1039="Transfer",D1039="Category Pending",F1039="Pending"),"No","Yes"))</f>
      </c>
      <c r="K1039" s="4">
        <f>IF(A1039="","",TEXT(IF(DAY(A1039)&gt;=Setup!$B$9,DATE(YEAR(A1039),MONTH(A1039)+1,1),DATE(YEAR(A1039),MONTH(A1039),1)),"mmmm yyyy"))</f>
      </c>
      <c r="L1039" s="47">
        <f>IF(A1039="",0,IF(AND(J1039="Yes",E1039&lt;0),-E1039,0))</f>
      </c>
      <c r="M1039" s="47">
        <f>IF(A1039="",0,IF(AND(J1039="Yes",E1039&gt;0),E1039,0))</f>
      </c>
      <c r="N1039">
        <f>IF(A1039="","",IF(D1039="Category Pending","Needs categorization",IF(COUNTIFS($A$2:A1039,A1039,$B$2:B1039,B1039,$E$2:E1039,E1039)&gt;1,"Possible duplicate","")))</f>
      </c>
    </row>
    <row r="1040" spans="3:14" x14ac:dyDescent="0.3">
      <c r="A1040"/>
      <c r="C1040" s="16"/>
      <c r="G1040" s="5">
        <f>IF(A1040="","","Checking")</f>
      </c>
      <c r="H1040">
        <f>IF(A1040="","",IFERROR(XLOOKUP(D1040,Setup!$E$15:$E$79,Setup!$F$15:$F$79),"Miscellaneous"))</f>
      </c>
      <c r="I1040">
        <f>IF(A1040="","",IFERROR(XLOOKUP(D1040,Setup!$E$15:$E$79,Setup!$G$15:$G$79),"Uncategorized"))</f>
      </c>
      <c r="J1040">
        <f>IF(A1040="","",IF(OR(H1040="Transfers",H1040="Income",D1040="Transfer",D1040="Category Pending",F1040="Pending"),"No","Yes"))</f>
      </c>
      <c r="K1040" s="4">
        <f>IF(A1040="","",TEXT(IF(DAY(A1040)&gt;=Setup!$B$9,DATE(YEAR(A1040),MONTH(A1040)+1,1),DATE(YEAR(A1040),MONTH(A1040),1)),"mmmm yyyy"))</f>
      </c>
      <c r="L1040" s="47">
        <f>IF(A1040="",0,IF(AND(J1040="Yes",E1040&lt;0),-E1040,0))</f>
      </c>
      <c r="M1040" s="47">
        <f>IF(A1040="",0,IF(AND(J1040="Yes",E1040&gt;0),E1040,0))</f>
      </c>
      <c r="N1040">
        <f>IF(A1040="","",IF(D1040="Category Pending","Needs categorization",IF(COUNTIFS($A$2:A1040,A1040,$B$2:B1040,B1040,$E$2:E1040,E1040)&gt;1,"Possible duplicate","")))</f>
      </c>
    </row>
    <row r="1041" spans="3:14" x14ac:dyDescent="0.3">
      <c r="A1041"/>
      <c r="C1041" s="16"/>
      <c r="G1041" s="5">
        <f>IF(A1041="","","Checking")</f>
      </c>
      <c r="H1041">
        <f>IF(A1041="","",IFERROR(XLOOKUP(D1041,Setup!$E$15:$E$79,Setup!$F$15:$F$79),"Miscellaneous"))</f>
      </c>
      <c r="I1041">
        <f>IF(A1041="","",IFERROR(XLOOKUP(D1041,Setup!$E$15:$E$79,Setup!$G$15:$G$79),"Uncategorized"))</f>
      </c>
      <c r="J1041">
        <f>IF(A1041="","",IF(OR(H1041="Transfers",H1041="Income",D1041="Transfer",D1041="Category Pending",F1041="Pending"),"No","Yes"))</f>
      </c>
      <c r="K1041" s="4">
        <f>IF(A1041="","",TEXT(IF(DAY(A1041)&gt;=Setup!$B$9,DATE(YEAR(A1041),MONTH(A1041)+1,1),DATE(YEAR(A1041),MONTH(A1041),1)),"mmmm yyyy"))</f>
      </c>
      <c r="L1041" s="47">
        <f>IF(A1041="",0,IF(AND(J1041="Yes",E1041&lt;0),-E1041,0))</f>
      </c>
      <c r="M1041" s="47">
        <f>IF(A1041="",0,IF(AND(J1041="Yes",E1041&gt;0),E1041,0))</f>
      </c>
      <c r="N1041">
        <f>IF(A1041="","",IF(D1041="Category Pending","Needs categorization",IF(COUNTIFS($A$2:A1041,A1041,$B$2:B1041,B1041,$E$2:E1041,E1041)&gt;1,"Possible duplicate","")))</f>
      </c>
    </row>
    <row r="1042" spans="3:14" x14ac:dyDescent="0.3">
      <c r="A1042"/>
      <c r="C1042" s="16"/>
      <c r="G1042" s="5">
        <f>IF(A1042="","","Checking")</f>
      </c>
      <c r="H1042">
        <f>IF(A1042="","",IFERROR(XLOOKUP(D1042,Setup!$E$15:$E$79,Setup!$F$15:$F$79),"Miscellaneous"))</f>
      </c>
      <c r="I1042">
        <f>IF(A1042="","",IFERROR(XLOOKUP(D1042,Setup!$E$15:$E$79,Setup!$G$15:$G$79),"Uncategorized"))</f>
      </c>
      <c r="J1042">
        <f>IF(A1042="","",IF(OR(H1042="Transfers",H1042="Income",D1042="Transfer",D1042="Category Pending",F1042="Pending"),"No","Yes"))</f>
      </c>
      <c r="K1042" s="4">
        <f>IF(A1042="","",TEXT(IF(DAY(A1042)&gt;=Setup!$B$9,DATE(YEAR(A1042),MONTH(A1042)+1,1),DATE(YEAR(A1042),MONTH(A1042),1)),"mmmm yyyy"))</f>
      </c>
      <c r="L1042" s="47">
        <f>IF(A1042="",0,IF(AND(J1042="Yes",E1042&lt;0),-E1042,0))</f>
      </c>
      <c r="M1042" s="47">
        <f>IF(A1042="",0,IF(AND(J1042="Yes",E1042&gt;0),E1042,0))</f>
      </c>
      <c r="N1042">
        <f>IF(A1042="","",IF(D1042="Category Pending","Needs categorization",IF(COUNTIFS($A$2:A1042,A1042,$B$2:B1042,B1042,$E$2:E1042,E1042)&gt;1,"Possible duplicate","")))</f>
      </c>
    </row>
    <row r="1043" spans="3:14" x14ac:dyDescent="0.3">
      <c r="A1043"/>
      <c r="C1043" s="16"/>
      <c r="G1043" s="5">
        <f>IF(A1043="","","Checking")</f>
      </c>
      <c r="H1043">
        <f>IF(A1043="","",IFERROR(XLOOKUP(D1043,Setup!$E$15:$E$79,Setup!$F$15:$F$79),"Miscellaneous"))</f>
      </c>
      <c r="I1043">
        <f>IF(A1043="","",IFERROR(XLOOKUP(D1043,Setup!$E$15:$E$79,Setup!$G$15:$G$79),"Uncategorized"))</f>
      </c>
      <c r="J1043">
        <f>IF(A1043="","",IF(OR(H1043="Transfers",H1043="Income",D1043="Transfer",D1043="Category Pending",F1043="Pending"),"No","Yes"))</f>
      </c>
      <c r="K1043" s="4">
        <f>IF(A1043="","",TEXT(IF(DAY(A1043)&gt;=Setup!$B$9,DATE(YEAR(A1043),MONTH(A1043)+1,1),DATE(YEAR(A1043),MONTH(A1043),1)),"mmmm yyyy"))</f>
      </c>
      <c r="L1043" s="47">
        <f>IF(A1043="",0,IF(AND(J1043="Yes",E1043&lt;0),-E1043,0))</f>
      </c>
      <c r="M1043" s="47">
        <f>IF(A1043="",0,IF(AND(J1043="Yes",E1043&gt;0),E1043,0))</f>
      </c>
      <c r="N1043">
        <f>IF(A1043="","",IF(D1043="Category Pending","Needs categorization",IF(COUNTIFS($A$2:A1043,A1043,$B$2:B1043,B1043,$E$2:E1043,E1043)&gt;1,"Possible duplicate","")))</f>
      </c>
    </row>
    <row r="1044" spans="3:14" x14ac:dyDescent="0.3">
      <c r="A1044"/>
      <c r="C1044" s="16"/>
      <c r="G1044" s="5">
        <f>IF(A1044="","","Checking")</f>
      </c>
      <c r="H1044">
        <f>IF(A1044="","",IFERROR(XLOOKUP(D1044,Setup!$E$15:$E$79,Setup!$F$15:$F$79),"Miscellaneous"))</f>
      </c>
      <c r="I1044">
        <f>IF(A1044="","",IFERROR(XLOOKUP(D1044,Setup!$E$15:$E$79,Setup!$G$15:$G$79),"Uncategorized"))</f>
      </c>
      <c r="J1044">
        <f>IF(A1044="","",IF(OR(H1044="Transfers",H1044="Income",D1044="Transfer",D1044="Category Pending",F1044="Pending"),"No","Yes"))</f>
      </c>
      <c r="K1044" s="4">
        <f>IF(A1044="","",TEXT(IF(DAY(A1044)&gt;=Setup!$B$9,DATE(YEAR(A1044),MONTH(A1044)+1,1),DATE(YEAR(A1044),MONTH(A1044),1)),"mmmm yyyy"))</f>
      </c>
      <c r="L1044" s="47">
        <f>IF(A1044="",0,IF(AND(J1044="Yes",E1044&lt;0),-E1044,0))</f>
      </c>
      <c r="M1044" s="47">
        <f>IF(A1044="",0,IF(AND(J1044="Yes",E1044&gt;0),E1044,0))</f>
      </c>
      <c r="N1044">
        <f>IF(A1044="","",IF(D1044="Category Pending","Needs categorization",IF(COUNTIFS($A$2:A1044,A1044,$B$2:B1044,B1044,$E$2:E1044,E1044)&gt;1,"Possible duplicate","")))</f>
      </c>
    </row>
    <row r="1045" spans="3:14" x14ac:dyDescent="0.3">
      <c r="A1045"/>
      <c r="C1045" s="16"/>
      <c r="G1045" s="5">
        <f>IF(A1045="","","Checking")</f>
      </c>
      <c r="H1045">
        <f>IF(A1045="","",IFERROR(XLOOKUP(D1045,Setup!$E$15:$E$79,Setup!$F$15:$F$79),"Miscellaneous"))</f>
      </c>
      <c r="I1045">
        <f>IF(A1045="","",IFERROR(XLOOKUP(D1045,Setup!$E$15:$E$79,Setup!$G$15:$G$79),"Uncategorized"))</f>
      </c>
      <c r="J1045">
        <f>IF(A1045="","",IF(OR(H1045="Transfers",H1045="Income",D1045="Transfer",D1045="Category Pending",F1045="Pending"),"No","Yes"))</f>
      </c>
      <c r="K1045" s="4">
        <f>IF(A1045="","",TEXT(IF(DAY(A1045)&gt;=Setup!$B$9,DATE(YEAR(A1045),MONTH(A1045)+1,1),DATE(YEAR(A1045),MONTH(A1045),1)),"mmmm yyyy"))</f>
      </c>
      <c r="L1045" s="47">
        <f>IF(A1045="",0,IF(AND(J1045="Yes",E1045&lt;0),-E1045,0))</f>
      </c>
      <c r="M1045" s="47">
        <f>IF(A1045="",0,IF(AND(J1045="Yes",E1045&gt;0),E1045,0))</f>
      </c>
      <c r="N1045">
        <f>IF(A1045="","",IF(D1045="Category Pending","Needs categorization",IF(COUNTIFS($A$2:A1045,A1045,$B$2:B1045,B1045,$E$2:E1045,E1045)&gt;1,"Possible duplicate","")))</f>
      </c>
    </row>
    <row r="1046" spans="3:14" x14ac:dyDescent="0.3">
      <c r="A1046"/>
      <c r="C1046" s="16"/>
      <c r="G1046" s="5">
        <f>IF(A1046="","","Checking")</f>
      </c>
      <c r="H1046">
        <f>IF(A1046="","",IFERROR(XLOOKUP(D1046,Setup!$E$15:$E$79,Setup!$F$15:$F$79),"Miscellaneous"))</f>
      </c>
      <c r="I1046">
        <f>IF(A1046="","",IFERROR(XLOOKUP(D1046,Setup!$E$15:$E$79,Setup!$G$15:$G$79),"Uncategorized"))</f>
      </c>
      <c r="J1046">
        <f>IF(A1046="","",IF(OR(H1046="Transfers",H1046="Income",D1046="Transfer",D1046="Category Pending",F1046="Pending"),"No","Yes"))</f>
      </c>
      <c r="K1046" s="4">
        <f>IF(A1046="","",TEXT(IF(DAY(A1046)&gt;=Setup!$B$9,DATE(YEAR(A1046),MONTH(A1046)+1,1),DATE(YEAR(A1046),MONTH(A1046),1)),"mmmm yyyy"))</f>
      </c>
      <c r="L1046" s="47">
        <f>IF(A1046="",0,IF(AND(J1046="Yes",E1046&lt;0),-E1046,0))</f>
      </c>
      <c r="M1046" s="47">
        <f>IF(A1046="",0,IF(AND(J1046="Yes",E1046&gt;0),E1046,0))</f>
      </c>
      <c r="N1046">
        <f>IF(A1046="","",IF(D1046="Category Pending","Needs categorization",IF(COUNTIFS($A$2:A1046,A1046,$B$2:B1046,B1046,$E$2:E1046,E1046)&gt;1,"Possible duplicate","")))</f>
      </c>
    </row>
    <row r="1047" spans="3:14" x14ac:dyDescent="0.3">
      <c r="A1047"/>
      <c r="C1047" s="16"/>
      <c r="G1047" s="5">
        <f>IF(A1047="","","Checking")</f>
      </c>
      <c r="H1047">
        <f>IF(A1047="","",IFERROR(XLOOKUP(D1047,Setup!$E$15:$E$79,Setup!$F$15:$F$79),"Miscellaneous"))</f>
      </c>
      <c r="I1047">
        <f>IF(A1047="","",IFERROR(XLOOKUP(D1047,Setup!$E$15:$E$79,Setup!$G$15:$G$79),"Uncategorized"))</f>
      </c>
      <c r="J1047">
        <f>IF(A1047="","",IF(OR(H1047="Transfers",H1047="Income",D1047="Transfer",D1047="Category Pending",F1047="Pending"),"No","Yes"))</f>
      </c>
      <c r="K1047" s="4">
        <f>IF(A1047="","",TEXT(IF(DAY(A1047)&gt;=Setup!$B$9,DATE(YEAR(A1047),MONTH(A1047)+1,1),DATE(YEAR(A1047),MONTH(A1047),1)),"mmmm yyyy"))</f>
      </c>
      <c r="L1047" s="47">
        <f>IF(A1047="",0,IF(AND(J1047="Yes",E1047&lt;0),-E1047,0))</f>
      </c>
      <c r="M1047" s="47">
        <f>IF(A1047="",0,IF(AND(J1047="Yes",E1047&gt;0),E1047,0))</f>
      </c>
      <c r="N1047">
        <f>IF(A1047="","",IF(D1047="Category Pending","Needs categorization",IF(COUNTIFS($A$2:A1047,A1047,$B$2:B1047,B1047,$E$2:E1047,E1047)&gt;1,"Possible duplicate","")))</f>
      </c>
    </row>
    <row r="1048" spans="3:14" x14ac:dyDescent="0.3">
      <c r="A1048"/>
      <c r="C1048" s="16"/>
      <c r="G1048" s="5">
        <f>IF(A1048="","","Checking")</f>
      </c>
      <c r="H1048">
        <f>IF(A1048="","",IFERROR(XLOOKUP(D1048,Setup!$E$15:$E$79,Setup!$F$15:$F$79),"Miscellaneous"))</f>
      </c>
      <c r="I1048">
        <f>IF(A1048="","",IFERROR(XLOOKUP(D1048,Setup!$E$15:$E$79,Setup!$G$15:$G$79),"Uncategorized"))</f>
      </c>
      <c r="J1048">
        <f>IF(A1048="","",IF(OR(H1048="Transfers",H1048="Income",D1048="Transfer",D1048="Category Pending",F1048="Pending"),"No","Yes"))</f>
      </c>
      <c r="K1048" s="4">
        <f>IF(A1048="","",TEXT(IF(DAY(A1048)&gt;=Setup!$B$9,DATE(YEAR(A1048),MONTH(A1048)+1,1),DATE(YEAR(A1048),MONTH(A1048),1)),"mmmm yyyy"))</f>
      </c>
      <c r="L1048" s="47">
        <f>IF(A1048="",0,IF(AND(J1048="Yes",E1048&lt;0),-E1048,0))</f>
      </c>
      <c r="M1048" s="47">
        <f>IF(A1048="",0,IF(AND(J1048="Yes",E1048&gt;0),E1048,0))</f>
      </c>
      <c r="N1048">
        <f>IF(A1048="","",IF(D1048="Category Pending","Needs categorization",IF(COUNTIFS($A$2:A1048,A1048,$B$2:B1048,B1048,$E$2:E1048,E1048)&gt;1,"Possible duplicate","")))</f>
      </c>
    </row>
    <row r="1049" spans="3:14" x14ac:dyDescent="0.3">
      <c r="A1049"/>
      <c r="C1049" s="16"/>
      <c r="G1049" s="5">
        <f>IF(A1049="","","Checking")</f>
      </c>
      <c r="H1049">
        <f>IF(A1049="","",IFERROR(XLOOKUP(D1049,Setup!$E$15:$E$79,Setup!$F$15:$F$79),"Miscellaneous"))</f>
      </c>
      <c r="I1049">
        <f>IF(A1049="","",IFERROR(XLOOKUP(D1049,Setup!$E$15:$E$79,Setup!$G$15:$G$79),"Uncategorized"))</f>
      </c>
      <c r="J1049">
        <f>IF(A1049="","",IF(OR(H1049="Transfers",H1049="Income",D1049="Transfer",D1049="Category Pending",F1049="Pending"),"No","Yes"))</f>
      </c>
      <c r="K1049" s="4">
        <f>IF(A1049="","",TEXT(IF(DAY(A1049)&gt;=Setup!$B$9,DATE(YEAR(A1049),MONTH(A1049)+1,1),DATE(YEAR(A1049),MONTH(A1049),1)),"mmmm yyyy"))</f>
      </c>
      <c r="L1049" s="47">
        <f>IF(A1049="",0,IF(AND(J1049="Yes",E1049&lt;0),-E1049,0))</f>
      </c>
      <c r="M1049" s="47">
        <f>IF(A1049="",0,IF(AND(J1049="Yes",E1049&gt;0),E1049,0))</f>
      </c>
      <c r="N1049">
        <f>IF(A1049="","",IF(D1049="Category Pending","Needs categorization",IF(COUNTIFS($A$2:A1049,A1049,$B$2:B1049,B1049,$E$2:E1049,E1049)&gt;1,"Possible duplicate","")))</f>
      </c>
    </row>
    <row r="1050" spans="3:14" x14ac:dyDescent="0.3">
      <c r="A1050"/>
      <c r="C1050" s="16"/>
      <c r="G1050" s="5">
        <f>IF(A1050="","","Checking")</f>
      </c>
      <c r="H1050">
        <f>IF(A1050="","",IFERROR(XLOOKUP(D1050,Setup!$E$15:$E$79,Setup!$F$15:$F$79),"Miscellaneous"))</f>
      </c>
      <c r="I1050">
        <f>IF(A1050="","",IFERROR(XLOOKUP(D1050,Setup!$E$15:$E$79,Setup!$G$15:$G$79),"Uncategorized"))</f>
      </c>
      <c r="J1050">
        <f>IF(A1050="","",IF(OR(H1050="Transfers",H1050="Income",D1050="Transfer",D1050="Category Pending",F1050="Pending"),"No","Yes"))</f>
      </c>
      <c r="K1050" s="4">
        <f>IF(A1050="","",TEXT(IF(DAY(A1050)&gt;=Setup!$B$9,DATE(YEAR(A1050),MONTH(A1050)+1,1),DATE(YEAR(A1050),MONTH(A1050),1)),"mmmm yyyy"))</f>
      </c>
      <c r="L1050" s="47">
        <f>IF(A1050="",0,IF(AND(J1050="Yes",E1050&lt;0),-E1050,0))</f>
      </c>
      <c r="M1050" s="47">
        <f>IF(A1050="",0,IF(AND(J1050="Yes",E1050&gt;0),E1050,0))</f>
      </c>
      <c r="N1050">
        <f>IF(A1050="","",IF(D1050="Category Pending","Needs categorization",IF(COUNTIFS($A$2:A1050,A1050,$B$2:B1050,B1050,$E$2:E1050,E1050)&gt;1,"Possible duplicate","")))</f>
      </c>
    </row>
    <row r="1051" spans="3:14" x14ac:dyDescent="0.3">
      <c r="A1051"/>
      <c r="C1051" s="16"/>
      <c r="G1051" s="5">
        <f>IF(A1051="","","Checking")</f>
      </c>
      <c r="H1051">
        <f>IF(A1051="","",IFERROR(XLOOKUP(D1051,Setup!$E$15:$E$79,Setup!$F$15:$F$79),"Miscellaneous"))</f>
      </c>
      <c r="I1051">
        <f>IF(A1051="","",IFERROR(XLOOKUP(D1051,Setup!$E$15:$E$79,Setup!$G$15:$G$79),"Uncategorized"))</f>
      </c>
      <c r="J1051">
        <f>IF(A1051="","",IF(OR(H1051="Transfers",H1051="Income",D1051="Transfer",D1051="Category Pending",F1051="Pending"),"No","Yes"))</f>
      </c>
      <c r="K1051" s="4">
        <f>IF(A1051="","",TEXT(IF(DAY(A1051)&gt;=Setup!$B$9,DATE(YEAR(A1051),MONTH(A1051)+1,1),DATE(YEAR(A1051),MONTH(A1051),1)),"mmmm yyyy"))</f>
      </c>
      <c r="L1051" s="47">
        <f>IF(A1051="",0,IF(AND(J1051="Yes",E1051&lt;0),-E1051,0))</f>
      </c>
      <c r="M1051" s="47">
        <f>IF(A1051="",0,IF(AND(J1051="Yes",E1051&gt;0),E1051,0))</f>
      </c>
      <c r="N1051">
        <f>IF(A1051="","",IF(D1051="Category Pending","Needs categorization",IF(COUNTIFS($A$2:A1051,A1051,$B$2:B1051,B1051,$E$2:E1051,E1051)&gt;1,"Possible duplicate","")))</f>
      </c>
    </row>
    <row r="1052" spans="3:14" x14ac:dyDescent="0.3">
      <c r="A1052"/>
      <c r="C1052" s="16"/>
      <c r="G1052" s="5">
        <f>IF(A1052="","","Checking")</f>
      </c>
      <c r="H1052">
        <f>IF(A1052="","",IFERROR(XLOOKUP(D1052,Setup!$E$15:$E$79,Setup!$F$15:$F$79),"Miscellaneous"))</f>
      </c>
      <c r="I1052">
        <f>IF(A1052="","",IFERROR(XLOOKUP(D1052,Setup!$E$15:$E$79,Setup!$G$15:$G$79),"Uncategorized"))</f>
      </c>
      <c r="J1052">
        <f>IF(A1052="","",IF(OR(H1052="Transfers",H1052="Income",D1052="Transfer",D1052="Category Pending",F1052="Pending"),"No","Yes"))</f>
      </c>
      <c r="K1052" s="4">
        <f>IF(A1052="","",TEXT(IF(DAY(A1052)&gt;=Setup!$B$9,DATE(YEAR(A1052),MONTH(A1052)+1,1),DATE(YEAR(A1052),MONTH(A1052),1)),"mmmm yyyy"))</f>
      </c>
      <c r="L1052" s="47">
        <f>IF(A1052="",0,IF(AND(J1052="Yes",E1052&lt;0),-E1052,0))</f>
      </c>
      <c r="M1052" s="47">
        <f>IF(A1052="",0,IF(AND(J1052="Yes",E1052&gt;0),E1052,0))</f>
      </c>
      <c r="N1052">
        <f>IF(A1052="","",IF(D1052="Category Pending","Needs categorization",IF(COUNTIFS($A$2:A1052,A1052,$B$2:B1052,B1052,$E$2:E1052,E1052)&gt;1,"Possible duplicate","")))</f>
      </c>
    </row>
    <row r="1053" spans="3:14" x14ac:dyDescent="0.3">
      <c r="A1053"/>
      <c r="C1053" s="16"/>
      <c r="G1053" s="5">
        <f>IF(A1053="","","Checking")</f>
      </c>
      <c r="H1053">
        <f>IF(A1053="","",IFERROR(XLOOKUP(D1053,Setup!$E$15:$E$79,Setup!$F$15:$F$79),"Miscellaneous"))</f>
      </c>
      <c r="I1053">
        <f>IF(A1053="","",IFERROR(XLOOKUP(D1053,Setup!$E$15:$E$79,Setup!$G$15:$G$79),"Uncategorized"))</f>
      </c>
      <c r="J1053">
        <f>IF(A1053="","",IF(OR(H1053="Transfers",H1053="Income",D1053="Transfer",D1053="Category Pending",F1053="Pending"),"No","Yes"))</f>
      </c>
      <c r="K1053" s="4">
        <f>IF(A1053="","",TEXT(IF(DAY(A1053)&gt;=Setup!$B$9,DATE(YEAR(A1053),MONTH(A1053)+1,1),DATE(YEAR(A1053),MONTH(A1053),1)),"mmmm yyyy"))</f>
      </c>
      <c r="L1053" s="47">
        <f>IF(A1053="",0,IF(AND(J1053="Yes",E1053&lt;0),-E1053,0))</f>
      </c>
      <c r="M1053" s="47">
        <f>IF(A1053="",0,IF(AND(J1053="Yes",E1053&gt;0),E1053,0))</f>
      </c>
      <c r="N1053">
        <f>IF(A1053="","",IF(D1053="Category Pending","Needs categorization",IF(COUNTIFS($A$2:A1053,A1053,$B$2:B1053,B1053,$E$2:E1053,E1053)&gt;1,"Possible duplicate","")))</f>
      </c>
    </row>
    <row r="1054" spans="3:14" x14ac:dyDescent="0.3">
      <c r="A1054"/>
      <c r="C1054" s="16"/>
      <c r="G1054" s="5">
        <f>IF(A1054="","","Checking")</f>
      </c>
      <c r="H1054">
        <f>IF(A1054="","",IFERROR(XLOOKUP(D1054,Setup!$E$15:$E$79,Setup!$F$15:$F$79),"Miscellaneous"))</f>
      </c>
      <c r="I1054">
        <f>IF(A1054="","",IFERROR(XLOOKUP(D1054,Setup!$E$15:$E$79,Setup!$G$15:$G$79),"Uncategorized"))</f>
      </c>
      <c r="J1054">
        <f>IF(A1054="","",IF(OR(H1054="Transfers",H1054="Income",D1054="Transfer",D1054="Category Pending",F1054="Pending"),"No","Yes"))</f>
      </c>
      <c r="K1054" s="4">
        <f>IF(A1054="","",TEXT(IF(DAY(A1054)&gt;=Setup!$B$9,DATE(YEAR(A1054),MONTH(A1054)+1,1),DATE(YEAR(A1054),MONTH(A1054),1)),"mmmm yyyy"))</f>
      </c>
      <c r="L1054" s="47">
        <f>IF(A1054="",0,IF(AND(J1054="Yes",E1054&lt;0),-E1054,0))</f>
      </c>
      <c r="M1054" s="47">
        <f>IF(A1054="",0,IF(AND(J1054="Yes",E1054&gt;0),E1054,0))</f>
      </c>
      <c r="N1054">
        <f>IF(A1054="","",IF(D1054="Category Pending","Needs categorization",IF(COUNTIFS($A$2:A1054,A1054,$B$2:B1054,B1054,$E$2:E1054,E1054)&gt;1,"Possible duplicate","")))</f>
      </c>
    </row>
    <row r="1055" spans="3:14" x14ac:dyDescent="0.3">
      <c r="A1055"/>
      <c r="C1055" s="16"/>
      <c r="G1055" s="5">
        <f>IF(A1055="","","Checking")</f>
      </c>
      <c r="H1055">
        <f>IF(A1055="","",IFERROR(XLOOKUP(D1055,Setup!$E$15:$E$79,Setup!$F$15:$F$79),"Miscellaneous"))</f>
      </c>
      <c r="I1055">
        <f>IF(A1055="","",IFERROR(XLOOKUP(D1055,Setup!$E$15:$E$79,Setup!$G$15:$G$79),"Uncategorized"))</f>
      </c>
      <c r="J1055">
        <f>IF(A1055="","",IF(OR(H1055="Transfers",H1055="Income",D1055="Transfer",D1055="Category Pending",F1055="Pending"),"No","Yes"))</f>
      </c>
      <c r="K1055" s="4">
        <f>IF(A1055="","",TEXT(IF(DAY(A1055)&gt;=Setup!$B$9,DATE(YEAR(A1055),MONTH(A1055)+1,1),DATE(YEAR(A1055),MONTH(A1055),1)),"mmmm yyyy"))</f>
      </c>
      <c r="L1055" s="47">
        <f>IF(A1055="",0,IF(AND(J1055="Yes",E1055&lt;0),-E1055,0))</f>
      </c>
      <c r="M1055" s="47">
        <f>IF(A1055="",0,IF(AND(J1055="Yes",E1055&gt;0),E1055,0))</f>
      </c>
      <c r="N1055">
        <f>IF(A1055="","",IF(D1055="Category Pending","Needs categorization",IF(COUNTIFS($A$2:A1055,A1055,$B$2:B1055,B1055,$E$2:E1055,E1055)&gt;1,"Possible duplicate","")))</f>
      </c>
    </row>
    <row r="1056" spans="3:14" x14ac:dyDescent="0.3">
      <c r="A1056"/>
      <c r="C1056" s="16"/>
      <c r="G1056" s="5">
        <f>IF(A1056="","","Checking")</f>
      </c>
      <c r="H1056">
        <f>IF(A1056="","",IFERROR(XLOOKUP(D1056,Setup!$E$15:$E$79,Setup!$F$15:$F$79),"Miscellaneous"))</f>
      </c>
      <c r="I1056">
        <f>IF(A1056="","",IFERROR(XLOOKUP(D1056,Setup!$E$15:$E$79,Setup!$G$15:$G$79),"Uncategorized"))</f>
      </c>
      <c r="J1056">
        <f>IF(A1056="","",IF(OR(H1056="Transfers",H1056="Income",D1056="Transfer",D1056="Category Pending",F1056="Pending"),"No","Yes"))</f>
      </c>
      <c r="K1056" s="4">
        <f>IF(A1056="","",TEXT(IF(DAY(A1056)&gt;=Setup!$B$9,DATE(YEAR(A1056),MONTH(A1056)+1,1),DATE(YEAR(A1056),MONTH(A1056),1)),"mmmm yyyy"))</f>
      </c>
      <c r="L1056" s="47">
        <f>IF(A1056="",0,IF(AND(J1056="Yes",E1056&lt;0),-E1056,0))</f>
      </c>
      <c r="M1056" s="47">
        <f>IF(A1056="",0,IF(AND(J1056="Yes",E1056&gt;0),E1056,0))</f>
      </c>
      <c r="N1056">
        <f>IF(A1056="","",IF(D1056="Category Pending","Needs categorization",IF(COUNTIFS($A$2:A1056,A1056,$B$2:B1056,B1056,$E$2:E1056,E1056)&gt;1,"Possible duplicate","")))</f>
      </c>
    </row>
    <row r="1057" spans="3:14" x14ac:dyDescent="0.3">
      <c r="A1057"/>
      <c r="C1057" s="16"/>
      <c r="G1057" s="5">
        <f>IF(A1057="","","Checking")</f>
      </c>
      <c r="H1057">
        <f>IF(A1057="","",IFERROR(XLOOKUP(D1057,Setup!$E$15:$E$79,Setup!$F$15:$F$79),"Miscellaneous"))</f>
      </c>
      <c r="I1057">
        <f>IF(A1057="","",IFERROR(XLOOKUP(D1057,Setup!$E$15:$E$79,Setup!$G$15:$G$79),"Uncategorized"))</f>
      </c>
      <c r="J1057">
        <f>IF(A1057="","",IF(OR(H1057="Transfers",H1057="Income",D1057="Transfer",D1057="Category Pending",F1057="Pending"),"No","Yes"))</f>
      </c>
      <c r="K1057" s="4">
        <f>IF(A1057="","",TEXT(IF(DAY(A1057)&gt;=Setup!$B$9,DATE(YEAR(A1057),MONTH(A1057)+1,1),DATE(YEAR(A1057),MONTH(A1057),1)),"mmmm yyyy"))</f>
      </c>
      <c r="L1057" s="47">
        <f>IF(A1057="",0,IF(AND(J1057="Yes",E1057&lt;0),-E1057,0))</f>
      </c>
      <c r="M1057" s="47">
        <f>IF(A1057="",0,IF(AND(J1057="Yes",E1057&gt;0),E1057,0))</f>
      </c>
      <c r="N1057">
        <f>IF(A1057="","",IF(D1057="Category Pending","Needs categorization",IF(COUNTIFS($A$2:A1057,A1057,$B$2:B1057,B1057,$E$2:E1057,E1057)&gt;1,"Possible duplicate","")))</f>
      </c>
    </row>
    <row r="1058" spans="3:14" x14ac:dyDescent="0.3">
      <c r="A1058"/>
      <c r="C1058" s="16"/>
      <c r="G1058" s="5">
        <f>IF(A1058="","","Checking")</f>
      </c>
      <c r="H1058">
        <f>IF(A1058="","",IFERROR(XLOOKUP(D1058,Setup!$E$15:$E$79,Setup!$F$15:$F$79),"Miscellaneous"))</f>
      </c>
      <c r="I1058">
        <f>IF(A1058="","",IFERROR(XLOOKUP(D1058,Setup!$E$15:$E$79,Setup!$G$15:$G$79),"Uncategorized"))</f>
      </c>
      <c r="J1058">
        <f>IF(A1058="","",IF(OR(H1058="Transfers",H1058="Income",D1058="Transfer",D1058="Category Pending",F1058="Pending"),"No","Yes"))</f>
      </c>
      <c r="K1058" s="4">
        <f>IF(A1058="","",TEXT(IF(DAY(A1058)&gt;=Setup!$B$9,DATE(YEAR(A1058),MONTH(A1058)+1,1),DATE(YEAR(A1058),MONTH(A1058),1)),"mmmm yyyy"))</f>
      </c>
      <c r="L1058" s="47">
        <f>IF(A1058="",0,IF(AND(J1058="Yes",E1058&lt;0),-E1058,0))</f>
      </c>
      <c r="M1058" s="47">
        <f>IF(A1058="",0,IF(AND(J1058="Yes",E1058&gt;0),E1058,0))</f>
      </c>
      <c r="N1058">
        <f>IF(A1058="","",IF(D1058="Category Pending","Needs categorization",IF(COUNTIFS($A$2:A1058,A1058,$B$2:B1058,B1058,$E$2:E1058,E1058)&gt;1,"Possible duplicate","")))</f>
      </c>
    </row>
    <row r="1059" spans="3:14" x14ac:dyDescent="0.3">
      <c r="A1059"/>
      <c r="C1059" s="16"/>
      <c r="G1059" s="5">
        <f>IF(A1059="","","Checking")</f>
      </c>
      <c r="H1059">
        <f>IF(A1059="","",IFERROR(XLOOKUP(D1059,Setup!$E$15:$E$79,Setup!$F$15:$F$79),"Miscellaneous"))</f>
      </c>
      <c r="I1059">
        <f>IF(A1059="","",IFERROR(XLOOKUP(D1059,Setup!$E$15:$E$79,Setup!$G$15:$G$79),"Uncategorized"))</f>
      </c>
      <c r="J1059">
        <f>IF(A1059="","",IF(OR(H1059="Transfers",H1059="Income",D1059="Transfer",D1059="Category Pending",F1059="Pending"),"No","Yes"))</f>
      </c>
      <c r="K1059" s="4">
        <f>IF(A1059="","",TEXT(IF(DAY(A1059)&gt;=Setup!$B$9,DATE(YEAR(A1059),MONTH(A1059)+1,1),DATE(YEAR(A1059),MONTH(A1059),1)),"mmmm yyyy"))</f>
      </c>
      <c r="L1059" s="47">
        <f>IF(A1059="",0,IF(AND(J1059="Yes",E1059&lt;0),-E1059,0))</f>
      </c>
      <c r="M1059" s="47">
        <f>IF(A1059="",0,IF(AND(J1059="Yes",E1059&gt;0),E1059,0))</f>
      </c>
      <c r="N1059">
        <f>IF(A1059="","",IF(D1059="Category Pending","Needs categorization",IF(COUNTIFS($A$2:A1059,A1059,$B$2:B1059,B1059,$E$2:E1059,E1059)&gt;1,"Possible duplicate","")))</f>
      </c>
    </row>
    <row r="1060" spans="3:14" x14ac:dyDescent="0.3">
      <c r="A1060"/>
      <c r="C1060" s="16"/>
      <c r="G1060" s="5">
        <f>IF(A1060="","","Checking")</f>
      </c>
      <c r="H1060">
        <f>IF(A1060="","",IFERROR(XLOOKUP(D1060,Setup!$E$15:$E$79,Setup!$F$15:$F$79),"Miscellaneous"))</f>
      </c>
      <c r="I1060">
        <f>IF(A1060="","",IFERROR(XLOOKUP(D1060,Setup!$E$15:$E$79,Setup!$G$15:$G$79),"Uncategorized"))</f>
      </c>
      <c r="J1060">
        <f>IF(A1060="","",IF(OR(H1060="Transfers",H1060="Income",D1060="Transfer",D1060="Category Pending",F1060="Pending"),"No","Yes"))</f>
      </c>
      <c r="K1060" s="4">
        <f>IF(A1060="","",TEXT(IF(DAY(A1060)&gt;=Setup!$B$9,DATE(YEAR(A1060),MONTH(A1060)+1,1),DATE(YEAR(A1060),MONTH(A1060),1)),"mmmm yyyy"))</f>
      </c>
      <c r="L1060" s="47">
        <f>IF(A1060="",0,IF(AND(J1060="Yes",E1060&lt;0),-E1060,0))</f>
      </c>
      <c r="M1060" s="47">
        <f>IF(A1060="",0,IF(AND(J1060="Yes",E1060&gt;0),E1060,0))</f>
      </c>
      <c r="N1060">
        <f>IF(A1060="","",IF(D1060="Category Pending","Needs categorization",IF(COUNTIFS($A$2:A1060,A1060,$B$2:B1060,B1060,$E$2:E1060,E1060)&gt;1,"Possible duplicate","")))</f>
      </c>
    </row>
    <row r="1061" spans="3:14" x14ac:dyDescent="0.3">
      <c r="A1061"/>
      <c r="C1061" s="16"/>
      <c r="G1061" s="5">
        <f>IF(A1061="","","Checking")</f>
      </c>
      <c r="H1061">
        <f>IF(A1061="","",IFERROR(XLOOKUP(D1061,Setup!$E$15:$E$79,Setup!$F$15:$F$79),"Miscellaneous"))</f>
      </c>
      <c r="I1061">
        <f>IF(A1061="","",IFERROR(XLOOKUP(D1061,Setup!$E$15:$E$79,Setup!$G$15:$G$79),"Uncategorized"))</f>
      </c>
      <c r="J1061">
        <f>IF(A1061="","",IF(OR(H1061="Transfers",H1061="Income",D1061="Transfer",D1061="Category Pending",F1061="Pending"),"No","Yes"))</f>
      </c>
      <c r="K1061" s="4">
        <f>IF(A1061="","",TEXT(IF(DAY(A1061)&gt;=Setup!$B$9,DATE(YEAR(A1061),MONTH(A1061)+1,1),DATE(YEAR(A1061),MONTH(A1061),1)),"mmmm yyyy"))</f>
      </c>
      <c r="L1061" s="47">
        <f>IF(A1061="",0,IF(AND(J1061="Yes",E1061&lt;0),-E1061,0))</f>
      </c>
      <c r="M1061" s="47">
        <f>IF(A1061="",0,IF(AND(J1061="Yes",E1061&gt;0),E1061,0))</f>
      </c>
      <c r="N1061">
        <f>IF(A1061="","",IF(D1061="Category Pending","Needs categorization",IF(COUNTIFS($A$2:A1061,A1061,$B$2:B1061,B1061,$E$2:E1061,E1061)&gt;1,"Possible duplicate","")))</f>
      </c>
    </row>
    <row r="1062" spans="3:14" x14ac:dyDescent="0.3">
      <c r="A1062"/>
      <c r="C1062" s="16"/>
      <c r="G1062" s="5">
        <f>IF(A1062="","","Checking")</f>
      </c>
      <c r="H1062">
        <f>IF(A1062="","",IFERROR(XLOOKUP(D1062,Setup!$E$15:$E$79,Setup!$F$15:$F$79),"Miscellaneous"))</f>
      </c>
      <c r="I1062">
        <f>IF(A1062="","",IFERROR(XLOOKUP(D1062,Setup!$E$15:$E$79,Setup!$G$15:$G$79),"Uncategorized"))</f>
      </c>
      <c r="J1062">
        <f>IF(A1062="","",IF(OR(H1062="Transfers",H1062="Income",D1062="Transfer",D1062="Category Pending",F1062="Pending"),"No","Yes"))</f>
      </c>
      <c r="K1062" s="4">
        <f>IF(A1062="","",TEXT(IF(DAY(A1062)&gt;=Setup!$B$9,DATE(YEAR(A1062),MONTH(A1062)+1,1),DATE(YEAR(A1062),MONTH(A1062),1)),"mmmm yyyy"))</f>
      </c>
      <c r="L1062" s="47">
        <f>IF(A1062="",0,IF(AND(J1062="Yes",E1062&lt;0),-E1062,0))</f>
      </c>
      <c r="M1062" s="47">
        <f>IF(A1062="",0,IF(AND(J1062="Yes",E1062&gt;0),E1062,0))</f>
      </c>
      <c r="N1062">
        <f>IF(A1062="","",IF(D1062="Category Pending","Needs categorization",IF(COUNTIFS($A$2:A1062,A1062,$B$2:B1062,B1062,$E$2:E1062,E1062)&gt;1,"Possible duplicate","")))</f>
      </c>
    </row>
    <row r="1063" spans="3:14" x14ac:dyDescent="0.3">
      <c r="A1063"/>
      <c r="C1063" s="16"/>
      <c r="G1063" s="5">
        <f>IF(A1063="","","Checking")</f>
      </c>
      <c r="H1063">
        <f>IF(A1063="","",IFERROR(XLOOKUP(D1063,Setup!$E$15:$E$79,Setup!$F$15:$F$79),"Miscellaneous"))</f>
      </c>
      <c r="I1063">
        <f>IF(A1063="","",IFERROR(XLOOKUP(D1063,Setup!$E$15:$E$79,Setup!$G$15:$G$79),"Uncategorized"))</f>
      </c>
      <c r="J1063">
        <f>IF(A1063="","",IF(OR(H1063="Transfers",H1063="Income",D1063="Transfer",D1063="Category Pending",F1063="Pending"),"No","Yes"))</f>
      </c>
      <c r="K1063" s="4">
        <f>IF(A1063="","",TEXT(IF(DAY(A1063)&gt;=Setup!$B$9,DATE(YEAR(A1063),MONTH(A1063)+1,1),DATE(YEAR(A1063),MONTH(A1063),1)),"mmmm yyyy"))</f>
      </c>
      <c r="L1063" s="47">
        <f>IF(A1063="",0,IF(AND(J1063="Yes",E1063&lt;0),-E1063,0))</f>
      </c>
      <c r="M1063" s="47">
        <f>IF(A1063="",0,IF(AND(J1063="Yes",E1063&gt;0),E1063,0))</f>
      </c>
      <c r="N1063">
        <f>IF(A1063="","",IF(D1063="Category Pending","Needs categorization",IF(COUNTIFS($A$2:A1063,A1063,$B$2:B1063,B1063,$E$2:E1063,E1063)&gt;1,"Possible duplicate","")))</f>
      </c>
    </row>
    <row r="1064" spans="3:14" x14ac:dyDescent="0.3">
      <c r="A1064"/>
      <c r="C1064" s="16"/>
      <c r="G1064" s="5">
        <f>IF(A1064="","","Checking")</f>
      </c>
      <c r="H1064">
        <f>IF(A1064="","",IFERROR(XLOOKUP(D1064,Setup!$E$15:$E$79,Setup!$F$15:$F$79),"Miscellaneous"))</f>
      </c>
      <c r="I1064">
        <f>IF(A1064="","",IFERROR(XLOOKUP(D1064,Setup!$E$15:$E$79,Setup!$G$15:$G$79),"Uncategorized"))</f>
      </c>
      <c r="J1064">
        <f>IF(A1064="","",IF(OR(H1064="Transfers",H1064="Income",D1064="Transfer",D1064="Category Pending",F1064="Pending"),"No","Yes"))</f>
      </c>
      <c r="K1064" s="4">
        <f>IF(A1064="","",TEXT(IF(DAY(A1064)&gt;=Setup!$B$9,DATE(YEAR(A1064),MONTH(A1064)+1,1),DATE(YEAR(A1064),MONTH(A1064),1)),"mmmm yyyy"))</f>
      </c>
      <c r="L1064" s="47">
        <f>IF(A1064="",0,IF(AND(J1064="Yes",E1064&lt;0),-E1064,0))</f>
      </c>
      <c r="M1064" s="47">
        <f>IF(A1064="",0,IF(AND(J1064="Yes",E1064&gt;0),E1064,0))</f>
      </c>
      <c r="N1064">
        <f>IF(A1064="","",IF(D1064="Category Pending","Needs categorization",IF(COUNTIFS($A$2:A1064,A1064,$B$2:B1064,B1064,$E$2:E1064,E1064)&gt;1,"Possible duplicate","")))</f>
      </c>
    </row>
    <row r="1065" spans="3:14" x14ac:dyDescent="0.3">
      <c r="A1065"/>
      <c r="C1065" s="16"/>
      <c r="G1065" s="5">
        <f>IF(A1065="","","Checking")</f>
      </c>
      <c r="H1065">
        <f>IF(A1065="","",IFERROR(XLOOKUP(D1065,Setup!$E$15:$E$79,Setup!$F$15:$F$79),"Miscellaneous"))</f>
      </c>
      <c r="I1065">
        <f>IF(A1065="","",IFERROR(XLOOKUP(D1065,Setup!$E$15:$E$79,Setup!$G$15:$G$79),"Uncategorized"))</f>
      </c>
      <c r="J1065">
        <f>IF(A1065="","",IF(OR(H1065="Transfers",H1065="Income",D1065="Transfer",D1065="Category Pending",F1065="Pending"),"No","Yes"))</f>
      </c>
      <c r="K1065" s="4">
        <f>IF(A1065="","",TEXT(IF(DAY(A1065)&gt;=Setup!$B$9,DATE(YEAR(A1065),MONTH(A1065)+1,1),DATE(YEAR(A1065),MONTH(A1065),1)),"mmmm yyyy"))</f>
      </c>
      <c r="L1065" s="47">
        <f>IF(A1065="",0,IF(AND(J1065="Yes",E1065&lt;0),-E1065,0))</f>
      </c>
      <c r="M1065" s="47">
        <f>IF(A1065="",0,IF(AND(J1065="Yes",E1065&gt;0),E1065,0))</f>
      </c>
      <c r="N1065">
        <f>IF(A1065="","",IF(D1065="Category Pending","Needs categorization",IF(COUNTIFS($A$2:A1065,A1065,$B$2:B1065,B1065,$E$2:E1065,E1065)&gt;1,"Possible duplicate","")))</f>
      </c>
    </row>
    <row r="1066" spans="3:14" x14ac:dyDescent="0.3">
      <c r="A1066"/>
      <c r="C1066" s="16"/>
      <c r="G1066" s="5">
        <f>IF(A1066="","","Checking")</f>
      </c>
      <c r="H1066">
        <f>IF(A1066="","",IFERROR(XLOOKUP(D1066,Setup!$E$15:$E$79,Setup!$F$15:$F$79),"Miscellaneous"))</f>
      </c>
      <c r="I1066">
        <f>IF(A1066="","",IFERROR(XLOOKUP(D1066,Setup!$E$15:$E$79,Setup!$G$15:$G$79),"Uncategorized"))</f>
      </c>
      <c r="J1066">
        <f>IF(A1066="","",IF(OR(H1066="Transfers",H1066="Income",D1066="Transfer",D1066="Category Pending",F1066="Pending"),"No","Yes"))</f>
      </c>
      <c r="K1066" s="4">
        <f>IF(A1066="","",TEXT(IF(DAY(A1066)&gt;=Setup!$B$9,DATE(YEAR(A1066),MONTH(A1066)+1,1),DATE(YEAR(A1066),MONTH(A1066),1)),"mmmm yyyy"))</f>
      </c>
      <c r="L1066" s="47">
        <f>IF(A1066="",0,IF(AND(J1066="Yes",E1066&lt;0),-E1066,0))</f>
      </c>
      <c r="M1066" s="47">
        <f>IF(A1066="",0,IF(AND(J1066="Yes",E1066&gt;0),E1066,0))</f>
      </c>
      <c r="N1066">
        <f>IF(A1066="","",IF(D1066="Category Pending","Needs categorization",IF(COUNTIFS($A$2:A1066,A1066,$B$2:B1066,B1066,$E$2:E1066,E1066)&gt;1,"Possible duplicate","")))</f>
      </c>
    </row>
    <row r="1067" spans="3:14" x14ac:dyDescent="0.3">
      <c r="A1067"/>
      <c r="C1067" s="16"/>
      <c r="G1067" s="5">
        <f>IF(A1067="","","Checking")</f>
      </c>
      <c r="H1067">
        <f>IF(A1067="","",IFERROR(XLOOKUP(D1067,Setup!$E$15:$E$79,Setup!$F$15:$F$79),"Miscellaneous"))</f>
      </c>
      <c r="I1067">
        <f>IF(A1067="","",IFERROR(XLOOKUP(D1067,Setup!$E$15:$E$79,Setup!$G$15:$G$79),"Uncategorized"))</f>
      </c>
      <c r="J1067">
        <f>IF(A1067="","",IF(OR(H1067="Transfers",H1067="Income",D1067="Transfer",D1067="Category Pending",F1067="Pending"),"No","Yes"))</f>
      </c>
      <c r="K1067" s="4">
        <f>IF(A1067="","",TEXT(IF(DAY(A1067)&gt;=Setup!$B$9,DATE(YEAR(A1067),MONTH(A1067)+1,1),DATE(YEAR(A1067),MONTH(A1067),1)),"mmmm yyyy"))</f>
      </c>
      <c r="L1067" s="47">
        <f>IF(A1067="",0,IF(AND(J1067="Yes",E1067&lt;0),-E1067,0))</f>
      </c>
      <c r="M1067" s="47">
        <f>IF(A1067="",0,IF(AND(J1067="Yes",E1067&gt;0),E1067,0))</f>
      </c>
      <c r="N1067">
        <f>IF(A1067="","",IF(D1067="Category Pending","Needs categorization",IF(COUNTIFS($A$2:A1067,A1067,$B$2:B1067,B1067,$E$2:E1067,E1067)&gt;1,"Possible duplicate","")))</f>
      </c>
    </row>
    <row r="1068" spans="3:14" x14ac:dyDescent="0.3">
      <c r="A1068"/>
      <c r="C1068" s="16"/>
      <c r="G1068" s="5">
        <f>IF(A1068="","","Checking")</f>
      </c>
      <c r="H1068">
        <f>IF(A1068="","",IFERROR(XLOOKUP(D1068,Setup!$E$15:$E$79,Setup!$F$15:$F$79),"Miscellaneous"))</f>
      </c>
      <c r="I1068">
        <f>IF(A1068="","",IFERROR(XLOOKUP(D1068,Setup!$E$15:$E$79,Setup!$G$15:$G$79),"Uncategorized"))</f>
      </c>
      <c r="J1068">
        <f>IF(A1068="","",IF(OR(H1068="Transfers",H1068="Income",D1068="Transfer",D1068="Category Pending",F1068="Pending"),"No","Yes"))</f>
      </c>
      <c r="K1068" s="4">
        <f>IF(A1068="","",TEXT(IF(DAY(A1068)&gt;=Setup!$B$9,DATE(YEAR(A1068),MONTH(A1068)+1,1),DATE(YEAR(A1068),MONTH(A1068),1)),"mmmm yyyy"))</f>
      </c>
      <c r="L1068" s="47">
        <f>IF(A1068="",0,IF(AND(J1068="Yes",E1068&lt;0),-E1068,0))</f>
      </c>
      <c r="M1068" s="47">
        <f>IF(A1068="",0,IF(AND(J1068="Yes",E1068&gt;0),E1068,0))</f>
      </c>
      <c r="N1068">
        <f>IF(A1068="","",IF(D1068="Category Pending","Needs categorization",IF(COUNTIFS($A$2:A1068,A1068,$B$2:B1068,B1068,$E$2:E1068,E1068)&gt;1,"Possible duplicate","")))</f>
      </c>
    </row>
    <row r="1069" spans="3:14" x14ac:dyDescent="0.3">
      <c r="A1069"/>
      <c r="C1069" s="16"/>
      <c r="G1069" s="5">
        <f>IF(A1069="","","Checking")</f>
      </c>
      <c r="H1069">
        <f>IF(A1069="","",IFERROR(XLOOKUP(D1069,Setup!$E$15:$E$79,Setup!$F$15:$F$79),"Miscellaneous"))</f>
      </c>
      <c r="I1069">
        <f>IF(A1069="","",IFERROR(XLOOKUP(D1069,Setup!$E$15:$E$79,Setup!$G$15:$G$79),"Uncategorized"))</f>
      </c>
      <c r="J1069">
        <f>IF(A1069="","",IF(OR(H1069="Transfers",H1069="Income",D1069="Transfer",D1069="Category Pending",F1069="Pending"),"No","Yes"))</f>
      </c>
      <c r="K1069" s="4">
        <f>IF(A1069="","",TEXT(IF(DAY(A1069)&gt;=Setup!$B$9,DATE(YEAR(A1069),MONTH(A1069)+1,1),DATE(YEAR(A1069),MONTH(A1069),1)),"mmmm yyyy"))</f>
      </c>
      <c r="L1069" s="47">
        <f>IF(A1069="",0,IF(AND(J1069="Yes",E1069&lt;0),-E1069,0))</f>
      </c>
      <c r="M1069" s="47">
        <f>IF(A1069="",0,IF(AND(J1069="Yes",E1069&gt;0),E1069,0))</f>
      </c>
      <c r="N1069">
        <f>IF(A1069="","",IF(D1069="Category Pending","Needs categorization",IF(COUNTIFS($A$2:A1069,A1069,$B$2:B1069,B1069,$E$2:E1069,E1069)&gt;1,"Possible duplicate","")))</f>
      </c>
    </row>
    <row r="1070" spans="3:14" x14ac:dyDescent="0.3">
      <c r="A1070"/>
      <c r="C1070" s="16"/>
      <c r="G1070" s="5">
        <f>IF(A1070="","","Checking")</f>
      </c>
      <c r="H1070">
        <f>IF(A1070="","",IFERROR(XLOOKUP(D1070,Setup!$E$15:$E$79,Setup!$F$15:$F$79),"Miscellaneous"))</f>
      </c>
      <c r="I1070">
        <f>IF(A1070="","",IFERROR(XLOOKUP(D1070,Setup!$E$15:$E$79,Setup!$G$15:$G$79),"Uncategorized"))</f>
      </c>
      <c r="J1070">
        <f>IF(A1070="","",IF(OR(H1070="Transfers",H1070="Income",D1070="Transfer",D1070="Category Pending",F1070="Pending"),"No","Yes"))</f>
      </c>
      <c r="K1070" s="4">
        <f>IF(A1070="","",TEXT(IF(DAY(A1070)&gt;=Setup!$B$9,DATE(YEAR(A1070),MONTH(A1070)+1,1),DATE(YEAR(A1070),MONTH(A1070),1)),"mmmm yyyy"))</f>
      </c>
      <c r="L1070" s="47">
        <f>IF(A1070="",0,IF(AND(J1070="Yes",E1070&lt;0),-E1070,0))</f>
      </c>
      <c r="M1070" s="47">
        <f>IF(A1070="",0,IF(AND(J1070="Yes",E1070&gt;0),E1070,0))</f>
      </c>
      <c r="N1070">
        <f>IF(A1070="","",IF(D1070="Category Pending","Needs categorization",IF(COUNTIFS($A$2:A1070,A1070,$B$2:B1070,B1070,$E$2:E1070,E1070)&gt;1,"Possible duplicate","")))</f>
      </c>
    </row>
    <row r="1071" spans="3:14" x14ac:dyDescent="0.3">
      <c r="A1071"/>
      <c r="C1071" s="16"/>
      <c r="G1071" s="5">
        <f>IF(A1071="","","Checking")</f>
      </c>
      <c r="H1071">
        <f>IF(A1071="","",IFERROR(XLOOKUP(D1071,Setup!$E$15:$E$79,Setup!$F$15:$F$79),"Miscellaneous"))</f>
      </c>
      <c r="I1071">
        <f>IF(A1071="","",IFERROR(XLOOKUP(D1071,Setup!$E$15:$E$79,Setup!$G$15:$G$79),"Uncategorized"))</f>
      </c>
      <c r="J1071">
        <f>IF(A1071="","",IF(OR(H1071="Transfers",H1071="Income",D1071="Transfer",D1071="Category Pending",F1071="Pending"),"No","Yes"))</f>
      </c>
      <c r="K1071" s="4">
        <f>IF(A1071="","",TEXT(IF(DAY(A1071)&gt;=Setup!$B$9,DATE(YEAR(A1071),MONTH(A1071)+1,1),DATE(YEAR(A1071),MONTH(A1071),1)),"mmmm yyyy"))</f>
      </c>
      <c r="L1071" s="47">
        <f>IF(A1071="",0,IF(AND(J1071="Yes",E1071&lt;0),-E1071,0))</f>
      </c>
      <c r="M1071" s="47">
        <f>IF(A1071="",0,IF(AND(J1071="Yes",E1071&gt;0),E1071,0))</f>
      </c>
      <c r="N1071">
        <f>IF(A1071="","",IF(D1071="Category Pending","Needs categorization",IF(COUNTIFS($A$2:A1071,A1071,$B$2:B1071,B1071,$E$2:E1071,E1071)&gt;1,"Possible duplicate","")))</f>
      </c>
    </row>
    <row r="1072" spans="3:14" x14ac:dyDescent="0.3">
      <c r="A1072"/>
      <c r="C1072" s="16"/>
      <c r="G1072" s="5">
        <f>IF(A1072="","","Checking")</f>
      </c>
      <c r="H1072">
        <f>IF(A1072="","",IFERROR(XLOOKUP(D1072,Setup!$E$15:$E$79,Setup!$F$15:$F$79),"Miscellaneous"))</f>
      </c>
      <c r="I1072">
        <f>IF(A1072="","",IFERROR(XLOOKUP(D1072,Setup!$E$15:$E$79,Setup!$G$15:$G$79),"Uncategorized"))</f>
      </c>
      <c r="J1072">
        <f>IF(A1072="","",IF(OR(H1072="Transfers",H1072="Income",D1072="Transfer",D1072="Category Pending",F1072="Pending"),"No","Yes"))</f>
      </c>
      <c r="K1072" s="4">
        <f>IF(A1072="","",TEXT(IF(DAY(A1072)&gt;=Setup!$B$9,DATE(YEAR(A1072),MONTH(A1072)+1,1),DATE(YEAR(A1072),MONTH(A1072),1)),"mmmm yyyy"))</f>
      </c>
      <c r="L1072" s="47">
        <f>IF(A1072="",0,IF(AND(J1072="Yes",E1072&lt;0),-E1072,0))</f>
      </c>
      <c r="M1072" s="47">
        <f>IF(A1072="",0,IF(AND(J1072="Yes",E1072&gt;0),E1072,0))</f>
      </c>
      <c r="N1072">
        <f>IF(A1072="","",IF(D1072="Category Pending","Needs categorization",IF(COUNTIFS($A$2:A1072,A1072,$B$2:B1072,B1072,$E$2:E1072,E1072)&gt;1,"Possible duplicate","")))</f>
      </c>
    </row>
    <row r="1073" spans="3:14" x14ac:dyDescent="0.3">
      <c r="A1073"/>
      <c r="C1073" s="16"/>
      <c r="G1073" s="5">
        <f>IF(A1073="","","Checking")</f>
      </c>
      <c r="H1073">
        <f>IF(A1073="","",IFERROR(XLOOKUP(D1073,Setup!$E$15:$E$79,Setup!$F$15:$F$79),"Miscellaneous"))</f>
      </c>
      <c r="I1073">
        <f>IF(A1073="","",IFERROR(XLOOKUP(D1073,Setup!$E$15:$E$79,Setup!$G$15:$G$79),"Uncategorized"))</f>
      </c>
      <c r="J1073">
        <f>IF(A1073="","",IF(OR(H1073="Transfers",H1073="Income",D1073="Transfer",D1073="Category Pending",F1073="Pending"),"No","Yes"))</f>
      </c>
      <c r="K1073" s="4">
        <f>IF(A1073="","",TEXT(IF(DAY(A1073)&gt;=Setup!$B$9,DATE(YEAR(A1073),MONTH(A1073)+1,1),DATE(YEAR(A1073),MONTH(A1073),1)),"mmmm yyyy"))</f>
      </c>
      <c r="L1073" s="47">
        <f>IF(A1073="",0,IF(AND(J1073="Yes",E1073&lt;0),-E1073,0))</f>
      </c>
      <c r="M1073" s="47">
        <f>IF(A1073="",0,IF(AND(J1073="Yes",E1073&gt;0),E1073,0))</f>
      </c>
      <c r="N1073">
        <f>IF(A1073="","",IF(D1073="Category Pending","Needs categorization",IF(COUNTIFS($A$2:A1073,A1073,$B$2:B1073,B1073,$E$2:E1073,E1073)&gt;1,"Possible duplicate","")))</f>
      </c>
    </row>
    <row r="1074" spans="3:14" x14ac:dyDescent="0.3">
      <c r="A1074"/>
      <c r="C1074" s="16"/>
      <c r="G1074" s="5">
        <f>IF(A1074="","","Checking")</f>
      </c>
      <c r="H1074">
        <f>IF(A1074="","",IFERROR(XLOOKUP(D1074,Setup!$E$15:$E$79,Setup!$F$15:$F$79),"Miscellaneous"))</f>
      </c>
      <c r="I1074">
        <f>IF(A1074="","",IFERROR(XLOOKUP(D1074,Setup!$E$15:$E$79,Setup!$G$15:$G$79),"Uncategorized"))</f>
      </c>
      <c r="J1074">
        <f>IF(A1074="","",IF(OR(H1074="Transfers",H1074="Income",D1074="Transfer",D1074="Category Pending",F1074="Pending"),"No","Yes"))</f>
      </c>
      <c r="K1074" s="4">
        <f>IF(A1074="","",TEXT(IF(DAY(A1074)&gt;=Setup!$B$9,DATE(YEAR(A1074),MONTH(A1074)+1,1),DATE(YEAR(A1074),MONTH(A1074),1)),"mmmm yyyy"))</f>
      </c>
      <c r="L1074" s="47">
        <f>IF(A1074="",0,IF(AND(J1074="Yes",E1074&lt;0),-E1074,0))</f>
      </c>
      <c r="M1074" s="47">
        <f>IF(A1074="",0,IF(AND(J1074="Yes",E1074&gt;0),E1074,0))</f>
      </c>
      <c r="N1074">
        <f>IF(A1074="","",IF(D1074="Category Pending","Needs categorization",IF(COUNTIFS($A$2:A1074,A1074,$B$2:B1074,B1074,$E$2:E1074,E1074)&gt;1,"Possible duplicate","")))</f>
      </c>
    </row>
    <row r="1075" spans="3:14" x14ac:dyDescent="0.3">
      <c r="A1075"/>
      <c r="C1075" s="16"/>
      <c r="G1075" s="5">
        <f>IF(A1075="","","Checking")</f>
      </c>
      <c r="H1075">
        <f>IF(A1075="","",IFERROR(XLOOKUP(D1075,Setup!$E$15:$E$79,Setup!$F$15:$F$79),"Miscellaneous"))</f>
      </c>
      <c r="I1075">
        <f>IF(A1075="","",IFERROR(XLOOKUP(D1075,Setup!$E$15:$E$79,Setup!$G$15:$G$79),"Uncategorized"))</f>
      </c>
      <c r="J1075">
        <f>IF(A1075="","",IF(OR(H1075="Transfers",H1075="Income",D1075="Transfer",D1075="Category Pending",F1075="Pending"),"No","Yes"))</f>
      </c>
      <c r="K1075" s="4">
        <f>IF(A1075="","",TEXT(IF(DAY(A1075)&gt;=Setup!$B$9,DATE(YEAR(A1075),MONTH(A1075)+1,1),DATE(YEAR(A1075),MONTH(A1075),1)),"mmmm yyyy"))</f>
      </c>
      <c r="L1075" s="47">
        <f>IF(A1075="",0,IF(AND(J1075="Yes",E1075&lt;0),-E1075,0))</f>
      </c>
      <c r="M1075" s="47">
        <f>IF(A1075="",0,IF(AND(J1075="Yes",E1075&gt;0),E1075,0))</f>
      </c>
      <c r="N1075">
        <f>IF(A1075="","",IF(D1075="Category Pending","Needs categorization",IF(COUNTIFS($A$2:A1075,A1075,$B$2:B1075,B1075,$E$2:E1075,E1075)&gt;1,"Possible duplicate","")))</f>
      </c>
    </row>
    <row r="1076" spans="3:14" x14ac:dyDescent="0.3">
      <c r="A1076"/>
      <c r="C1076" s="16"/>
      <c r="G1076" s="5">
        <f>IF(A1076="","","Checking")</f>
      </c>
      <c r="H1076">
        <f>IF(A1076="","",IFERROR(XLOOKUP(D1076,Setup!$E$15:$E$79,Setup!$F$15:$F$79),"Miscellaneous"))</f>
      </c>
      <c r="I1076">
        <f>IF(A1076="","",IFERROR(XLOOKUP(D1076,Setup!$E$15:$E$79,Setup!$G$15:$G$79),"Uncategorized"))</f>
      </c>
      <c r="J1076">
        <f>IF(A1076="","",IF(OR(H1076="Transfers",H1076="Income",D1076="Transfer",D1076="Category Pending",F1076="Pending"),"No","Yes"))</f>
      </c>
      <c r="K1076" s="4">
        <f>IF(A1076="","",TEXT(IF(DAY(A1076)&gt;=Setup!$B$9,DATE(YEAR(A1076),MONTH(A1076)+1,1),DATE(YEAR(A1076),MONTH(A1076),1)),"mmmm yyyy"))</f>
      </c>
      <c r="L1076" s="47">
        <f>IF(A1076="",0,IF(AND(J1076="Yes",E1076&lt;0),-E1076,0))</f>
      </c>
      <c r="M1076" s="47">
        <f>IF(A1076="",0,IF(AND(J1076="Yes",E1076&gt;0),E1076,0))</f>
      </c>
      <c r="N1076">
        <f>IF(A1076="","",IF(D1076="Category Pending","Needs categorization",IF(COUNTIFS($A$2:A1076,A1076,$B$2:B1076,B1076,$E$2:E1076,E1076)&gt;1,"Possible duplicate","")))</f>
      </c>
    </row>
    <row r="1077" spans="3:14" x14ac:dyDescent="0.3">
      <c r="A1077"/>
      <c r="C1077" s="16"/>
      <c r="G1077" s="5">
        <f>IF(A1077="","","Checking")</f>
      </c>
      <c r="H1077">
        <f>IF(A1077="","",IFERROR(XLOOKUP(D1077,Setup!$E$15:$E$79,Setup!$F$15:$F$79),"Miscellaneous"))</f>
      </c>
      <c r="I1077">
        <f>IF(A1077="","",IFERROR(XLOOKUP(D1077,Setup!$E$15:$E$79,Setup!$G$15:$G$79),"Uncategorized"))</f>
      </c>
      <c r="J1077">
        <f>IF(A1077="","",IF(OR(H1077="Transfers",H1077="Income",D1077="Transfer",D1077="Category Pending",F1077="Pending"),"No","Yes"))</f>
      </c>
      <c r="K1077" s="4">
        <f>IF(A1077="","",TEXT(IF(DAY(A1077)&gt;=Setup!$B$9,DATE(YEAR(A1077),MONTH(A1077)+1,1),DATE(YEAR(A1077),MONTH(A1077),1)),"mmmm yyyy"))</f>
      </c>
      <c r="L1077" s="47">
        <f>IF(A1077="",0,IF(AND(J1077="Yes",E1077&lt;0),-E1077,0))</f>
      </c>
      <c r="M1077" s="47">
        <f>IF(A1077="",0,IF(AND(J1077="Yes",E1077&gt;0),E1077,0))</f>
      </c>
      <c r="N1077">
        <f>IF(A1077="","",IF(D1077="Category Pending","Needs categorization",IF(COUNTIFS($A$2:A1077,A1077,$B$2:B1077,B1077,$E$2:E1077,E1077)&gt;1,"Possible duplicate","")))</f>
      </c>
    </row>
    <row r="1078" spans="3:14" x14ac:dyDescent="0.3">
      <c r="A1078"/>
      <c r="C1078" s="16"/>
      <c r="G1078" s="5">
        <f>IF(A1078="","","Checking")</f>
      </c>
      <c r="H1078">
        <f>IF(A1078="","",IFERROR(XLOOKUP(D1078,Setup!$E$15:$E$79,Setup!$F$15:$F$79),"Miscellaneous"))</f>
      </c>
      <c r="I1078">
        <f>IF(A1078="","",IFERROR(XLOOKUP(D1078,Setup!$E$15:$E$79,Setup!$G$15:$G$79),"Uncategorized"))</f>
      </c>
      <c r="J1078">
        <f>IF(A1078="","",IF(OR(H1078="Transfers",H1078="Income",D1078="Transfer",D1078="Category Pending",F1078="Pending"),"No","Yes"))</f>
      </c>
      <c r="K1078" s="4">
        <f>IF(A1078="","",TEXT(IF(DAY(A1078)&gt;=Setup!$B$9,DATE(YEAR(A1078),MONTH(A1078)+1,1),DATE(YEAR(A1078),MONTH(A1078),1)),"mmmm yyyy"))</f>
      </c>
      <c r="L1078" s="47">
        <f>IF(A1078="",0,IF(AND(J1078="Yes",E1078&lt;0),-E1078,0))</f>
      </c>
      <c r="M1078" s="47">
        <f>IF(A1078="",0,IF(AND(J1078="Yes",E1078&gt;0),E1078,0))</f>
      </c>
      <c r="N1078">
        <f>IF(A1078="","",IF(D1078="Category Pending","Needs categorization",IF(COUNTIFS($A$2:A1078,A1078,$B$2:B1078,B1078,$E$2:E1078,E1078)&gt;1,"Possible duplicate","")))</f>
      </c>
    </row>
    <row r="1079" spans="3:14" x14ac:dyDescent="0.3">
      <c r="A1079"/>
      <c r="C1079" s="16"/>
      <c r="G1079" s="5">
        <f>IF(A1079="","","Checking")</f>
      </c>
      <c r="H1079">
        <f>IF(A1079="","",IFERROR(XLOOKUP(D1079,Setup!$E$15:$E$79,Setup!$F$15:$F$79),"Miscellaneous"))</f>
      </c>
      <c r="I1079">
        <f>IF(A1079="","",IFERROR(XLOOKUP(D1079,Setup!$E$15:$E$79,Setup!$G$15:$G$79),"Uncategorized"))</f>
      </c>
      <c r="J1079">
        <f>IF(A1079="","",IF(OR(H1079="Transfers",H1079="Income",D1079="Transfer",D1079="Category Pending",F1079="Pending"),"No","Yes"))</f>
      </c>
      <c r="K1079" s="4">
        <f>IF(A1079="","",TEXT(IF(DAY(A1079)&gt;=Setup!$B$9,DATE(YEAR(A1079),MONTH(A1079)+1,1),DATE(YEAR(A1079),MONTH(A1079),1)),"mmmm yyyy"))</f>
      </c>
      <c r="L1079" s="47">
        <f>IF(A1079="",0,IF(AND(J1079="Yes",E1079&lt;0),-E1079,0))</f>
      </c>
      <c r="M1079" s="47">
        <f>IF(A1079="",0,IF(AND(J1079="Yes",E1079&gt;0),E1079,0))</f>
      </c>
      <c r="N1079">
        <f>IF(A1079="","",IF(D1079="Category Pending","Needs categorization",IF(COUNTIFS($A$2:A1079,A1079,$B$2:B1079,B1079,$E$2:E1079,E1079)&gt;1,"Possible duplicate","")))</f>
      </c>
    </row>
    <row r="1080" spans="3:14" x14ac:dyDescent="0.3">
      <c r="A1080"/>
      <c r="C1080" s="16"/>
      <c r="G1080" s="5">
        <f>IF(A1080="","","Checking")</f>
      </c>
      <c r="H1080">
        <f>IF(A1080="","",IFERROR(XLOOKUP(D1080,Setup!$E$15:$E$79,Setup!$F$15:$F$79),"Miscellaneous"))</f>
      </c>
      <c r="I1080">
        <f>IF(A1080="","",IFERROR(XLOOKUP(D1080,Setup!$E$15:$E$79,Setup!$G$15:$G$79),"Uncategorized"))</f>
      </c>
      <c r="J1080">
        <f>IF(A1080="","",IF(OR(H1080="Transfers",H1080="Income",D1080="Transfer",D1080="Category Pending",F1080="Pending"),"No","Yes"))</f>
      </c>
      <c r="K1080" s="4">
        <f>IF(A1080="","",TEXT(IF(DAY(A1080)&gt;=Setup!$B$9,DATE(YEAR(A1080),MONTH(A1080)+1,1),DATE(YEAR(A1080),MONTH(A1080),1)),"mmmm yyyy"))</f>
      </c>
      <c r="L1080" s="47">
        <f>IF(A1080="",0,IF(AND(J1080="Yes",E1080&lt;0),-E1080,0))</f>
      </c>
      <c r="M1080" s="47">
        <f>IF(A1080="",0,IF(AND(J1080="Yes",E1080&gt;0),E1080,0))</f>
      </c>
      <c r="N1080">
        <f>IF(A1080="","",IF(D1080="Category Pending","Needs categorization",IF(COUNTIFS($A$2:A1080,A1080,$B$2:B1080,B1080,$E$2:E1080,E1080)&gt;1,"Possible duplicate","")))</f>
      </c>
    </row>
    <row r="1081" spans="3:14" x14ac:dyDescent="0.3">
      <c r="A1081"/>
      <c r="C1081" s="16"/>
      <c r="G1081" s="5">
        <f>IF(A1081="","","Checking")</f>
      </c>
      <c r="H1081">
        <f>IF(A1081="","",IFERROR(XLOOKUP(D1081,Setup!$E$15:$E$79,Setup!$F$15:$F$79),"Miscellaneous"))</f>
      </c>
      <c r="I1081">
        <f>IF(A1081="","",IFERROR(XLOOKUP(D1081,Setup!$E$15:$E$79,Setup!$G$15:$G$79),"Uncategorized"))</f>
      </c>
      <c r="J1081">
        <f>IF(A1081="","",IF(OR(H1081="Transfers",H1081="Income",D1081="Transfer",D1081="Category Pending",F1081="Pending"),"No","Yes"))</f>
      </c>
      <c r="K1081" s="4">
        <f>IF(A1081="","",TEXT(IF(DAY(A1081)&gt;=Setup!$B$9,DATE(YEAR(A1081),MONTH(A1081)+1,1),DATE(YEAR(A1081),MONTH(A1081),1)),"mmmm yyyy"))</f>
      </c>
      <c r="L1081" s="47">
        <f>IF(A1081="",0,IF(AND(J1081="Yes",E1081&lt;0),-E1081,0))</f>
      </c>
      <c r="M1081" s="47">
        <f>IF(A1081="",0,IF(AND(J1081="Yes",E1081&gt;0),E1081,0))</f>
      </c>
      <c r="N1081">
        <f>IF(A1081="","",IF(D1081="Category Pending","Needs categorization",IF(COUNTIFS($A$2:A1081,A1081,$B$2:B1081,B1081,$E$2:E1081,E1081)&gt;1,"Possible duplicate","")))</f>
      </c>
    </row>
    <row r="1082" spans="3:14" x14ac:dyDescent="0.3">
      <c r="A1082"/>
      <c r="C1082" s="16"/>
      <c r="G1082" s="5">
        <f>IF(A1082="","","Checking")</f>
      </c>
      <c r="H1082">
        <f>IF(A1082="","",IFERROR(XLOOKUP(D1082,Setup!$E$15:$E$79,Setup!$F$15:$F$79),"Miscellaneous"))</f>
      </c>
      <c r="I1082">
        <f>IF(A1082="","",IFERROR(XLOOKUP(D1082,Setup!$E$15:$E$79,Setup!$G$15:$G$79),"Uncategorized"))</f>
      </c>
      <c r="J1082">
        <f>IF(A1082="","",IF(OR(H1082="Transfers",H1082="Income",D1082="Transfer",D1082="Category Pending",F1082="Pending"),"No","Yes"))</f>
      </c>
      <c r="K1082" s="4">
        <f>IF(A1082="","",TEXT(IF(DAY(A1082)&gt;=Setup!$B$9,DATE(YEAR(A1082),MONTH(A1082)+1,1),DATE(YEAR(A1082),MONTH(A1082),1)),"mmmm yyyy"))</f>
      </c>
      <c r="L1082" s="47">
        <f>IF(A1082="",0,IF(AND(J1082="Yes",E1082&lt;0),-E1082,0))</f>
      </c>
      <c r="M1082" s="47">
        <f>IF(A1082="",0,IF(AND(J1082="Yes",E1082&gt;0),E1082,0))</f>
      </c>
      <c r="N1082">
        <f>IF(A1082="","",IF(D1082="Category Pending","Needs categorization",IF(COUNTIFS($A$2:A1082,A1082,$B$2:B1082,B1082,$E$2:E1082,E1082)&gt;1,"Possible duplicate","")))</f>
      </c>
    </row>
    <row r="1083" spans="3:14" x14ac:dyDescent="0.3">
      <c r="A1083"/>
      <c r="C1083" s="16"/>
      <c r="G1083" s="5">
        <f>IF(A1083="","","Checking")</f>
      </c>
      <c r="H1083">
        <f>IF(A1083="","",IFERROR(XLOOKUP(D1083,Setup!$E$15:$E$79,Setup!$F$15:$F$79),"Miscellaneous"))</f>
      </c>
      <c r="I1083">
        <f>IF(A1083="","",IFERROR(XLOOKUP(D1083,Setup!$E$15:$E$79,Setup!$G$15:$G$79),"Uncategorized"))</f>
      </c>
      <c r="J1083">
        <f>IF(A1083="","",IF(OR(H1083="Transfers",H1083="Income",D1083="Transfer",D1083="Category Pending",F1083="Pending"),"No","Yes"))</f>
      </c>
      <c r="K1083" s="4">
        <f>IF(A1083="","",TEXT(IF(DAY(A1083)&gt;=Setup!$B$9,DATE(YEAR(A1083),MONTH(A1083)+1,1),DATE(YEAR(A1083),MONTH(A1083),1)),"mmmm yyyy"))</f>
      </c>
      <c r="L1083" s="47">
        <f>IF(A1083="",0,IF(AND(J1083="Yes",E1083&lt;0),-E1083,0))</f>
      </c>
      <c r="M1083" s="47">
        <f>IF(A1083="",0,IF(AND(J1083="Yes",E1083&gt;0),E1083,0))</f>
      </c>
      <c r="N1083">
        <f>IF(A1083="","",IF(D1083="Category Pending","Needs categorization",IF(COUNTIFS($A$2:A1083,A1083,$B$2:B1083,B1083,$E$2:E1083,E1083)&gt;1,"Possible duplicate","")))</f>
      </c>
    </row>
    <row r="1084" spans="3:14" x14ac:dyDescent="0.3">
      <c r="A1084"/>
      <c r="C1084" s="16"/>
      <c r="G1084" s="5">
        <f>IF(A1084="","","Checking")</f>
      </c>
      <c r="H1084">
        <f>IF(A1084="","",IFERROR(XLOOKUP(D1084,Setup!$E$15:$E$79,Setup!$F$15:$F$79),"Miscellaneous"))</f>
      </c>
      <c r="I1084">
        <f>IF(A1084="","",IFERROR(XLOOKUP(D1084,Setup!$E$15:$E$79,Setup!$G$15:$G$79),"Uncategorized"))</f>
      </c>
      <c r="J1084">
        <f>IF(A1084="","",IF(OR(H1084="Transfers",H1084="Income",D1084="Transfer",D1084="Category Pending",F1084="Pending"),"No","Yes"))</f>
      </c>
      <c r="K1084" s="4">
        <f>IF(A1084="","",TEXT(IF(DAY(A1084)&gt;=Setup!$B$9,DATE(YEAR(A1084),MONTH(A1084)+1,1),DATE(YEAR(A1084),MONTH(A1084),1)),"mmmm yyyy"))</f>
      </c>
      <c r="L1084" s="47">
        <f>IF(A1084="",0,IF(AND(J1084="Yes",E1084&lt;0),-E1084,0))</f>
      </c>
      <c r="M1084" s="47">
        <f>IF(A1084="",0,IF(AND(J1084="Yes",E1084&gt;0),E1084,0))</f>
      </c>
      <c r="N1084">
        <f>IF(A1084="","",IF(D1084="Category Pending","Needs categorization",IF(COUNTIFS($A$2:A1084,A1084,$B$2:B1084,B1084,$E$2:E1084,E1084)&gt;1,"Possible duplicate","")))</f>
      </c>
    </row>
    <row r="1085" spans="3:14" x14ac:dyDescent="0.3">
      <c r="A1085"/>
      <c r="C1085" s="16"/>
      <c r="G1085" s="5">
        <f>IF(A1085="","","Checking")</f>
      </c>
      <c r="H1085">
        <f>IF(A1085="","",IFERROR(XLOOKUP(D1085,Setup!$E$15:$E$79,Setup!$F$15:$F$79),"Miscellaneous"))</f>
      </c>
      <c r="I1085">
        <f>IF(A1085="","",IFERROR(XLOOKUP(D1085,Setup!$E$15:$E$79,Setup!$G$15:$G$79),"Uncategorized"))</f>
      </c>
      <c r="J1085">
        <f>IF(A1085="","",IF(OR(H1085="Transfers",H1085="Income",D1085="Transfer",D1085="Category Pending",F1085="Pending"),"No","Yes"))</f>
      </c>
      <c r="K1085" s="4">
        <f>IF(A1085="","",TEXT(IF(DAY(A1085)&gt;=Setup!$B$9,DATE(YEAR(A1085),MONTH(A1085)+1,1),DATE(YEAR(A1085),MONTH(A1085),1)),"mmmm yyyy"))</f>
      </c>
      <c r="L1085" s="47">
        <f>IF(A1085="",0,IF(AND(J1085="Yes",E1085&lt;0),-E1085,0))</f>
      </c>
      <c r="M1085" s="47">
        <f>IF(A1085="",0,IF(AND(J1085="Yes",E1085&gt;0),E1085,0))</f>
      </c>
      <c r="N1085">
        <f>IF(A1085="","",IF(D1085="Category Pending","Needs categorization",IF(COUNTIFS($A$2:A1085,A1085,$B$2:B1085,B1085,$E$2:E1085,E1085)&gt;1,"Possible duplicate","")))</f>
      </c>
    </row>
    <row r="1086" spans="3:14" x14ac:dyDescent="0.3">
      <c r="A1086"/>
      <c r="C1086" s="16"/>
      <c r="G1086" s="5">
        <f>IF(A1086="","","Checking")</f>
      </c>
      <c r="H1086">
        <f>IF(A1086="","",IFERROR(XLOOKUP(D1086,Setup!$E$15:$E$79,Setup!$F$15:$F$79),"Miscellaneous"))</f>
      </c>
      <c r="I1086">
        <f>IF(A1086="","",IFERROR(XLOOKUP(D1086,Setup!$E$15:$E$79,Setup!$G$15:$G$79),"Uncategorized"))</f>
      </c>
      <c r="J1086">
        <f>IF(A1086="","",IF(OR(H1086="Transfers",H1086="Income",D1086="Transfer",D1086="Category Pending",F1086="Pending"),"No","Yes"))</f>
      </c>
      <c r="K1086" s="4">
        <f>IF(A1086="","",TEXT(IF(DAY(A1086)&gt;=Setup!$B$9,DATE(YEAR(A1086),MONTH(A1086)+1,1),DATE(YEAR(A1086),MONTH(A1086),1)),"mmmm yyyy"))</f>
      </c>
      <c r="L1086" s="47">
        <f>IF(A1086="",0,IF(AND(J1086="Yes",E1086&lt;0),-E1086,0))</f>
      </c>
      <c r="M1086" s="47">
        <f>IF(A1086="",0,IF(AND(J1086="Yes",E1086&gt;0),E1086,0))</f>
      </c>
      <c r="N1086">
        <f>IF(A1086="","",IF(D1086="Category Pending","Needs categorization",IF(COUNTIFS($A$2:A1086,A1086,$B$2:B1086,B1086,$E$2:E1086,E1086)&gt;1,"Possible duplicate","")))</f>
      </c>
    </row>
    <row r="1087" spans="3:14" x14ac:dyDescent="0.3">
      <c r="A1087"/>
      <c r="C1087" s="16"/>
      <c r="G1087" s="5">
        <f>IF(A1087="","","Checking")</f>
      </c>
      <c r="H1087">
        <f>IF(A1087="","",IFERROR(XLOOKUP(D1087,Setup!$E$15:$E$79,Setup!$F$15:$F$79),"Miscellaneous"))</f>
      </c>
      <c r="I1087">
        <f>IF(A1087="","",IFERROR(XLOOKUP(D1087,Setup!$E$15:$E$79,Setup!$G$15:$G$79),"Uncategorized"))</f>
      </c>
      <c r="J1087">
        <f>IF(A1087="","",IF(OR(H1087="Transfers",H1087="Income",D1087="Transfer",D1087="Category Pending",F1087="Pending"),"No","Yes"))</f>
      </c>
      <c r="K1087" s="4">
        <f>IF(A1087="","",TEXT(IF(DAY(A1087)&gt;=Setup!$B$9,DATE(YEAR(A1087),MONTH(A1087)+1,1),DATE(YEAR(A1087),MONTH(A1087),1)),"mmmm yyyy"))</f>
      </c>
      <c r="L1087" s="47">
        <f>IF(A1087="",0,IF(AND(J1087="Yes",E1087&lt;0),-E1087,0))</f>
      </c>
      <c r="M1087" s="47">
        <f>IF(A1087="",0,IF(AND(J1087="Yes",E1087&gt;0),E1087,0))</f>
      </c>
      <c r="N1087">
        <f>IF(A1087="","",IF(D1087="Category Pending","Needs categorization",IF(COUNTIFS($A$2:A1087,A1087,$B$2:B1087,B1087,$E$2:E1087,E1087)&gt;1,"Possible duplicate","")))</f>
      </c>
    </row>
    <row r="1088" spans="3:14" x14ac:dyDescent="0.3">
      <c r="A1088"/>
      <c r="C1088" s="16"/>
      <c r="G1088" s="5">
        <f>IF(A1088="","","Checking")</f>
      </c>
      <c r="H1088">
        <f>IF(A1088="","",IFERROR(XLOOKUP(D1088,Setup!$E$15:$E$79,Setup!$F$15:$F$79),"Miscellaneous"))</f>
      </c>
      <c r="I1088">
        <f>IF(A1088="","",IFERROR(XLOOKUP(D1088,Setup!$E$15:$E$79,Setup!$G$15:$G$79),"Uncategorized"))</f>
      </c>
      <c r="J1088">
        <f>IF(A1088="","",IF(OR(H1088="Transfers",H1088="Income",D1088="Transfer",D1088="Category Pending",F1088="Pending"),"No","Yes"))</f>
      </c>
      <c r="K1088" s="4">
        <f>IF(A1088="","",TEXT(IF(DAY(A1088)&gt;=Setup!$B$9,DATE(YEAR(A1088),MONTH(A1088)+1,1),DATE(YEAR(A1088),MONTH(A1088),1)),"mmmm yyyy"))</f>
      </c>
      <c r="L1088" s="47">
        <f>IF(A1088="",0,IF(AND(J1088="Yes",E1088&lt;0),-E1088,0))</f>
      </c>
      <c r="M1088" s="47">
        <f>IF(A1088="",0,IF(AND(J1088="Yes",E1088&gt;0),E1088,0))</f>
      </c>
      <c r="N1088">
        <f>IF(A1088="","",IF(D1088="Category Pending","Needs categorization",IF(COUNTIFS($A$2:A1088,A1088,$B$2:B1088,B1088,$E$2:E1088,E1088)&gt;1,"Possible duplicate","")))</f>
      </c>
    </row>
    <row r="1089" spans="3:14" x14ac:dyDescent="0.3">
      <c r="A1089"/>
      <c r="C1089" s="16"/>
      <c r="G1089" s="5">
        <f>IF(A1089="","","Checking")</f>
      </c>
      <c r="H1089">
        <f>IF(A1089="","",IFERROR(XLOOKUP(D1089,Setup!$E$15:$E$79,Setup!$F$15:$F$79),"Miscellaneous"))</f>
      </c>
      <c r="I1089">
        <f>IF(A1089="","",IFERROR(XLOOKUP(D1089,Setup!$E$15:$E$79,Setup!$G$15:$G$79),"Uncategorized"))</f>
      </c>
      <c r="J1089">
        <f>IF(A1089="","",IF(OR(H1089="Transfers",H1089="Income",D1089="Transfer",D1089="Category Pending",F1089="Pending"),"No","Yes"))</f>
      </c>
      <c r="K1089" s="4">
        <f>IF(A1089="","",TEXT(IF(DAY(A1089)&gt;=Setup!$B$9,DATE(YEAR(A1089),MONTH(A1089)+1,1),DATE(YEAR(A1089),MONTH(A1089),1)),"mmmm yyyy"))</f>
      </c>
      <c r="L1089" s="47">
        <f>IF(A1089="",0,IF(AND(J1089="Yes",E1089&lt;0),-E1089,0))</f>
      </c>
      <c r="M1089" s="47">
        <f>IF(A1089="",0,IF(AND(J1089="Yes",E1089&gt;0),E1089,0))</f>
      </c>
      <c r="N1089">
        <f>IF(A1089="","",IF(D1089="Category Pending","Needs categorization",IF(COUNTIFS($A$2:A1089,A1089,$B$2:B1089,B1089,$E$2:E1089,E1089)&gt;1,"Possible duplicate","")))</f>
      </c>
    </row>
    <row r="1090" spans="3:14" x14ac:dyDescent="0.3">
      <c r="A1090"/>
      <c r="C1090" s="16"/>
      <c r="G1090" s="5">
        <f>IF(A1090="","","Checking")</f>
      </c>
      <c r="H1090">
        <f>IF(A1090="","",IFERROR(XLOOKUP(D1090,Setup!$E$15:$E$79,Setup!$F$15:$F$79),"Miscellaneous"))</f>
      </c>
      <c r="I1090">
        <f>IF(A1090="","",IFERROR(XLOOKUP(D1090,Setup!$E$15:$E$79,Setup!$G$15:$G$79),"Uncategorized"))</f>
      </c>
      <c r="J1090">
        <f>IF(A1090="","",IF(OR(H1090="Transfers",H1090="Income",D1090="Transfer",D1090="Category Pending",F1090="Pending"),"No","Yes"))</f>
      </c>
      <c r="K1090" s="4">
        <f>IF(A1090="","",TEXT(IF(DAY(A1090)&gt;=Setup!$B$9,DATE(YEAR(A1090),MONTH(A1090)+1,1),DATE(YEAR(A1090),MONTH(A1090),1)),"mmmm yyyy"))</f>
      </c>
      <c r="L1090" s="47">
        <f>IF(A1090="",0,IF(AND(J1090="Yes",E1090&lt;0),-E1090,0))</f>
      </c>
      <c r="M1090" s="47">
        <f>IF(A1090="",0,IF(AND(J1090="Yes",E1090&gt;0),E1090,0))</f>
      </c>
      <c r="N1090">
        <f>IF(A1090="","",IF(D1090="Category Pending","Needs categorization",IF(COUNTIFS($A$2:A1090,A1090,$B$2:B1090,B1090,$E$2:E1090,E1090)&gt;1,"Possible duplicate","")))</f>
      </c>
    </row>
    <row r="1091" spans="3:14" x14ac:dyDescent="0.3">
      <c r="A1091"/>
      <c r="C1091" s="16"/>
      <c r="G1091" s="5">
        <f>IF(A1091="","","Checking")</f>
      </c>
      <c r="H1091">
        <f>IF(A1091="","",IFERROR(XLOOKUP(D1091,Setup!$E$15:$E$79,Setup!$F$15:$F$79),"Miscellaneous"))</f>
      </c>
      <c r="I1091">
        <f>IF(A1091="","",IFERROR(XLOOKUP(D1091,Setup!$E$15:$E$79,Setup!$G$15:$G$79),"Uncategorized"))</f>
      </c>
      <c r="J1091">
        <f>IF(A1091="","",IF(OR(H1091="Transfers",H1091="Income",D1091="Transfer",D1091="Category Pending",F1091="Pending"),"No","Yes"))</f>
      </c>
      <c r="K1091" s="4">
        <f>IF(A1091="","",TEXT(IF(DAY(A1091)&gt;=Setup!$B$9,DATE(YEAR(A1091),MONTH(A1091)+1,1),DATE(YEAR(A1091),MONTH(A1091),1)),"mmmm yyyy"))</f>
      </c>
      <c r="L1091" s="47">
        <f>IF(A1091="",0,IF(AND(J1091="Yes",E1091&lt;0),-E1091,0))</f>
      </c>
      <c r="M1091" s="47">
        <f>IF(A1091="",0,IF(AND(J1091="Yes",E1091&gt;0),E1091,0))</f>
      </c>
      <c r="N1091">
        <f>IF(A1091="","",IF(D1091="Category Pending","Needs categorization",IF(COUNTIFS($A$2:A1091,A1091,$B$2:B1091,B1091,$E$2:E1091,E1091)&gt;1,"Possible duplicate","")))</f>
      </c>
    </row>
    <row r="1092" spans="3:14" x14ac:dyDescent="0.3">
      <c r="A1092"/>
      <c r="C1092" s="16"/>
      <c r="G1092" s="5">
        <f>IF(A1092="","","Checking")</f>
      </c>
      <c r="H1092">
        <f>IF(A1092="","",IFERROR(XLOOKUP(D1092,Setup!$E$15:$E$79,Setup!$F$15:$F$79),"Miscellaneous"))</f>
      </c>
      <c r="I1092">
        <f>IF(A1092="","",IFERROR(XLOOKUP(D1092,Setup!$E$15:$E$79,Setup!$G$15:$G$79),"Uncategorized"))</f>
      </c>
      <c r="J1092">
        <f>IF(A1092="","",IF(OR(H1092="Transfers",H1092="Income",D1092="Transfer",D1092="Category Pending",F1092="Pending"),"No","Yes"))</f>
      </c>
      <c r="K1092" s="4">
        <f>IF(A1092="","",TEXT(IF(DAY(A1092)&gt;=Setup!$B$9,DATE(YEAR(A1092),MONTH(A1092)+1,1),DATE(YEAR(A1092),MONTH(A1092),1)),"mmmm yyyy"))</f>
      </c>
      <c r="L1092" s="47">
        <f>IF(A1092="",0,IF(AND(J1092="Yes",E1092&lt;0),-E1092,0))</f>
      </c>
      <c r="M1092" s="47">
        <f>IF(A1092="",0,IF(AND(J1092="Yes",E1092&gt;0),E1092,0))</f>
      </c>
      <c r="N1092">
        <f>IF(A1092="","",IF(D1092="Category Pending","Needs categorization",IF(COUNTIFS($A$2:A1092,A1092,$B$2:B1092,B1092,$E$2:E1092,E1092)&gt;1,"Possible duplicate","")))</f>
      </c>
    </row>
    <row r="1093" spans="3:14" x14ac:dyDescent="0.3">
      <c r="A1093"/>
      <c r="C1093" s="16"/>
      <c r="G1093" s="5">
        <f>IF(A1093="","","Checking")</f>
      </c>
      <c r="H1093">
        <f>IF(A1093="","",IFERROR(XLOOKUP(D1093,Setup!$E$15:$E$79,Setup!$F$15:$F$79),"Miscellaneous"))</f>
      </c>
      <c r="I1093">
        <f>IF(A1093="","",IFERROR(XLOOKUP(D1093,Setup!$E$15:$E$79,Setup!$G$15:$G$79),"Uncategorized"))</f>
      </c>
      <c r="J1093">
        <f>IF(A1093="","",IF(OR(H1093="Transfers",H1093="Income",D1093="Transfer",D1093="Category Pending",F1093="Pending"),"No","Yes"))</f>
      </c>
      <c r="K1093" s="4">
        <f>IF(A1093="","",TEXT(IF(DAY(A1093)&gt;=Setup!$B$9,DATE(YEAR(A1093),MONTH(A1093)+1,1),DATE(YEAR(A1093),MONTH(A1093),1)),"mmmm yyyy"))</f>
      </c>
      <c r="L1093" s="47">
        <f>IF(A1093="",0,IF(AND(J1093="Yes",E1093&lt;0),-E1093,0))</f>
      </c>
      <c r="M1093" s="47">
        <f>IF(A1093="",0,IF(AND(J1093="Yes",E1093&gt;0),E1093,0))</f>
      </c>
      <c r="N1093">
        <f>IF(A1093="","",IF(D1093="Category Pending","Needs categorization",IF(COUNTIFS($A$2:A1093,A1093,$B$2:B1093,B1093,$E$2:E1093,E1093)&gt;1,"Possible duplicate","")))</f>
      </c>
    </row>
    <row r="1094" spans="3:14" x14ac:dyDescent="0.3">
      <c r="A1094"/>
      <c r="C1094" s="16"/>
      <c r="G1094" s="5">
        <f>IF(A1094="","","Checking")</f>
      </c>
      <c r="H1094">
        <f>IF(A1094="","",IFERROR(XLOOKUP(D1094,Setup!$E$15:$E$79,Setup!$F$15:$F$79),"Miscellaneous"))</f>
      </c>
      <c r="I1094">
        <f>IF(A1094="","",IFERROR(XLOOKUP(D1094,Setup!$E$15:$E$79,Setup!$G$15:$G$79),"Uncategorized"))</f>
      </c>
      <c r="J1094">
        <f>IF(A1094="","",IF(OR(H1094="Transfers",H1094="Income",D1094="Transfer",D1094="Category Pending",F1094="Pending"),"No","Yes"))</f>
      </c>
      <c r="K1094" s="4">
        <f>IF(A1094="","",TEXT(IF(DAY(A1094)&gt;=Setup!$B$9,DATE(YEAR(A1094),MONTH(A1094)+1,1),DATE(YEAR(A1094),MONTH(A1094),1)),"mmmm yyyy"))</f>
      </c>
      <c r="L1094" s="47">
        <f>IF(A1094="",0,IF(AND(J1094="Yes",E1094&lt;0),-E1094,0))</f>
      </c>
      <c r="M1094" s="47">
        <f>IF(A1094="",0,IF(AND(J1094="Yes",E1094&gt;0),E1094,0))</f>
      </c>
      <c r="N1094">
        <f>IF(A1094="","",IF(D1094="Category Pending","Needs categorization",IF(COUNTIFS($A$2:A1094,A1094,$B$2:B1094,B1094,$E$2:E1094,E1094)&gt;1,"Possible duplicate","")))</f>
      </c>
    </row>
    <row r="1095" spans="3:14" x14ac:dyDescent="0.3">
      <c r="A1095"/>
      <c r="C1095" s="16"/>
      <c r="G1095" s="5">
        <f>IF(A1095="","","Checking")</f>
      </c>
      <c r="H1095">
        <f>IF(A1095="","",IFERROR(XLOOKUP(D1095,Setup!$E$15:$E$79,Setup!$F$15:$F$79),"Miscellaneous"))</f>
      </c>
      <c r="I1095">
        <f>IF(A1095="","",IFERROR(XLOOKUP(D1095,Setup!$E$15:$E$79,Setup!$G$15:$G$79),"Uncategorized"))</f>
      </c>
      <c r="J1095">
        <f>IF(A1095="","",IF(OR(H1095="Transfers",H1095="Income",D1095="Transfer",D1095="Category Pending",F1095="Pending"),"No","Yes"))</f>
      </c>
      <c r="K1095" s="4">
        <f>IF(A1095="","",TEXT(IF(DAY(A1095)&gt;=Setup!$B$9,DATE(YEAR(A1095),MONTH(A1095)+1,1),DATE(YEAR(A1095),MONTH(A1095),1)),"mmmm yyyy"))</f>
      </c>
      <c r="L1095" s="47">
        <f>IF(A1095="",0,IF(AND(J1095="Yes",E1095&lt;0),-E1095,0))</f>
      </c>
      <c r="M1095" s="47">
        <f>IF(A1095="",0,IF(AND(J1095="Yes",E1095&gt;0),E1095,0))</f>
      </c>
      <c r="N1095">
        <f>IF(A1095="","",IF(D1095="Category Pending","Needs categorization",IF(COUNTIFS($A$2:A1095,A1095,$B$2:B1095,B1095,$E$2:E1095,E1095)&gt;1,"Possible duplicate","")))</f>
      </c>
    </row>
    <row r="1096" spans="3:14" x14ac:dyDescent="0.3">
      <c r="A1096"/>
      <c r="C1096" s="16"/>
      <c r="G1096" s="5">
        <f>IF(A1096="","","Checking")</f>
      </c>
      <c r="H1096">
        <f>IF(A1096="","",IFERROR(XLOOKUP(D1096,Setup!$E$15:$E$79,Setup!$F$15:$F$79),"Miscellaneous"))</f>
      </c>
      <c r="I1096">
        <f>IF(A1096="","",IFERROR(XLOOKUP(D1096,Setup!$E$15:$E$79,Setup!$G$15:$G$79),"Uncategorized"))</f>
      </c>
      <c r="J1096">
        <f>IF(A1096="","",IF(OR(H1096="Transfers",H1096="Income",D1096="Transfer",D1096="Category Pending",F1096="Pending"),"No","Yes"))</f>
      </c>
      <c r="K1096" s="4">
        <f>IF(A1096="","",TEXT(IF(DAY(A1096)&gt;=Setup!$B$9,DATE(YEAR(A1096),MONTH(A1096)+1,1),DATE(YEAR(A1096),MONTH(A1096),1)),"mmmm yyyy"))</f>
      </c>
      <c r="L1096" s="47">
        <f>IF(A1096="",0,IF(AND(J1096="Yes",E1096&lt;0),-E1096,0))</f>
      </c>
      <c r="M1096" s="47">
        <f>IF(A1096="",0,IF(AND(J1096="Yes",E1096&gt;0),E1096,0))</f>
      </c>
      <c r="N1096">
        <f>IF(A1096="","",IF(D1096="Category Pending","Needs categorization",IF(COUNTIFS($A$2:A1096,A1096,$B$2:B1096,B1096,$E$2:E1096,E1096)&gt;1,"Possible duplicate","")))</f>
      </c>
    </row>
    <row r="1097" spans="3:14" x14ac:dyDescent="0.3">
      <c r="A1097"/>
      <c r="C1097" s="16"/>
      <c r="G1097" s="5">
        <f>IF(A1097="","","Checking")</f>
      </c>
      <c r="H1097">
        <f>IF(A1097="","",IFERROR(XLOOKUP(D1097,Setup!$E$15:$E$79,Setup!$F$15:$F$79),"Miscellaneous"))</f>
      </c>
      <c r="I1097">
        <f>IF(A1097="","",IFERROR(XLOOKUP(D1097,Setup!$E$15:$E$79,Setup!$G$15:$G$79),"Uncategorized"))</f>
      </c>
      <c r="J1097">
        <f>IF(A1097="","",IF(OR(H1097="Transfers",H1097="Income",D1097="Transfer",D1097="Category Pending",F1097="Pending"),"No","Yes"))</f>
      </c>
      <c r="K1097" s="4">
        <f>IF(A1097="","",TEXT(IF(DAY(A1097)&gt;=Setup!$B$9,DATE(YEAR(A1097),MONTH(A1097)+1,1),DATE(YEAR(A1097),MONTH(A1097),1)),"mmmm yyyy"))</f>
      </c>
      <c r="L1097" s="47">
        <f>IF(A1097="",0,IF(AND(J1097="Yes",E1097&lt;0),-E1097,0))</f>
      </c>
      <c r="M1097" s="47">
        <f>IF(A1097="",0,IF(AND(J1097="Yes",E1097&gt;0),E1097,0))</f>
      </c>
      <c r="N1097">
        <f>IF(A1097="","",IF(D1097="Category Pending","Needs categorization",IF(COUNTIFS($A$2:A1097,A1097,$B$2:B1097,B1097,$E$2:E1097,E1097)&gt;1,"Possible duplicate","")))</f>
      </c>
    </row>
    <row r="1098" spans="3:14" x14ac:dyDescent="0.3">
      <c r="A1098"/>
      <c r="C1098" s="16"/>
      <c r="G1098" s="5">
        <f>IF(A1098="","","Checking")</f>
      </c>
      <c r="H1098">
        <f>IF(A1098="","",IFERROR(XLOOKUP(D1098,Setup!$E$15:$E$79,Setup!$F$15:$F$79),"Miscellaneous"))</f>
      </c>
      <c r="I1098">
        <f>IF(A1098="","",IFERROR(XLOOKUP(D1098,Setup!$E$15:$E$79,Setup!$G$15:$G$79),"Uncategorized"))</f>
      </c>
      <c r="J1098">
        <f>IF(A1098="","",IF(OR(H1098="Transfers",H1098="Income",D1098="Transfer",D1098="Category Pending",F1098="Pending"),"No","Yes"))</f>
      </c>
      <c r="K1098" s="4">
        <f>IF(A1098="","",TEXT(IF(DAY(A1098)&gt;=Setup!$B$9,DATE(YEAR(A1098),MONTH(A1098)+1,1),DATE(YEAR(A1098),MONTH(A1098),1)),"mmmm yyyy"))</f>
      </c>
      <c r="L1098" s="47">
        <f>IF(A1098="",0,IF(AND(J1098="Yes",E1098&lt;0),-E1098,0))</f>
      </c>
      <c r="M1098" s="47">
        <f>IF(A1098="",0,IF(AND(J1098="Yes",E1098&gt;0),E1098,0))</f>
      </c>
      <c r="N1098">
        <f>IF(A1098="","",IF(D1098="Category Pending","Needs categorization",IF(COUNTIFS($A$2:A1098,A1098,$B$2:B1098,B1098,$E$2:E1098,E1098)&gt;1,"Possible duplicate","")))</f>
      </c>
    </row>
    <row r="1099" spans="3:14" x14ac:dyDescent="0.3">
      <c r="A1099"/>
      <c r="C1099" s="16"/>
      <c r="G1099" s="5">
        <f>IF(A1099="","","Checking")</f>
      </c>
      <c r="H1099">
        <f>IF(A1099="","",IFERROR(XLOOKUP(D1099,Setup!$E$15:$E$79,Setup!$F$15:$F$79),"Miscellaneous"))</f>
      </c>
      <c r="I1099">
        <f>IF(A1099="","",IFERROR(XLOOKUP(D1099,Setup!$E$15:$E$79,Setup!$G$15:$G$79),"Uncategorized"))</f>
      </c>
      <c r="J1099">
        <f>IF(A1099="","",IF(OR(H1099="Transfers",H1099="Income",D1099="Transfer",D1099="Category Pending",F1099="Pending"),"No","Yes"))</f>
      </c>
      <c r="K1099" s="4">
        <f>IF(A1099="","",TEXT(IF(DAY(A1099)&gt;=Setup!$B$9,DATE(YEAR(A1099),MONTH(A1099)+1,1),DATE(YEAR(A1099),MONTH(A1099),1)),"mmmm yyyy"))</f>
      </c>
      <c r="L1099" s="47">
        <f>IF(A1099="",0,IF(AND(J1099="Yes",E1099&lt;0),-E1099,0))</f>
      </c>
      <c r="M1099" s="47">
        <f>IF(A1099="",0,IF(AND(J1099="Yes",E1099&gt;0),E1099,0))</f>
      </c>
      <c r="N1099">
        <f>IF(A1099="","",IF(D1099="Category Pending","Needs categorization",IF(COUNTIFS($A$2:A1099,A1099,$B$2:B1099,B1099,$E$2:E1099,E1099)&gt;1,"Possible duplicate","")))</f>
      </c>
    </row>
    <row r="1100" spans="3:14" x14ac:dyDescent="0.3">
      <c r="A1100"/>
      <c r="C1100" s="16"/>
      <c r="G1100" s="5">
        <f>IF(A1100="","","Checking")</f>
      </c>
      <c r="H1100">
        <f>IF(A1100="","",IFERROR(XLOOKUP(D1100,Setup!$E$15:$E$79,Setup!$F$15:$F$79),"Miscellaneous"))</f>
      </c>
      <c r="I1100">
        <f>IF(A1100="","",IFERROR(XLOOKUP(D1100,Setup!$E$15:$E$79,Setup!$G$15:$G$79),"Uncategorized"))</f>
      </c>
      <c r="J1100">
        <f>IF(A1100="","",IF(OR(H1100="Transfers",H1100="Income",D1100="Transfer",D1100="Category Pending",F1100="Pending"),"No","Yes"))</f>
      </c>
      <c r="K1100" s="4">
        <f>IF(A1100="","",TEXT(IF(DAY(A1100)&gt;=Setup!$B$9,DATE(YEAR(A1100),MONTH(A1100)+1,1),DATE(YEAR(A1100),MONTH(A1100),1)),"mmmm yyyy"))</f>
      </c>
      <c r="L1100" s="47">
        <f>IF(A1100="",0,IF(AND(J1100="Yes",E1100&lt;0),-E1100,0))</f>
      </c>
      <c r="M1100" s="47">
        <f>IF(A1100="",0,IF(AND(J1100="Yes",E1100&gt;0),E1100,0))</f>
      </c>
      <c r="N1100">
        <f>IF(A1100="","",IF(D1100="Category Pending","Needs categorization",IF(COUNTIFS($A$2:A1100,A1100,$B$2:B1100,B1100,$E$2:E1100,E1100)&gt;1,"Possible duplicate","")))</f>
      </c>
    </row>
    <row r="1101" spans="3:14" x14ac:dyDescent="0.3">
      <c r="A1101"/>
      <c r="C1101" s="16"/>
      <c r="G1101" s="5">
        <f>IF(A1101="","","Checking")</f>
      </c>
      <c r="H1101">
        <f>IF(A1101="","",IFERROR(XLOOKUP(D1101,Setup!$E$15:$E$79,Setup!$F$15:$F$79),"Miscellaneous"))</f>
      </c>
      <c r="I1101">
        <f>IF(A1101="","",IFERROR(XLOOKUP(D1101,Setup!$E$15:$E$79,Setup!$G$15:$G$79),"Uncategorized"))</f>
      </c>
      <c r="J1101">
        <f>IF(A1101="","",IF(OR(H1101="Transfers",H1101="Income",D1101="Transfer",D1101="Category Pending",F1101="Pending"),"No","Yes"))</f>
      </c>
      <c r="K1101" s="4">
        <f>IF(A1101="","",TEXT(IF(DAY(A1101)&gt;=Setup!$B$9,DATE(YEAR(A1101),MONTH(A1101)+1,1),DATE(YEAR(A1101),MONTH(A1101),1)),"mmmm yyyy"))</f>
      </c>
      <c r="L1101" s="47">
        <f>IF(A1101="",0,IF(AND(J1101="Yes",E1101&lt;0),-E1101,0))</f>
      </c>
      <c r="M1101" s="47">
        <f>IF(A1101="",0,IF(AND(J1101="Yes",E1101&gt;0),E1101,0))</f>
      </c>
      <c r="N1101">
        <f>IF(A1101="","",IF(D1101="Category Pending","Needs categorization",IF(COUNTIFS($A$2:A1101,A1101,$B$2:B1101,B1101,$E$2:E1101,E1101)&gt;1,"Possible duplicate","")))</f>
      </c>
    </row>
    <row r="1102" spans="3:14" x14ac:dyDescent="0.3">
      <c r="A1102"/>
      <c r="C1102" s="16"/>
      <c r="G1102" s="5">
        <f>IF(A1102="","","Checking")</f>
      </c>
      <c r="H1102">
        <f>IF(A1102="","",IFERROR(XLOOKUP(D1102,Setup!$E$15:$E$79,Setup!$F$15:$F$79),"Miscellaneous"))</f>
      </c>
      <c r="I1102">
        <f>IF(A1102="","",IFERROR(XLOOKUP(D1102,Setup!$E$15:$E$79,Setup!$G$15:$G$79),"Uncategorized"))</f>
      </c>
      <c r="J1102">
        <f>IF(A1102="","",IF(OR(H1102="Transfers",H1102="Income",D1102="Transfer",D1102="Category Pending",F1102="Pending"),"No","Yes"))</f>
      </c>
      <c r="K1102" s="4">
        <f>IF(A1102="","",TEXT(IF(DAY(A1102)&gt;=Setup!$B$9,DATE(YEAR(A1102),MONTH(A1102)+1,1),DATE(YEAR(A1102),MONTH(A1102),1)),"mmmm yyyy"))</f>
      </c>
      <c r="L1102" s="47">
        <f>IF(A1102="",0,IF(AND(J1102="Yes",E1102&lt;0),-E1102,0))</f>
      </c>
      <c r="M1102" s="47">
        <f>IF(A1102="",0,IF(AND(J1102="Yes",E1102&gt;0),E1102,0))</f>
      </c>
      <c r="N1102">
        <f>IF(A1102="","",IF(D1102="Category Pending","Needs categorization",IF(COUNTIFS($A$2:A1102,A1102,$B$2:B1102,B1102,$E$2:E1102,E1102)&gt;1,"Possible duplicate","")))</f>
      </c>
    </row>
    <row r="1103" spans="3:14" x14ac:dyDescent="0.3">
      <c r="A1103"/>
      <c r="C1103" s="16"/>
      <c r="G1103" s="5">
        <f>IF(A1103="","","Checking")</f>
      </c>
      <c r="H1103">
        <f>IF(A1103="","",IFERROR(XLOOKUP(D1103,Setup!$E$15:$E$79,Setup!$F$15:$F$79),"Miscellaneous"))</f>
      </c>
      <c r="I1103">
        <f>IF(A1103="","",IFERROR(XLOOKUP(D1103,Setup!$E$15:$E$79,Setup!$G$15:$G$79),"Uncategorized"))</f>
      </c>
      <c r="J1103">
        <f>IF(A1103="","",IF(OR(H1103="Transfers",H1103="Income",D1103="Transfer",D1103="Category Pending",F1103="Pending"),"No","Yes"))</f>
      </c>
      <c r="K1103" s="4">
        <f>IF(A1103="","",TEXT(IF(DAY(A1103)&gt;=Setup!$B$9,DATE(YEAR(A1103),MONTH(A1103)+1,1),DATE(YEAR(A1103),MONTH(A1103),1)),"mmmm yyyy"))</f>
      </c>
      <c r="L1103" s="47">
        <f>IF(A1103="",0,IF(AND(J1103="Yes",E1103&lt;0),-E1103,0))</f>
      </c>
      <c r="M1103" s="47">
        <f>IF(A1103="",0,IF(AND(J1103="Yes",E1103&gt;0),E1103,0))</f>
      </c>
      <c r="N1103">
        <f>IF(A1103="","",IF(D1103="Category Pending","Needs categorization",IF(COUNTIFS($A$2:A1103,A1103,$B$2:B1103,B1103,$E$2:E1103,E1103)&gt;1,"Possible duplicate","")))</f>
      </c>
    </row>
    <row r="1104" spans="3:14" x14ac:dyDescent="0.3">
      <c r="A1104"/>
      <c r="C1104" s="16"/>
      <c r="G1104" s="5">
        <f>IF(A1104="","","Checking")</f>
      </c>
      <c r="H1104">
        <f>IF(A1104="","",IFERROR(XLOOKUP(D1104,Setup!$E$15:$E$79,Setup!$F$15:$F$79),"Miscellaneous"))</f>
      </c>
      <c r="I1104">
        <f>IF(A1104="","",IFERROR(XLOOKUP(D1104,Setup!$E$15:$E$79,Setup!$G$15:$G$79),"Uncategorized"))</f>
      </c>
      <c r="J1104">
        <f>IF(A1104="","",IF(OR(H1104="Transfers",H1104="Income",D1104="Transfer",D1104="Category Pending",F1104="Pending"),"No","Yes"))</f>
      </c>
      <c r="K1104" s="4">
        <f>IF(A1104="","",TEXT(IF(DAY(A1104)&gt;=Setup!$B$9,DATE(YEAR(A1104),MONTH(A1104)+1,1),DATE(YEAR(A1104),MONTH(A1104),1)),"mmmm yyyy"))</f>
      </c>
      <c r="L1104" s="47">
        <f>IF(A1104="",0,IF(AND(J1104="Yes",E1104&lt;0),-E1104,0))</f>
      </c>
      <c r="M1104" s="47">
        <f>IF(A1104="",0,IF(AND(J1104="Yes",E1104&gt;0),E1104,0))</f>
      </c>
      <c r="N1104">
        <f>IF(A1104="","",IF(D1104="Category Pending","Needs categorization",IF(COUNTIFS($A$2:A1104,A1104,$B$2:B1104,B1104,$E$2:E1104,E1104)&gt;1,"Possible duplicate","")))</f>
      </c>
    </row>
    <row r="1105" spans="3:14" x14ac:dyDescent="0.3">
      <c r="A1105"/>
      <c r="C1105" s="16"/>
      <c r="G1105" s="5">
        <f>IF(A1105="","","Checking")</f>
      </c>
      <c r="H1105">
        <f>IF(A1105="","",IFERROR(XLOOKUP(D1105,Setup!$E$15:$E$79,Setup!$F$15:$F$79),"Miscellaneous"))</f>
      </c>
      <c r="I1105">
        <f>IF(A1105="","",IFERROR(XLOOKUP(D1105,Setup!$E$15:$E$79,Setup!$G$15:$G$79),"Uncategorized"))</f>
      </c>
      <c r="J1105">
        <f>IF(A1105="","",IF(OR(H1105="Transfers",H1105="Income",D1105="Transfer",D1105="Category Pending",F1105="Pending"),"No","Yes"))</f>
      </c>
      <c r="K1105" s="4">
        <f>IF(A1105="","",TEXT(IF(DAY(A1105)&gt;=Setup!$B$9,DATE(YEAR(A1105),MONTH(A1105)+1,1),DATE(YEAR(A1105),MONTH(A1105),1)),"mmmm yyyy"))</f>
      </c>
      <c r="L1105" s="47">
        <f>IF(A1105="",0,IF(AND(J1105="Yes",E1105&lt;0),-E1105,0))</f>
      </c>
      <c r="M1105" s="47">
        <f>IF(A1105="",0,IF(AND(J1105="Yes",E1105&gt;0),E1105,0))</f>
      </c>
      <c r="N1105">
        <f>IF(A1105="","",IF(D1105="Category Pending","Needs categorization",IF(COUNTIFS($A$2:A1105,A1105,$B$2:B1105,B1105,$E$2:E1105,E1105)&gt;1,"Possible duplicate","")))</f>
      </c>
    </row>
    <row r="1106" spans="3:14" x14ac:dyDescent="0.3">
      <c r="A1106"/>
      <c r="C1106" s="16"/>
      <c r="G1106" s="5">
        <f>IF(A1106="","","Checking")</f>
      </c>
      <c r="H1106">
        <f>IF(A1106="","",IFERROR(XLOOKUP(D1106,Setup!$E$15:$E$79,Setup!$F$15:$F$79),"Miscellaneous"))</f>
      </c>
      <c r="I1106">
        <f>IF(A1106="","",IFERROR(XLOOKUP(D1106,Setup!$E$15:$E$79,Setup!$G$15:$G$79),"Uncategorized"))</f>
      </c>
      <c r="J1106">
        <f>IF(A1106="","",IF(OR(H1106="Transfers",H1106="Income",D1106="Transfer",D1106="Category Pending",F1106="Pending"),"No","Yes"))</f>
      </c>
      <c r="K1106" s="4">
        <f>IF(A1106="","",TEXT(IF(DAY(A1106)&gt;=Setup!$B$9,DATE(YEAR(A1106),MONTH(A1106)+1,1),DATE(YEAR(A1106),MONTH(A1106),1)),"mmmm yyyy"))</f>
      </c>
      <c r="L1106" s="47">
        <f>IF(A1106="",0,IF(AND(J1106="Yes",E1106&lt;0),-E1106,0))</f>
      </c>
      <c r="M1106" s="47">
        <f>IF(A1106="",0,IF(AND(J1106="Yes",E1106&gt;0),E1106,0))</f>
      </c>
      <c r="N1106">
        <f>IF(A1106="","",IF(D1106="Category Pending","Needs categorization",IF(COUNTIFS($A$2:A1106,A1106,$B$2:B1106,B1106,$E$2:E1106,E1106)&gt;1,"Possible duplicate","")))</f>
      </c>
    </row>
    <row r="1107" spans="3:14" x14ac:dyDescent="0.3">
      <c r="A1107"/>
      <c r="C1107" s="16"/>
      <c r="G1107" s="5">
        <f>IF(A1107="","","Checking")</f>
      </c>
      <c r="H1107">
        <f>IF(A1107="","",IFERROR(XLOOKUP(D1107,Setup!$E$15:$E$79,Setup!$F$15:$F$79),"Miscellaneous"))</f>
      </c>
      <c r="I1107">
        <f>IF(A1107="","",IFERROR(XLOOKUP(D1107,Setup!$E$15:$E$79,Setup!$G$15:$G$79),"Uncategorized"))</f>
      </c>
      <c r="J1107">
        <f>IF(A1107="","",IF(OR(H1107="Transfers",H1107="Income",D1107="Transfer",D1107="Category Pending",F1107="Pending"),"No","Yes"))</f>
      </c>
      <c r="K1107" s="4">
        <f>IF(A1107="","",TEXT(IF(DAY(A1107)&gt;=Setup!$B$9,DATE(YEAR(A1107),MONTH(A1107)+1,1),DATE(YEAR(A1107),MONTH(A1107),1)),"mmmm yyyy"))</f>
      </c>
      <c r="L1107" s="47">
        <f>IF(A1107="",0,IF(AND(J1107="Yes",E1107&lt;0),-E1107,0))</f>
      </c>
      <c r="M1107" s="47">
        <f>IF(A1107="",0,IF(AND(J1107="Yes",E1107&gt;0),E1107,0))</f>
      </c>
      <c r="N1107">
        <f>IF(A1107="","",IF(D1107="Category Pending","Needs categorization",IF(COUNTIFS($A$2:A1107,A1107,$B$2:B1107,B1107,$E$2:E1107,E1107)&gt;1,"Possible duplicate","")))</f>
      </c>
    </row>
    <row r="1108" spans="3:14" x14ac:dyDescent="0.3">
      <c r="A1108"/>
      <c r="C1108" s="16"/>
      <c r="G1108" s="5">
        <f>IF(A1108="","","Checking")</f>
      </c>
      <c r="H1108">
        <f>IF(A1108="","",IFERROR(XLOOKUP(D1108,Setup!$E$15:$E$79,Setup!$F$15:$F$79),"Miscellaneous"))</f>
      </c>
      <c r="I1108">
        <f>IF(A1108="","",IFERROR(XLOOKUP(D1108,Setup!$E$15:$E$79,Setup!$G$15:$G$79),"Uncategorized"))</f>
      </c>
      <c r="J1108">
        <f>IF(A1108="","",IF(OR(H1108="Transfers",H1108="Income",D1108="Transfer",D1108="Category Pending",F1108="Pending"),"No","Yes"))</f>
      </c>
      <c r="K1108" s="4">
        <f>IF(A1108="","",TEXT(IF(DAY(A1108)&gt;=Setup!$B$9,DATE(YEAR(A1108),MONTH(A1108)+1,1),DATE(YEAR(A1108),MONTH(A1108),1)),"mmmm yyyy"))</f>
      </c>
      <c r="L1108" s="47">
        <f>IF(A1108="",0,IF(AND(J1108="Yes",E1108&lt;0),-E1108,0))</f>
      </c>
      <c r="M1108" s="47">
        <f>IF(A1108="",0,IF(AND(J1108="Yes",E1108&gt;0),E1108,0))</f>
      </c>
      <c r="N1108">
        <f>IF(A1108="","",IF(D1108="Category Pending","Needs categorization",IF(COUNTIFS($A$2:A1108,A1108,$B$2:B1108,B1108,$E$2:E1108,E1108)&gt;1,"Possible duplicate","")))</f>
      </c>
    </row>
    <row r="1109" spans="3:14" x14ac:dyDescent="0.3">
      <c r="A1109"/>
      <c r="C1109" s="16"/>
      <c r="G1109" s="5">
        <f>IF(A1109="","","Checking")</f>
      </c>
      <c r="H1109">
        <f>IF(A1109="","",IFERROR(XLOOKUP(D1109,Setup!$E$15:$E$79,Setup!$F$15:$F$79),"Miscellaneous"))</f>
      </c>
      <c r="I1109">
        <f>IF(A1109="","",IFERROR(XLOOKUP(D1109,Setup!$E$15:$E$79,Setup!$G$15:$G$79),"Uncategorized"))</f>
      </c>
      <c r="J1109">
        <f>IF(A1109="","",IF(OR(H1109="Transfers",H1109="Income",D1109="Transfer",D1109="Category Pending",F1109="Pending"),"No","Yes"))</f>
      </c>
      <c r="K1109" s="4">
        <f>IF(A1109="","",TEXT(IF(DAY(A1109)&gt;=Setup!$B$9,DATE(YEAR(A1109),MONTH(A1109)+1,1),DATE(YEAR(A1109),MONTH(A1109),1)),"mmmm yyyy"))</f>
      </c>
      <c r="L1109" s="47">
        <f>IF(A1109="",0,IF(AND(J1109="Yes",E1109&lt;0),-E1109,0))</f>
      </c>
      <c r="M1109" s="47">
        <f>IF(A1109="",0,IF(AND(J1109="Yes",E1109&gt;0),E1109,0))</f>
      </c>
      <c r="N1109">
        <f>IF(A1109="","",IF(D1109="Category Pending","Needs categorization",IF(COUNTIFS($A$2:A1109,A1109,$B$2:B1109,B1109,$E$2:E1109,E1109)&gt;1,"Possible duplicate","")))</f>
      </c>
    </row>
    <row r="1110" spans="3:14" x14ac:dyDescent="0.3">
      <c r="A1110"/>
      <c r="C1110" s="16"/>
      <c r="G1110" s="5">
        <f>IF(A1110="","","Checking")</f>
      </c>
      <c r="H1110">
        <f>IF(A1110="","",IFERROR(XLOOKUP(D1110,Setup!$E$15:$E$79,Setup!$F$15:$F$79),"Miscellaneous"))</f>
      </c>
      <c r="I1110">
        <f>IF(A1110="","",IFERROR(XLOOKUP(D1110,Setup!$E$15:$E$79,Setup!$G$15:$G$79),"Uncategorized"))</f>
      </c>
      <c r="J1110">
        <f>IF(A1110="","",IF(OR(H1110="Transfers",H1110="Income",D1110="Transfer",D1110="Category Pending",F1110="Pending"),"No","Yes"))</f>
      </c>
      <c r="K1110" s="4">
        <f>IF(A1110="","",TEXT(IF(DAY(A1110)&gt;=Setup!$B$9,DATE(YEAR(A1110),MONTH(A1110)+1,1),DATE(YEAR(A1110),MONTH(A1110),1)),"mmmm yyyy"))</f>
      </c>
      <c r="L1110" s="47">
        <f>IF(A1110="",0,IF(AND(J1110="Yes",E1110&lt;0),-E1110,0))</f>
      </c>
      <c r="M1110" s="47">
        <f>IF(A1110="",0,IF(AND(J1110="Yes",E1110&gt;0),E1110,0))</f>
      </c>
      <c r="N1110">
        <f>IF(A1110="","",IF(D1110="Category Pending","Needs categorization",IF(COUNTIFS($A$2:A1110,A1110,$B$2:B1110,B1110,$E$2:E1110,E1110)&gt;1,"Possible duplicate","")))</f>
      </c>
    </row>
    <row r="1111" spans="3:14" x14ac:dyDescent="0.3">
      <c r="A1111"/>
      <c r="C1111" s="16"/>
      <c r="G1111" s="5">
        <f>IF(A1111="","","Checking")</f>
      </c>
      <c r="H1111">
        <f>IF(A1111="","",IFERROR(XLOOKUP(D1111,Setup!$E$15:$E$79,Setup!$F$15:$F$79),"Miscellaneous"))</f>
      </c>
      <c r="I1111">
        <f>IF(A1111="","",IFERROR(XLOOKUP(D1111,Setup!$E$15:$E$79,Setup!$G$15:$G$79),"Uncategorized"))</f>
      </c>
      <c r="J1111">
        <f>IF(A1111="","",IF(OR(H1111="Transfers",H1111="Income",D1111="Transfer",D1111="Category Pending",F1111="Pending"),"No","Yes"))</f>
      </c>
      <c r="K1111" s="4">
        <f>IF(A1111="","",TEXT(IF(DAY(A1111)&gt;=Setup!$B$9,DATE(YEAR(A1111),MONTH(A1111)+1,1),DATE(YEAR(A1111),MONTH(A1111),1)),"mmmm yyyy"))</f>
      </c>
      <c r="L1111" s="47">
        <f>IF(A1111="",0,IF(AND(J1111="Yes",E1111&lt;0),-E1111,0))</f>
      </c>
      <c r="M1111" s="47">
        <f>IF(A1111="",0,IF(AND(J1111="Yes",E1111&gt;0),E1111,0))</f>
      </c>
      <c r="N1111">
        <f>IF(A1111="","",IF(D1111="Category Pending","Needs categorization",IF(COUNTIFS($A$2:A1111,A1111,$B$2:B1111,B1111,$E$2:E1111,E1111)&gt;1,"Possible duplicate","")))</f>
      </c>
    </row>
    <row r="1112" spans="3:14" x14ac:dyDescent="0.3">
      <c r="A1112"/>
      <c r="C1112" s="16"/>
      <c r="G1112" s="5">
        <f>IF(A1112="","","Checking")</f>
      </c>
      <c r="H1112">
        <f>IF(A1112="","",IFERROR(XLOOKUP(D1112,Setup!$E$15:$E$79,Setup!$F$15:$F$79),"Miscellaneous"))</f>
      </c>
      <c r="I1112">
        <f>IF(A1112="","",IFERROR(XLOOKUP(D1112,Setup!$E$15:$E$79,Setup!$G$15:$G$79),"Uncategorized"))</f>
      </c>
      <c r="J1112">
        <f>IF(A1112="","",IF(OR(H1112="Transfers",H1112="Income",D1112="Transfer",D1112="Category Pending",F1112="Pending"),"No","Yes"))</f>
      </c>
      <c r="K1112" s="4">
        <f>IF(A1112="","",TEXT(IF(DAY(A1112)&gt;=Setup!$B$9,DATE(YEAR(A1112),MONTH(A1112)+1,1),DATE(YEAR(A1112),MONTH(A1112),1)),"mmmm yyyy"))</f>
      </c>
      <c r="L1112" s="47">
        <f>IF(A1112="",0,IF(AND(J1112="Yes",E1112&lt;0),-E1112,0))</f>
      </c>
      <c r="M1112" s="47">
        <f>IF(A1112="",0,IF(AND(J1112="Yes",E1112&gt;0),E1112,0))</f>
      </c>
      <c r="N1112">
        <f>IF(A1112="","",IF(D1112="Category Pending","Needs categorization",IF(COUNTIFS($A$2:A1112,A1112,$B$2:B1112,B1112,$E$2:E1112,E1112)&gt;1,"Possible duplicate","")))</f>
      </c>
    </row>
    <row r="1113" spans="3:14" x14ac:dyDescent="0.3">
      <c r="A1113"/>
      <c r="C1113" s="16"/>
      <c r="G1113" s="5">
        <f>IF(A1113="","","Checking")</f>
      </c>
      <c r="H1113">
        <f>IF(A1113="","",IFERROR(XLOOKUP(D1113,Setup!$E$15:$E$79,Setup!$F$15:$F$79),"Miscellaneous"))</f>
      </c>
      <c r="I1113">
        <f>IF(A1113="","",IFERROR(XLOOKUP(D1113,Setup!$E$15:$E$79,Setup!$G$15:$G$79),"Uncategorized"))</f>
      </c>
      <c r="J1113">
        <f>IF(A1113="","",IF(OR(H1113="Transfers",H1113="Income",D1113="Transfer",D1113="Category Pending",F1113="Pending"),"No","Yes"))</f>
      </c>
      <c r="K1113" s="4">
        <f>IF(A1113="","",TEXT(IF(DAY(A1113)&gt;=Setup!$B$9,DATE(YEAR(A1113),MONTH(A1113)+1,1),DATE(YEAR(A1113),MONTH(A1113),1)),"mmmm yyyy"))</f>
      </c>
      <c r="L1113" s="47">
        <f>IF(A1113="",0,IF(AND(J1113="Yes",E1113&lt;0),-E1113,0))</f>
      </c>
      <c r="M1113" s="47">
        <f>IF(A1113="",0,IF(AND(J1113="Yes",E1113&gt;0),E1113,0))</f>
      </c>
      <c r="N1113">
        <f>IF(A1113="","",IF(D1113="Category Pending","Needs categorization",IF(COUNTIFS($A$2:A1113,A1113,$B$2:B1113,B1113,$E$2:E1113,E1113)&gt;1,"Possible duplicate","")))</f>
      </c>
    </row>
    <row r="1114" spans="3:14" x14ac:dyDescent="0.3">
      <c r="A1114"/>
      <c r="C1114" s="16"/>
      <c r="G1114" s="5">
        <f>IF(A1114="","","Checking")</f>
      </c>
      <c r="H1114">
        <f>IF(A1114="","",IFERROR(XLOOKUP(D1114,Setup!$E$15:$E$79,Setup!$F$15:$F$79),"Miscellaneous"))</f>
      </c>
      <c r="I1114">
        <f>IF(A1114="","",IFERROR(XLOOKUP(D1114,Setup!$E$15:$E$79,Setup!$G$15:$G$79),"Uncategorized"))</f>
      </c>
      <c r="J1114">
        <f>IF(A1114="","",IF(OR(H1114="Transfers",H1114="Income",D1114="Transfer",D1114="Category Pending",F1114="Pending"),"No","Yes"))</f>
      </c>
      <c r="K1114" s="4">
        <f>IF(A1114="","",TEXT(IF(DAY(A1114)&gt;=Setup!$B$9,DATE(YEAR(A1114),MONTH(A1114)+1,1),DATE(YEAR(A1114),MONTH(A1114),1)),"mmmm yyyy"))</f>
      </c>
      <c r="L1114" s="47">
        <f>IF(A1114="",0,IF(AND(J1114="Yes",E1114&lt;0),-E1114,0))</f>
      </c>
      <c r="M1114" s="47">
        <f>IF(A1114="",0,IF(AND(J1114="Yes",E1114&gt;0),E1114,0))</f>
      </c>
      <c r="N1114">
        <f>IF(A1114="","",IF(D1114="Category Pending","Needs categorization",IF(COUNTIFS($A$2:A1114,A1114,$B$2:B1114,B1114,$E$2:E1114,E1114)&gt;1,"Possible duplicate","")))</f>
      </c>
    </row>
    <row r="1115" spans="3:14" x14ac:dyDescent="0.3">
      <c r="A1115"/>
      <c r="C1115" s="16"/>
      <c r="G1115" s="5">
        <f>IF(A1115="","","Checking")</f>
      </c>
      <c r="H1115">
        <f>IF(A1115="","",IFERROR(XLOOKUP(D1115,Setup!$E$15:$E$79,Setup!$F$15:$F$79),"Miscellaneous"))</f>
      </c>
      <c r="I1115">
        <f>IF(A1115="","",IFERROR(XLOOKUP(D1115,Setup!$E$15:$E$79,Setup!$G$15:$G$79),"Uncategorized"))</f>
      </c>
      <c r="J1115">
        <f>IF(A1115="","",IF(OR(H1115="Transfers",H1115="Income",D1115="Transfer",D1115="Category Pending",F1115="Pending"),"No","Yes"))</f>
      </c>
      <c r="K1115" s="4">
        <f>IF(A1115="","",TEXT(IF(DAY(A1115)&gt;=Setup!$B$9,DATE(YEAR(A1115),MONTH(A1115)+1,1),DATE(YEAR(A1115),MONTH(A1115),1)),"mmmm yyyy"))</f>
      </c>
      <c r="L1115" s="47">
        <f>IF(A1115="",0,IF(AND(J1115="Yes",E1115&lt;0),-E1115,0))</f>
      </c>
      <c r="M1115" s="47">
        <f>IF(A1115="",0,IF(AND(J1115="Yes",E1115&gt;0),E1115,0))</f>
      </c>
      <c r="N1115">
        <f>IF(A1115="","",IF(D1115="Category Pending","Needs categorization",IF(COUNTIFS($A$2:A1115,A1115,$B$2:B1115,B1115,$E$2:E1115,E1115)&gt;1,"Possible duplicate","")))</f>
      </c>
    </row>
    <row r="1116" spans="3:14" x14ac:dyDescent="0.3">
      <c r="A1116"/>
      <c r="C1116" s="16"/>
      <c r="G1116" s="5">
        <f>IF(A1116="","","Checking")</f>
      </c>
      <c r="H1116">
        <f>IF(A1116="","",IFERROR(XLOOKUP(D1116,Setup!$E$15:$E$79,Setup!$F$15:$F$79),"Miscellaneous"))</f>
      </c>
      <c r="I1116">
        <f>IF(A1116="","",IFERROR(XLOOKUP(D1116,Setup!$E$15:$E$79,Setup!$G$15:$G$79),"Uncategorized"))</f>
      </c>
      <c r="J1116">
        <f>IF(A1116="","",IF(OR(H1116="Transfers",H1116="Income",D1116="Transfer",D1116="Category Pending",F1116="Pending"),"No","Yes"))</f>
      </c>
      <c r="K1116" s="4">
        <f>IF(A1116="","",TEXT(IF(DAY(A1116)&gt;=Setup!$B$9,DATE(YEAR(A1116),MONTH(A1116)+1,1),DATE(YEAR(A1116),MONTH(A1116),1)),"mmmm yyyy"))</f>
      </c>
      <c r="L1116" s="47">
        <f>IF(A1116="",0,IF(AND(J1116="Yes",E1116&lt;0),-E1116,0))</f>
      </c>
      <c r="M1116" s="47">
        <f>IF(A1116="",0,IF(AND(J1116="Yes",E1116&gt;0),E1116,0))</f>
      </c>
      <c r="N1116">
        <f>IF(A1116="","",IF(D1116="Category Pending","Needs categorization",IF(COUNTIFS($A$2:A1116,A1116,$B$2:B1116,B1116,$E$2:E1116,E1116)&gt;1,"Possible duplicate","")))</f>
      </c>
    </row>
    <row r="1117" spans="3:14" x14ac:dyDescent="0.3">
      <c r="A1117"/>
      <c r="C1117" s="16"/>
      <c r="G1117" s="5">
        <f>IF(A1117="","","Checking")</f>
      </c>
      <c r="H1117">
        <f>IF(A1117="","",IFERROR(XLOOKUP(D1117,Setup!$E$15:$E$79,Setup!$F$15:$F$79),"Miscellaneous"))</f>
      </c>
      <c r="I1117">
        <f>IF(A1117="","",IFERROR(XLOOKUP(D1117,Setup!$E$15:$E$79,Setup!$G$15:$G$79),"Uncategorized"))</f>
      </c>
      <c r="J1117">
        <f>IF(A1117="","",IF(OR(H1117="Transfers",H1117="Income",D1117="Transfer",D1117="Category Pending",F1117="Pending"),"No","Yes"))</f>
      </c>
      <c r="K1117" s="4">
        <f>IF(A1117="","",TEXT(IF(DAY(A1117)&gt;=Setup!$B$9,DATE(YEAR(A1117),MONTH(A1117)+1,1),DATE(YEAR(A1117),MONTH(A1117),1)),"mmmm yyyy"))</f>
      </c>
      <c r="L1117" s="47">
        <f>IF(A1117="",0,IF(AND(J1117="Yes",E1117&lt;0),-E1117,0))</f>
      </c>
      <c r="M1117" s="47">
        <f>IF(A1117="",0,IF(AND(J1117="Yes",E1117&gt;0),E1117,0))</f>
      </c>
      <c r="N1117">
        <f>IF(A1117="","",IF(D1117="Category Pending","Needs categorization",IF(COUNTIFS($A$2:A1117,A1117,$B$2:B1117,B1117,$E$2:E1117,E1117)&gt;1,"Possible duplicate","")))</f>
      </c>
    </row>
    <row r="1118" spans="3:14" x14ac:dyDescent="0.3">
      <c r="A1118"/>
      <c r="C1118" s="16"/>
      <c r="G1118" s="5">
        <f>IF(A1118="","","Checking")</f>
      </c>
      <c r="H1118">
        <f>IF(A1118="","",IFERROR(XLOOKUP(D1118,Setup!$E$15:$E$79,Setup!$F$15:$F$79),"Miscellaneous"))</f>
      </c>
      <c r="I1118">
        <f>IF(A1118="","",IFERROR(XLOOKUP(D1118,Setup!$E$15:$E$79,Setup!$G$15:$G$79),"Uncategorized"))</f>
      </c>
      <c r="J1118">
        <f>IF(A1118="","",IF(OR(H1118="Transfers",H1118="Income",D1118="Transfer",D1118="Category Pending",F1118="Pending"),"No","Yes"))</f>
      </c>
      <c r="K1118" s="4">
        <f>IF(A1118="","",TEXT(IF(DAY(A1118)&gt;=Setup!$B$9,DATE(YEAR(A1118),MONTH(A1118)+1,1),DATE(YEAR(A1118),MONTH(A1118),1)),"mmmm yyyy"))</f>
      </c>
      <c r="L1118" s="47">
        <f>IF(A1118="",0,IF(AND(J1118="Yes",E1118&lt;0),-E1118,0))</f>
      </c>
      <c r="M1118" s="47">
        <f>IF(A1118="",0,IF(AND(J1118="Yes",E1118&gt;0),E1118,0))</f>
      </c>
      <c r="N1118">
        <f>IF(A1118="","",IF(D1118="Category Pending","Needs categorization",IF(COUNTIFS($A$2:A1118,A1118,$B$2:B1118,B1118,$E$2:E1118,E1118)&gt;1,"Possible duplicate","")))</f>
      </c>
    </row>
    <row r="1119" spans="3:14" x14ac:dyDescent="0.3">
      <c r="A1119"/>
      <c r="C1119" s="16"/>
      <c r="G1119" s="5">
        <f>IF(A1119="","","Checking")</f>
      </c>
      <c r="H1119">
        <f>IF(A1119="","",IFERROR(XLOOKUP(D1119,Setup!$E$15:$E$79,Setup!$F$15:$F$79),"Miscellaneous"))</f>
      </c>
      <c r="I1119">
        <f>IF(A1119="","",IFERROR(XLOOKUP(D1119,Setup!$E$15:$E$79,Setup!$G$15:$G$79),"Uncategorized"))</f>
      </c>
      <c r="J1119">
        <f>IF(A1119="","",IF(OR(H1119="Transfers",H1119="Income",D1119="Transfer",D1119="Category Pending",F1119="Pending"),"No","Yes"))</f>
      </c>
      <c r="K1119" s="4">
        <f>IF(A1119="","",TEXT(IF(DAY(A1119)&gt;=Setup!$B$9,DATE(YEAR(A1119),MONTH(A1119)+1,1),DATE(YEAR(A1119),MONTH(A1119),1)),"mmmm yyyy"))</f>
      </c>
      <c r="L1119" s="47">
        <f>IF(A1119="",0,IF(AND(J1119="Yes",E1119&lt;0),-E1119,0))</f>
      </c>
      <c r="M1119" s="47">
        <f>IF(A1119="",0,IF(AND(J1119="Yes",E1119&gt;0),E1119,0))</f>
      </c>
      <c r="N1119">
        <f>IF(A1119="","",IF(D1119="Category Pending","Needs categorization",IF(COUNTIFS($A$2:A1119,A1119,$B$2:B1119,B1119,$E$2:E1119,E1119)&gt;1,"Possible duplicate","")))</f>
      </c>
    </row>
    <row r="1120" spans="3:14" x14ac:dyDescent="0.3">
      <c r="A1120"/>
      <c r="C1120" s="16"/>
      <c r="G1120" s="5">
        <f>IF(A1120="","","Checking")</f>
      </c>
      <c r="H1120">
        <f>IF(A1120="","",IFERROR(XLOOKUP(D1120,Setup!$E$15:$E$79,Setup!$F$15:$F$79),"Miscellaneous"))</f>
      </c>
      <c r="I1120">
        <f>IF(A1120="","",IFERROR(XLOOKUP(D1120,Setup!$E$15:$E$79,Setup!$G$15:$G$79),"Uncategorized"))</f>
      </c>
      <c r="J1120">
        <f>IF(A1120="","",IF(OR(H1120="Transfers",H1120="Income",D1120="Transfer",D1120="Category Pending",F1120="Pending"),"No","Yes"))</f>
      </c>
      <c r="K1120" s="4">
        <f>IF(A1120="","",TEXT(IF(DAY(A1120)&gt;=Setup!$B$9,DATE(YEAR(A1120),MONTH(A1120)+1,1),DATE(YEAR(A1120),MONTH(A1120),1)),"mmmm yyyy"))</f>
      </c>
      <c r="L1120" s="47">
        <f>IF(A1120="",0,IF(AND(J1120="Yes",E1120&lt;0),-E1120,0))</f>
      </c>
      <c r="M1120" s="47">
        <f>IF(A1120="",0,IF(AND(J1120="Yes",E1120&gt;0),E1120,0))</f>
      </c>
      <c r="N1120">
        <f>IF(A1120="","",IF(D1120="Category Pending","Needs categorization",IF(COUNTIFS($A$2:A1120,A1120,$B$2:B1120,B1120,$E$2:E1120,E1120)&gt;1,"Possible duplicate","")))</f>
      </c>
    </row>
    <row r="1121" spans="3:14" x14ac:dyDescent="0.3">
      <c r="A1121"/>
      <c r="C1121" s="16"/>
      <c r="G1121" s="5">
        <f>IF(A1121="","","Checking")</f>
      </c>
      <c r="H1121">
        <f>IF(A1121="","",IFERROR(XLOOKUP(D1121,Setup!$E$15:$E$79,Setup!$F$15:$F$79),"Miscellaneous"))</f>
      </c>
      <c r="I1121">
        <f>IF(A1121="","",IFERROR(XLOOKUP(D1121,Setup!$E$15:$E$79,Setup!$G$15:$G$79),"Uncategorized"))</f>
      </c>
      <c r="J1121">
        <f>IF(A1121="","",IF(OR(H1121="Transfers",H1121="Income",D1121="Transfer",D1121="Category Pending",F1121="Pending"),"No","Yes"))</f>
      </c>
      <c r="K1121" s="4">
        <f>IF(A1121="","",TEXT(IF(DAY(A1121)&gt;=Setup!$B$9,DATE(YEAR(A1121),MONTH(A1121)+1,1),DATE(YEAR(A1121),MONTH(A1121),1)),"mmmm yyyy"))</f>
      </c>
      <c r="L1121" s="47">
        <f>IF(A1121="",0,IF(AND(J1121="Yes",E1121&lt;0),-E1121,0))</f>
      </c>
      <c r="M1121" s="47">
        <f>IF(A1121="",0,IF(AND(J1121="Yes",E1121&gt;0),E1121,0))</f>
      </c>
      <c r="N1121">
        <f>IF(A1121="","",IF(D1121="Category Pending","Needs categorization",IF(COUNTIFS($A$2:A1121,A1121,$B$2:B1121,B1121,$E$2:E1121,E1121)&gt;1,"Possible duplicate","")))</f>
      </c>
    </row>
    <row r="1122" spans="3:14" x14ac:dyDescent="0.3">
      <c r="A1122"/>
      <c r="C1122" s="16"/>
      <c r="G1122" s="5">
        <f>IF(A1122="","","Checking")</f>
      </c>
      <c r="H1122">
        <f>IF(A1122="","",IFERROR(XLOOKUP(D1122,Setup!$E$15:$E$79,Setup!$F$15:$F$79),"Miscellaneous"))</f>
      </c>
      <c r="I1122">
        <f>IF(A1122="","",IFERROR(XLOOKUP(D1122,Setup!$E$15:$E$79,Setup!$G$15:$G$79),"Uncategorized"))</f>
      </c>
      <c r="J1122">
        <f>IF(A1122="","",IF(OR(H1122="Transfers",H1122="Income",D1122="Transfer",D1122="Category Pending",F1122="Pending"),"No","Yes"))</f>
      </c>
      <c r="K1122" s="4">
        <f>IF(A1122="","",TEXT(IF(DAY(A1122)&gt;=Setup!$B$9,DATE(YEAR(A1122),MONTH(A1122)+1,1),DATE(YEAR(A1122),MONTH(A1122),1)),"mmmm yyyy"))</f>
      </c>
      <c r="L1122" s="47">
        <f>IF(A1122="",0,IF(AND(J1122="Yes",E1122&lt;0),-E1122,0))</f>
      </c>
      <c r="M1122" s="47">
        <f>IF(A1122="",0,IF(AND(J1122="Yes",E1122&gt;0),E1122,0))</f>
      </c>
      <c r="N1122">
        <f>IF(A1122="","",IF(D1122="Category Pending","Needs categorization",IF(COUNTIFS($A$2:A1122,A1122,$B$2:B1122,B1122,$E$2:E1122,E1122)&gt;1,"Possible duplicate","")))</f>
      </c>
    </row>
    <row r="1123" spans="3:14" x14ac:dyDescent="0.3">
      <c r="A1123"/>
      <c r="C1123" s="16"/>
      <c r="G1123" s="5">
        <f>IF(A1123="","","Checking")</f>
      </c>
      <c r="H1123">
        <f>IF(A1123="","",IFERROR(XLOOKUP(D1123,Setup!$E$15:$E$79,Setup!$F$15:$F$79),"Miscellaneous"))</f>
      </c>
      <c r="I1123">
        <f>IF(A1123="","",IFERROR(XLOOKUP(D1123,Setup!$E$15:$E$79,Setup!$G$15:$G$79),"Uncategorized"))</f>
      </c>
      <c r="J1123">
        <f>IF(A1123="","",IF(OR(H1123="Transfers",H1123="Income",D1123="Transfer",D1123="Category Pending",F1123="Pending"),"No","Yes"))</f>
      </c>
      <c r="K1123" s="4">
        <f>IF(A1123="","",TEXT(IF(DAY(A1123)&gt;=Setup!$B$9,DATE(YEAR(A1123),MONTH(A1123)+1,1),DATE(YEAR(A1123),MONTH(A1123),1)),"mmmm yyyy"))</f>
      </c>
      <c r="L1123" s="47">
        <f>IF(A1123="",0,IF(AND(J1123="Yes",E1123&lt;0),-E1123,0))</f>
      </c>
      <c r="M1123" s="47">
        <f>IF(A1123="",0,IF(AND(J1123="Yes",E1123&gt;0),E1123,0))</f>
      </c>
      <c r="N1123">
        <f>IF(A1123="","",IF(D1123="Category Pending","Needs categorization",IF(COUNTIFS($A$2:A1123,A1123,$B$2:B1123,B1123,$E$2:E1123,E1123)&gt;1,"Possible duplicate","")))</f>
      </c>
    </row>
    <row r="1124" spans="3:14" x14ac:dyDescent="0.3">
      <c r="A1124"/>
      <c r="C1124" s="16"/>
      <c r="G1124" s="5">
        <f>IF(A1124="","","Checking")</f>
      </c>
      <c r="H1124">
        <f>IF(A1124="","",IFERROR(XLOOKUP(D1124,Setup!$E$15:$E$79,Setup!$F$15:$F$79),"Miscellaneous"))</f>
      </c>
      <c r="I1124">
        <f>IF(A1124="","",IFERROR(XLOOKUP(D1124,Setup!$E$15:$E$79,Setup!$G$15:$G$79),"Uncategorized"))</f>
      </c>
      <c r="J1124">
        <f>IF(A1124="","",IF(OR(H1124="Transfers",H1124="Income",D1124="Transfer",D1124="Category Pending",F1124="Pending"),"No","Yes"))</f>
      </c>
      <c r="K1124" s="4">
        <f>IF(A1124="","",TEXT(IF(DAY(A1124)&gt;=Setup!$B$9,DATE(YEAR(A1124),MONTH(A1124)+1,1),DATE(YEAR(A1124),MONTH(A1124),1)),"mmmm yyyy"))</f>
      </c>
      <c r="L1124" s="47">
        <f>IF(A1124="",0,IF(AND(J1124="Yes",E1124&lt;0),-E1124,0))</f>
      </c>
      <c r="M1124" s="47">
        <f>IF(A1124="",0,IF(AND(J1124="Yes",E1124&gt;0),E1124,0))</f>
      </c>
      <c r="N1124">
        <f>IF(A1124="","",IF(D1124="Category Pending","Needs categorization",IF(COUNTIFS($A$2:A1124,A1124,$B$2:B1124,B1124,$E$2:E1124,E1124)&gt;1,"Possible duplicate","")))</f>
      </c>
    </row>
    <row r="1125" spans="3:14" x14ac:dyDescent="0.3">
      <c r="A1125"/>
      <c r="C1125" s="16"/>
      <c r="G1125" s="5">
        <f>IF(A1125="","","Checking")</f>
      </c>
      <c r="H1125">
        <f>IF(A1125="","",IFERROR(XLOOKUP(D1125,Setup!$E$15:$E$79,Setup!$F$15:$F$79),"Miscellaneous"))</f>
      </c>
      <c r="I1125">
        <f>IF(A1125="","",IFERROR(XLOOKUP(D1125,Setup!$E$15:$E$79,Setup!$G$15:$G$79),"Uncategorized"))</f>
      </c>
      <c r="J1125">
        <f>IF(A1125="","",IF(OR(H1125="Transfers",H1125="Income",D1125="Transfer",D1125="Category Pending",F1125="Pending"),"No","Yes"))</f>
      </c>
      <c r="K1125" s="4">
        <f>IF(A1125="","",TEXT(IF(DAY(A1125)&gt;=Setup!$B$9,DATE(YEAR(A1125),MONTH(A1125)+1,1),DATE(YEAR(A1125),MONTH(A1125),1)),"mmmm yyyy"))</f>
      </c>
      <c r="L1125" s="47">
        <f>IF(A1125="",0,IF(AND(J1125="Yes",E1125&lt;0),-E1125,0))</f>
      </c>
      <c r="M1125" s="47">
        <f>IF(A1125="",0,IF(AND(J1125="Yes",E1125&gt;0),E1125,0))</f>
      </c>
      <c r="N1125">
        <f>IF(A1125="","",IF(D1125="Category Pending","Needs categorization",IF(COUNTIFS($A$2:A1125,A1125,$B$2:B1125,B1125,$E$2:E1125,E1125)&gt;1,"Possible duplicate","")))</f>
      </c>
    </row>
    <row r="1126" spans="3:14" x14ac:dyDescent="0.3">
      <c r="A1126"/>
      <c r="C1126" s="16"/>
      <c r="G1126" s="5">
        <f>IF(A1126="","","Checking")</f>
      </c>
      <c r="H1126">
        <f>IF(A1126="","",IFERROR(XLOOKUP(D1126,Setup!$E$15:$E$79,Setup!$F$15:$F$79),"Miscellaneous"))</f>
      </c>
      <c r="I1126">
        <f>IF(A1126="","",IFERROR(XLOOKUP(D1126,Setup!$E$15:$E$79,Setup!$G$15:$G$79),"Uncategorized"))</f>
      </c>
      <c r="J1126">
        <f>IF(A1126="","",IF(OR(H1126="Transfers",H1126="Income",D1126="Transfer",D1126="Category Pending",F1126="Pending"),"No","Yes"))</f>
      </c>
      <c r="K1126" s="4">
        <f>IF(A1126="","",TEXT(IF(DAY(A1126)&gt;=Setup!$B$9,DATE(YEAR(A1126),MONTH(A1126)+1,1),DATE(YEAR(A1126),MONTH(A1126),1)),"mmmm yyyy"))</f>
      </c>
      <c r="L1126" s="47">
        <f>IF(A1126="",0,IF(AND(J1126="Yes",E1126&lt;0),-E1126,0))</f>
      </c>
      <c r="M1126" s="47">
        <f>IF(A1126="",0,IF(AND(J1126="Yes",E1126&gt;0),E1126,0))</f>
      </c>
      <c r="N1126">
        <f>IF(A1126="","",IF(D1126="Category Pending","Needs categorization",IF(COUNTIFS($A$2:A1126,A1126,$B$2:B1126,B1126,$E$2:E1126,E1126)&gt;1,"Possible duplicate","")))</f>
      </c>
    </row>
    <row r="1127" spans="3:14" x14ac:dyDescent="0.3">
      <c r="A1127"/>
      <c r="C1127" s="16"/>
      <c r="G1127" s="5">
        <f>IF(A1127="","","Checking")</f>
      </c>
      <c r="H1127">
        <f>IF(A1127="","",IFERROR(XLOOKUP(D1127,Setup!$E$15:$E$79,Setup!$F$15:$F$79),"Miscellaneous"))</f>
      </c>
      <c r="I1127">
        <f>IF(A1127="","",IFERROR(XLOOKUP(D1127,Setup!$E$15:$E$79,Setup!$G$15:$G$79),"Uncategorized"))</f>
      </c>
      <c r="J1127">
        <f>IF(A1127="","",IF(OR(H1127="Transfers",H1127="Income",D1127="Transfer",D1127="Category Pending",F1127="Pending"),"No","Yes"))</f>
      </c>
      <c r="K1127" s="4">
        <f>IF(A1127="","",TEXT(IF(DAY(A1127)&gt;=Setup!$B$9,DATE(YEAR(A1127),MONTH(A1127)+1,1),DATE(YEAR(A1127),MONTH(A1127),1)),"mmmm yyyy"))</f>
      </c>
      <c r="L1127" s="47">
        <f>IF(A1127="",0,IF(AND(J1127="Yes",E1127&lt;0),-E1127,0))</f>
      </c>
      <c r="M1127" s="47">
        <f>IF(A1127="",0,IF(AND(J1127="Yes",E1127&gt;0),E1127,0))</f>
      </c>
      <c r="N1127">
        <f>IF(A1127="","",IF(D1127="Category Pending","Needs categorization",IF(COUNTIFS($A$2:A1127,A1127,$B$2:B1127,B1127,$E$2:E1127,E1127)&gt;1,"Possible duplicate","")))</f>
      </c>
    </row>
    <row r="1128" spans="3:14" x14ac:dyDescent="0.3">
      <c r="A1128"/>
      <c r="C1128" s="16"/>
      <c r="G1128" s="5">
        <f>IF(A1128="","","Checking")</f>
      </c>
      <c r="H1128">
        <f>IF(A1128="","",IFERROR(XLOOKUP(D1128,Setup!$E$15:$E$79,Setup!$F$15:$F$79),"Miscellaneous"))</f>
      </c>
      <c r="I1128">
        <f>IF(A1128="","",IFERROR(XLOOKUP(D1128,Setup!$E$15:$E$79,Setup!$G$15:$G$79),"Uncategorized"))</f>
      </c>
      <c r="J1128">
        <f>IF(A1128="","",IF(OR(H1128="Transfers",H1128="Income",D1128="Transfer",D1128="Category Pending",F1128="Pending"),"No","Yes"))</f>
      </c>
      <c r="K1128" s="4">
        <f>IF(A1128="","",TEXT(IF(DAY(A1128)&gt;=Setup!$B$9,DATE(YEAR(A1128),MONTH(A1128)+1,1),DATE(YEAR(A1128),MONTH(A1128),1)),"mmmm yyyy"))</f>
      </c>
      <c r="L1128" s="47">
        <f>IF(A1128="",0,IF(AND(J1128="Yes",E1128&lt;0),-E1128,0))</f>
      </c>
      <c r="M1128" s="47">
        <f>IF(A1128="",0,IF(AND(J1128="Yes",E1128&gt;0),E1128,0))</f>
      </c>
      <c r="N1128">
        <f>IF(A1128="","",IF(D1128="Category Pending","Needs categorization",IF(COUNTIFS($A$2:A1128,A1128,$B$2:B1128,B1128,$E$2:E1128,E1128)&gt;1,"Possible duplicate","")))</f>
      </c>
    </row>
    <row r="1129" spans="3:14" x14ac:dyDescent="0.3">
      <c r="A1129"/>
      <c r="C1129" s="16"/>
      <c r="G1129" s="5">
        <f>IF(A1129="","","Checking")</f>
      </c>
      <c r="H1129">
        <f>IF(A1129="","",IFERROR(XLOOKUP(D1129,Setup!$E$15:$E$79,Setup!$F$15:$F$79),"Miscellaneous"))</f>
      </c>
      <c r="I1129">
        <f>IF(A1129="","",IFERROR(XLOOKUP(D1129,Setup!$E$15:$E$79,Setup!$G$15:$G$79),"Uncategorized"))</f>
      </c>
      <c r="J1129">
        <f>IF(A1129="","",IF(OR(H1129="Transfers",H1129="Income",D1129="Transfer",D1129="Category Pending",F1129="Pending"),"No","Yes"))</f>
      </c>
      <c r="K1129" s="4">
        <f>IF(A1129="","",TEXT(IF(DAY(A1129)&gt;=Setup!$B$9,DATE(YEAR(A1129),MONTH(A1129)+1,1),DATE(YEAR(A1129),MONTH(A1129),1)),"mmmm yyyy"))</f>
      </c>
      <c r="L1129" s="47">
        <f>IF(A1129="",0,IF(AND(J1129="Yes",E1129&lt;0),-E1129,0))</f>
      </c>
      <c r="M1129" s="47">
        <f>IF(A1129="",0,IF(AND(J1129="Yes",E1129&gt;0),E1129,0))</f>
      </c>
      <c r="N1129">
        <f>IF(A1129="","",IF(D1129="Category Pending","Needs categorization",IF(COUNTIFS($A$2:A1129,A1129,$B$2:B1129,B1129,$E$2:E1129,E1129)&gt;1,"Possible duplicate","")))</f>
      </c>
    </row>
    <row r="1130" spans="3:14" x14ac:dyDescent="0.3">
      <c r="A1130"/>
      <c r="C1130" s="16"/>
      <c r="G1130" s="5">
        <f>IF(A1130="","","Checking")</f>
      </c>
      <c r="H1130">
        <f>IF(A1130="","",IFERROR(XLOOKUP(D1130,Setup!$E$15:$E$79,Setup!$F$15:$F$79),"Miscellaneous"))</f>
      </c>
      <c r="I1130">
        <f>IF(A1130="","",IFERROR(XLOOKUP(D1130,Setup!$E$15:$E$79,Setup!$G$15:$G$79),"Uncategorized"))</f>
      </c>
      <c r="J1130">
        <f>IF(A1130="","",IF(OR(H1130="Transfers",H1130="Income",D1130="Transfer",D1130="Category Pending",F1130="Pending"),"No","Yes"))</f>
      </c>
      <c r="K1130" s="4">
        <f>IF(A1130="","",TEXT(IF(DAY(A1130)&gt;=Setup!$B$9,DATE(YEAR(A1130),MONTH(A1130)+1,1),DATE(YEAR(A1130),MONTH(A1130),1)),"mmmm yyyy"))</f>
      </c>
      <c r="L1130" s="47">
        <f>IF(A1130="",0,IF(AND(J1130="Yes",E1130&lt;0),-E1130,0))</f>
      </c>
      <c r="M1130" s="47">
        <f>IF(A1130="",0,IF(AND(J1130="Yes",E1130&gt;0),E1130,0))</f>
      </c>
      <c r="N1130">
        <f>IF(A1130="","",IF(D1130="Category Pending","Needs categorization",IF(COUNTIFS($A$2:A1130,A1130,$B$2:B1130,B1130,$E$2:E1130,E1130)&gt;1,"Possible duplicate","")))</f>
      </c>
    </row>
    <row r="1131" spans="3:14" x14ac:dyDescent="0.3">
      <c r="A1131"/>
      <c r="C1131" s="16"/>
      <c r="G1131" s="5">
        <f>IF(A1131="","","Checking")</f>
      </c>
      <c r="H1131">
        <f>IF(A1131="","",IFERROR(XLOOKUP(D1131,Setup!$E$15:$E$79,Setup!$F$15:$F$79),"Miscellaneous"))</f>
      </c>
      <c r="I1131">
        <f>IF(A1131="","",IFERROR(XLOOKUP(D1131,Setup!$E$15:$E$79,Setup!$G$15:$G$79),"Uncategorized"))</f>
      </c>
      <c r="J1131">
        <f>IF(A1131="","",IF(OR(H1131="Transfers",H1131="Income",D1131="Transfer",D1131="Category Pending",F1131="Pending"),"No","Yes"))</f>
      </c>
      <c r="K1131" s="4">
        <f>IF(A1131="","",TEXT(IF(DAY(A1131)&gt;=Setup!$B$9,DATE(YEAR(A1131),MONTH(A1131)+1,1),DATE(YEAR(A1131),MONTH(A1131),1)),"mmmm yyyy"))</f>
      </c>
      <c r="L1131" s="47">
        <f>IF(A1131="",0,IF(AND(J1131="Yes",E1131&lt;0),-E1131,0))</f>
      </c>
      <c r="M1131" s="47">
        <f>IF(A1131="",0,IF(AND(J1131="Yes",E1131&gt;0),E1131,0))</f>
      </c>
      <c r="N1131">
        <f>IF(A1131="","",IF(D1131="Category Pending","Needs categorization",IF(COUNTIFS($A$2:A1131,A1131,$B$2:B1131,B1131,$E$2:E1131,E1131)&gt;1,"Possible duplicate","")))</f>
      </c>
    </row>
    <row r="1132" spans="3:14" x14ac:dyDescent="0.3">
      <c r="A1132"/>
      <c r="C1132" s="16"/>
      <c r="G1132" s="5">
        <f>IF(A1132="","","Checking")</f>
      </c>
      <c r="H1132">
        <f>IF(A1132="","",IFERROR(XLOOKUP(D1132,Setup!$E$15:$E$79,Setup!$F$15:$F$79),"Miscellaneous"))</f>
      </c>
      <c r="I1132">
        <f>IF(A1132="","",IFERROR(XLOOKUP(D1132,Setup!$E$15:$E$79,Setup!$G$15:$G$79),"Uncategorized"))</f>
      </c>
      <c r="J1132">
        <f>IF(A1132="","",IF(OR(H1132="Transfers",H1132="Income",D1132="Transfer",D1132="Category Pending",F1132="Pending"),"No","Yes"))</f>
      </c>
      <c r="K1132" s="4">
        <f>IF(A1132="","",TEXT(IF(DAY(A1132)&gt;=Setup!$B$9,DATE(YEAR(A1132),MONTH(A1132)+1,1),DATE(YEAR(A1132),MONTH(A1132),1)),"mmmm yyyy"))</f>
      </c>
      <c r="L1132" s="47">
        <f>IF(A1132="",0,IF(AND(J1132="Yes",E1132&lt;0),-E1132,0))</f>
      </c>
      <c r="M1132" s="47">
        <f>IF(A1132="",0,IF(AND(J1132="Yes",E1132&gt;0),E1132,0))</f>
      </c>
      <c r="N1132">
        <f>IF(A1132="","",IF(D1132="Category Pending","Needs categorization",IF(COUNTIFS($A$2:A1132,A1132,$B$2:B1132,B1132,$E$2:E1132,E1132)&gt;1,"Possible duplicate","")))</f>
      </c>
    </row>
    <row r="1133" spans="3:14" x14ac:dyDescent="0.3">
      <c r="A1133"/>
      <c r="C1133" s="16"/>
      <c r="G1133" s="5">
        <f>IF(A1133="","","Checking")</f>
      </c>
      <c r="H1133">
        <f>IF(A1133="","",IFERROR(XLOOKUP(D1133,Setup!$E$15:$E$79,Setup!$F$15:$F$79),"Miscellaneous"))</f>
      </c>
      <c r="I1133">
        <f>IF(A1133="","",IFERROR(XLOOKUP(D1133,Setup!$E$15:$E$79,Setup!$G$15:$G$79),"Uncategorized"))</f>
      </c>
      <c r="J1133">
        <f>IF(A1133="","",IF(OR(H1133="Transfers",H1133="Income",D1133="Transfer",D1133="Category Pending",F1133="Pending"),"No","Yes"))</f>
      </c>
      <c r="K1133" s="4">
        <f>IF(A1133="","",TEXT(IF(DAY(A1133)&gt;=Setup!$B$9,DATE(YEAR(A1133),MONTH(A1133)+1,1),DATE(YEAR(A1133),MONTH(A1133),1)),"mmmm yyyy"))</f>
      </c>
      <c r="L1133" s="47">
        <f>IF(A1133="",0,IF(AND(J1133="Yes",E1133&lt;0),-E1133,0))</f>
      </c>
      <c r="M1133" s="47">
        <f>IF(A1133="",0,IF(AND(J1133="Yes",E1133&gt;0),E1133,0))</f>
      </c>
      <c r="N1133">
        <f>IF(A1133="","",IF(D1133="Category Pending","Needs categorization",IF(COUNTIFS($A$2:A1133,A1133,$B$2:B1133,B1133,$E$2:E1133,E1133)&gt;1,"Possible duplicate","")))</f>
      </c>
    </row>
    <row r="1134" spans="3:14" x14ac:dyDescent="0.3">
      <c r="A1134"/>
      <c r="C1134" s="16"/>
      <c r="G1134" s="5">
        <f>IF(A1134="","","Checking")</f>
      </c>
      <c r="H1134">
        <f>IF(A1134="","",IFERROR(XLOOKUP(D1134,Setup!$E$15:$E$79,Setup!$F$15:$F$79),"Miscellaneous"))</f>
      </c>
      <c r="I1134">
        <f>IF(A1134="","",IFERROR(XLOOKUP(D1134,Setup!$E$15:$E$79,Setup!$G$15:$G$79),"Uncategorized"))</f>
      </c>
      <c r="J1134">
        <f>IF(A1134="","",IF(OR(H1134="Transfers",H1134="Income",D1134="Transfer",D1134="Category Pending",F1134="Pending"),"No","Yes"))</f>
      </c>
      <c r="K1134" s="4">
        <f>IF(A1134="","",TEXT(IF(DAY(A1134)&gt;=Setup!$B$9,DATE(YEAR(A1134),MONTH(A1134)+1,1),DATE(YEAR(A1134),MONTH(A1134),1)),"mmmm yyyy"))</f>
      </c>
      <c r="L1134" s="47">
        <f>IF(A1134="",0,IF(AND(J1134="Yes",E1134&lt;0),-E1134,0))</f>
      </c>
      <c r="M1134" s="47">
        <f>IF(A1134="",0,IF(AND(J1134="Yes",E1134&gt;0),E1134,0))</f>
      </c>
      <c r="N1134">
        <f>IF(A1134="","",IF(D1134="Category Pending","Needs categorization",IF(COUNTIFS($A$2:A1134,A1134,$B$2:B1134,B1134,$E$2:E1134,E1134)&gt;1,"Possible duplicate","")))</f>
      </c>
    </row>
    <row r="1135" spans="3:14" x14ac:dyDescent="0.3">
      <c r="A1135"/>
      <c r="C1135" s="16"/>
      <c r="G1135" s="5">
        <f>IF(A1135="","","Checking")</f>
      </c>
      <c r="H1135">
        <f>IF(A1135="","",IFERROR(XLOOKUP(D1135,Setup!$E$15:$E$79,Setup!$F$15:$F$79),"Miscellaneous"))</f>
      </c>
      <c r="I1135">
        <f>IF(A1135="","",IFERROR(XLOOKUP(D1135,Setup!$E$15:$E$79,Setup!$G$15:$G$79),"Uncategorized"))</f>
      </c>
      <c r="J1135">
        <f>IF(A1135="","",IF(OR(H1135="Transfers",H1135="Income",D1135="Transfer",D1135="Category Pending",F1135="Pending"),"No","Yes"))</f>
      </c>
      <c r="K1135" s="4">
        <f>IF(A1135="","",TEXT(IF(DAY(A1135)&gt;=Setup!$B$9,DATE(YEAR(A1135),MONTH(A1135)+1,1),DATE(YEAR(A1135),MONTH(A1135),1)),"mmmm yyyy"))</f>
      </c>
      <c r="L1135" s="47">
        <f>IF(A1135="",0,IF(AND(J1135="Yes",E1135&lt;0),-E1135,0))</f>
      </c>
      <c r="M1135" s="47">
        <f>IF(A1135="",0,IF(AND(J1135="Yes",E1135&gt;0),E1135,0))</f>
      </c>
      <c r="N1135">
        <f>IF(A1135="","",IF(D1135="Category Pending","Needs categorization",IF(COUNTIFS($A$2:A1135,A1135,$B$2:B1135,B1135,$E$2:E1135,E1135)&gt;1,"Possible duplicate","")))</f>
      </c>
    </row>
    <row r="1136" spans="3:14" x14ac:dyDescent="0.3">
      <c r="A1136"/>
      <c r="C1136" s="16"/>
      <c r="G1136" s="5">
        <f>IF(A1136="","","Checking")</f>
      </c>
      <c r="H1136">
        <f>IF(A1136="","",IFERROR(XLOOKUP(D1136,Setup!$E$15:$E$79,Setup!$F$15:$F$79),"Miscellaneous"))</f>
      </c>
      <c r="I1136">
        <f>IF(A1136="","",IFERROR(XLOOKUP(D1136,Setup!$E$15:$E$79,Setup!$G$15:$G$79),"Uncategorized"))</f>
      </c>
      <c r="J1136">
        <f>IF(A1136="","",IF(OR(H1136="Transfers",H1136="Income",D1136="Transfer",D1136="Category Pending",F1136="Pending"),"No","Yes"))</f>
      </c>
      <c r="K1136" s="4">
        <f>IF(A1136="","",TEXT(IF(DAY(A1136)&gt;=Setup!$B$9,DATE(YEAR(A1136),MONTH(A1136)+1,1),DATE(YEAR(A1136),MONTH(A1136),1)),"mmmm yyyy"))</f>
      </c>
      <c r="L1136" s="47">
        <f>IF(A1136="",0,IF(AND(J1136="Yes",E1136&lt;0),-E1136,0))</f>
      </c>
      <c r="M1136" s="47">
        <f>IF(A1136="",0,IF(AND(J1136="Yes",E1136&gt;0),E1136,0))</f>
      </c>
      <c r="N1136">
        <f>IF(A1136="","",IF(D1136="Category Pending","Needs categorization",IF(COUNTIFS($A$2:A1136,A1136,$B$2:B1136,B1136,$E$2:E1136,E1136)&gt;1,"Possible duplicate","")))</f>
      </c>
    </row>
    <row r="1137" spans="3:14" x14ac:dyDescent="0.3">
      <c r="A1137"/>
      <c r="C1137" s="16"/>
      <c r="G1137" s="5">
        <f>IF(A1137="","","Checking")</f>
      </c>
      <c r="H1137">
        <f>IF(A1137="","",IFERROR(XLOOKUP(D1137,Setup!$E$15:$E$79,Setup!$F$15:$F$79),"Miscellaneous"))</f>
      </c>
      <c r="I1137">
        <f>IF(A1137="","",IFERROR(XLOOKUP(D1137,Setup!$E$15:$E$79,Setup!$G$15:$G$79),"Uncategorized"))</f>
      </c>
      <c r="J1137">
        <f>IF(A1137="","",IF(OR(H1137="Transfers",H1137="Income",D1137="Transfer",D1137="Category Pending",F1137="Pending"),"No","Yes"))</f>
      </c>
      <c r="K1137" s="4">
        <f>IF(A1137="","",TEXT(IF(DAY(A1137)&gt;=Setup!$B$9,DATE(YEAR(A1137),MONTH(A1137)+1,1),DATE(YEAR(A1137),MONTH(A1137),1)),"mmmm yyyy"))</f>
      </c>
      <c r="L1137" s="47">
        <f>IF(A1137="",0,IF(AND(J1137="Yes",E1137&lt;0),-E1137,0))</f>
      </c>
      <c r="M1137" s="47">
        <f>IF(A1137="",0,IF(AND(J1137="Yes",E1137&gt;0),E1137,0))</f>
      </c>
      <c r="N1137">
        <f>IF(A1137="","",IF(D1137="Category Pending","Needs categorization",IF(COUNTIFS($A$2:A1137,A1137,$B$2:B1137,B1137,$E$2:E1137,E1137)&gt;1,"Possible duplicate","")))</f>
      </c>
    </row>
    <row r="1138" spans="3:14" x14ac:dyDescent="0.3">
      <c r="A1138"/>
      <c r="C1138" s="16"/>
      <c r="G1138" s="5">
        <f>IF(A1138="","","Checking")</f>
      </c>
      <c r="H1138">
        <f>IF(A1138="","",IFERROR(XLOOKUP(D1138,Setup!$E$15:$E$79,Setup!$F$15:$F$79),"Miscellaneous"))</f>
      </c>
      <c r="I1138">
        <f>IF(A1138="","",IFERROR(XLOOKUP(D1138,Setup!$E$15:$E$79,Setup!$G$15:$G$79),"Uncategorized"))</f>
      </c>
      <c r="J1138">
        <f>IF(A1138="","",IF(OR(H1138="Transfers",H1138="Income",D1138="Transfer",D1138="Category Pending",F1138="Pending"),"No","Yes"))</f>
      </c>
      <c r="K1138" s="4">
        <f>IF(A1138="","",TEXT(IF(DAY(A1138)&gt;=Setup!$B$9,DATE(YEAR(A1138),MONTH(A1138)+1,1),DATE(YEAR(A1138),MONTH(A1138),1)),"mmmm yyyy"))</f>
      </c>
      <c r="L1138" s="47">
        <f>IF(A1138="",0,IF(AND(J1138="Yes",E1138&lt;0),-E1138,0))</f>
      </c>
      <c r="M1138" s="47">
        <f>IF(A1138="",0,IF(AND(J1138="Yes",E1138&gt;0),E1138,0))</f>
      </c>
      <c r="N1138">
        <f>IF(A1138="","",IF(D1138="Category Pending","Needs categorization",IF(COUNTIFS($A$2:A1138,A1138,$B$2:B1138,B1138,$E$2:E1138,E1138)&gt;1,"Possible duplicate","")))</f>
      </c>
    </row>
    <row r="1139" spans="3:14" x14ac:dyDescent="0.3">
      <c r="A1139"/>
      <c r="C1139" s="16"/>
      <c r="G1139" s="5">
        <f>IF(A1139="","","Checking")</f>
      </c>
      <c r="H1139">
        <f>IF(A1139="","",IFERROR(XLOOKUP(D1139,Setup!$E$15:$E$79,Setup!$F$15:$F$79),"Miscellaneous"))</f>
      </c>
      <c r="I1139">
        <f>IF(A1139="","",IFERROR(XLOOKUP(D1139,Setup!$E$15:$E$79,Setup!$G$15:$G$79),"Uncategorized"))</f>
      </c>
      <c r="J1139">
        <f>IF(A1139="","",IF(OR(H1139="Transfers",H1139="Income",D1139="Transfer",D1139="Category Pending",F1139="Pending"),"No","Yes"))</f>
      </c>
      <c r="K1139" s="4">
        <f>IF(A1139="","",TEXT(IF(DAY(A1139)&gt;=Setup!$B$9,DATE(YEAR(A1139),MONTH(A1139)+1,1),DATE(YEAR(A1139),MONTH(A1139),1)),"mmmm yyyy"))</f>
      </c>
      <c r="L1139" s="47">
        <f>IF(A1139="",0,IF(AND(J1139="Yes",E1139&lt;0),-E1139,0))</f>
      </c>
      <c r="M1139" s="47">
        <f>IF(A1139="",0,IF(AND(J1139="Yes",E1139&gt;0),E1139,0))</f>
      </c>
      <c r="N1139">
        <f>IF(A1139="","",IF(D1139="Category Pending","Needs categorization",IF(COUNTIFS($A$2:A1139,A1139,$B$2:B1139,B1139,$E$2:E1139,E1139)&gt;1,"Possible duplicate","")))</f>
      </c>
    </row>
    <row r="1140" spans="3:14" x14ac:dyDescent="0.3">
      <c r="A1140"/>
      <c r="C1140" s="16"/>
      <c r="G1140" s="5">
        <f>IF(A1140="","","Checking")</f>
      </c>
      <c r="H1140">
        <f>IF(A1140="","",IFERROR(XLOOKUP(D1140,Setup!$E$15:$E$79,Setup!$F$15:$F$79),"Miscellaneous"))</f>
      </c>
      <c r="I1140">
        <f>IF(A1140="","",IFERROR(XLOOKUP(D1140,Setup!$E$15:$E$79,Setup!$G$15:$G$79),"Uncategorized"))</f>
      </c>
      <c r="J1140">
        <f>IF(A1140="","",IF(OR(H1140="Transfers",H1140="Income",D1140="Transfer",D1140="Category Pending",F1140="Pending"),"No","Yes"))</f>
      </c>
      <c r="K1140" s="4">
        <f>IF(A1140="","",TEXT(IF(DAY(A1140)&gt;=Setup!$B$9,DATE(YEAR(A1140),MONTH(A1140)+1,1),DATE(YEAR(A1140),MONTH(A1140),1)),"mmmm yyyy"))</f>
      </c>
      <c r="L1140" s="47">
        <f>IF(A1140="",0,IF(AND(J1140="Yes",E1140&lt;0),-E1140,0))</f>
      </c>
      <c r="M1140" s="47">
        <f>IF(A1140="",0,IF(AND(J1140="Yes",E1140&gt;0),E1140,0))</f>
      </c>
      <c r="N1140">
        <f>IF(A1140="","",IF(D1140="Category Pending","Needs categorization",IF(COUNTIFS($A$2:A1140,A1140,$B$2:B1140,B1140,$E$2:E1140,E1140)&gt;1,"Possible duplicate","")))</f>
      </c>
    </row>
    <row r="1141" spans="3:14" x14ac:dyDescent="0.3">
      <c r="A1141"/>
      <c r="C1141" s="16"/>
      <c r="G1141" s="5">
        <f>IF(A1141="","","Checking")</f>
      </c>
      <c r="H1141">
        <f>IF(A1141="","",IFERROR(XLOOKUP(D1141,Setup!$E$15:$E$79,Setup!$F$15:$F$79),"Miscellaneous"))</f>
      </c>
      <c r="I1141">
        <f>IF(A1141="","",IFERROR(XLOOKUP(D1141,Setup!$E$15:$E$79,Setup!$G$15:$G$79),"Uncategorized"))</f>
      </c>
      <c r="J1141">
        <f>IF(A1141="","",IF(OR(H1141="Transfers",H1141="Income",D1141="Transfer",D1141="Category Pending",F1141="Pending"),"No","Yes"))</f>
      </c>
      <c r="K1141" s="4">
        <f>IF(A1141="","",TEXT(IF(DAY(A1141)&gt;=Setup!$B$9,DATE(YEAR(A1141),MONTH(A1141)+1,1),DATE(YEAR(A1141),MONTH(A1141),1)),"mmmm yyyy"))</f>
      </c>
      <c r="L1141" s="47">
        <f>IF(A1141="",0,IF(AND(J1141="Yes",E1141&lt;0),-E1141,0))</f>
      </c>
      <c r="M1141" s="47">
        <f>IF(A1141="",0,IF(AND(J1141="Yes",E1141&gt;0),E1141,0))</f>
      </c>
      <c r="N1141">
        <f>IF(A1141="","",IF(D1141="Category Pending","Needs categorization",IF(COUNTIFS($A$2:A1141,A1141,$B$2:B1141,B1141,$E$2:E1141,E1141)&gt;1,"Possible duplicate","")))</f>
      </c>
    </row>
    <row r="1142" spans="3:14" x14ac:dyDescent="0.3">
      <c r="A1142"/>
      <c r="C1142" s="16"/>
      <c r="G1142" s="5">
        <f>IF(A1142="","","Checking")</f>
      </c>
      <c r="H1142">
        <f>IF(A1142="","",IFERROR(XLOOKUP(D1142,Setup!$E$15:$E$79,Setup!$F$15:$F$79),"Miscellaneous"))</f>
      </c>
      <c r="I1142">
        <f>IF(A1142="","",IFERROR(XLOOKUP(D1142,Setup!$E$15:$E$79,Setup!$G$15:$G$79),"Uncategorized"))</f>
      </c>
      <c r="J1142">
        <f>IF(A1142="","",IF(OR(H1142="Transfers",H1142="Income",D1142="Transfer",D1142="Category Pending",F1142="Pending"),"No","Yes"))</f>
      </c>
      <c r="K1142" s="4">
        <f>IF(A1142="","",TEXT(IF(DAY(A1142)&gt;=Setup!$B$9,DATE(YEAR(A1142),MONTH(A1142)+1,1),DATE(YEAR(A1142),MONTH(A1142),1)),"mmmm yyyy"))</f>
      </c>
      <c r="L1142" s="47">
        <f>IF(A1142="",0,IF(AND(J1142="Yes",E1142&lt;0),-E1142,0))</f>
      </c>
      <c r="M1142" s="47">
        <f>IF(A1142="",0,IF(AND(J1142="Yes",E1142&gt;0),E1142,0))</f>
      </c>
      <c r="N1142">
        <f>IF(A1142="","",IF(D1142="Category Pending","Needs categorization",IF(COUNTIFS($A$2:A1142,A1142,$B$2:B1142,B1142,$E$2:E1142,E1142)&gt;1,"Possible duplicate","")))</f>
      </c>
    </row>
    <row r="1143" spans="3:14" x14ac:dyDescent="0.3">
      <c r="A1143"/>
      <c r="C1143" s="16"/>
      <c r="G1143" s="5">
        <f>IF(A1143="","","Checking")</f>
      </c>
      <c r="H1143">
        <f>IF(A1143="","",IFERROR(XLOOKUP(D1143,Setup!$E$15:$E$79,Setup!$F$15:$F$79),"Miscellaneous"))</f>
      </c>
      <c r="I1143">
        <f>IF(A1143="","",IFERROR(XLOOKUP(D1143,Setup!$E$15:$E$79,Setup!$G$15:$G$79),"Uncategorized"))</f>
      </c>
      <c r="J1143">
        <f>IF(A1143="","",IF(OR(H1143="Transfers",H1143="Income",D1143="Transfer",D1143="Category Pending",F1143="Pending"),"No","Yes"))</f>
      </c>
      <c r="K1143" s="4">
        <f>IF(A1143="","",TEXT(IF(DAY(A1143)&gt;=Setup!$B$9,DATE(YEAR(A1143),MONTH(A1143)+1,1),DATE(YEAR(A1143),MONTH(A1143),1)),"mmmm yyyy"))</f>
      </c>
      <c r="L1143" s="47">
        <f>IF(A1143="",0,IF(AND(J1143="Yes",E1143&lt;0),-E1143,0))</f>
      </c>
      <c r="M1143" s="47">
        <f>IF(A1143="",0,IF(AND(J1143="Yes",E1143&gt;0),E1143,0))</f>
      </c>
      <c r="N1143">
        <f>IF(A1143="","",IF(D1143="Category Pending","Needs categorization",IF(COUNTIFS($A$2:A1143,A1143,$B$2:B1143,B1143,$E$2:E1143,E1143)&gt;1,"Possible duplicate","")))</f>
      </c>
    </row>
    <row r="1144" spans="3:14" x14ac:dyDescent="0.3">
      <c r="A1144"/>
      <c r="C1144" s="16"/>
      <c r="G1144" s="5">
        <f>IF(A1144="","","Checking")</f>
      </c>
      <c r="H1144">
        <f>IF(A1144="","",IFERROR(XLOOKUP(D1144,Setup!$E$15:$E$79,Setup!$F$15:$F$79),"Miscellaneous"))</f>
      </c>
      <c r="I1144">
        <f>IF(A1144="","",IFERROR(XLOOKUP(D1144,Setup!$E$15:$E$79,Setup!$G$15:$G$79),"Uncategorized"))</f>
      </c>
      <c r="J1144">
        <f>IF(A1144="","",IF(OR(H1144="Transfers",H1144="Income",D1144="Transfer",D1144="Category Pending",F1144="Pending"),"No","Yes"))</f>
      </c>
      <c r="K1144" s="4">
        <f>IF(A1144="","",TEXT(IF(DAY(A1144)&gt;=Setup!$B$9,DATE(YEAR(A1144),MONTH(A1144)+1,1),DATE(YEAR(A1144),MONTH(A1144),1)),"mmmm yyyy"))</f>
      </c>
      <c r="L1144" s="47">
        <f>IF(A1144="",0,IF(AND(J1144="Yes",E1144&lt;0),-E1144,0))</f>
      </c>
      <c r="M1144" s="47">
        <f>IF(A1144="",0,IF(AND(J1144="Yes",E1144&gt;0),E1144,0))</f>
      </c>
      <c r="N1144">
        <f>IF(A1144="","",IF(D1144="Category Pending","Needs categorization",IF(COUNTIFS($A$2:A1144,A1144,$B$2:B1144,B1144,$E$2:E1144,E1144)&gt;1,"Possible duplicate","")))</f>
      </c>
    </row>
    <row r="1145" spans="3:14" x14ac:dyDescent="0.3">
      <c r="A1145"/>
      <c r="C1145" s="16"/>
      <c r="G1145" s="5">
        <f>IF(A1145="","","Checking")</f>
      </c>
      <c r="H1145">
        <f>IF(A1145="","",IFERROR(XLOOKUP(D1145,Setup!$E$15:$E$79,Setup!$F$15:$F$79),"Miscellaneous"))</f>
      </c>
      <c r="I1145">
        <f>IF(A1145="","",IFERROR(XLOOKUP(D1145,Setup!$E$15:$E$79,Setup!$G$15:$G$79),"Uncategorized"))</f>
      </c>
      <c r="J1145">
        <f>IF(A1145="","",IF(OR(H1145="Transfers",H1145="Income",D1145="Transfer",D1145="Category Pending",F1145="Pending"),"No","Yes"))</f>
      </c>
      <c r="K1145" s="4">
        <f>IF(A1145="","",TEXT(IF(DAY(A1145)&gt;=Setup!$B$9,DATE(YEAR(A1145),MONTH(A1145)+1,1),DATE(YEAR(A1145),MONTH(A1145),1)),"mmmm yyyy"))</f>
      </c>
      <c r="L1145" s="47">
        <f>IF(A1145="",0,IF(AND(J1145="Yes",E1145&lt;0),-E1145,0))</f>
      </c>
      <c r="M1145" s="47">
        <f>IF(A1145="",0,IF(AND(J1145="Yes",E1145&gt;0),E1145,0))</f>
      </c>
      <c r="N1145">
        <f>IF(A1145="","",IF(D1145="Category Pending","Needs categorization",IF(COUNTIFS($A$2:A1145,A1145,$B$2:B1145,B1145,$E$2:E1145,E1145)&gt;1,"Possible duplicate","")))</f>
      </c>
    </row>
    <row r="1146" spans="3:14" x14ac:dyDescent="0.3">
      <c r="A1146"/>
      <c r="C1146" s="16"/>
      <c r="G1146" s="5">
        <f>IF(A1146="","","Checking")</f>
      </c>
      <c r="H1146">
        <f>IF(A1146="","",IFERROR(XLOOKUP(D1146,Setup!$E$15:$E$79,Setup!$F$15:$F$79),"Miscellaneous"))</f>
      </c>
      <c r="I1146">
        <f>IF(A1146="","",IFERROR(XLOOKUP(D1146,Setup!$E$15:$E$79,Setup!$G$15:$G$79),"Uncategorized"))</f>
      </c>
      <c r="J1146">
        <f>IF(A1146="","",IF(OR(H1146="Transfers",H1146="Income",D1146="Transfer",D1146="Category Pending",F1146="Pending"),"No","Yes"))</f>
      </c>
      <c r="K1146" s="4">
        <f>IF(A1146="","",TEXT(IF(DAY(A1146)&gt;=Setup!$B$9,DATE(YEAR(A1146),MONTH(A1146)+1,1),DATE(YEAR(A1146),MONTH(A1146),1)),"mmmm yyyy"))</f>
      </c>
      <c r="L1146" s="47">
        <f>IF(A1146="",0,IF(AND(J1146="Yes",E1146&lt;0),-E1146,0))</f>
      </c>
      <c r="M1146" s="47">
        <f>IF(A1146="",0,IF(AND(J1146="Yes",E1146&gt;0),E1146,0))</f>
      </c>
      <c r="N1146">
        <f>IF(A1146="","",IF(D1146="Category Pending","Needs categorization",IF(COUNTIFS($A$2:A1146,A1146,$B$2:B1146,B1146,$E$2:E1146,E1146)&gt;1,"Possible duplicate","")))</f>
      </c>
    </row>
    <row r="1147" spans="3:14" x14ac:dyDescent="0.3">
      <c r="A1147"/>
      <c r="C1147" s="16"/>
      <c r="G1147" s="5">
        <f>IF(A1147="","","Checking")</f>
      </c>
      <c r="H1147">
        <f>IF(A1147="","",IFERROR(XLOOKUP(D1147,Setup!$E$15:$E$79,Setup!$F$15:$F$79),"Miscellaneous"))</f>
      </c>
      <c r="I1147">
        <f>IF(A1147="","",IFERROR(XLOOKUP(D1147,Setup!$E$15:$E$79,Setup!$G$15:$G$79),"Uncategorized"))</f>
      </c>
      <c r="J1147">
        <f>IF(A1147="","",IF(OR(H1147="Transfers",H1147="Income",D1147="Transfer",D1147="Category Pending",F1147="Pending"),"No","Yes"))</f>
      </c>
      <c r="K1147" s="4">
        <f>IF(A1147="","",TEXT(IF(DAY(A1147)&gt;=Setup!$B$9,DATE(YEAR(A1147),MONTH(A1147)+1,1),DATE(YEAR(A1147),MONTH(A1147),1)),"mmmm yyyy"))</f>
      </c>
      <c r="L1147" s="47">
        <f>IF(A1147="",0,IF(AND(J1147="Yes",E1147&lt;0),-E1147,0))</f>
      </c>
      <c r="M1147" s="47">
        <f>IF(A1147="",0,IF(AND(J1147="Yes",E1147&gt;0),E1147,0))</f>
      </c>
      <c r="N1147">
        <f>IF(A1147="","",IF(D1147="Category Pending","Needs categorization",IF(COUNTIFS($A$2:A1147,A1147,$B$2:B1147,B1147,$E$2:E1147,E1147)&gt;1,"Possible duplicate","")))</f>
      </c>
    </row>
    <row r="1148" spans="3:14" x14ac:dyDescent="0.3">
      <c r="A1148"/>
      <c r="C1148" s="16"/>
      <c r="G1148" s="5">
        <f>IF(A1148="","","Checking")</f>
      </c>
      <c r="H1148">
        <f>IF(A1148="","",IFERROR(XLOOKUP(D1148,Setup!$E$15:$E$79,Setup!$F$15:$F$79),"Miscellaneous"))</f>
      </c>
      <c r="I1148">
        <f>IF(A1148="","",IFERROR(XLOOKUP(D1148,Setup!$E$15:$E$79,Setup!$G$15:$G$79),"Uncategorized"))</f>
      </c>
      <c r="J1148">
        <f>IF(A1148="","",IF(OR(H1148="Transfers",H1148="Income",D1148="Transfer",D1148="Category Pending",F1148="Pending"),"No","Yes"))</f>
      </c>
      <c r="K1148" s="4">
        <f>IF(A1148="","",TEXT(IF(DAY(A1148)&gt;=Setup!$B$9,DATE(YEAR(A1148),MONTH(A1148)+1,1),DATE(YEAR(A1148),MONTH(A1148),1)),"mmmm yyyy"))</f>
      </c>
      <c r="L1148" s="47">
        <f>IF(A1148="",0,IF(AND(J1148="Yes",E1148&lt;0),-E1148,0))</f>
      </c>
      <c r="M1148" s="47">
        <f>IF(A1148="",0,IF(AND(J1148="Yes",E1148&gt;0),E1148,0))</f>
      </c>
      <c r="N1148">
        <f>IF(A1148="","",IF(D1148="Category Pending","Needs categorization",IF(COUNTIFS($A$2:A1148,A1148,$B$2:B1148,B1148,$E$2:E1148,E1148)&gt;1,"Possible duplicate","")))</f>
      </c>
    </row>
    <row r="1149" spans="3:14" x14ac:dyDescent="0.3">
      <c r="A1149"/>
      <c r="C1149" s="16"/>
      <c r="G1149" s="5">
        <f>IF(A1149="","","Checking")</f>
      </c>
      <c r="H1149">
        <f>IF(A1149="","",IFERROR(XLOOKUP(D1149,Setup!$E$15:$E$79,Setup!$F$15:$F$79),"Miscellaneous"))</f>
      </c>
      <c r="I1149">
        <f>IF(A1149="","",IFERROR(XLOOKUP(D1149,Setup!$E$15:$E$79,Setup!$G$15:$G$79),"Uncategorized"))</f>
      </c>
      <c r="J1149">
        <f>IF(A1149="","",IF(OR(H1149="Transfers",H1149="Income",D1149="Transfer",D1149="Category Pending",F1149="Pending"),"No","Yes"))</f>
      </c>
      <c r="K1149" s="4">
        <f>IF(A1149="","",TEXT(IF(DAY(A1149)&gt;=Setup!$B$9,DATE(YEAR(A1149),MONTH(A1149)+1,1),DATE(YEAR(A1149),MONTH(A1149),1)),"mmmm yyyy"))</f>
      </c>
      <c r="L1149" s="47">
        <f>IF(A1149="",0,IF(AND(J1149="Yes",E1149&lt;0),-E1149,0))</f>
      </c>
      <c r="M1149" s="47">
        <f>IF(A1149="",0,IF(AND(J1149="Yes",E1149&gt;0),E1149,0))</f>
      </c>
      <c r="N1149">
        <f>IF(A1149="","",IF(D1149="Category Pending","Needs categorization",IF(COUNTIFS($A$2:A1149,A1149,$B$2:B1149,B1149,$E$2:E1149,E1149)&gt;1,"Possible duplicate","")))</f>
      </c>
    </row>
    <row r="1150" spans="3:14" x14ac:dyDescent="0.3">
      <c r="A1150"/>
      <c r="C1150" s="16"/>
      <c r="G1150" s="5">
        <f>IF(A1150="","","Checking")</f>
      </c>
      <c r="H1150">
        <f>IF(A1150="","",IFERROR(XLOOKUP(D1150,Setup!$E$15:$E$79,Setup!$F$15:$F$79),"Miscellaneous"))</f>
      </c>
      <c r="I1150">
        <f>IF(A1150="","",IFERROR(XLOOKUP(D1150,Setup!$E$15:$E$79,Setup!$G$15:$G$79),"Uncategorized"))</f>
      </c>
      <c r="J1150">
        <f>IF(A1150="","",IF(OR(H1150="Transfers",H1150="Income",D1150="Transfer",D1150="Category Pending",F1150="Pending"),"No","Yes"))</f>
      </c>
      <c r="K1150" s="4">
        <f>IF(A1150="","",TEXT(IF(DAY(A1150)&gt;=Setup!$B$9,DATE(YEAR(A1150),MONTH(A1150)+1,1),DATE(YEAR(A1150),MONTH(A1150),1)),"mmmm yyyy"))</f>
      </c>
      <c r="L1150" s="47">
        <f>IF(A1150="",0,IF(AND(J1150="Yes",E1150&lt;0),-E1150,0))</f>
      </c>
      <c r="M1150" s="47">
        <f>IF(A1150="",0,IF(AND(J1150="Yes",E1150&gt;0),E1150,0))</f>
      </c>
      <c r="N1150">
        <f>IF(A1150="","",IF(D1150="Category Pending","Needs categorization",IF(COUNTIFS($A$2:A1150,A1150,$B$2:B1150,B1150,$E$2:E1150,E1150)&gt;1,"Possible duplicate","")))</f>
      </c>
    </row>
    <row r="1151" spans="3:14" x14ac:dyDescent="0.3">
      <c r="A1151"/>
      <c r="C1151" s="16"/>
      <c r="G1151" s="5">
        <f>IF(A1151="","","Checking")</f>
      </c>
      <c r="H1151">
        <f>IF(A1151="","",IFERROR(XLOOKUP(D1151,Setup!$E$15:$E$79,Setup!$F$15:$F$79),"Miscellaneous"))</f>
      </c>
      <c r="I1151">
        <f>IF(A1151="","",IFERROR(XLOOKUP(D1151,Setup!$E$15:$E$79,Setup!$G$15:$G$79),"Uncategorized"))</f>
      </c>
      <c r="J1151">
        <f>IF(A1151="","",IF(OR(H1151="Transfers",H1151="Income",D1151="Transfer",D1151="Category Pending",F1151="Pending"),"No","Yes"))</f>
      </c>
      <c r="K1151" s="4">
        <f>IF(A1151="","",TEXT(IF(DAY(A1151)&gt;=Setup!$B$9,DATE(YEAR(A1151),MONTH(A1151)+1,1),DATE(YEAR(A1151),MONTH(A1151),1)),"mmmm yyyy"))</f>
      </c>
      <c r="L1151" s="47">
        <f>IF(A1151="",0,IF(AND(J1151="Yes",E1151&lt;0),-E1151,0))</f>
      </c>
      <c r="M1151" s="47">
        <f>IF(A1151="",0,IF(AND(J1151="Yes",E1151&gt;0),E1151,0))</f>
      </c>
      <c r="N1151">
        <f>IF(A1151="","",IF(D1151="Category Pending","Needs categorization",IF(COUNTIFS($A$2:A1151,A1151,$B$2:B1151,B1151,$E$2:E1151,E1151)&gt;1,"Possible duplicate","")))</f>
      </c>
    </row>
    <row r="1152" spans="3:14" x14ac:dyDescent="0.3">
      <c r="A1152"/>
      <c r="C1152" s="16"/>
      <c r="G1152" s="5">
        <f>IF(A1152="","","Checking")</f>
      </c>
      <c r="H1152">
        <f>IF(A1152="","",IFERROR(XLOOKUP(D1152,Setup!$E$15:$E$79,Setup!$F$15:$F$79),"Miscellaneous"))</f>
      </c>
      <c r="I1152">
        <f>IF(A1152="","",IFERROR(XLOOKUP(D1152,Setup!$E$15:$E$79,Setup!$G$15:$G$79),"Uncategorized"))</f>
      </c>
      <c r="J1152">
        <f>IF(A1152="","",IF(OR(H1152="Transfers",H1152="Income",D1152="Transfer",D1152="Category Pending",F1152="Pending"),"No","Yes"))</f>
      </c>
      <c r="K1152" s="4">
        <f>IF(A1152="","",TEXT(IF(DAY(A1152)&gt;=Setup!$B$9,DATE(YEAR(A1152),MONTH(A1152)+1,1),DATE(YEAR(A1152),MONTH(A1152),1)),"mmmm yyyy"))</f>
      </c>
      <c r="L1152" s="47">
        <f>IF(A1152="",0,IF(AND(J1152="Yes",E1152&lt;0),-E1152,0))</f>
      </c>
      <c r="M1152" s="47">
        <f>IF(A1152="",0,IF(AND(J1152="Yes",E1152&gt;0),E1152,0))</f>
      </c>
      <c r="N1152">
        <f>IF(A1152="","",IF(D1152="Category Pending","Needs categorization",IF(COUNTIFS($A$2:A1152,A1152,$B$2:B1152,B1152,$E$2:E1152,E1152)&gt;1,"Possible duplicate","")))</f>
      </c>
    </row>
    <row r="1153" spans="3:14" x14ac:dyDescent="0.3">
      <c r="A1153"/>
      <c r="C1153" s="16"/>
      <c r="G1153" s="5">
        <f>IF(A1153="","","Checking")</f>
      </c>
      <c r="H1153">
        <f>IF(A1153="","",IFERROR(XLOOKUP(D1153,Setup!$E$15:$E$79,Setup!$F$15:$F$79),"Miscellaneous"))</f>
      </c>
      <c r="I1153">
        <f>IF(A1153="","",IFERROR(XLOOKUP(D1153,Setup!$E$15:$E$79,Setup!$G$15:$G$79),"Uncategorized"))</f>
      </c>
      <c r="J1153">
        <f>IF(A1153="","",IF(OR(H1153="Transfers",H1153="Income",D1153="Transfer",D1153="Category Pending",F1153="Pending"),"No","Yes"))</f>
      </c>
      <c r="K1153" s="4">
        <f>IF(A1153="","",TEXT(IF(DAY(A1153)&gt;=Setup!$B$9,DATE(YEAR(A1153),MONTH(A1153)+1,1),DATE(YEAR(A1153),MONTH(A1153),1)),"mmmm yyyy"))</f>
      </c>
      <c r="L1153" s="47">
        <f>IF(A1153="",0,IF(AND(J1153="Yes",E1153&lt;0),-E1153,0))</f>
      </c>
      <c r="M1153" s="47">
        <f>IF(A1153="",0,IF(AND(J1153="Yes",E1153&gt;0),E1153,0))</f>
      </c>
      <c r="N1153">
        <f>IF(A1153="","",IF(D1153="Category Pending","Needs categorization",IF(COUNTIFS($A$2:A1153,A1153,$B$2:B1153,B1153,$E$2:E1153,E1153)&gt;1,"Possible duplicate","")))</f>
      </c>
    </row>
    <row r="1154" spans="3:14" x14ac:dyDescent="0.3">
      <c r="A1154"/>
      <c r="C1154" s="16"/>
      <c r="G1154" s="5">
        <f>IF(A1154="","","Checking")</f>
      </c>
      <c r="H1154">
        <f>IF(A1154="","",IFERROR(XLOOKUP(D1154,Setup!$E$15:$E$79,Setup!$F$15:$F$79),"Miscellaneous"))</f>
      </c>
      <c r="I1154">
        <f>IF(A1154="","",IFERROR(XLOOKUP(D1154,Setup!$E$15:$E$79,Setup!$G$15:$G$79),"Uncategorized"))</f>
      </c>
      <c r="J1154">
        <f>IF(A1154="","",IF(OR(H1154="Transfers",H1154="Income",D1154="Transfer",D1154="Category Pending",F1154="Pending"),"No","Yes"))</f>
      </c>
      <c r="K1154" s="4">
        <f>IF(A1154="","",TEXT(IF(DAY(A1154)&gt;=Setup!$B$9,DATE(YEAR(A1154),MONTH(A1154)+1,1),DATE(YEAR(A1154),MONTH(A1154),1)),"mmmm yyyy"))</f>
      </c>
      <c r="L1154" s="47">
        <f>IF(A1154="",0,IF(AND(J1154="Yes",E1154&lt;0),-E1154,0))</f>
      </c>
      <c r="M1154" s="47">
        <f>IF(A1154="",0,IF(AND(J1154="Yes",E1154&gt;0),E1154,0))</f>
      </c>
      <c r="N1154">
        <f>IF(A1154="","",IF(D1154="Category Pending","Needs categorization",IF(COUNTIFS($A$2:A1154,A1154,$B$2:B1154,B1154,$E$2:E1154,E1154)&gt;1,"Possible duplicate","")))</f>
      </c>
    </row>
    <row r="1155" spans="3:14" x14ac:dyDescent="0.3">
      <c r="A1155"/>
      <c r="C1155" s="16"/>
      <c r="G1155" s="5">
        <f>IF(A1155="","","Checking")</f>
      </c>
      <c r="H1155">
        <f>IF(A1155="","",IFERROR(XLOOKUP(D1155,Setup!$E$15:$E$79,Setup!$F$15:$F$79),"Miscellaneous"))</f>
      </c>
      <c r="I1155">
        <f>IF(A1155="","",IFERROR(XLOOKUP(D1155,Setup!$E$15:$E$79,Setup!$G$15:$G$79),"Uncategorized"))</f>
      </c>
      <c r="J1155">
        <f>IF(A1155="","",IF(OR(H1155="Transfers",H1155="Income",D1155="Transfer",D1155="Category Pending",F1155="Pending"),"No","Yes"))</f>
      </c>
      <c r="K1155" s="4">
        <f>IF(A1155="","",TEXT(IF(DAY(A1155)&gt;=Setup!$B$9,DATE(YEAR(A1155),MONTH(A1155)+1,1),DATE(YEAR(A1155),MONTH(A1155),1)),"mmmm yyyy"))</f>
      </c>
      <c r="L1155" s="47">
        <f>IF(A1155="",0,IF(AND(J1155="Yes",E1155&lt;0),-E1155,0))</f>
      </c>
      <c r="M1155" s="47">
        <f>IF(A1155="",0,IF(AND(J1155="Yes",E1155&gt;0),E1155,0))</f>
      </c>
      <c r="N1155">
        <f>IF(A1155="","",IF(D1155="Category Pending","Needs categorization",IF(COUNTIFS($A$2:A1155,A1155,$B$2:B1155,B1155,$E$2:E1155,E1155)&gt;1,"Possible duplicate","")))</f>
      </c>
    </row>
    <row r="1156" spans="3:14" x14ac:dyDescent="0.3">
      <c r="A1156"/>
      <c r="C1156" s="16"/>
      <c r="G1156" s="5">
        <f>IF(A1156="","","Checking")</f>
      </c>
      <c r="H1156">
        <f>IF(A1156="","",IFERROR(XLOOKUP(D1156,Setup!$E$15:$E$79,Setup!$F$15:$F$79),"Miscellaneous"))</f>
      </c>
      <c r="I1156">
        <f>IF(A1156="","",IFERROR(XLOOKUP(D1156,Setup!$E$15:$E$79,Setup!$G$15:$G$79),"Uncategorized"))</f>
      </c>
      <c r="J1156">
        <f>IF(A1156="","",IF(OR(H1156="Transfers",H1156="Income",D1156="Transfer",D1156="Category Pending",F1156="Pending"),"No","Yes"))</f>
      </c>
      <c r="K1156" s="4">
        <f>IF(A1156="","",TEXT(IF(DAY(A1156)&gt;=Setup!$B$9,DATE(YEAR(A1156),MONTH(A1156)+1,1),DATE(YEAR(A1156),MONTH(A1156),1)),"mmmm yyyy"))</f>
      </c>
      <c r="L1156" s="47">
        <f>IF(A1156="",0,IF(AND(J1156="Yes",E1156&lt;0),-E1156,0))</f>
      </c>
      <c r="M1156" s="47">
        <f>IF(A1156="",0,IF(AND(J1156="Yes",E1156&gt;0),E1156,0))</f>
      </c>
      <c r="N1156">
        <f>IF(A1156="","",IF(D1156="Category Pending","Needs categorization",IF(COUNTIFS($A$2:A1156,A1156,$B$2:B1156,B1156,$E$2:E1156,E1156)&gt;1,"Possible duplicate","")))</f>
      </c>
    </row>
    <row r="1157" spans="3:14" x14ac:dyDescent="0.3">
      <c r="A1157"/>
      <c r="C1157" s="16"/>
      <c r="G1157" s="5">
        <f>IF(A1157="","","Checking")</f>
      </c>
      <c r="H1157">
        <f>IF(A1157="","",IFERROR(XLOOKUP(D1157,Setup!$E$15:$E$79,Setup!$F$15:$F$79),"Miscellaneous"))</f>
      </c>
      <c r="I1157">
        <f>IF(A1157="","",IFERROR(XLOOKUP(D1157,Setup!$E$15:$E$79,Setup!$G$15:$G$79),"Uncategorized"))</f>
      </c>
      <c r="J1157">
        <f>IF(A1157="","",IF(OR(H1157="Transfers",H1157="Income",D1157="Transfer",D1157="Category Pending",F1157="Pending"),"No","Yes"))</f>
      </c>
      <c r="K1157" s="4">
        <f>IF(A1157="","",TEXT(IF(DAY(A1157)&gt;=Setup!$B$9,DATE(YEAR(A1157),MONTH(A1157)+1,1),DATE(YEAR(A1157),MONTH(A1157),1)),"mmmm yyyy"))</f>
      </c>
      <c r="L1157" s="47">
        <f>IF(A1157="",0,IF(AND(J1157="Yes",E1157&lt;0),-E1157,0))</f>
      </c>
      <c r="M1157" s="47">
        <f>IF(A1157="",0,IF(AND(J1157="Yes",E1157&gt;0),E1157,0))</f>
      </c>
      <c r="N1157">
        <f>IF(A1157="","",IF(D1157="Category Pending","Needs categorization",IF(COUNTIFS($A$2:A1157,A1157,$B$2:B1157,B1157,$E$2:E1157,E1157)&gt;1,"Possible duplicate","")))</f>
      </c>
    </row>
    <row r="1158" spans="3:14" x14ac:dyDescent="0.3">
      <c r="A1158"/>
      <c r="C1158" s="16"/>
      <c r="G1158" s="5">
        <f>IF(A1158="","","Checking")</f>
      </c>
      <c r="H1158">
        <f>IF(A1158="","",IFERROR(XLOOKUP(D1158,Setup!$E$15:$E$79,Setup!$F$15:$F$79),"Miscellaneous"))</f>
      </c>
      <c r="I1158">
        <f>IF(A1158="","",IFERROR(XLOOKUP(D1158,Setup!$E$15:$E$79,Setup!$G$15:$G$79),"Uncategorized"))</f>
      </c>
      <c r="J1158">
        <f>IF(A1158="","",IF(OR(H1158="Transfers",H1158="Income",D1158="Transfer",D1158="Category Pending",F1158="Pending"),"No","Yes"))</f>
      </c>
      <c r="K1158" s="4">
        <f>IF(A1158="","",TEXT(IF(DAY(A1158)&gt;=Setup!$B$9,DATE(YEAR(A1158),MONTH(A1158)+1,1),DATE(YEAR(A1158),MONTH(A1158),1)),"mmmm yyyy"))</f>
      </c>
      <c r="L1158" s="47">
        <f>IF(A1158="",0,IF(AND(J1158="Yes",E1158&lt;0),-E1158,0))</f>
      </c>
      <c r="M1158" s="47">
        <f>IF(A1158="",0,IF(AND(J1158="Yes",E1158&gt;0),E1158,0))</f>
      </c>
      <c r="N1158">
        <f>IF(A1158="","",IF(D1158="Category Pending","Needs categorization",IF(COUNTIFS($A$2:A1158,A1158,$B$2:B1158,B1158,$E$2:E1158,E1158)&gt;1,"Possible duplicate","")))</f>
      </c>
    </row>
    <row r="1159" spans="3:14" x14ac:dyDescent="0.3">
      <c r="A1159"/>
      <c r="C1159" s="16"/>
      <c r="G1159" s="5">
        <f>IF(A1159="","","Checking")</f>
      </c>
      <c r="H1159">
        <f>IF(A1159="","",IFERROR(XLOOKUP(D1159,Setup!$E$15:$E$79,Setup!$F$15:$F$79),"Miscellaneous"))</f>
      </c>
      <c r="I1159">
        <f>IF(A1159="","",IFERROR(XLOOKUP(D1159,Setup!$E$15:$E$79,Setup!$G$15:$G$79),"Uncategorized"))</f>
      </c>
      <c r="J1159">
        <f>IF(A1159="","",IF(OR(H1159="Transfers",H1159="Income",D1159="Transfer",D1159="Category Pending",F1159="Pending"),"No","Yes"))</f>
      </c>
      <c r="K1159" s="4">
        <f>IF(A1159="","",TEXT(IF(DAY(A1159)&gt;=Setup!$B$9,DATE(YEAR(A1159),MONTH(A1159)+1,1),DATE(YEAR(A1159),MONTH(A1159),1)),"mmmm yyyy"))</f>
      </c>
      <c r="L1159" s="47">
        <f>IF(A1159="",0,IF(AND(J1159="Yes",E1159&lt;0),-E1159,0))</f>
      </c>
      <c r="M1159" s="47">
        <f>IF(A1159="",0,IF(AND(J1159="Yes",E1159&gt;0),E1159,0))</f>
      </c>
      <c r="N1159">
        <f>IF(A1159="","",IF(D1159="Category Pending","Needs categorization",IF(COUNTIFS($A$2:A1159,A1159,$B$2:B1159,B1159,$E$2:E1159,E1159)&gt;1,"Possible duplicate","")))</f>
      </c>
    </row>
    <row r="1160" spans="3:14" x14ac:dyDescent="0.3">
      <c r="A1160"/>
      <c r="C1160" s="16"/>
      <c r="G1160" s="5">
        <f>IF(A1160="","","Checking")</f>
      </c>
      <c r="H1160">
        <f>IF(A1160="","",IFERROR(XLOOKUP(D1160,Setup!$E$15:$E$79,Setup!$F$15:$F$79),"Miscellaneous"))</f>
      </c>
      <c r="I1160">
        <f>IF(A1160="","",IFERROR(XLOOKUP(D1160,Setup!$E$15:$E$79,Setup!$G$15:$G$79),"Uncategorized"))</f>
      </c>
      <c r="J1160">
        <f>IF(A1160="","",IF(OR(H1160="Transfers",H1160="Income",D1160="Transfer",D1160="Category Pending",F1160="Pending"),"No","Yes"))</f>
      </c>
      <c r="K1160" s="4">
        <f>IF(A1160="","",TEXT(IF(DAY(A1160)&gt;=Setup!$B$9,DATE(YEAR(A1160),MONTH(A1160)+1,1),DATE(YEAR(A1160),MONTH(A1160),1)),"mmmm yyyy"))</f>
      </c>
      <c r="L1160" s="47">
        <f>IF(A1160="",0,IF(AND(J1160="Yes",E1160&lt;0),-E1160,0))</f>
      </c>
      <c r="M1160" s="47">
        <f>IF(A1160="",0,IF(AND(J1160="Yes",E1160&gt;0),E1160,0))</f>
      </c>
      <c r="N1160">
        <f>IF(A1160="","",IF(D1160="Category Pending","Needs categorization",IF(COUNTIFS($A$2:A1160,A1160,$B$2:B1160,B1160,$E$2:E1160,E1160)&gt;1,"Possible duplicate","")))</f>
      </c>
    </row>
    <row r="1161" spans="3:14" x14ac:dyDescent="0.3">
      <c r="A1161"/>
      <c r="C1161" s="16"/>
      <c r="G1161" s="5">
        <f>IF(A1161="","","Checking")</f>
      </c>
      <c r="H1161">
        <f>IF(A1161="","",IFERROR(XLOOKUP(D1161,Setup!$E$15:$E$79,Setup!$F$15:$F$79),"Miscellaneous"))</f>
      </c>
      <c r="I1161">
        <f>IF(A1161="","",IFERROR(XLOOKUP(D1161,Setup!$E$15:$E$79,Setup!$G$15:$G$79),"Uncategorized"))</f>
      </c>
      <c r="J1161">
        <f>IF(A1161="","",IF(OR(H1161="Transfers",H1161="Income",D1161="Transfer",D1161="Category Pending",F1161="Pending"),"No","Yes"))</f>
      </c>
      <c r="K1161" s="4">
        <f>IF(A1161="","",TEXT(IF(DAY(A1161)&gt;=Setup!$B$9,DATE(YEAR(A1161),MONTH(A1161)+1,1),DATE(YEAR(A1161),MONTH(A1161),1)),"mmmm yyyy"))</f>
      </c>
      <c r="L1161" s="47">
        <f>IF(A1161="",0,IF(AND(J1161="Yes",E1161&lt;0),-E1161,0))</f>
      </c>
      <c r="M1161" s="47">
        <f>IF(A1161="",0,IF(AND(J1161="Yes",E1161&gt;0),E1161,0))</f>
      </c>
      <c r="N1161">
        <f>IF(A1161="","",IF(D1161="Category Pending","Needs categorization",IF(COUNTIFS($A$2:A1161,A1161,$B$2:B1161,B1161,$E$2:E1161,E1161)&gt;1,"Possible duplicate","")))</f>
      </c>
    </row>
    <row r="1162" spans="3:14" x14ac:dyDescent="0.3">
      <c r="A1162"/>
      <c r="C1162" s="16"/>
      <c r="G1162" s="5">
        <f>IF(A1162="","","Checking")</f>
      </c>
      <c r="H1162">
        <f>IF(A1162="","",IFERROR(XLOOKUP(D1162,Setup!$E$15:$E$79,Setup!$F$15:$F$79),"Miscellaneous"))</f>
      </c>
      <c r="I1162">
        <f>IF(A1162="","",IFERROR(XLOOKUP(D1162,Setup!$E$15:$E$79,Setup!$G$15:$G$79),"Uncategorized"))</f>
      </c>
      <c r="J1162">
        <f>IF(A1162="","",IF(OR(H1162="Transfers",H1162="Income",D1162="Transfer",D1162="Category Pending",F1162="Pending"),"No","Yes"))</f>
      </c>
      <c r="K1162" s="4">
        <f>IF(A1162="","",TEXT(IF(DAY(A1162)&gt;=Setup!$B$9,DATE(YEAR(A1162),MONTH(A1162)+1,1),DATE(YEAR(A1162),MONTH(A1162),1)),"mmmm yyyy"))</f>
      </c>
      <c r="L1162" s="47">
        <f>IF(A1162="",0,IF(AND(J1162="Yes",E1162&lt;0),-E1162,0))</f>
      </c>
      <c r="M1162" s="47">
        <f>IF(A1162="",0,IF(AND(J1162="Yes",E1162&gt;0),E1162,0))</f>
      </c>
      <c r="N1162">
        <f>IF(A1162="","",IF(D1162="Category Pending","Needs categorization",IF(COUNTIFS($A$2:A1162,A1162,$B$2:B1162,B1162,$E$2:E1162,E1162)&gt;1,"Possible duplicate","")))</f>
      </c>
    </row>
    <row r="1163" spans="3:14" x14ac:dyDescent="0.3">
      <c r="A1163"/>
      <c r="C1163" s="16"/>
      <c r="G1163" s="5">
        <f>IF(A1163="","","Checking")</f>
      </c>
      <c r="H1163">
        <f>IF(A1163="","",IFERROR(XLOOKUP(D1163,Setup!$E$15:$E$79,Setup!$F$15:$F$79),"Miscellaneous"))</f>
      </c>
      <c r="I1163">
        <f>IF(A1163="","",IFERROR(XLOOKUP(D1163,Setup!$E$15:$E$79,Setup!$G$15:$G$79),"Uncategorized"))</f>
      </c>
      <c r="J1163">
        <f>IF(A1163="","",IF(OR(H1163="Transfers",H1163="Income",D1163="Transfer",D1163="Category Pending",F1163="Pending"),"No","Yes"))</f>
      </c>
      <c r="K1163" s="4">
        <f>IF(A1163="","",TEXT(IF(DAY(A1163)&gt;=Setup!$B$9,DATE(YEAR(A1163),MONTH(A1163)+1,1),DATE(YEAR(A1163),MONTH(A1163),1)),"mmmm yyyy"))</f>
      </c>
      <c r="L1163" s="47">
        <f>IF(A1163="",0,IF(AND(J1163="Yes",E1163&lt;0),-E1163,0))</f>
      </c>
      <c r="M1163" s="47">
        <f>IF(A1163="",0,IF(AND(J1163="Yes",E1163&gt;0),E1163,0))</f>
      </c>
      <c r="N1163">
        <f>IF(A1163="","",IF(D1163="Category Pending","Needs categorization",IF(COUNTIFS($A$2:A1163,A1163,$B$2:B1163,B1163,$E$2:E1163,E1163)&gt;1,"Possible duplicate","")))</f>
      </c>
    </row>
    <row r="1164" spans="3:14" x14ac:dyDescent="0.3">
      <c r="A1164"/>
      <c r="C1164" s="16"/>
      <c r="G1164" s="5">
        <f>IF(A1164="","","Checking")</f>
      </c>
      <c r="H1164">
        <f>IF(A1164="","",IFERROR(XLOOKUP(D1164,Setup!$E$15:$E$79,Setup!$F$15:$F$79),"Miscellaneous"))</f>
      </c>
      <c r="I1164">
        <f>IF(A1164="","",IFERROR(XLOOKUP(D1164,Setup!$E$15:$E$79,Setup!$G$15:$G$79),"Uncategorized"))</f>
      </c>
      <c r="J1164">
        <f>IF(A1164="","",IF(OR(H1164="Transfers",H1164="Income",D1164="Transfer",D1164="Category Pending",F1164="Pending"),"No","Yes"))</f>
      </c>
      <c r="K1164" s="4">
        <f>IF(A1164="","",TEXT(IF(DAY(A1164)&gt;=Setup!$B$9,DATE(YEAR(A1164),MONTH(A1164)+1,1),DATE(YEAR(A1164),MONTH(A1164),1)),"mmmm yyyy"))</f>
      </c>
      <c r="L1164" s="47">
        <f>IF(A1164="",0,IF(AND(J1164="Yes",E1164&lt;0),-E1164,0))</f>
      </c>
      <c r="M1164" s="47">
        <f>IF(A1164="",0,IF(AND(J1164="Yes",E1164&gt;0),E1164,0))</f>
      </c>
      <c r="N1164">
        <f>IF(A1164="","",IF(D1164="Category Pending","Needs categorization",IF(COUNTIFS($A$2:A1164,A1164,$B$2:B1164,B1164,$E$2:E1164,E1164)&gt;1,"Possible duplicate","")))</f>
      </c>
    </row>
    <row r="1165" spans="3:14" x14ac:dyDescent="0.3">
      <c r="A1165"/>
      <c r="C1165" s="16"/>
      <c r="G1165" s="5">
        <f>IF(A1165="","","Checking")</f>
      </c>
      <c r="H1165">
        <f>IF(A1165="","",IFERROR(XLOOKUP(D1165,Setup!$E$15:$E$79,Setup!$F$15:$F$79),"Miscellaneous"))</f>
      </c>
      <c r="I1165">
        <f>IF(A1165="","",IFERROR(XLOOKUP(D1165,Setup!$E$15:$E$79,Setup!$G$15:$G$79),"Uncategorized"))</f>
      </c>
      <c r="J1165">
        <f>IF(A1165="","",IF(OR(H1165="Transfers",H1165="Income",D1165="Transfer",D1165="Category Pending",F1165="Pending"),"No","Yes"))</f>
      </c>
      <c r="K1165" s="4">
        <f>IF(A1165="","",TEXT(IF(DAY(A1165)&gt;=Setup!$B$9,DATE(YEAR(A1165),MONTH(A1165)+1,1),DATE(YEAR(A1165),MONTH(A1165),1)),"mmmm yyyy"))</f>
      </c>
      <c r="L1165" s="47">
        <f>IF(A1165="",0,IF(AND(J1165="Yes",E1165&lt;0),-E1165,0))</f>
      </c>
      <c r="M1165" s="47">
        <f>IF(A1165="",0,IF(AND(J1165="Yes",E1165&gt;0),E1165,0))</f>
      </c>
      <c r="N1165">
        <f>IF(A1165="","",IF(D1165="Category Pending","Needs categorization",IF(COUNTIFS($A$2:A1165,A1165,$B$2:B1165,B1165,$E$2:E1165,E1165)&gt;1,"Possible duplicate","")))</f>
      </c>
    </row>
    <row r="1166" spans="3:14" x14ac:dyDescent="0.3">
      <c r="A1166"/>
      <c r="C1166" s="16"/>
      <c r="G1166" s="5">
        <f>IF(A1166="","","Checking")</f>
      </c>
      <c r="H1166">
        <f>IF(A1166="","",IFERROR(XLOOKUP(D1166,Setup!$E$15:$E$79,Setup!$F$15:$F$79),"Miscellaneous"))</f>
      </c>
      <c r="I1166">
        <f>IF(A1166="","",IFERROR(XLOOKUP(D1166,Setup!$E$15:$E$79,Setup!$G$15:$G$79),"Uncategorized"))</f>
      </c>
      <c r="J1166">
        <f>IF(A1166="","",IF(OR(H1166="Transfers",H1166="Income",D1166="Transfer",D1166="Category Pending",F1166="Pending"),"No","Yes"))</f>
      </c>
      <c r="K1166" s="4">
        <f>IF(A1166="","",TEXT(IF(DAY(A1166)&gt;=Setup!$B$9,DATE(YEAR(A1166),MONTH(A1166)+1,1),DATE(YEAR(A1166),MONTH(A1166),1)),"mmmm yyyy"))</f>
      </c>
      <c r="L1166" s="47">
        <f>IF(A1166="",0,IF(AND(J1166="Yes",E1166&lt;0),-E1166,0))</f>
      </c>
      <c r="M1166" s="47">
        <f>IF(A1166="",0,IF(AND(J1166="Yes",E1166&gt;0),E1166,0))</f>
      </c>
      <c r="N1166">
        <f>IF(A1166="","",IF(D1166="Category Pending","Needs categorization",IF(COUNTIFS($A$2:A1166,A1166,$B$2:B1166,B1166,$E$2:E1166,E1166)&gt;1,"Possible duplicate","")))</f>
      </c>
    </row>
    <row r="1167" spans="3:14" x14ac:dyDescent="0.3">
      <c r="A1167"/>
      <c r="C1167" s="16"/>
      <c r="G1167" s="5">
        <f>IF(A1167="","","Checking")</f>
      </c>
      <c r="H1167">
        <f>IF(A1167="","",IFERROR(XLOOKUP(D1167,Setup!$E$15:$E$79,Setup!$F$15:$F$79),"Miscellaneous"))</f>
      </c>
      <c r="I1167">
        <f>IF(A1167="","",IFERROR(XLOOKUP(D1167,Setup!$E$15:$E$79,Setup!$G$15:$G$79),"Uncategorized"))</f>
      </c>
      <c r="J1167">
        <f>IF(A1167="","",IF(OR(H1167="Transfers",H1167="Income",D1167="Transfer",D1167="Category Pending",F1167="Pending"),"No","Yes"))</f>
      </c>
      <c r="K1167" s="4">
        <f>IF(A1167="","",TEXT(IF(DAY(A1167)&gt;=Setup!$B$9,DATE(YEAR(A1167),MONTH(A1167)+1,1),DATE(YEAR(A1167),MONTH(A1167),1)),"mmmm yyyy"))</f>
      </c>
      <c r="L1167" s="47">
        <f>IF(A1167="",0,IF(AND(J1167="Yes",E1167&lt;0),-E1167,0))</f>
      </c>
      <c r="M1167" s="47">
        <f>IF(A1167="",0,IF(AND(J1167="Yes",E1167&gt;0),E1167,0))</f>
      </c>
      <c r="N1167">
        <f>IF(A1167="","",IF(D1167="Category Pending","Needs categorization",IF(COUNTIFS($A$2:A1167,A1167,$B$2:B1167,B1167,$E$2:E1167,E1167)&gt;1,"Possible duplicate","")))</f>
      </c>
    </row>
    <row r="1168" spans="3:14" x14ac:dyDescent="0.3">
      <c r="A1168"/>
      <c r="C1168" s="16"/>
      <c r="G1168" s="5">
        <f>IF(A1168="","","Checking")</f>
      </c>
      <c r="H1168">
        <f>IF(A1168="","",IFERROR(XLOOKUP(D1168,Setup!$E$15:$E$79,Setup!$F$15:$F$79),"Miscellaneous"))</f>
      </c>
      <c r="I1168">
        <f>IF(A1168="","",IFERROR(XLOOKUP(D1168,Setup!$E$15:$E$79,Setup!$G$15:$G$79),"Uncategorized"))</f>
      </c>
      <c r="J1168">
        <f>IF(A1168="","",IF(OR(H1168="Transfers",H1168="Income",D1168="Transfer",D1168="Category Pending",F1168="Pending"),"No","Yes"))</f>
      </c>
      <c r="K1168" s="4">
        <f>IF(A1168="","",TEXT(IF(DAY(A1168)&gt;=Setup!$B$9,DATE(YEAR(A1168),MONTH(A1168)+1,1),DATE(YEAR(A1168),MONTH(A1168),1)),"mmmm yyyy"))</f>
      </c>
      <c r="L1168" s="47">
        <f>IF(A1168="",0,IF(AND(J1168="Yes",E1168&lt;0),-E1168,0))</f>
      </c>
      <c r="M1168" s="47">
        <f>IF(A1168="",0,IF(AND(J1168="Yes",E1168&gt;0),E1168,0))</f>
      </c>
      <c r="N1168">
        <f>IF(A1168="","",IF(D1168="Category Pending","Needs categorization",IF(COUNTIFS($A$2:A1168,A1168,$B$2:B1168,B1168,$E$2:E1168,E1168)&gt;1,"Possible duplicate","")))</f>
      </c>
    </row>
    <row r="1169" spans="3:14" x14ac:dyDescent="0.3">
      <c r="A1169"/>
      <c r="C1169" s="16"/>
      <c r="G1169" s="5">
        <f>IF(A1169="","","Checking")</f>
      </c>
      <c r="H1169">
        <f>IF(A1169="","",IFERROR(XLOOKUP(D1169,Setup!$E$15:$E$79,Setup!$F$15:$F$79),"Miscellaneous"))</f>
      </c>
      <c r="I1169">
        <f>IF(A1169="","",IFERROR(XLOOKUP(D1169,Setup!$E$15:$E$79,Setup!$G$15:$G$79),"Uncategorized"))</f>
      </c>
      <c r="J1169">
        <f>IF(A1169="","",IF(OR(H1169="Transfers",H1169="Income",D1169="Transfer",D1169="Category Pending",F1169="Pending"),"No","Yes"))</f>
      </c>
      <c r="K1169" s="4">
        <f>IF(A1169="","",TEXT(IF(DAY(A1169)&gt;=Setup!$B$9,DATE(YEAR(A1169),MONTH(A1169)+1,1),DATE(YEAR(A1169),MONTH(A1169),1)),"mmmm yyyy"))</f>
      </c>
      <c r="L1169" s="47">
        <f>IF(A1169="",0,IF(AND(J1169="Yes",E1169&lt;0),-E1169,0))</f>
      </c>
      <c r="M1169" s="47">
        <f>IF(A1169="",0,IF(AND(J1169="Yes",E1169&gt;0),E1169,0))</f>
      </c>
      <c r="N1169">
        <f>IF(A1169="","",IF(D1169="Category Pending","Needs categorization",IF(COUNTIFS($A$2:A1169,A1169,$B$2:B1169,B1169,$E$2:E1169,E1169)&gt;1,"Possible duplicate","")))</f>
      </c>
    </row>
    <row r="1170" spans="3:14" x14ac:dyDescent="0.3">
      <c r="A1170"/>
      <c r="C1170" s="16"/>
      <c r="G1170" s="5">
        <f>IF(A1170="","","Checking")</f>
      </c>
      <c r="H1170">
        <f>IF(A1170="","",IFERROR(XLOOKUP(D1170,Setup!$E$15:$E$79,Setup!$F$15:$F$79),"Miscellaneous"))</f>
      </c>
      <c r="I1170">
        <f>IF(A1170="","",IFERROR(XLOOKUP(D1170,Setup!$E$15:$E$79,Setup!$G$15:$G$79),"Uncategorized"))</f>
      </c>
      <c r="J1170">
        <f>IF(A1170="","",IF(OR(H1170="Transfers",H1170="Income",D1170="Transfer",D1170="Category Pending",F1170="Pending"),"No","Yes"))</f>
      </c>
      <c r="K1170" s="4">
        <f>IF(A1170="","",TEXT(IF(DAY(A1170)&gt;=Setup!$B$9,DATE(YEAR(A1170),MONTH(A1170)+1,1),DATE(YEAR(A1170),MONTH(A1170),1)),"mmmm yyyy"))</f>
      </c>
      <c r="L1170" s="47">
        <f>IF(A1170="",0,IF(AND(J1170="Yes",E1170&lt;0),-E1170,0))</f>
      </c>
      <c r="M1170" s="47">
        <f>IF(A1170="",0,IF(AND(J1170="Yes",E1170&gt;0),E1170,0))</f>
      </c>
      <c r="N1170">
        <f>IF(A1170="","",IF(D1170="Category Pending","Needs categorization",IF(COUNTIFS($A$2:A1170,A1170,$B$2:B1170,B1170,$E$2:E1170,E1170)&gt;1,"Possible duplicate","")))</f>
      </c>
    </row>
    <row r="1171" spans="3:14" x14ac:dyDescent="0.3">
      <c r="A1171"/>
      <c r="C1171" s="16"/>
      <c r="G1171" s="5">
        <f>IF(A1171="","","Checking")</f>
      </c>
      <c r="H1171">
        <f>IF(A1171="","",IFERROR(XLOOKUP(D1171,Setup!$E$15:$E$79,Setup!$F$15:$F$79),"Miscellaneous"))</f>
      </c>
      <c r="I1171">
        <f>IF(A1171="","",IFERROR(XLOOKUP(D1171,Setup!$E$15:$E$79,Setup!$G$15:$G$79),"Uncategorized"))</f>
      </c>
      <c r="J1171">
        <f>IF(A1171="","",IF(OR(H1171="Transfers",H1171="Income",D1171="Transfer",D1171="Category Pending",F1171="Pending"),"No","Yes"))</f>
      </c>
      <c r="K1171" s="4">
        <f>IF(A1171="","",TEXT(IF(DAY(A1171)&gt;=Setup!$B$9,DATE(YEAR(A1171),MONTH(A1171)+1,1),DATE(YEAR(A1171),MONTH(A1171),1)),"mmmm yyyy"))</f>
      </c>
      <c r="L1171" s="47">
        <f>IF(A1171="",0,IF(AND(J1171="Yes",E1171&lt;0),-E1171,0))</f>
      </c>
      <c r="M1171" s="47">
        <f>IF(A1171="",0,IF(AND(J1171="Yes",E1171&gt;0),E1171,0))</f>
      </c>
      <c r="N1171">
        <f>IF(A1171="","",IF(D1171="Category Pending","Needs categorization",IF(COUNTIFS($A$2:A1171,A1171,$B$2:B1171,B1171,$E$2:E1171,E1171)&gt;1,"Possible duplicate","")))</f>
      </c>
    </row>
    <row r="1172" spans="3:14" x14ac:dyDescent="0.3">
      <c r="A1172"/>
      <c r="C1172" s="16"/>
      <c r="G1172" s="5">
        <f>IF(A1172="","","Checking")</f>
      </c>
      <c r="H1172">
        <f>IF(A1172="","",IFERROR(XLOOKUP(D1172,Setup!$E$15:$E$79,Setup!$F$15:$F$79),"Miscellaneous"))</f>
      </c>
      <c r="I1172">
        <f>IF(A1172="","",IFERROR(XLOOKUP(D1172,Setup!$E$15:$E$79,Setup!$G$15:$G$79),"Uncategorized"))</f>
      </c>
      <c r="J1172">
        <f>IF(A1172="","",IF(OR(H1172="Transfers",H1172="Income",D1172="Transfer",D1172="Category Pending",F1172="Pending"),"No","Yes"))</f>
      </c>
      <c r="K1172" s="4">
        <f>IF(A1172="","",TEXT(IF(DAY(A1172)&gt;=Setup!$B$9,DATE(YEAR(A1172),MONTH(A1172)+1,1),DATE(YEAR(A1172),MONTH(A1172),1)),"mmmm yyyy"))</f>
      </c>
      <c r="L1172" s="47">
        <f>IF(A1172="",0,IF(AND(J1172="Yes",E1172&lt;0),-E1172,0))</f>
      </c>
      <c r="M1172" s="47">
        <f>IF(A1172="",0,IF(AND(J1172="Yes",E1172&gt;0),E1172,0))</f>
      </c>
      <c r="N1172">
        <f>IF(A1172="","",IF(D1172="Category Pending","Needs categorization",IF(COUNTIFS($A$2:A1172,A1172,$B$2:B1172,B1172,$E$2:E1172,E1172)&gt;1,"Possible duplicate","")))</f>
      </c>
    </row>
    <row r="1173" spans="3:14" x14ac:dyDescent="0.3">
      <c r="A1173"/>
      <c r="C1173" s="16"/>
      <c r="G1173" s="5">
        <f>IF(A1173="","","Checking")</f>
      </c>
      <c r="H1173">
        <f>IF(A1173="","",IFERROR(XLOOKUP(D1173,Setup!$E$15:$E$79,Setup!$F$15:$F$79),"Miscellaneous"))</f>
      </c>
      <c r="I1173">
        <f>IF(A1173="","",IFERROR(XLOOKUP(D1173,Setup!$E$15:$E$79,Setup!$G$15:$G$79),"Uncategorized"))</f>
      </c>
      <c r="J1173">
        <f>IF(A1173="","",IF(OR(H1173="Transfers",H1173="Income",D1173="Transfer",D1173="Category Pending",F1173="Pending"),"No","Yes"))</f>
      </c>
      <c r="K1173" s="4">
        <f>IF(A1173="","",TEXT(IF(DAY(A1173)&gt;=Setup!$B$9,DATE(YEAR(A1173),MONTH(A1173)+1,1),DATE(YEAR(A1173),MONTH(A1173),1)),"mmmm yyyy"))</f>
      </c>
      <c r="L1173" s="47">
        <f>IF(A1173="",0,IF(AND(J1173="Yes",E1173&lt;0),-E1173,0))</f>
      </c>
      <c r="M1173" s="47">
        <f>IF(A1173="",0,IF(AND(J1173="Yes",E1173&gt;0),E1173,0))</f>
      </c>
      <c r="N1173">
        <f>IF(A1173="","",IF(D1173="Category Pending","Needs categorization",IF(COUNTIFS($A$2:A1173,A1173,$B$2:B1173,B1173,$E$2:E1173,E1173)&gt;1,"Possible duplicate","")))</f>
      </c>
    </row>
    <row r="1174" spans="3:14" x14ac:dyDescent="0.3">
      <c r="A1174"/>
      <c r="C1174" s="16"/>
      <c r="G1174" s="5">
        <f>IF(A1174="","","Checking")</f>
      </c>
      <c r="H1174">
        <f>IF(A1174="","",IFERROR(XLOOKUP(D1174,Setup!$E$15:$E$79,Setup!$F$15:$F$79),"Miscellaneous"))</f>
      </c>
      <c r="I1174">
        <f>IF(A1174="","",IFERROR(XLOOKUP(D1174,Setup!$E$15:$E$79,Setup!$G$15:$G$79),"Uncategorized"))</f>
      </c>
      <c r="J1174">
        <f>IF(A1174="","",IF(OR(H1174="Transfers",H1174="Income",D1174="Transfer",D1174="Category Pending",F1174="Pending"),"No","Yes"))</f>
      </c>
      <c r="K1174" s="4">
        <f>IF(A1174="","",TEXT(IF(DAY(A1174)&gt;=Setup!$B$9,DATE(YEAR(A1174),MONTH(A1174)+1,1),DATE(YEAR(A1174),MONTH(A1174),1)),"mmmm yyyy"))</f>
      </c>
      <c r="L1174" s="47">
        <f>IF(A1174="",0,IF(AND(J1174="Yes",E1174&lt;0),-E1174,0))</f>
      </c>
      <c r="M1174" s="47">
        <f>IF(A1174="",0,IF(AND(J1174="Yes",E1174&gt;0),E1174,0))</f>
      </c>
      <c r="N1174">
        <f>IF(A1174="","",IF(D1174="Category Pending","Needs categorization",IF(COUNTIFS($A$2:A1174,A1174,$B$2:B1174,B1174,$E$2:E1174,E1174)&gt;1,"Possible duplicate","")))</f>
      </c>
    </row>
    <row r="1175" spans="3:14" x14ac:dyDescent="0.3">
      <c r="A1175"/>
      <c r="C1175" s="16"/>
      <c r="G1175" s="5">
        <f>IF(A1175="","","Checking")</f>
      </c>
      <c r="H1175">
        <f>IF(A1175="","",IFERROR(XLOOKUP(D1175,Setup!$E$15:$E$79,Setup!$F$15:$F$79),"Miscellaneous"))</f>
      </c>
      <c r="I1175">
        <f>IF(A1175="","",IFERROR(XLOOKUP(D1175,Setup!$E$15:$E$79,Setup!$G$15:$G$79),"Uncategorized"))</f>
      </c>
      <c r="J1175">
        <f>IF(A1175="","",IF(OR(H1175="Transfers",H1175="Income",D1175="Transfer",D1175="Category Pending",F1175="Pending"),"No","Yes"))</f>
      </c>
      <c r="K1175" s="4">
        <f>IF(A1175="","",TEXT(IF(DAY(A1175)&gt;=Setup!$B$9,DATE(YEAR(A1175),MONTH(A1175)+1,1),DATE(YEAR(A1175),MONTH(A1175),1)),"mmmm yyyy"))</f>
      </c>
      <c r="L1175" s="47">
        <f>IF(A1175="",0,IF(AND(J1175="Yes",E1175&lt;0),-E1175,0))</f>
      </c>
      <c r="M1175" s="47">
        <f>IF(A1175="",0,IF(AND(J1175="Yes",E1175&gt;0),E1175,0))</f>
      </c>
      <c r="N1175">
        <f>IF(A1175="","",IF(D1175="Category Pending","Needs categorization",IF(COUNTIFS($A$2:A1175,A1175,$B$2:B1175,B1175,$E$2:E1175,E1175)&gt;1,"Possible duplicate","")))</f>
      </c>
    </row>
    <row r="1176" spans="3:14" x14ac:dyDescent="0.3">
      <c r="A1176"/>
      <c r="C1176" s="16"/>
      <c r="G1176" s="5">
        <f>IF(A1176="","","Checking")</f>
      </c>
      <c r="H1176">
        <f>IF(A1176="","",IFERROR(XLOOKUP(D1176,Setup!$E$15:$E$79,Setup!$F$15:$F$79),"Miscellaneous"))</f>
      </c>
      <c r="I1176">
        <f>IF(A1176="","",IFERROR(XLOOKUP(D1176,Setup!$E$15:$E$79,Setup!$G$15:$G$79),"Uncategorized"))</f>
      </c>
      <c r="J1176">
        <f>IF(A1176="","",IF(OR(H1176="Transfers",H1176="Income",D1176="Transfer",D1176="Category Pending",F1176="Pending"),"No","Yes"))</f>
      </c>
      <c r="K1176" s="4">
        <f>IF(A1176="","",TEXT(IF(DAY(A1176)&gt;=Setup!$B$9,DATE(YEAR(A1176),MONTH(A1176)+1,1),DATE(YEAR(A1176),MONTH(A1176),1)),"mmmm yyyy"))</f>
      </c>
      <c r="L1176" s="47">
        <f>IF(A1176="",0,IF(AND(J1176="Yes",E1176&lt;0),-E1176,0))</f>
      </c>
      <c r="M1176" s="47">
        <f>IF(A1176="",0,IF(AND(J1176="Yes",E1176&gt;0),E1176,0))</f>
      </c>
      <c r="N1176">
        <f>IF(A1176="","",IF(D1176="Category Pending","Needs categorization",IF(COUNTIFS($A$2:A1176,A1176,$B$2:B1176,B1176,$E$2:E1176,E1176)&gt;1,"Possible duplicate","")))</f>
      </c>
    </row>
    <row r="1177" spans="3:14" x14ac:dyDescent="0.3">
      <c r="A1177"/>
      <c r="C1177" s="16"/>
      <c r="G1177" s="5">
        <f>IF(A1177="","","Checking")</f>
      </c>
      <c r="H1177">
        <f>IF(A1177="","",IFERROR(XLOOKUP(D1177,Setup!$E$15:$E$79,Setup!$F$15:$F$79),"Miscellaneous"))</f>
      </c>
      <c r="I1177">
        <f>IF(A1177="","",IFERROR(XLOOKUP(D1177,Setup!$E$15:$E$79,Setup!$G$15:$G$79),"Uncategorized"))</f>
      </c>
      <c r="J1177">
        <f>IF(A1177="","",IF(OR(H1177="Transfers",H1177="Income",D1177="Transfer",D1177="Category Pending",F1177="Pending"),"No","Yes"))</f>
      </c>
      <c r="K1177" s="4">
        <f>IF(A1177="","",TEXT(IF(DAY(A1177)&gt;=Setup!$B$9,DATE(YEAR(A1177),MONTH(A1177)+1,1),DATE(YEAR(A1177),MONTH(A1177),1)),"mmmm yyyy"))</f>
      </c>
      <c r="L1177" s="47">
        <f>IF(A1177="",0,IF(AND(J1177="Yes",E1177&lt;0),-E1177,0))</f>
      </c>
      <c r="M1177" s="47">
        <f>IF(A1177="",0,IF(AND(J1177="Yes",E1177&gt;0),E1177,0))</f>
      </c>
      <c r="N1177">
        <f>IF(A1177="","",IF(D1177="Category Pending","Needs categorization",IF(COUNTIFS($A$2:A1177,A1177,$B$2:B1177,B1177,$E$2:E1177,E1177)&gt;1,"Possible duplicate","")))</f>
      </c>
    </row>
    <row r="1178" spans="3:14" x14ac:dyDescent="0.3">
      <c r="A1178"/>
      <c r="C1178" s="16"/>
      <c r="G1178" s="5">
        <f>IF(A1178="","","Checking")</f>
      </c>
      <c r="H1178">
        <f>IF(A1178="","",IFERROR(XLOOKUP(D1178,Setup!$E$15:$E$79,Setup!$F$15:$F$79),"Miscellaneous"))</f>
      </c>
      <c r="I1178">
        <f>IF(A1178="","",IFERROR(XLOOKUP(D1178,Setup!$E$15:$E$79,Setup!$G$15:$G$79),"Uncategorized"))</f>
      </c>
      <c r="J1178">
        <f>IF(A1178="","",IF(OR(H1178="Transfers",H1178="Income",D1178="Transfer",D1178="Category Pending",F1178="Pending"),"No","Yes"))</f>
      </c>
      <c r="K1178" s="4">
        <f>IF(A1178="","",TEXT(IF(DAY(A1178)&gt;=Setup!$B$9,DATE(YEAR(A1178),MONTH(A1178)+1,1),DATE(YEAR(A1178),MONTH(A1178),1)),"mmmm yyyy"))</f>
      </c>
      <c r="L1178" s="47">
        <f>IF(A1178="",0,IF(AND(J1178="Yes",E1178&lt;0),-E1178,0))</f>
      </c>
      <c r="M1178" s="47">
        <f>IF(A1178="",0,IF(AND(J1178="Yes",E1178&gt;0),E1178,0))</f>
      </c>
      <c r="N1178">
        <f>IF(A1178="","",IF(D1178="Category Pending","Needs categorization",IF(COUNTIFS($A$2:A1178,A1178,$B$2:B1178,B1178,$E$2:E1178,E1178)&gt;1,"Possible duplicate","")))</f>
      </c>
    </row>
    <row r="1179" spans="3:14" x14ac:dyDescent="0.3">
      <c r="A1179"/>
      <c r="C1179" s="16"/>
      <c r="G1179" s="5">
        <f>IF(A1179="","","Checking")</f>
      </c>
      <c r="H1179">
        <f>IF(A1179="","",IFERROR(XLOOKUP(D1179,Setup!$E$15:$E$79,Setup!$F$15:$F$79),"Miscellaneous"))</f>
      </c>
      <c r="I1179">
        <f>IF(A1179="","",IFERROR(XLOOKUP(D1179,Setup!$E$15:$E$79,Setup!$G$15:$G$79),"Uncategorized"))</f>
      </c>
      <c r="J1179">
        <f>IF(A1179="","",IF(OR(H1179="Transfers",H1179="Income",D1179="Transfer",D1179="Category Pending",F1179="Pending"),"No","Yes"))</f>
      </c>
      <c r="K1179" s="4">
        <f>IF(A1179="","",TEXT(IF(DAY(A1179)&gt;=Setup!$B$9,DATE(YEAR(A1179),MONTH(A1179)+1,1),DATE(YEAR(A1179),MONTH(A1179),1)),"mmmm yyyy"))</f>
      </c>
      <c r="L1179" s="47">
        <f>IF(A1179="",0,IF(AND(J1179="Yes",E1179&lt;0),-E1179,0))</f>
      </c>
      <c r="M1179" s="47">
        <f>IF(A1179="",0,IF(AND(J1179="Yes",E1179&gt;0),E1179,0))</f>
      </c>
      <c r="N1179">
        <f>IF(A1179="","",IF(D1179="Category Pending","Needs categorization",IF(COUNTIFS($A$2:A1179,A1179,$B$2:B1179,B1179,$E$2:E1179,E1179)&gt;1,"Possible duplicate","")))</f>
      </c>
    </row>
    <row r="1180" spans="3:14" x14ac:dyDescent="0.3">
      <c r="A1180"/>
      <c r="C1180" s="16"/>
      <c r="G1180" s="5">
        <f>IF(A1180="","","Checking")</f>
      </c>
      <c r="H1180">
        <f>IF(A1180="","",IFERROR(XLOOKUP(D1180,Setup!$E$15:$E$79,Setup!$F$15:$F$79),"Miscellaneous"))</f>
      </c>
      <c r="I1180">
        <f>IF(A1180="","",IFERROR(XLOOKUP(D1180,Setup!$E$15:$E$79,Setup!$G$15:$G$79),"Uncategorized"))</f>
      </c>
      <c r="J1180">
        <f>IF(A1180="","",IF(OR(H1180="Transfers",H1180="Income",D1180="Transfer",D1180="Category Pending",F1180="Pending"),"No","Yes"))</f>
      </c>
      <c r="K1180" s="4">
        <f>IF(A1180="","",TEXT(IF(DAY(A1180)&gt;=Setup!$B$9,DATE(YEAR(A1180),MONTH(A1180)+1,1),DATE(YEAR(A1180),MONTH(A1180),1)),"mmmm yyyy"))</f>
      </c>
      <c r="L1180" s="47">
        <f>IF(A1180="",0,IF(AND(J1180="Yes",E1180&lt;0),-E1180,0))</f>
      </c>
      <c r="M1180" s="47">
        <f>IF(A1180="",0,IF(AND(J1180="Yes",E1180&gt;0),E1180,0))</f>
      </c>
      <c r="N1180">
        <f>IF(A1180="","",IF(D1180="Category Pending","Needs categorization",IF(COUNTIFS($A$2:A1180,A1180,$B$2:B1180,B1180,$E$2:E1180,E1180)&gt;1,"Possible duplicate","")))</f>
      </c>
    </row>
    <row r="1181" spans="3:14" x14ac:dyDescent="0.3">
      <c r="A1181"/>
      <c r="C1181" s="16"/>
      <c r="G1181" s="5">
        <f>IF(A1181="","","Checking")</f>
      </c>
      <c r="H1181">
        <f>IF(A1181="","",IFERROR(XLOOKUP(D1181,Setup!$E$15:$E$79,Setup!$F$15:$F$79),"Miscellaneous"))</f>
      </c>
      <c r="I1181">
        <f>IF(A1181="","",IFERROR(XLOOKUP(D1181,Setup!$E$15:$E$79,Setup!$G$15:$G$79),"Uncategorized"))</f>
      </c>
      <c r="J1181">
        <f>IF(A1181="","",IF(OR(H1181="Transfers",H1181="Income",D1181="Transfer",D1181="Category Pending",F1181="Pending"),"No","Yes"))</f>
      </c>
      <c r="K1181" s="4">
        <f>IF(A1181="","",TEXT(IF(DAY(A1181)&gt;=Setup!$B$9,DATE(YEAR(A1181),MONTH(A1181)+1,1),DATE(YEAR(A1181),MONTH(A1181),1)),"mmmm yyyy"))</f>
      </c>
      <c r="L1181" s="47">
        <f>IF(A1181="",0,IF(AND(J1181="Yes",E1181&lt;0),-E1181,0))</f>
      </c>
      <c r="M1181" s="47">
        <f>IF(A1181="",0,IF(AND(J1181="Yes",E1181&gt;0),E1181,0))</f>
      </c>
      <c r="N1181">
        <f>IF(A1181="","",IF(D1181="Category Pending","Needs categorization",IF(COUNTIFS($A$2:A1181,A1181,$B$2:B1181,B1181,$E$2:E1181,E1181)&gt;1,"Possible duplicate","")))</f>
      </c>
    </row>
    <row r="1182" spans="3:14" x14ac:dyDescent="0.3">
      <c r="A1182"/>
      <c r="C1182" s="16"/>
      <c r="G1182" s="5">
        <f>IF(A1182="","","Checking")</f>
      </c>
      <c r="H1182">
        <f>IF(A1182="","",IFERROR(XLOOKUP(D1182,Setup!$E$15:$E$79,Setup!$F$15:$F$79),"Miscellaneous"))</f>
      </c>
      <c r="I1182">
        <f>IF(A1182="","",IFERROR(XLOOKUP(D1182,Setup!$E$15:$E$79,Setup!$G$15:$G$79),"Uncategorized"))</f>
      </c>
      <c r="J1182">
        <f>IF(A1182="","",IF(OR(H1182="Transfers",H1182="Income",D1182="Transfer",D1182="Category Pending",F1182="Pending"),"No","Yes"))</f>
      </c>
      <c r="K1182" s="4">
        <f>IF(A1182="","",TEXT(IF(DAY(A1182)&gt;=Setup!$B$9,DATE(YEAR(A1182),MONTH(A1182)+1,1),DATE(YEAR(A1182),MONTH(A1182),1)),"mmmm yyyy"))</f>
      </c>
      <c r="L1182" s="47">
        <f>IF(A1182="",0,IF(AND(J1182="Yes",E1182&lt;0),-E1182,0))</f>
      </c>
      <c r="M1182" s="47">
        <f>IF(A1182="",0,IF(AND(J1182="Yes",E1182&gt;0),E1182,0))</f>
      </c>
      <c r="N1182">
        <f>IF(A1182="","",IF(D1182="Category Pending","Needs categorization",IF(COUNTIFS($A$2:A1182,A1182,$B$2:B1182,B1182,$E$2:E1182,E1182)&gt;1,"Possible duplicate","")))</f>
      </c>
    </row>
    <row r="1183" spans="3:14" x14ac:dyDescent="0.3">
      <c r="A1183"/>
      <c r="C1183" s="16"/>
      <c r="G1183" s="5">
        <f>IF(A1183="","","Checking")</f>
      </c>
      <c r="H1183">
        <f>IF(A1183="","",IFERROR(XLOOKUP(D1183,Setup!$E$15:$E$79,Setup!$F$15:$F$79),"Miscellaneous"))</f>
      </c>
      <c r="I1183">
        <f>IF(A1183="","",IFERROR(XLOOKUP(D1183,Setup!$E$15:$E$79,Setup!$G$15:$G$79),"Uncategorized"))</f>
      </c>
      <c r="J1183">
        <f>IF(A1183="","",IF(OR(H1183="Transfers",H1183="Income",D1183="Transfer",D1183="Category Pending",F1183="Pending"),"No","Yes"))</f>
      </c>
      <c r="K1183" s="4">
        <f>IF(A1183="","",TEXT(IF(DAY(A1183)&gt;=Setup!$B$9,DATE(YEAR(A1183),MONTH(A1183)+1,1),DATE(YEAR(A1183),MONTH(A1183),1)),"mmmm yyyy"))</f>
      </c>
      <c r="L1183" s="47">
        <f>IF(A1183="",0,IF(AND(J1183="Yes",E1183&lt;0),-E1183,0))</f>
      </c>
      <c r="M1183" s="47">
        <f>IF(A1183="",0,IF(AND(J1183="Yes",E1183&gt;0),E1183,0))</f>
      </c>
      <c r="N1183">
        <f>IF(A1183="","",IF(D1183="Category Pending","Needs categorization",IF(COUNTIFS($A$2:A1183,A1183,$B$2:B1183,B1183,$E$2:E1183,E1183)&gt;1,"Possible duplicate","")))</f>
      </c>
    </row>
    <row r="1184" spans="3:14" x14ac:dyDescent="0.3">
      <c r="A1184"/>
      <c r="C1184" s="16"/>
      <c r="G1184" s="5">
        <f>IF(A1184="","","Checking")</f>
      </c>
      <c r="H1184">
        <f>IF(A1184="","",IFERROR(XLOOKUP(D1184,Setup!$E$15:$E$79,Setup!$F$15:$F$79),"Miscellaneous"))</f>
      </c>
      <c r="I1184">
        <f>IF(A1184="","",IFERROR(XLOOKUP(D1184,Setup!$E$15:$E$79,Setup!$G$15:$G$79),"Uncategorized"))</f>
      </c>
      <c r="J1184">
        <f>IF(A1184="","",IF(OR(H1184="Transfers",H1184="Income",D1184="Transfer",D1184="Category Pending",F1184="Pending"),"No","Yes"))</f>
      </c>
      <c r="K1184" s="4">
        <f>IF(A1184="","",TEXT(IF(DAY(A1184)&gt;=Setup!$B$9,DATE(YEAR(A1184),MONTH(A1184)+1,1),DATE(YEAR(A1184),MONTH(A1184),1)),"mmmm yyyy"))</f>
      </c>
      <c r="L1184" s="47">
        <f>IF(A1184="",0,IF(AND(J1184="Yes",E1184&lt;0),-E1184,0))</f>
      </c>
      <c r="M1184" s="47">
        <f>IF(A1184="",0,IF(AND(J1184="Yes",E1184&gt;0),E1184,0))</f>
      </c>
      <c r="N1184">
        <f>IF(A1184="","",IF(D1184="Category Pending","Needs categorization",IF(COUNTIFS($A$2:A1184,A1184,$B$2:B1184,B1184,$E$2:E1184,E1184)&gt;1,"Possible duplicate","")))</f>
      </c>
    </row>
    <row r="1185" spans="3:14" x14ac:dyDescent="0.3">
      <c r="A1185"/>
      <c r="C1185" s="16"/>
      <c r="G1185" s="5">
        <f>IF(A1185="","","Checking")</f>
      </c>
      <c r="H1185">
        <f>IF(A1185="","",IFERROR(XLOOKUP(D1185,Setup!$E$15:$E$79,Setup!$F$15:$F$79),"Miscellaneous"))</f>
      </c>
      <c r="I1185">
        <f>IF(A1185="","",IFERROR(XLOOKUP(D1185,Setup!$E$15:$E$79,Setup!$G$15:$G$79),"Uncategorized"))</f>
      </c>
      <c r="J1185">
        <f>IF(A1185="","",IF(OR(H1185="Transfers",H1185="Income",D1185="Transfer",D1185="Category Pending",F1185="Pending"),"No","Yes"))</f>
      </c>
      <c r="K1185" s="4">
        <f>IF(A1185="","",TEXT(IF(DAY(A1185)&gt;=Setup!$B$9,DATE(YEAR(A1185),MONTH(A1185)+1,1),DATE(YEAR(A1185),MONTH(A1185),1)),"mmmm yyyy"))</f>
      </c>
      <c r="L1185" s="47">
        <f>IF(A1185="",0,IF(AND(J1185="Yes",E1185&lt;0),-E1185,0))</f>
      </c>
      <c r="M1185" s="47">
        <f>IF(A1185="",0,IF(AND(J1185="Yes",E1185&gt;0),E1185,0))</f>
      </c>
      <c r="N1185">
        <f>IF(A1185="","",IF(D1185="Category Pending","Needs categorization",IF(COUNTIFS($A$2:A1185,A1185,$B$2:B1185,B1185,$E$2:E1185,E1185)&gt;1,"Possible duplicate","")))</f>
      </c>
    </row>
    <row r="1186" spans="3:14" x14ac:dyDescent="0.3">
      <c r="A1186"/>
      <c r="C1186" s="16"/>
      <c r="G1186" s="5">
        <f>IF(A1186="","","Checking")</f>
      </c>
      <c r="H1186">
        <f>IF(A1186="","",IFERROR(XLOOKUP(D1186,Setup!$E$15:$E$79,Setup!$F$15:$F$79),"Miscellaneous"))</f>
      </c>
      <c r="I1186">
        <f>IF(A1186="","",IFERROR(XLOOKUP(D1186,Setup!$E$15:$E$79,Setup!$G$15:$G$79),"Uncategorized"))</f>
      </c>
      <c r="J1186">
        <f>IF(A1186="","",IF(OR(H1186="Transfers",H1186="Income",D1186="Transfer",D1186="Category Pending",F1186="Pending"),"No","Yes"))</f>
      </c>
      <c r="K1186" s="4">
        <f>IF(A1186="","",TEXT(IF(DAY(A1186)&gt;=Setup!$B$9,DATE(YEAR(A1186),MONTH(A1186)+1,1),DATE(YEAR(A1186),MONTH(A1186),1)),"mmmm yyyy"))</f>
      </c>
      <c r="L1186" s="47">
        <f>IF(A1186="",0,IF(AND(J1186="Yes",E1186&lt;0),-E1186,0))</f>
      </c>
      <c r="M1186" s="47">
        <f>IF(A1186="",0,IF(AND(J1186="Yes",E1186&gt;0),E1186,0))</f>
      </c>
      <c r="N1186">
        <f>IF(A1186="","",IF(D1186="Category Pending","Needs categorization",IF(COUNTIFS($A$2:A1186,A1186,$B$2:B1186,B1186,$E$2:E1186,E1186)&gt;1,"Possible duplicate","")))</f>
      </c>
    </row>
    <row r="1187" spans="3:14" x14ac:dyDescent="0.3">
      <c r="A1187"/>
      <c r="C1187" s="16"/>
      <c r="G1187" s="5">
        <f>IF(A1187="","","Checking")</f>
      </c>
      <c r="H1187">
        <f>IF(A1187="","",IFERROR(XLOOKUP(D1187,Setup!$E$15:$E$79,Setup!$F$15:$F$79),"Miscellaneous"))</f>
      </c>
      <c r="I1187">
        <f>IF(A1187="","",IFERROR(XLOOKUP(D1187,Setup!$E$15:$E$79,Setup!$G$15:$G$79),"Uncategorized"))</f>
      </c>
      <c r="J1187">
        <f>IF(A1187="","",IF(OR(H1187="Transfers",H1187="Income",D1187="Transfer",D1187="Category Pending",F1187="Pending"),"No","Yes"))</f>
      </c>
      <c r="K1187" s="4">
        <f>IF(A1187="","",TEXT(IF(DAY(A1187)&gt;=Setup!$B$9,DATE(YEAR(A1187),MONTH(A1187)+1,1),DATE(YEAR(A1187),MONTH(A1187),1)),"mmmm yyyy"))</f>
      </c>
      <c r="L1187" s="47">
        <f>IF(A1187="",0,IF(AND(J1187="Yes",E1187&lt;0),-E1187,0))</f>
      </c>
      <c r="M1187" s="47">
        <f>IF(A1187="",0,IF(AND(J1187="Yes",E1187&gt;0),E1187,0))</f>
      </c>
      <c r="N1187">
        <f>IF(A1187="","",IF(D1187="Category Pending","Needs categorization",IF(COUNTIFS($A$2:A1187,A1187,$B$2:B1187,B1187,$E$2:E1187,E1187)&gt;1,"Possible duplicate","")))</f>
      </c>
    </row>
    <row r="1188" spans="3:14" x14ac:dyDescent="0.3">
      <c r="A1188"/>
      <c r="C1188" s="16"/>
      <c r="G1188" s="5">
        <f>IF(A1188="","","Checking")</f>
      </c>
      <c r="H1188">
        <f>IF(A1188="","",IFERROR(XLOOKUP(D1188,Setup!$E$15:$E$79,Setup!$F$15:$F$79),"Miscellaneous"))</f>
      </c>
      <c r="I1188">
        <f>IF(A1188="","",IFERROR(XLOOKUP(D1188,Setup!$E$15:$E$79,Setup!$G$15:$G$79),"Uncategorized"))</f>
      </c>
      <c r="J1188">
        <f>IF(A1188="","",IF(OR(H1188="Transfers",H1188="Income",D1188="Transfer",D1188="Category Pending",F1188="Pending"),"No","Yes"))</f>
      </c>
      <c r="K1188" s="4">
        <f>IF(A1188="","",TEXT(IF(DAY(A1188)&gt;=Setup!$B$9,DATE(YEAR(A1188),MONTH(A1188)+1,1),DATE(YEAR(A1188),MONTH(A1188),1)),"mmmm yyyy"))</f>
      </c>
      <c r="L1188" s="47">
        <f>IF(A1188="",0,IF(AND(J1188="Yes",E1188&lt;0),-E1188,0))</f>
      </c>
      <c r="M1188" s="47">
        <f>IF(A1188="",0,IF(AND(J1188="Yes",E1188&gt;0),E1188,0))</f>
      </c>
      <c r="N1188">
        <f>IF(A1188="","",IF(D1188="Category Pending","Needs categorization",IF(COUNTIFS($A$2:A1188,A1188,$B$2:B1188,B1188,$E$2:E1188,E1188)&gt;1,"Possible duplicate","")))</f>
      </c>
    </row>
    <row r="1189" spans="3:14" x14ac:dyDescent="0.3">
      <c r="A1189"/>
      <c r="C1189" s="16"/>
      <c r="G1189" s="5">
        <f>IF(A1189="","","Checking")</f>
      </c>
      <c r="H1189">
        <f>IF(A1189="","",IFERROR(XLOOKUP(D1189,Setup!$E$15:$E$79,Setup!$F$15:$F$79),"Miscellaneous"))</f>
      </c>
      <c r="I1189">
        <f>IF(A1189="","",IFERROR(XLOOKUP(D1189,Setup!$E$15:$E$79,Setup!$G$15:$G$79),"Uncategorized"))</f>
      </c>
      <c r="J1189">
        <f>IF(A1189="","",IF(OR(H1189="Transfers",H1189="Income",D1189="Transfer",D1189="Category Pending",F1189="Pending"),"No","Yes"))</f>
      </c>
      <c r="K1189" s="4">
        <f>IF(A1189="","",TEXT(IF(DAY(A1189)&gt;=Setup!$B$9,DATE(YEAR(A1189),MONTH(A1189)+1,1),DATE(YEAR(A1189),MONTH(A1189),1)),"mmmm yyyy"))</f>
      </c>
      <c r="L1189" s="47">
        <f>IF(A1189="",0,IF(AND(J1189="Yes",E1189&lt;0),-E1189,0))</f>
      </c>
      <c r="M1189" s="47">
        <f>IF(A1189="",0,IF(AND(J1189="Yes",E1189&gt;0),E1189,0))</f>
      </c>
      <c r="N1189">
        <f>IF(A1189="","",IF(D1189="Category Pending","Needs categorization",IF(COUNTIFS($A$2:A1189,A1189,$B$2:B1189,B1189,$E$2:E1189,E1189)&gt;1,"Possible duplicate","")))</f>
      </c>
    </row>
    <row r="1190" spans="3:14" x14ac:dyDescent="0.3">
      <c r="A1190"/>
      <c r="C1190" s="16"/>
      <c r="G1190" s="5">
        <f>IF(A1190="","","Checking")</f>
      </c>
      <c r="H1190">
        <f>IF(A1190="","",IFERROR(XLOOKUP(D1190,Setup!$E$15:$E$79,Setup!$F$15:$F$79),"Miscellaneous"))</f>
      </c>
      <c r="I1190">
        <f>IF(A1190="","",IFERROR(XLOOKUP(D1190,Setup!$E$15:$E$79,Setup!$G$15:$G$79),"Uncategorized"))</f>
      </c>
      <c r="J1190">
        <f>IF(A1190="","",IF(OR(H1190="Transfers",H1190="Income",D1190="Transfer",D1190="Category Pending",F1190="Pending"),"No","Yes"))</f>
      </c>
      <c r="K1190" s="4">
        <f>IF(A1190="","",TEXT(IF(DAY(A1190)&gt;=Setup!$B$9,DATE(YEAR(A1190),MONTH(A1190)+1,1),DATE(YEAR(A1190),MONTH(A1190),1)),"mmmm yyyy"))</f>
      </c>
      <c r="L1190" s="47">
        <f>IF(A1190="",0,IF(AND(J1190="Yes",E1190&lt;0),-E1190,0))</f>
      </c>
      <c r="M1190" s="47">
        <f>IF(A1190="",0,IF(AND(J1190="Yes",E1190&gt;0),E1190,0))</f>
      </c>
      <c r="N1190">
        <f>IF(A1190="","",IF(D1190="Category Pending","Needs categorization",IF(COUNTIFS($A$2:A1190,A1190,$B$2:B1190,B1190,$E$2:E1190,E1190)&gt;1,"Possible duplicate","")))</f>
      </c>
    </row>
    <row r="1191" spans="3:14" x14ac:dyDescent="0.3">
      <c r="A1191"/>
      <c r="C1191" s="16"/>
      <c r="G1191" s="5">
        <f>IF(A1191="","","Checking")</f>
      </c>
      <c r="H1191">
        <f>IF(A1191="","",IFERROR(XLOOKUP(D1191,Setup!$E$15:$E$79,Setup!$F$15:$F$79),"Miscellaneous"))</f>
      </c>
      <c r="I1191">
        <f>IF(A1191="","",IFERROR(XLOOKUP(D1191,Setup!$E$15:$E$79,Setup!$G$15:$G$79),"Uncategorized"))</f>
      </c>
      <c r="J1191">
        <f>IF(A1191="","",IF(OR(H1191="Transfers",H1191="Income",D1191="Transfer",D1191="Category Pending",F1191="Pending"),"No","Yes"))</f>
      </c>
      <c r="K1191" s="4">
        <f>IF(A1191="","",TEXT(IF(DAY(A1191)&gt;=Setup!$B$9,DATE(YEAR(A1191),MONTH(A1191)+1,1),DATE(YEAR(A1191),MONTH(A1191),1)),"mmmm yyyy"))</f>
      </c>
      <c r="L1191" s="47">
        <f>IF(A1191="",0,IF(AND(J1191="Yes",E1191&lt;0),-E1191,0))</f>
      </c>
      <c r="M1191" s="47">
        <f>IF(A1191="",0,IF(AND(J1191="Yes",E1191&gt;0),E1191,0))</f>
      </c>
      <c r="N1191">
        <f>IF(A1191="","",IF(D1191="Category Pending","Needs categorization",IF(COUNTIFS($A$2:A1191,A1191,$B$2:B1191,B1191,$E$2:E1191,E1191)&gt;1,"Possible duplicate","")))</f>
      </c>
    </row>
    <row r="1192" spans="3:14" x14ac:dyDescent="0.3">
      <c r="A1192"/>
      <c r="C1192" s="16"/>
      <c r="G1192" s="5">
        <f>IF(A1192="","","Checking")</f>
      </c>
      <c r="H1192">
        <f>IF(A1192="","",IFERROR(XLOOKUP(D1192,Setup!$E$15:$E$79,Setup!$F$15:$F$79),"Miscellaneous"))</f>
      </c>
      <c r="I1192">
        <f>IF(A1192="","",IFERROR(XLOOKUP(D1192,Setup!$E$15:$E$79,Setup!$G$15:$G$79),"Uncategorized"))</f>
      </c>
      <c r="J1192">
        <f>IF(A1192="","",IF(OR(H1192="Transfers",H1192="Income",D1192="Transfer",D1192="Category Pending",F1192="Pending"),"No","Yes"))</f>
      </c>
      <c r="K1192" s="4">
        <f>IF(A1192="","",TEXT(IF(DAY(A1192)&gt;=Setup!$B$9,DATE(YEAR(A1192),MONTH(A1192)+1,1),DATE(YEAR(A1192),MONTH(A1192),1)),"mmmm yyyy"))</f>
      </c>
      <c r="L1192" s="47">
        <f>IF(A1192="",0,IF(AND(J1192="Yes",E1192&lt;0),-E1192,0))</f>
      </c>
      <c r="M1192" s="47">
        <f>IF(A1192="",0,IF(AND(J1192="Yes",E1192&gt;0),E1192,0))</f>
      </c>
      <c r="N1192">
        <f>IF(A1192="","",IF(D1192="Category Pending","Needs categorization",IF(COUNTIFS($A$2:A1192,A1192,$B$2:B1192,B1192,$E$2:E1192,E1192)&gt;1,"Possible duplicate","")))</f>
      </c>
    </row>
    <row r="1193" spans="3:14" x14ac:dyDescent="0.3">
      <c r="A1193"/>
      <c r="C1193" s="16"/>
      <c r="G1193" s="5">
        <f>IF(A1193="","","Checking")</f>
      </c>
      <c r="H1193">
        <f>IF(A1193="","",IFERROR(XLOOKUP(D1193,Setup!$E$15:$E$79,Setup!$F$15:$F$79),"Miscellaneous"))</f>
      </c>
      <c r="I1193">
        <f>IF(A1193="","",IFERROR(XLOOKUP(D1193,Setup!$E$15:$E$79,Setup!$G$15:$G$79),"Uncategorized"))</f>
      </c>
      <c r="J1193">
        <f>IF(A1193="","",IF(OR(H1193="Transfers",H1193="Income",D1193="Transfer",D1193="Category Pending",F1193="Pending"),"No","Yes"))</f>
      </c>
      <c r="K1193" s="4">
        <f>IF(A1193="","",TEXT(IF(DAY(A1193)&gt;=Setup!$B$9,DATE(YEAR(A1193),MONTH(A1193)+1,1),DATE(YEAR(A1193),MONTH(A1193),1)),"mmmm yyyy"))</f>
      </c>
      <c r="L1193" s="47">
        <f>IF(A1193="",0,IF(AND(J1193="Yes",E1193&lt;0),-E1193,0))</f>
      </c>
      <c r="M1193" s="47">
        <f>IF(A1193="",0,IF(AND(J1193="Yes",E1193&gt;0),E1193,0))</f>
      </c>
      <c r="N1193">
        <f>IF(A1193="","",IF(D1193="Category Pending","Needs categorization",IF(COUNTIFS($A$2:A1193,A1193,$B$2:B1193,B1193,$E$2:E1193,E1193)&gt;1,"Possible duplicate","")))</f>
      </c>
    </row>
    <row r="1194" spans="3:14" x14ac:dyDescent="0.3">
      <c r="A1194"/>
      <c r="C1194" s="16"/>
      <c r="G1194" s="5">
        <f>IF(A1194="","","Checking")</f>
      </c>
      <c r="H1194">
        <f>IF(A1194="","",IFERROR(XLOOKUP(D1194,Setup!$E$15:$E$79,Setup!$F$15:$F$79),"Miscellaneous"))</f>
      </c>
      <c r="I1194">
        <f>IF(A1194="","",IFERROR(XLOOKUP(D1194,Setup!$E$15:$E$79,Setup!$G$15:$G$79),"Uncategorized"))</f>
      </c>
      <c r="J1194">
        <f>IF(A1194="","",IF(OR(H1194="Transfers",H1194="Income",D1194="Transfer",D1194="Category Pending",F1194="Pending"),"No","Yes"))</f>
      </c>
      <c r="K1194" s="4">
        <f>IF(A1194="","",TEXT(IF(DAY(A1194)&gt;=Setup!$B$9,DATE(YEAR(A1194),MONTH(A1194)+1,1),DATE(YEAR(A1194),MONTH(A1194),1)),"mmmm yyyy"))</f>
      </c>
      <c r="L1194" s="47">
        <f>IF(A1194="",0,IF(AND(J1194="Yes",E1194&lt;0),-E1194,0))</f>
      </c>
      <c r="M1194" s="47">
        <f>IF(A1194="",0,IF(AND(J1194="Yes",E1194&gt;0),E1194,0))</f>
      </c>
      <c r="N1194">
        <f>IF(A1194="","",IF(D1194="Category Pending","Needs categorization",IF(COUNTIFS($A$2:A1194,A1194,$B$2:B1194,B1194,$E$2:E1194,E1194)&gt;1,"Possible duplicate","")))</f>
      </c>
    </row>
    <row r="1195" spans="3:14" x14ac:dyDescent="0.3">
      <c r="A1195"/>
      <c r="C1195" s="16"/>
      <c r="G1195" s="5">
        <f>IF(A1195="","","Checking")</f>
      </c>
      <c r="H1195">
        <f>IF(A1195="","",IFERROR(XLOOKUP(D1195,Setup!$E$15:$E$79,Setup!$F$15:$F$79),"Miscellaneous"))</f>
      </c>
      <c r="I1195">
        <f>IF(A1195="","",IFERROR(XLOOKUP(D1195,Setup!$E$15:$E$79,Setup!$G$15:$G$79),"Uncategorized"))</f>
      </c>
      <c r="J1195">
        <f>IF(A1195="","",IF(OR(H1195="Transfers",H1195="Income",D1195="Transfer",D1195="Category Pending",F1195="Pending"),"No","Yes"))</f>
      </c>
      <c r="K1195" s="4">
        <f>IF(A1195="","",TEXT(IF(DAY(A1195)&gt;=Setup!$B$9,DATE(YEAR(A1195),MONTH(A1195)+1,1),DATE(YEAR(A1195),MONTH(A1195),1)),"mmmm yyyy"))</f>
      </c>
      <c r="L1195" s="47">
        <f>IF(A1195="",0,IF(AND(J1195="Yes",E1195&lt;0),-E1195,0))</f>
      </c>
      <c r="M1195" s="47">
        <f>IF(A1195="",0,IF(AND(J1195="Yes",E1195&gt;0),E1195,0))</f>
      </c>
      <c r="N1195">
        <f>IF(A1195="","",IF(D1195="Category Pending","Needs categorization",IF(COUNTIFS($A$2:A1195,A1195,$B$2:B1195,B1195,$E$2:E1195,E1195)&gt;1,"Possible duplicate","")))</f>
      </c>
    </row>
    <row r="1196" spans="3:14" x14ac:dyDescent="0.3">
      <c r="A1196"/>
      <c r="C1196" s="16"/>
      <c r="G1196" s="5">
        <f>IF(A1196="","","Checking")</f>
      </c>
      <c r="H1196">
        <f>IF(A1196="","",IFERROR(XLOOKUP(D1196,Setup!$E$15:$E$79,Setup!$F$15:$F$79),"Miscellaneous"))</f>
      </c>
      <c r="I1196">
        <f>IF(A1196="","",IFERROR(XLOOKUP(D1196,Setup!$E$15:$E$79,Setup!$G$15:$G$79),"Uncategorized"))</f>
      </c>
      <c r="J1196">
        <f>IF(A1196="","",IF(OR(H1196="Transfers",H1196="Income",D1196="Transfer",D1196="Category Pending",F1196="Pending"),"No","Yes"))</f>
      </c>
      <c r="K1196" s="4">
        <f>IF(A1196="","",TEXT(IF(DAY(A1196)&gt;=Setup!$B$9,DATE(YEAR(A1196),MONTH(A1196)+1,1),DATE(YEAR(A1196),MONTH(A1196),1)),"mmmm yyyy"))</f>
      </c>
      <c r="L1196" s="47">
        <f>IF(A1196="",0,IF(AND(J1196="Yes",E1196&lt;0),-E1196,0))</f>
      </c>
      <c r="M1196" s="47">
        <f>IF(A1196="",0,IF(AND(J1196="Yes",E1196&gt;0),E1196,0))</f>
      </c>
      <c r="N1196">
        <f>IF(A1196="","",IF(D1196="Category Pending","Needs categorization",IF(COUNTIFS($A$2:A1196,A1196,$B$2:B1196,B1196,$E$2:E1196,E1196)&gt;1,"Possible duplicate","")))</f>
      </c>
    </row>
    <row r="1197" spans="3:14" x14ac:dyDescent="0.3">
      <c r="A1197"/>
      <c r="C1197" s="16"/>
      <c r="G1197" s="5">
        <f>IF(A1197="","","Checking")</f>
      </c>
      <c r="H1197">
        <f>IF(A1197="","",IFERROR(XLOOKUP(D1197,Setup!$E$15:$E$79,Setup!$F$15:$F$79),"Miscellaneous"))</f>
      </c>
      <c r="I1197">
        <f>IF(A1197="","",IFERROR(XLOOKUP(D1197,Setup!$E$15:$E$79,Setup!$G$15:$G$79),"Uncategorized"))</f>
      </c>
      <c r="J1197">
        <f>IF(A1197="","",IF(OR(H1197="Transfers",H1197="Income",D1197="Transfer",D1197="Category Pending",F1197="Pending"),"No","Yes"))</f>
      </c>
      <c r="K1197" s="4">
        <f>IF(A1197="","",TEXT(IF(DAY(A1197)&gt;=Setup!$B$9,DATE(YEAR(A1197),MONTH(A1197)+1,1),DATE(YEAR(A1197),MONTH(A1197),1)),"mmmm yyyy"))</f>
      </c>
      <c r="L1197" s="47">
        <f>IF(A1197="",0,IF(AND(J1197="Yes",E1197&lt;0),-E1197,0))</f>
      </c>
      <c r="M1197" s="47">
        <f>IF(A1197="",0,IF(AND(J1197="Yes",E1197&gt;0),E1197,0))</f>
      </c>
      <c r="N1197">
        <f>IF(A1197="","",IF(D1197="Category Pending","Needs categorization",IF(COUNTIFS($A$2:A1197,A1197,$B$2:B1197,B1197,$E$2:E1197,E1197)&gt;1,"Possible duplicate","")))</f>
      </c>
    </row>
    <row r="1198" spans="3:14" x14ac:dyDescent="0.3">
      <c r="A1198"/>
      <c r="C1198" s="16"/>
      <c r="G1198" s="5">
        <f>IF(A1198="","","Checking")</f>
      </c>
      <c r="H1198">
        <f>IF(A1198="","",IFERROR(XLOOKUP(D1198,Setup!$E$15:$E$79,Setup!$F$15:$F$79),"Miscellaneous"))</f>
      </c>
      <c r="I1198">
        <f>IF(A1198="","",IFERROR(XLOOKUP(D1198,Setup!$E$15:$E$79,Setup!$G$15:$G$79),"Uncategorized"))</f>
      </c>
      <c r="J1198">
        <f>IF(A1198="","",IF(OR(H1198="Transfers",H1198="Income",D1198="Transfer",D1198="Category Pending",F1198="Pending"),"No","Yes"))</f>
      </c>
      <c r="K1198" s="4">
        <f>IF(A1198="","",TEXT(IF(DAY(A1198)&gt;=Setup!$B$9,DATE(YEAR(A1198),MONTH(A1198)+1,1),DATE(YEAR(A1198),MONTH(A1198),1)),"mmmm yyyy"))</f>
      </c>
      <c r="L1198" s="47">
        <f>IF(A1198="",0,IF(AND(J1198="Yes",E1198&lt;0),-E1198,0))</f>
      </c>
      <c r="M1198" s="47">
        <f>IF(A1198="",0,IF(AND(J1198="Yes",E1198&gt;0),E1198,0))</f>
      </c>
      <c r="N1198">
        <f>IF(A1198="","",IF(D1198="Category Pending","Needs categorization",IF(COUNTIFS($A$2:A1198,A1198,$B$2:B1198,B1198,$E$2:E1198,E1198)&gt;1,"Possible duplicate","")))</f>
      </c>
    </row>
    <row r="1199" spans="3:14" x14ac:dyDescent="0.3">
      <c r="A1199"/>
      <c r="C1199" s="16"/>
      <c r="G1199" s="5">
        <f>IF(A1199="","","Checking")</f>
      </c>
      <c r="H1199">
        <f>IF(A1199="","",IFERROR(XLOOKUP(D1199,Setup!$E$15:$E$79,Setup!$F$15:$F$79),"Miscellaneous"))</f>
      </c>
      <c r="I1199">
        <f>IF(A1199="","",IFERROR(XLOOKUP(D1199,Setup!$E$15:$E$79,Setup!$G$15:$G$79),"Uncategorized"))</f>
      </c>
      <c r="J1199">
        <f>IF(A1199="","",IF(OR(H1199="Transfers",H1199="Income",D1199="Transfer",D1199="Category Pending",F1199="Pending"),"No","Yes"))</f>
      </c>
      <c r="K1199" s="4">
        <f>IF(A1199="","",TEXT(IF(DAY(A1199)&gt;=Setup!$B$9,DATE(YEAR(A1199),MONTH(A1199)+1,1),DATE(YEAR(A1199),MONTH(A1199),1)),"mmmm yyyy"))</f>
      </c>
      <c r="L1199" s="47">
        <f>IF(A1199="",0,IF(AND(J1199="Yes",E1199&lt;0),-E1199,0))</f>
      </c>
      <c r="M1199" s="47">
        <f>IF(A1199="",0,IF(AND(J1199="Yes",E1199&gt;0),E1199,0))</f>
      </c>
      <c r="N1199">
        <f>IF(A1199="","",IF(D1199="Category Pending","Needs categorization",IF(COUNTIFS($A$2:A1199,A1199,$B$2:B1199,B1199,$E$2:E1199,E1199)&gt;1,"Possible duplicate","")))</f>
      </c>
    </row>
    <row r="1200" spans="3:14" x14ac:dyDescent="0.3">
      <c r="A1200"/>
      <c r="C1200" s="16"/>
      <c r="G1200" s="5">
        <f>IF(A1200="","","Checking")</f>
      </c>
      <c r="H1200">
        <f>IF(A1200="","",IFERROR(XLOOKUP(D1200,Setup!$E$15:$E$79,Setup!$F$15:$F$79),"Miscellaneous"))</f>
      </c>
      <c r="I1200">
        <f>IF(A1200="","",IFERROR(XLOOKUP(D1200,Setup!$E$15:$E$79,Setup!$G$15:$G$79),"Uncategorized"))</f>
      </c>
      <c r="J1200">
        <f>IF(A1200="","",IF(OR(H1200="Transfers",H1200="Income",D1200="Transfer",D1200="Category Pending",F1200="Pending"),"No","Yes"))</f>
      </c>
      <c r="K1200" s="4">
        <f>IF(A1200="","",TEXT(IF(DAY(A1200)&gt;=Setup!$B$9,DATE(YEAR(A1200),MONTH(A1200)+1,1),DATE(YEAR(A1200),MONTH(A1200),1)),"mmmm yyyy"))</f>
      </c>
      <c r="L1200" s="47">
        <f>IF(A1200="",0,IF(AND(J1200="Yes",E1200&lt;0),-E1200,0))</f>
      </c>
      <c r="M1200" s="47">
        <f>IF(A1200="",0,IF(AND(J1200="Yes",E1200&gt;0),E1200,0))</f>
      </c>
      <c r="N1200">
        <f>IF(A1200="","",IF(D1200="Category Pending","Needs categorization",IF(COUNTIFS($A$2:A1200,A1200,$B$2:B1200,B1200,$E$2:E1200,E1200)&gt;1,"Possible duplicate","")))</f>
      </c>
    </row>
    <row r="1201" spans="3:14" x14ac:dyDescent="0.3">
      <c r="A1201"/>
      <c r="C1201" s="16"/>
      <c r="G1201" s="5">
        <f>IF(A1201="","","Checking")</f>
      </c>
      <c r="H1201">
        <f>IF(A1201="","",IFERROR(XLOOKUP(D1201,Setup!$E$15:$E$79,Setup!$F$15:$F$79),"Miscellaneous"))</f>
      </c>
      <c r="I1201">
        <f>IF(A1201="","",IFERROR(XLOOKUP(D1201,Setup!$E$15:$E$79,Setup!$G$15:$G$79),"Uncategorized"))</f>
      </c>
      <c r="J1201">
        <f>IF(A1201="","",IF(OR(H1201="Transfers",H1201="Income",D1201="Transfer",D1201="Category Pending",F1201="Pending"),"No","Yes"))</f>
      </c>
      <c r="K1201" s="4">
        <f>IF(A1201="","",TEXT(IF(DAY(A1201)&gt;=Setup!$B$9,DATE(YEAR(A1201),MONTH(A1201)+1,1),DATE(YEAR(A1201),MONTH(A1201),1)),"mmmm yyyy"))</f>
      </c>
      <c r="L1201" s="47">
        <f>IF(A1201="",0,IF(AND(J1201="Yes",E1201&lt;0),-E1201,0))</f>
      </c>
      <c r="M1201" s="47">
        <f>IF(A1201="",0,IF(AND(J1201="Yes",E1201&gt;0),E1201,0))</f>
      </c>
      <c r="N1201">
        <f>IF(A1201="","",IF(D1201="Category Pending","Needs categorization",IF(COUNTIFS($A$2:A1201,A1201,$B$2:B1201,B1201,$E$2:E1201,E1201)&gt;1,"Possible duplicate","")))</f>
      </c>
    </row>
    <row r="1202" spans="3:14" x14ac:dyDescent="0.3">
      <c r="A1202"/>
      <c r="C1202" s="16"/>
      <c r="G1202" s="5">
        <f>IF(A1202="","","Checking")</f>
      </c>
      <c r="H1202">
        <f>IF(A1202="","",IFERROR(XLOOKUP(D1202,Setup!$E$15:$E$79,Setup!$F$15:$F$79),"Miscellaneous"))</f>
      </c>
      <c r="I1202">
        <f>IF(A1202="","",IFERROR(XLOOKUP(D1202,Setup!$E$15:$E$79,Setup!$G$15:$G$79),"Uncategorized"))</f>
      </c>
      <c r="J1202">
        <f>IF(A1202="","",IF(OR(H1202="Transfers",H1202="Income",D1202="Transfer",D1202="Category Pending",F1202="Pending"),"No","Yes"))</f>
      </c>
      <c r="K1202" s="4">
        <f>IF(A1202="","",TEXT(IF(DAY(A1202)&gt;=Setup!$B$9,DATE(YEAR(A1202),MONTH(A1202)+1,1),DATE(YEAR(A1202),MONTH(A1202),1)),"mmmm yyyy"))</f>
      </c>
      <c r="L1202" s="47">
        <f>IF(A1202="",0,IF(AND(J1202="Yes",E1202&lt;0),-E1202,0))</f>
      </c>
      <c r="M1202" s="47">
        <f>IF(A1202="",0,IF(AND(J1202="Yes",E1202&gt;0),E1202,0))</f>
      </c>
      <c r="N1202">
        <f>IF(A1202="","",IF(D1202="Category Pending","Needs categorization",IF(COUNTIFS($A$2:A1202,A1202,$B$2:B1202,B1202,$E$2:E1202,E1202)&gt;1,"Possible duplicate","")))</f>
      </c>
    </row>
    <row r="1203" spans="3:14" x14ac:dyDescent="0.3">
      <c r="A1203"/>
      <c r="C1203" s="16"/>
      <c r="G1203" s="5">
        <f>IF(A1203="","","Checking")</f>
      </c>
      <c r="H1203">
        <f>IF(A1203="","",IFERROR(XLOOKUP(D1203,Setup!$E$15:$E$79,Setup!$F$15:$F$79),"Miscellaneous"))</f>
      </c>
      <c r="I1203">
        <f>IF(A1203="","",IFERROR(XLOOKUP(D1203,Setup!$E$15:$E$79,Setup!$G$15:$G$79),"Uncategorized"))</f>
      </c>
      <c r="J1203">
        <f>IF(A1203="","",IF(OR(H1203="Transfers",H1203="Income",D1203="Transfer",D1203="Category Pending",F1203="Pending"),"No","Yes"))</f>
      </c>
      <c r="K1203" s="4">
        <f>IF(A1203="","",TEXT(IF(DAY(A1203)&gt;=Setup!$B$9,DATE(YEAR(A1203),MONTH(A1203)+1,1),DATE(YEAR(A1203),MONTH(A1203),1)),"mmmm yyyy"))</f>
      </c>
      <c r="L1203" s="47">
        <f>IF(A1203="",0,IF(AND(J1203="Yes",E1203&lt;0),-E1203,0))</f>
      </c>
      <c r="M1203" s="47">
        <f>IF(A1203="",0,IF(AND(J1203="Yes",E1203&gt;0),E1203,0))</f>
      </c>
      <c r="N1203">
        <f>IF(A1203="","",IF(D1203="Category Pending","Needs categorization",IF(COUNTIFS($A$2:A1203,A1203,$B$2:B1203,B1203,$E$2:E1203,E1203)&gt;1,"Possible duplicate","")))</f>
      </c>
    </row>
    <row r="1204" spans="3:14" x14ac:dyDescent="0.3">
      <c r="A1204"/>
      <c r="C1204" s="16"/>
      <c r="G1204" s="5">
        <f>IF(A1204="","","Checking")</f>
      </c>
      <c r="H1204">
        <f>IF(A1204="","",IFERROR(XLOOKUP(D1204,Setup!$E$15:$E$79,Setup!$F$15:$F$79),"Miscellaneous"))</f>
      </c>
      <c r="I1204">
        <f>IF(A1204="","",IFERROR(XLOOKUP(D1204,Setup!$E$15:$E$79,Setup!$G$15:$G$79),"Uncategorized"))</f>
      </c>
      <c r="J1204">
        <f>IF(A1204="","",IF(OR(H1204="Transfers",H1204="Income",D1204="Transfer",D1204="Category Pending",F1204="Pending"),"No","Yes"))</f>
      </c>
      <c r="K1204" s="4">
        <f>IF(A1204="","",TEXT(IF(DAY(A1204)&gt;=Setup!$B$9,DATE(YEAR(A1204),MONTH(A1204)+1,1),DATE(YEAR(A1204),MONTH(A1204),1)),"mmmm yyyy"))</f>
      </c>
      <c r="L1204" s="47">
        <f>IF(A1204="",0,IF(AND(J1204="Yes",E1204&lt;0),-E1204,0))</f>
      </c>
      <c r="M1204" s="47">
        <f>IF(A1204="",0,IF(AND(J1204="Yes",E1204&gt;0),E1204,0))</f>
      </c>
      <c r="N1204">
        <f>IF(A1204="","",IF(D1204="Category Pending","Needs categorization",IF(COUNTIFS($A$2:A1204,A1204,$B$2:B1204,B1204,$E$2:E1204,E1204)&gt;1,"Possible duplicate","")))</f>
      </c>
    </row>
    <row r="1205" spans="3:14" x14ac:dyDescent="0.3">
      <c r="A1205"/>
      <c r="C1205" s="16"/>
      <c r="G1205" s="5">
        <f>IF(A1205="","","Checking")</f>
      </c>
      <c r="H1205">
        <f>IF(A1205="","",IFERROR(XLOOKUP(D1205,Setup!$E$15:$E$79,Setup!$F$15:$F$79),"Miscellaneous"))</f>
      </c>
      <c r="I1205">
        <f>IF(A1205="","",IFERROR(XLOOKUP(D1205,Setup!$E$15:$E$79,Setup!$G$15:$G$79),"Uncategorized"))</f>
      </c>
      <c r="J1205">
        <f>IF(A1205="","",IF(OR(H1205="Transfers",H1205="Income",D1205="Transfer",D1205="Category Pending",F1205="Pending"),"No","Yes"))</f>
      </c>
      <c r="K1205" s="4">
        <f>IF(A1205="","",TEXT(IF(DAY(A1205)&gt;=Setup!$B$9,DATE(YEAR(A1205),MONTH(A1205)+1,1),DATE(YEAR(A1205),MONTH(A1205),1)),"mmmm yyyy"))</f>
      </c>
      <c r="L1205" s="47">
        <f>IF(A1205="",0,IF(AND(J1205="Yes",E1205&lt;0),-E1205,0))</f>
      </c>
      <c r="M1205" s="47">
        <f>IF(A1205="",0,IF(AND(J1205="Yes",E1205&gt;0),E1205,0))</f>
      </c>
      <c r="N1205">
        <f>IF(A1205="","",IF(D1205="Category Pending","Needs categorization",IF(COUNTIFS($A$2:A1205,A1205,$B$2:B1205,B1205,$E$2:E1205,E1205)&gt;1,"Possible duplicate","")))</f>
      </c>
    </row>
    <row r="1206" spans="3:14" x14ac:dyDescent="0.3">
      <c r="A1206"/>
      <c r="C1206" s="16"/>
      <c r="G1206" s="5">
        <f>IF(A1206="","","Checking")</f>
      </c>
      <c r="H1206">
        <f>IF(A1206="","",IFERROR(XLOOKUP(D1206,Setup!$E$15:$E$79,Setup!$F$15:$F$79),"Miscellaneous"))</f>
      </c>
      <c r="I1206">
        <f>IF(A1206="","",IFERROR(XLOOKUP(D1206,Setup!$E$15:$E$79,Setup!$G$15:$G$79),"Uncategorized"))</f>
      </c>
      <c r="J1206">
        <f>IF(A1206="","",IF(OR(H1206="Transfers",H1206="Income",D1206="Transfer",D1206="Category Pending",F1206="Pending"),"No","Yes"))</f>
      </c>
      <c r="K1206" s="4">
        <f>IF(A1206="","",TEXT(IF(DAY(A1206)&gt;=Setup!$B$9,DATE(YEAR(A1206),MONTH(A1206)+1,1),DATE(YEAR(A1206),MONTH(A1206),1)),"mmmm yyyy"))</f>
      </c>
      <c r="L1206" s="47">
        <f>IF(A1206="",0,IF(AND(J1206="Yes",E1206&lt;0),-E1206,0))</f>
      </c>
      <c r="M1206" s="47">
        <f>IF(A1206="",0,IF(AND(J1206="Yes",E1206&gt;0),E1206,0))</f>
      </c>
      <c r="N1206">
        <f>IF(A1206="","",IF(D1206="Category Pending","Needs categorization",IF(COUNTIFS($A$2:A1206,A1206,$B$2:B1206,B1206,$E$2:E1206,E1206)&gt;1,"Possible duplicate","")))</f>
      </c>
    </row>
    <row r="1207" spans="3:14" x14ac:dyDescent="0.3">
      <c r="A1207"/>
      <c r="C1207" s="16"/>
      <c r="G1207" s="5">
        <f>IF(A1207="","","Checking")</f>
      </c>
      <c r="H1207">
        <f>IF(A1207="","",IFERROR(XLOOKUP(D1207,Setup!$E$15:$E$79,Setup!$F$15:$F$79),"Miscellaneous"))</f>
      </c>
      <c r="I1207">
        <f>IF(A1207="","",IFERROR(XLOOKUP(D1207,Setup!$E$15:$E$79,Setup!$G$15:$G$79),"Uncategorized"))</f>
      </c>
      <c r="J1207">
        <f>IF(A1207="","",IF(OR(H1207="Transfers",H1207="Income",D1207="Transfer",D1207="Category Pending",F1207="Pending"),"No","Yes"))</f>
      </c>
      <c r="K1207" s="4">
        <f>IF(A1207="","",TEXT(IF(DAY(A1207)&gt;=Setup!$B$9,DATE(YEAR(A1207),MONTH(A1207)+1,1),DATE(YEAR(A1207),MONTH(A1207),1)),"mmmm yyyy"))</f>
      </c>
      <c r="L1207" s="47">
        <f>IF(A1207="",0,IF(AND(J1207="Yes",E1207&lt;0),-E1207,0))</f>
      </c>
      <c r="M1207" s="47">
        <f>IF(A1207="",0,IF(AND(J1207="Yes",E1207&gt;0),E1207,0))</f>
      </c>
      <c r="N1207">
        <f>IF(A1207="","",IF(D1207="Category Pending","Needs categorization",IF(COUNTIFS($A$2:A1207,A1207,$B$2:B1207,B1207,$E$2:E1207,E1207)&gt;1,"Possible duplicate","")))</f>
      </c>
    </row>
    <row r="1208" spans="3:14" x14ac:dyDescent="0.3">
      <c r="A1208"/>
      <c r="C1208" s="16"/>
      <c r="G1208" s="5">
        <f>IF(A1208="","","Checking")</f>
      </c>
      <c r="H1208">
        <f>IF(A1208="","",IFERROR(XLOOKUP(D1208,Setup!$E$15:$E$79,Setup!$F$15:$F$79),"Miscellaneous"))</f>
      </c>
      <c r="I1208">
        <f>IF(A1208="","",IFERROR(XLOOKUP(D1208,Setup!$E$15:$E$79,Setup!$G$15:$G$79),"Uncategorized"))</f>
      </c>
      <c r="J1208">
        <f>IF(A1208="","",IF(OR(H1208="Transfers",H1208="Income",D1208="Transfer",D1208="Category Pending",F1208="Pending"),"No","Yes"))</f>
      </c>
      <c r="K1208" s="4">
        <f>IF(A1208="","",TEXT(IF(DAY(A1208)&gt;=Setup!$B$9,DATE(YEAR(A1208),MONTH(A1208)+1,1),DATE(YEAR(A1208),MONTH(A1208),1)),"mmmm yyyy"))</f>
      </c>
      <c r="L1208" s="47">
        <f>IF(A1208="",0,IF(AND(J1208="Yes",E1208&lt;0),-E1208,0))</f>
      </c>
      <c r="M1208" s="47">
        <f>IF(A1208="",0,IF(AND(J1208="Yes",E1208&gt;0),E1208,0))</f>
      </c>
      <c r="N1208">
        <f>IF(A1208="","",IF(D1208="Category Pending","Needs categorization",IF(COUNTIFS($A$2:A1208,A1208,$B$2:B1208,B1208,$E$2:E1208,E1208)&gt;1,"Possible duplicate","")))</f>
      </c>
    </row>
    <row r="1209" spans="3:14" x14ac:dyDescent="0.3">
      <c r="A1209"/>
      <c r="C1209" s="16"/>
      <c r="G1209" s="5">
        <f>IF(A1209="","","Checking")</f>
      </c>
      <c r="H1209">
        <f>IF(A1209="","",IFERROR(XLOOKUP(D1209,Setup!$E$15:$E$79,Setup!$F$15:$F$79),"Miscellaneous"))</f>
      </c>
      <c r="I1209">
        <f>IF(A1209="","",IFERROR(XLOOKUP(D1209,Setup!$E$15:$E$79,Setup!$G$15:$G$79),"Uncategorized"))</f>
      </c>
      <c r="J1209">
        <f>IF(A1209="","",IF(OR(H1209="Transfers",H1209="Income",D1209="Transfer",D1209="Category Pending",F1209="Pending"),"No","Yes"))</f>
      </c>
      <c r="K1209" s="4">
        <f>IF(A1209="","",TEXT(IF(DAY(A1209)&gt;=Setup!$B$9,DATE(YEAR(A1209),MONTH(A1209)+1,1),DATE(YEAR(A1209),MONTH(A1209),1)),"mmmm yyyy"))</f>
      </c>
      <c r="L1209" s="47">
        <f>IF(A1209="",0,IF(AND(J1209="Yes",E1209&lt;0),-E1209,0))</f>
      </c>
      <c r="M1209" s="47">
        <f>IF(A1209="",0,IF(AND(J1209="Yes",E1209&gt;0),E1209,0))</f>
      </c>
      <c r="N1209">
        <f>IF(A1209="","",IF(D1209="Category Pending","Needs categorization",IF(COUNTIFS($A$2:A1209,A1209,$B$2:B1209,B1209,$E$2:E1209,E1209)&gt;1,"Possible duplicate","")))</f>
      </c>
    </row>
    <row r="1210" spans="3:14" x14ac:dyDescent="0.3">
      <c r="A1210"/>
      <c r="C1210" s="16"/>
      <c r="G1210" s="5">
        <f>IF(A1210="","","Checking")</f>
      </c>
      <c r="H1210">
        <f>IF(A1210="","",IFERROR(XLOOKUP(D1210,Setup!$E$15:$E$79,Setup!$F$15:$F$79),"Miscellaneous"))</f>
      </c>
      <c r="I1210">
        <f>IF(A1210="","",IFERROR(XLOOKUP(D1210,Setup!$E$15:$E$79,Setup!$G$15:$G$79),"Uncategorized"))</f>
      </c>
      <c r="J1210">
        <f>IF(A1210="","",IF(OR(H1210="Transfers",H1210="Income",D1210="Transfer",D1210="Category Pending",F1210="Pending"),"No","Yes"))</f>
      </c>
      <c r="K1210" s="4">
        <f>IF(A1210="","",TEXT(IF(DAY(A1210)&gt;=Setup!$B$9,DATE(YEAR(A1210),MONTH(A1210)+1,1),DATE(YEAR(A1210),MONTH(A1210),1)),"mmmm yyyy"))</f>
      </c>
      <c r="L1210" s="47">
        <f>IF(A1210="",0,IF(AND(J1210="Yes",E1210&lt;0),-E1210,0))</f>
      </c>
      <c r="M1210" s="47">
        <f>IF(A1210="",0,IF(AND(J1210="Yes",E1210&gt;0),E1210,0))</f>
      </c>
      <c r="N1210">
        <f>IF(A1210="","",IF(D1210="Category Pending","Needs categorization",IF(COUNTIFS($A$2:A1210,A1210,$B$2:B1210,B1210,$E$2:E1210,E1210)&gt;1,"Possible duplicate","")))</f>
      </c>
    </row>
    <row r="1211" spans="3:14" x14ac:dyDescent="0.3">
      <c r="A1211"/>
      <c r="C1211" s="16"/>
      <c r="G1211" s="5">
        <f>IF(A1211="","","Checking")</f>
      </c>
      <c r="H1211">
        <f>IF(A1211="","",IFERROR(XLOOKUP(D1211,Setup!$E$15:$E$79,Setup!$F$15:$F$79),"Miscellaneous"))</f>
      </c>
      <c r="I1211">
        <f>IF(A1211="","",IFERROR(XLOOKUP(D1211,Setup!$E$15:$E$79,Setup!$G$15:$G$79),"Uncategorized"))</f>
      </c>
      <c r="J1211">
        <f>IF(A1211="","",IF(OR(H1211="Transfers",H1211="Income",D1211="Transfer",D1211="Category Pending",F1211="Pending"),"No","Yes"))</f>
      </c>
      <c r="K1211" s="4">
        <f>IF(A1211="","",TEXT(IF(DAY(A1211)&gt;=Setup!$B$9,DATE(YEAR(A1211),MONTH(A1211)+1,1),DATE(YEAR(A1211),MONTH(A1211),1)),"mmmm yyyy"))</f>
      </c>
      <c r="L1211" s="47">
        <f>IF(A1211="",0,IF(AND(J1211="Yes",E1211&lt;0),-E1211,0))</f>
      </c>
      <c r="M1211" s="47">
        <f>IF(A1211="",0,IF(AND(J1211="Yes",E1211&gt;0),E1211,0))</f>
      </c>
      <c r="N1211">
        <f>IF(A1211="","",IF(D1211="Category Pending","Needs categorization",IF(COUNTIFS($A$2:A1211,A1211,$B$2:B1211,B1211,$E$2:E1211,E1211)&gt;1,"Possible duplicate","")))</f>
      </c>
    </row>
    <row r="1212" spans="3:14" x14ac:dyDescent="0.3">
      <c r="A1212"/>
      <c r="C1212" s="16"/>
      <c r="G1212" s="5">
        <f>IF(A1212="","","Checking")</f>
      </c>
      <c r="H1212">
        <f>IF(A1212="","",IFERROR(XLOOKUP(D1212,Setup!$E$15:$E$79,Setup!$F$15:$F$79),"Miscellaneous"))</f>
      </c>
      <c r="I1212">
        <f>IF(A1212="","",IFERROR(XLOOKUP(D1212,Setup!$E$15:$E$79,Setup!$G$15:$G$79),"Uncategorized"))</f>
      </c>
      <c r="J1212">
        <f>IF(A1212="","",IF(OR(H1212="Transfers",H1212="Income",D1212="Transfer",D1212="Category Pending",F1212="Pending"),"No","Yes"))</f>
      </c>
      <c r="K1212" s="4">
        <f>IF(A1212="","",TEXT(IF(DAY(A1212)&gt;=Setup!$B$9,DATE(YEAR(A1212),MONTH(A1212)+1,1),DATE(YEAR(A1212),MONTH(A1212),1)),"mmmm yyyy"))</f>
      </c>
      <c r="L1212" s="47">
        <f>IF(A1212="",0,IF(AND(J1212="Yes",E1212&lt;0),-E1212,0))</f>
      </c>
      <c r="M1212" s="47">
        <f>IF(A1212="",0,IF(AND(J1212="Yes",E1212&gt;0),E1212,0))</f>
      </c>
      <c r="N1212">
        <f>IF(A1212="","",IF(D1212="Category Pending","Needs categorization",IF(COUNTIFS($A$2:A1212,A1212,$B$2:B1212,B1212,$E$2:E1212,E1212)&gt;1,"Possible duplicate","")))</f>
      </c>
    </row>
    <row r="1213" spans="3:14" x14ac:dyDescent="0.3">
      <c r="A1213"/>
      <c r="C1213" s="16"/>
      <c r="G1213" s="5">
        <f>IF(A1213="","","Checking")</f>
      </c>
      <c r="H1213">
        <f>IF(A1213="","",IFERROR(XLOOKUP(D1213,Setup!$E$15:$E$79,Setup!$F$15:$F$79),"Miscellaneous"))</f>
      </c>
      <c r="I1213">
        <f>IF(A1213="","",IFERROR(XLOOKUP(D1213,Setup!$E$15:$E$79,Setup!$G$15:$G$79),"Uncategorized"))</f>
      </c>
      <c r="J1213">
        <f>IF(A1213="","",IF(OR(H1213="Transfers",H1213="Income",D1213="Transfer",D1213="Category Pending",F1213="Pending"),"No","Yes"))</f>
      </c>
      <c r="K1213" s="4">
        <f>IF(A1213="","",TEXT(IF(DAY(A1213)&gt;=Setup!$B$9,DATE(YEAR(A1213),MONTH(A1213)+1,1),DATE(YEAR(A1213),MONTH(A1213),1)),"mmmm yyyy"))</f>
      </c>
      <c r="L1213" s="47">
        <f>IF(A1213="",0,IF(AND(J1213="Yes",E1213&lt;0),-E1213,0))</f>
      </c>
      <c r="M1213" s="47">
        <f>IF(A1213="",0,IF(AND(J1213="Yes",E1213&gt;0),E1213,0))</f>
      </c>
      <c r="N1213">
        <f>IF(A1213="","",IF(D1213="Category Pending","Needs categorization",IF(COUNTIFS($A$2:A1213,A1213,$B$2:B1213,B1213,$E$2:E1213,E1213)&gt;1,"Possible duplicate","")))</f>
      </c>
    </row>
    <row r="1214" spans="3:14" x14ac:dyDescent="0.3">
      <c r="A1214"/>
      <c r="C1214" s="16"/>
      <c r="G1214" s="5">
        <f>IF(A1214="","","Checking")</f>
      </c>
      <c r="H1214">
        <f>IF(A1214="","",IFERROR(XLOOKUP(D1214,Setup!$E$15:$E$79,Setup!$F$15:$F$79),"Miscellaneous"))</f>
      </c>
      <c r="I1214">
        <f>IF(A1214="","",IFERROR(XLOOKUP(D1214,Setup!$E$15:$E$79,Setup!$G$15:$G$79),"Uncategorized"))</f>
      </c>
      <c r="J1214">
        <f>IF(A1214="","",IF(OR(H1214="Transfers",H1214="Income",D1214="Transfer",D1214="Category Pending",F1214="Pending"),"No","Yes"))</f>
      </c>
      <c r="K1214" s="4">
        <f>IF(A1214="","",TEXT(IF(DAY(A1214)&gt;=Setup!$B$9,DATE(YEAR(A1214),MONTH(A1214)+1,1),DATE(YEAR(A1214),MONTH(A1214),1)),"mmmm yyyy"))</f>
      </c>
      <c r="L1214" s="47">
        <f>IF(A1214="",0,IF(AND(J1214="Yes",E1214&lt;0),-E1214,0))</f>
      </c>
      <c r="M1214" s="47">
        <f>IF(A1214="",0,IF(AND(J1214="Yes",E1214&gt;0),E1214,0))</f>
      </c>
      <c r="N1214">
        <f>IF(A1214="","",IF(D1214="Category Pending","Needs categorization",IF(COUNTIFS($A$2:A1214,A1214,$B$2:B1214,B1214,$E$2:E1214,E1214)&gt;1,"Possible duplicate","")))</f>
      </c>
    </row>
    <row r="1215" spans="3:14" x14ac:dyDescent="0.3">
      <c r="A1215"/>
      <c r="C1215" s="16"/>
      <c r="G1215" s="5">
        <f>IF(A1215="","","Checking")</f>
      </c>
      <c r="H1215">
        <f>IF(A1215="","",IFERROR(XLOOKUP(D1215,Setup!$E$15:$E$79,Setup!$F$15:$F$79),"Miscellaneous"))</f>
      </c>
      <c r="I1215">
        <f>IF(A1215="","",IFERROR(XLOOKUP(D1215,Setup!$E$15:$E$79,Setup!$G$15:$G$79),"Uncategorized"))</f>
      </c>
      <c r="J1215">
        <f>IF(A1215="","",IF(OR(H1215="Transfers",H1215="Income",D1215="Transfer",D1215="Category Pending",F1215="Pending"),"No","Yes"))</f>
      </c>
      <c r="K1215" s="4">
        <f>IF(A1215="","",TEXT(IF(DAY(A1215)&gt;=Setup!$B$9,DATE(YEAR(A1215),MONTH(A1215)+1,1),DATE(YEAR(A1215),MONTH(A1215),1)),"mmmm yyyy"))</f>
      </c>
      <c r="L1215" s="47">
        <f>IF(A1215="",0,IF(AND(J1215="Yes",E1215&lt;0),-E1215,0))</f>
      </c>
      <c r="M1215" s="47">
        <f>IF(A1215="",0,IF(AND(J1215="Yes",E1215&gt;0),E1215,0))</f>
      </c>
      <c r="N1215">
        <f>IF(A1215="","",IF(D1215="Category Pending","Needs categorization",IF(COUNTIFS($A$2:A1215,A1215,$B$2:B1215,B1215,$E$2:E1215,E1215)&gt;1,"Possible duplicate","")))</f>
      </c>
    </row>
    <row r="1216" spans="3:14" x14ac:dyDescent="0.3">
      <c r="A1216"/>
      <c r="C1216" s="16"/>
      <c r="G1216" s="5">
        <f>IF(A1216="","","Checking")</f>
      </c>
      <c r="H1216">
        <f>IF(A1216="","",IFERROR(XLOOKUP(D1216,Setup!$E$15:$E$79,Setup!$F$15:$F$79),"Miscellaneous"))</f>
      </c>
      <c r="I1216">
        <f>IF(A1216="","",IFERROR(XLOOKUP(D1216,Setup!$E$15:$E$79,Setup!$G$15:$G$79),"Uncategorized"))</f>
      </c>
      <c r="J1216">
        <f>IF(A1216="","",IF(OR(H1216="Transfers",H1216="Income",D1216="Transfer",D1216="Category Pending",F1216="Pending"),"No","Yes"))</f>
      </c>
      <c r="K1216" s="4">
        <f>IF(A1216="","",TEXT(IF(DAY(A1216)&gt;=Setup!$B$9,DATE(YEAR(A1216),MONTH(A1216)+1,1),DATE(YEAR(A1216),MONTH(A1216),1)),"mmmm yyyy"))</f>
      </c>
      <c r="L1216" s="47">
        <f>IF(A1216="",0,IF(AND(J1216="Yes",E1216&lt;0),-E1216,0))</f>
      </c>
      <c r="M1216" s="47">
        <f>IF(A1216="",0,IF(AND(J1216="Yes",E1216&gt;0),E1216,0))</f>
      </c>
      <c r="N1216">
        <f>IF(A1216="","",IF(D1216="Category Pending","Needs categorization",IF(COUNTIFS($A$2:A1216,A1216,$B$2:B1216,B1216,$E$2:E1216,E1216)&gt;1,"Possible duplicate","")))</f>
      </c>
    </row>
    <row r="1217" spans="3:14" x14ac:dyDescent="0.3">
      <c r="A1217"/>
      <c r="C1217" s="16"/>
      <c r="G1217" s="5">
        <f>IF(A1217="","","Checking")</f>
      </c>
      <c r="H1217">
        <f>IF(A1217="","",IFERROR(XLOOKUP(D1217,Setup!$E$15:$E$79,Setup!$F$15:$F$79),"Miscellaneous"))</f>
      </c>
      <c r="I1217">
        <f>IF(A1217="","",IFERROR(XLOOKUP(D1217,Setup!$E$15:$E$79,Setup!$G$15:$G$79),"Uncategorized"))</f>
      </c>
      <c r="J1217">
        <f>IF(A1217="","",IF(OR(H1217="Transfers",H1217="Income",D1217="Transfer",D1217="Category Pending",F1217="Pending"),"No","Yes"))</f>
      </c>
      <c r="K1217" s="4">
        <f>IF(A1217="","",TEXT(IF(DAY(A1217)&gt;=Setup!$B$9,DATE(YEAR(A1217),MONTH(A1217)+1,1),DATE(YEAR(A1217),MONTH(A1217),1)),"mmmm yyyy"))</f>
      </c>
      <c r="L1217" s="47">
        <f>IF(A1217="",0,IF(AND(J1217="Yes",E1217&lt;0),-E1217,0))</f>
      </c>
      <c r="M1217" s="47">
        <f>IF(A1217="",0,IF(AND(J1217="Yes",E1217&gt;0),E1217,0))</f>
      </c>
      <c r="N1217">
        <f>IF(A1217="","",IF(D1217="Category Pending","Needs categorization",IF(COUNTIFS($A$2:A1217,A1217,$B$2:B1217,B1217,$E$2:E1217,E1217)&gt;1,"Possible duplicate","")))</f>
      </c>
    </row>
    <row r="1218" spans="3:14" x14ac:dyDescent="0.3">
      <c r="A1218"/>
      <c r="C1218" s="16"/>
      <c r="G1218" s="5">
        <f>IF(A1218="","","Checking")</f>
      </c>
      <c r="H1218">
        <f>IF(A1218="","",IFERROR(XLOOKUP(D1218,Setup!$E$15:$E$79,Setup!$F$15:$F$79),"Miscellaneous"))</f>
      </c>
      <c r="I1218">
        <f>IF(A1218="","",IFERROR(XLOOKUP(D1218,Setup!$E$15:$E$79,Setup!$G$15:$G$79),"Uncategorized"))</f>
      </c>
      <c r="J1218">
        <f>IF(A1218="","",IF(OR(H1218="Transfers",H1218="Income",D1218="Transfer",D1218="Category Pending",F1218="Pending"),"No","Yes"))</f>
      </c>
      <c r="K1218" s="4">
        <f>IF(A1218="","",TEXT(IF(DAY(A1218)&gt;=Setup!$B$9,DATE(YEAR(A1218),MONTH(A1218)+1,1),DATE(YEAR(A1218),MONTH(A1218),1)),"mmmm yyyy"))</f>
      </c>
      <c r="L1218" s="47">
        <f>IF(A1218="",0,IF(AND(J1218="Yes",E1218&lt;0),-E1218,0))</f>
      </c>
      <c r="M1218" s="47">
        <f>IF(A1218="",0,IF(AND(J1218="Yes",E1218&gt;0),E1218,0))</f>
      </c>
      <c r="N1218">
        <f>IF(A1218="","",IF(D1218="Category Pending","Needs categorization",IF(COUNTIFS($A$2:A1218,A1218,$B$2:B1218,B1218,$E$2:E1218,E1218)&gt;1,"Possible duplicate","")))</f>
      </c>
    </row>
    <row r="1219" spans="3:14" x14ac:dyDescent="0.3">
      <c r="A1219"/>
      <c r="C1219" s="16"/>
      <c r="G1219" s="5">
        <f>IF(A1219="","","Checking")</f>
      </c>
      <c r="H1219">
        <f>IF(A1219="","",IFERROR(XLOOKUP(D1219,Setup!$E$15:$E$79,Setup!$F$15:$F$79),"Miscellaneous"))</f>
      </c>
      <c r="I1219">
        <f>IF(A1219="","",IFERROR(XLOOKUP(D1219,Setup!$E$15:$E$79,Setup!$G$15:$G$79),"Uncategorized"))</f>
      </c>
      <c r="J1219">
        <f>IF(A1219="","",IF(OR(H1219="Transfers",H1219="Income",D1219="Transfer",D1219="Category Pending",F1219="Pending"),"No","Yes"))</f>
      </c>
      <c r="K1219" s="4">
        <f>IF(A1219="","",TEXT(IF(DAY(A1219)&gt;=Setup!$B$9,DATE(YEAR(A1219),MONTH(A1219)+1,1),DATE(YEAR(A1219),MONTH(A1219),1)),"mmmm yyyy"))</f>
      </c>
      <c r="L1219" s="47">
        <f>IF(A1219="",0,IF(AND(J1219="Yes",E1219&lt;0),-E1219,0))</f>
      </c>
      <c r="M1219" s="47">
        <f>IF(A1219="",0,IF(AND(J1219="Yes",E1219&gt;0),E1219,0))</f>
      </c>
      <c r="N1219">
        <f>IF(A1219="","",IF(D1219="Category Pending","Needs categorization",IF(COUNTIFS($A$2:A1219,A1219,$B$2:B1219,B1219,$E$2:E1219,E1219)&gt;1,"Possible duplicate","")))</f>
      </c>
    </row>
    <row r="1220" spans="3:14" x14ac:dyDescent="0.3">
      <c r="A1220"/>
      <c r="C1220" s="16"/>
      <c r="G1220" s="5">
        <f>IF(A1220="","","Checking")</f>
      </c>
      <c r="H1220">
        <f>IF(A1220="","",IFERROR(XLOOKUP(D1220,Setup!$E$15:$E$79,Setup!$F$15:$F$79),"Miscellaneous"))</f>
      </c>
      <c r="I1220">
        <f>IF(A1220="","",IFERROR(XLOOKUP(D1220,Setup!$E$15:$E$79,Setup!$G$15:$G$79),"Uncategorized"))</f>
      </c>
      <c r="J1220">
        <f>IF(A1220="","",IF(OR(H1220="Transfers",H1220="Income",D1220="Transfer",D1220="Category Pending",F1220="Pending"),"No","Yes"))</f>
      </c>
      <c r="K1220" s="4">
        <f>IF(A1220="","",TEXT(IF(DAY(A1220)&gt;=Setup!$B$9,DATE(YEAR(A1220),MONTH(A1220)+1,1),DATE(YEAR(A1220),MONTH(A1220),1)),"mmmm yyyy"))</f>
      </c>
      <c r="L1220" s="47">
        <f>IF(A1220="",0,IF(AND(J1220="Yes",E1220&lt;0),-E1220,0))</f>
      </c>
      <c r="M1220" s="47">
        <f>IF(A1220="",0,IF(AND(J1220="Yes",E1220&gt;0),E1220,0))</f>
      </c>
      <c r="N1220">
        <f>IF(A1220="","",IF(D1220="Category Pending","Needs categorization",IF(COUNTIFS($A$2:A1220,A1220,$B$2:B1220,B1220,$E$2:E1220,E1220)&gt;1,"Possible duplicate","")))</f>
      </c>
    </row>
    <row r="1221" spans="3:14" x14ac:dyDescent="0.3">
      <c r="A1221"/>
      <c r="C1221" s="16"/>
      <c r="G1221" s="5">
        <f>IF(A1221="","","Checking")</f>
      </c>
      <c r="H1221">
        <f>IF(A1221="","",IFERROR(XLOOKUP(D1221,Setup!$E$15:$E$79,Setup!$F$15:$F$79),"Miscellaneous"))</f>
      </c>
      <c r="I1221">
        <f>IF(A1221="","",IFERROR(XLOOKUP(D1221,Setup!$E$15:$E$79,Setup!$G$15:$G$79),"Uncategorized"))</f>
      </c>
      <c r="J1221">
        <f>IF(A1221="","",IF(OR(H1221="Transfers",H1221="Income",D1221="Transfer",D1221="Category Pending",F1221="Pending"),"No","Yes"))</f>
      </c>
      <c r="K1221" s="4">
        <f>IF(A1221="","",TEXT(IF(DAY(A1221)&gt;=Setup!$B$9,DATE(YEAR(A1221),MONTH(A1221)+1,1),DATE(YEAR(A1221),MONTH(A1221),1)),"mmmm yyyy"))</f>
      </c>
      <c r="L1221" s="47">
        <f>IF(A1221="",0,IF(AND(J1221="Yes",E1221&lt;0),-E1221,0))</f>
      </c>
      <c r="M1221" s="47">
        <f>IF(A1221="",0,IF(AND(J1221="Yes",E1221&gt;0),E1221,0))</f>
      </c>
      <c r="N1221">
        <f>IF(A1221="","",IF(D1221="Category Pending","Needs categorization",IF(COUNTIFS($A$2:A1221,A1221,$B$2:B1221,B1221,$E$2:E1221,E1221)&gt;1,"Possible duplicate","")))</f>
      </c>
    </row>
    <row r="1222" spans="3:14" x14ac:dyDescent="0.3">
      <c r="A1222"/>
      <c r="C1222" s="16"/>
      <c r="G1222" s="5">
        <f>IF(A1222="","","Checking")</f>
      </c>
      <c r="H1222">
        <f>IF(A1222="","",IFERROR(XLOOKUP(D1222,Setup!$E$15:$E$79,Setup!$F$15:$F$79),"Miscellaneous"))</f>
      </c>
      <c r="I1222">
        <f>IF(A1222="","",IFERROR(XLOOKUP(D1222,Setup!$E$15:$E$79,Setup!$G$15:$G$79),"Uncategorized"))</f>
      </c>
      <c r="J1222">
        <f>IF(A1222="","",IF(OR(H1222="Transfers",H1222="Income",D1222="Transfer",D1222="Category Pending",F1222="Pending"),"No","Yes"))</f>
      </c>
      <c r="K1222" s="4">
        <f>IF(A1222="","",TEXT(IF(DAY(A1222)&gt;=Setup!$B$9,DATE(YEAR(A1222),MONTH(A1222)+1,1),DATE(YEAR(A1222),MONTH(A1222),1)),"mmmm yyyy"))</f>
      </c>
      <c r="L1222" s="47">
        <f>IF(A1222="",0,IF(AND(J1222="Yes",E1222&lt;0),-E1222,0))</f>
      </c>
      <c r="M1222" s="47">
        <f>IF(A1222="",0,IF(AND(J1222="Yes",E1222&gt;0),E1222,0))</f>
      </c>
      <c r="N1222">
        <f>IF(A1222="","",IF(D1222="Category Pending","Needs categorization",IF(COUNTIFS($A$2:A1222,A1222,$B$2:B1222,B1222,$E$2:E1222,E1222)&gt;1,"Possible duplicate","")))</f>
      </c>
    </row>
    <row r="1223" spans="3:14" x14ac:dyDescent="0.3">
      <c r="A1223"/>
      <c r="C1223" s="16"/>
      <c r="G1223" s="5">
        <f>IF(A1223="","","Checking")</f>
      </c>
      <c r="H1223">
        <f>IF(A1223="","",IFERROR(XLOOKUP(D1223,Setup!$E$15:$E$79,Setup!$F$15:$F$79),"Miscellaneous"))</f>
      </c>
      <c r="I1223">
        <f>IF(A1223="","",IFERROR(XLOOKUP(D1223,Setup!$E$15:$E$79,Setup!$G$15:$G$79),"Uncategorized"))</f>
      </c>
      <c r="J1223">
        <f>IF(A1223="","",IF(OR(H1223="Transfers",H1223="Income",D1223="Transfer",D1223="Category Pending",F1223="Pending"),"No","Yes"))</f>
      </c>
      <c r="K1223" s="4">
        <f>IF(A1223="","",TEXT(IF(DAY(A1223)&gt;=Setup!$B$9,DATE(YEAR(A1223),MONTH(A1223)+1,1),DATE(YEAR(A1223),MONTH(A1223),1)),"mmmm yyyy"))</f>
      </c>
      <c r="L1223" s="47">
        <f>IF(A1223="",0,IF(AND(J1223="Yes",E1223&lt;0),-E1223,0))</f>
      </c>
      <c r="M1223" s="47">
        <f>IF(A1223="",0,IF(AND(J1223="Yes",E1223&gt;0),E1223,0))</f>
      </c>
      <c r="N1223">
        <f>IF(A1223="","",IF(D1223="Category Pending","Needs categorization",IF(COUNTIFS($A$2:A1223,A1223,$B$2:B1223,B1223,$E$2:E1223,E1223)&gt;1,"Possible duplicate","")))</f>
      </c>
    </row>
    <row r="1224" spans="3:14" x14ac:dyDescent="0.3">
      <c r="A1224"/>
      <c r="C1224" s="16"/>
      <c r="G1224" s="5">
        <f>IF(A1224="","","Checking")</f>
      </c>
      <c r="H1224">
        <f>IF(A1224="","",IFERROR(XLOOKUP(D1224,Setup!$E$15:$E$79,Setup!$F$15:$F$79),"Miscellaneous"))</f>
      </c>
      <c r="I1224">
        <f>IF(A1224="","",IFERROR(XLOOKUP(D1224,Setup!$E$15:$E$79,Setup!$G$15:$G$79),"Uncategorized"))</f>
      </c>
      <c r="J1224">
        <f>IF(A1224="","",IF(OR(H1224="Transfers",H1224="Income",D1224="Transfer",D1224="Category Pending",F1224="Pending"),"No","Yes"))</f>
      </c>
      <c r="K1224" s="4">
        <f>IF(A1224="","",TEXT(IF(DAY(A1224)&gt;=Setup!$B$9,DATE(YEAR(A1224),MONTH(A1224)+1,1),DATE(YEAR(A1224),MONTH(A1224),1)),"mmmm yyyy"))</f>
      </c>
      <c r="L1224" s="47">
        <f>IF(A1224="",0,IF(AND(J1224="Yes",E1224&lt;0),-E1224,0))</f>
      </c>
      <c r="M1224" s="47">
        <f>IF(A1224="",0,IF(AND(J1224="Yes",E1224&gt;0),E1224,0))</f>
      </c>
      <c r="N1224">
        <f>IF(A1224="","",IF(D1224="Category Pending","Needs categorization",IF(COUNTIFS($A$2:A1224,A1224,$B$2:B1224,B1224,$E$2:E1224,E1224)&gt;1,"Possible duplicate","")))</f>
      </c>
    </row>
    <row r="1225" spans="3:14" x14ac:dyDescent="0.3">
      <c r="A1225"/>
      <c r="C1225" s="16"/>
      <c r="G1225" s="5">
        <f>IF(A1225="","","Checking")</f>
      </c>
      <c r="H1225">
        <f>IF(A1225="","",IFERROR(XLOOKUP(D1225,Setup!$E$15:$E$79,Setup!$F$15:$F$79),"Miscellaneous"))</f>
      </c>
      <c r="I1225">
        <f>IF(A1225="","",IFERROR(XLOOKUP(D1225,Setup!$E$15:$E$79,Setup!$G$15:$G$79),"Uncategorized"))</f>
      </c>
      <c r="J1225">
        <f>IF(A1225="","",IF(OR(H1225="Transfers",H1225="Income",D1225="Transfer",D1225="Category Pending",F1225="Pending"),"No","Yes"))</f>
      </c>
      <c r="K1225" s="4">
        <f>IF(A1225="","",TEXT(IF(DAY(A1225)&gt;=Setup!$B$9,DATE(YEAR(A1225),MONTH(A1225)+1,1),DATE(YEAR(A1225),MONTH(A1225),1)),"mmmm yyyy"))</f>
      </c>
      <c r="L1225" s="47">
        <f>IF(A1225="",0,IF(AND(J1225="Yes",E1225&lt;0),-E1225,0))</f>
      </c>
      <c r="M1225" s="47">
        <f>IF(A1225="",0,IF(AND(J1225="Yes",E1225&gt;0),E1225,0))</f>
      </c>
      <c r="N1225">
        <f>IF(A1225="","",IF(D1225="Category Pending","Needs categorization",IF(COUNTIFS($A$2:A1225,A1225,$B$2:B1225,B1225,$E$2:E1225,E1225)&gt;1,"Possible duplicate","")))</f>
      </c>
    </row>
    <row r="1226" spans="3:14" x14ac:dyDescent="0.3">
      <c r="A1226"/>
      <c r="C1226" s="16"/>
      <c r="G1226" s="5">
        <f>IF(A1226="","","Checking")</f>
      </c>
      <c r="H1226">
        <f>IF(A1226="","",IFERROR(XLOOKUP(D1226,Setup!$E$15:$E$79,Setup!$F$15:$F$79),"Miscellaneous"))</f>
      </c>
      <c r="I1226">
        <f>IF(A1226="","",IFERROR(XLOOKUP(D1226,Setup!$E$15:$E$79,Setup!$G$15:$G$79),"Uncategorized"))</f>
      </c>
      <c r="J1226">
        <f>IF(A1226="","",IF(OR(H1226="Transfers",H1226="Income",D1226="Transfer",D1226="Category Pending",F1226="Pending"),"No","Yes"))</f>
      </c>
      <c r="K1226" s="4">
        <f>IF(A1226="","",TEXT(IF(DAY(A1226)&gt;=Setup!$B$9,DATE(YEAR(A1226),MONTH(A1226)+1,1),DATE(YEAR(A1226),MONTH(A1226),1)),"mmmm yyyy"))</f>
      </c>
      <c r="L1226" s="47">
        <f>IF(A1226="",0,IF(AND(J1226="Yes",E1226&lt;0),-E1226,0))</f>
      </c>
      <c r="M1226" s="47">
        <f>IF(A1226="",0,IF(AND(J1226="Yes",E1226&gt;0),E1226,0))</f>
      </c>
      <c r="N1226">
        <f>IF(A1226="","",IF(D1226="Category Pending","Needs categorization",IF(COUNTIFS($A$2:A1226,A1226,$B$2:B1226,B1226,$E$2:E1226,E1226)&gt;1,"Possible duplicate","")))</f>
      </c>
    </row>
    <row r="1227" spans="3:14" x14ac:dyDescent="0.3">
      <c r="A1227"/>
      <c r="C1227" s="16"/>
      <c r="G1227" s="5">
        <f>IF(A1227="","","Checking")</f>
      </c>
      <c r="H1227">
        <f>IF(A1227="","",IFERROR(XLOOKUP(D1227,Setup!$E$15:$E$79,Setup!$F$15:$F$79),"Miscellaneous"))</f>
      </c>
      <c r="I1227">
        <f>IF(A1227="","",IFERROR(XLOOKUP(D1227,Setup!$E$15:$E$79,Setup!$G$15:$G$79),"Uncategorized"))</f>
      </c>
      <c r="J1227">
        <f>IF(A1227="","",IF(OR(H1227="Transfers",H1227="Income",D1227="Transfer",D1227="Category Pending",F1227="Pending"),"No","Yes"))</f>
      </c>
      <c r="K1227" s="4">
        <f>IF(A1227="","",TEXT(IF(DAY(A1227)&gt;=Setup!$B$9,DATE(YEAR(A1227),MONTH(A1227)+1,1),DATE(YEAR(A1227),MONTH(A1227),1)),"mmmm yyyy"))</f>
      </c>
      <c r="L1227" s="47">
        <f>IF(A1227="",0,IF(AND(J1227="Yes",E1227&lt;0),-E1227,0))</f>
      </c>
      <c r="M1227" s="47">
        <f>IF(A1227="",0,IF(AND(J1227="Yes",E1227&gt;0),E1227,0))</f>
      </c>
      <c r="N1227">
        <f>IF(A1227="","",IF(D1227="Category Pending","Needs categorization",IF(COUNTIFS($A$2:A1227,A1227,$B$2:B1227,B1227,$E$2:E1227,E1227)&gt;1,"Possible duplicate","")))</f>
      </c>
    </row>
    <row r="1228" spans="3:14" x14ac:dyDescent="0.3">
      <c r="A1228"/>
      <c r="C1228" s="16"/>
      <c r="G1228" s="5">
        <f>IF(A1228="","","Checking")</f>
      </c>
      <c r="H1228">
        <f>IF(A1228="","",IFERROR(XLOOKUP(D1228,Setup!$E$15:$E$79,Setup!$F$15:$F$79),"Miscellaneous"))</f>
      </c>
      <c r="I1228">
        <f>IF(A1228="","",IFERROR(XLOOKUP(D1228,Setup!$E$15:$E$79,Setup!$G$15:$G$79),"Uncategorized"))</f>
      </c>
      <c r="J1228">
        <f>IF(A1228="","",IF(OR(H1228="Transfers",H1228="Income",D1228="Transfer",D1228="Category Pending",F1228="Pending"),"No","Yes"))</f>
      </c>
      <c r="K1228" s="4">
        <f>IF(A1228="","",TEXT(IF(DAY(A1228)&gt;=Setup!$B$9,DATE(YEAR(A1228),MONTH(A1228)+1,1),DATE(YEAR(A1228),MONTH(A1228),1)),"mmmm yyyy"))</f>
      </c>
      <c r="L1228" s="47">
        <f>IF(A1228="",0,IF(AND(J1228="Yes",E1228&lt;0),-E1228,0))</f>
      </c>
      <c r="M1228" s="47">
        <f>IF(A1228="",0,IF(AND(J1228="Yes",E1228&gt;0),E1228,0))</f>
      </c>
      <c r="N1228">
        <f>IF(A1228="","",IF(D1228="Category Pending","Needs categorization",IF(COUNTIFS($A$2:A1228,A1228,$B$2:B1228,B1228,$E$2:E1228,E1228)&gt;1,"Possible duplicate","")))</f>
      </c>
    </row>
    <row r="1229" spans="3:14" x14ac:dyDescent="0.3">
      <c r="A1229"/>
      <c r="C1229" s="16"/>
      <c r="G1229" s="5">
        <f>IF(A1229="","","Checking")</f>
      </c>
      <c r="H1229">
        <f>IF(A1229="","",IFERROR(XLOOKUP(D1229,Setup!$E$15:$E$79,Setup!$F$15:$F$79),"Miscellaneous"))</f>
      </c>
      <c r="I1229">
        <f>IF(A1229="","",IFERROR(XLOOKUP(D1229,Setup!$E$15:$E$79,Setup!$G$15:$G$79),"Uncategorized"))</f>
      </c>
      <c r="J1229">
        <f>IF(A1229="","",IF(OR(H1229="Transfers",H1229="Income",D1229="Transfer",D1229="Category Pending",F1229="Pending"),"No","Yes"))</f>
      </c>
      <c r="K1229" s="4">
        <f>IF(A1229="","",TEXT(IF(DAY(A1229)&gt;=Setup!$B$9,DATE(YEAR(A1229),MONTH(A1229)+1,1),DATE(YEAR(A1229),MONTH(A1229),1)),"mmmm yyyy"))</f>
      </c>
      <c r="L1229" s="47">
        <f>IF(A1229="",0,IF(AND(J1229="Yes",E1229&lt;0),-E1229,0))</f>
      </c>
      <c r="M1229" s="47">
        <f>IF(A1229="",0,IF(AND(J1229="Yes",E1229&gt;0),E1229,0))</f>
      </c>
      <c r="N1229">
        <f>IF(A1229="","",IF(D1229="Category Pending","Needs categorization",IF(COUNTIFS($A$2:A1229,A1229,$B$2:B1229,B1229,$E$2:E1229,E1229)&gt;1,"Possible duplicate","")))</f>
      </c>
    </row>
    <row r="1230" spans="3:14" x14ac:dyDescent="0.3">
      <c r="A1230"/>
      <c r="C1230" s="16"/>
      <c r="G1230" s="5">
        <f>IF(A1230="","","Checking")</f>
      </c>
      <c r="H1230">
        <f>IF(A1230="","",IFERROR(XLOOKUP(D1230,Setup!$E$15:$E$79,Setup!$F$15:$F$79),"Miscellaneous"))</f>
      </c>
      <c r="I1230">
        <f>IF(A1230="","",IFERROR(XLOOKUP(D1230,Setup!$E$15:$E$79,Setup!$G$15:$G$79),"Uncategorized"))</f>
      </c>
      <c r="J1230">
        <f>IF(A1230="","",IF(OR(H1230="Transfers",H1230="Income",D1230="Transfer",D1230="Category Pending",F1230="Pending"),"No","Yes"))</f>
      </c>
      <c r="K1230" s="4">
        <f>IF(A1230="","",TEXT(IF(DAY(A1230)&gt;=Setup!$B$9,DATE(YEAR(A1230),MONTH(A1230)+1,1),DATE(YEAR(A1230),MONTH(A1230),1)),"mmmm yyyy"))</f>
      </c>
      <c r="L1230" s="47">
        <f>IF(A1230="",0,IF(AND(J1230="Yes",E1230&lt;0),-E1230,0))</f>
      </c>
      <c r="M1230" s="47">
        <f>IF(A1230="",0,IF(AND(J1230="Yes",E1230&gt;0),E1230,0))</f>
      </c>
      <c r="N1230">
        <f>IF(A1230="","",IF(D1230="Category Pending","Needs categorization",IF(COUNTIFS($A$2:A1230,A1230,$B$2:B1230,B1230,$E$2:E1230,E1230)&gt;1,"Possible duplicate","")))</f>
      </c>
    </row>
    <row r="1231" spans="3:14" x14ac:dyDescent="0.3">
      <c r="A1231"/>
      <c r="C1231" s="16"/>
      <c r="G1231" s="5">
        <f>IF(A1231="","","Checking")</f>
      </c>
      <c r="H1231">
        <f>IF(A1231="","",IFERROR(XLOOKUP(D1231,Setup!$E$15:$E$79,Setup!$F$15:$F$79),"Miscellaneous"))</f>
      </c>
      <c r="I1231">
        <f>IF(A1231="","",IFERROR(XLOOKUP(D1231,Setup!$E$15:$E$79,Setup!$G$15:$G$79),"Uncategorized"))</f>
      </c>
      <c r="J1231">
        <f>IF(A1231="","",IF(OR(H1231="Transfers",H1231="Income",D1231="Transfer",D1231="Category Pending",F1231="Pending"),"No","Yes"))</f>
      </c>
      <c r="K1231" s="4">
        <f>IF(A1231="","",TEXT(IF(DAY(A1231)&gt;=Setup!$B$9,DATE(YEAR(A1231),MONTH(A1231)+1,1),DATE(YEAR(A1231),MONTH(A1231),1)),"mmmm yyyy"))</f>
      </c>
      <c r="L1231" s="47">
        <f>IF(A1231="",0,IF(AND(J1231="Yes",E1231&lt;0),-E1231,0))</f>
      </c>
      <c r="M1231" s="47">
        <f>IF(A1231="",0,IF(AND(J1231="Yes",E1231&gt;0),E1231,0))</f>
      </c>
      <c r="N1231">
        <f>IF(A1231="","",IF(D1231="Category Pending","Needs categorization",IF(COUNTIFS($A$2:A1231,A1231,$B$2:B1231,B1231,$E$2:E1231,E1231)&gt;1,"Possible duplicate","")))</f>
      </c>
    </row>
    <row r="1232" spans="3:14" x14ac:dyDescent="0.3">
      <c r="A1232"/>
      <c r="C1232" s="16"/>
      <c r="G1232" s="5">
        <f>IF(A1232="","","Checking")</f>
      </c>
      <c r="H1232">
        <f>IF(A1232="","",IFERROR(XLOOKUP(D1232,Setup!$E$15:$E$79,Setup!$F$15:$F$79),"Miscellaneous"))</f>
      </c>
      <c r="I1232">
        <f>IF(A1232="","",IFERROR(XLOOKUP(D1232,Setup!$E$15:$E$79,Setup!$G$15:$G$79),"Uncategorized"))</f>
      </c>
      <c r="J1232">
        <f>IF(A1232="","",IF(OR(H1232="Transfers",H1232="Income",D1232="Transfer",D1232="Category Pending",F1232="Pending"),"No","Yes"))</f>
      </c>
      <c r="K1232" s="4">
        <f>IF(A1232="","",TEXT(IF(DAY(A1232)&gt;=Setup!$B$9,DATE(YEAR(A1232),MONTH(A1232)+1,1),DATE(YEAR(A1232),MONTH(A1232),1)),"mmmm yyyy"))</f>
      </c>
      <c r="L1232" s="47">
        <f>IF(A1232="",0,IF(AND(J1232="Yes",E1232&lt;0),-E1232,0))</f>
      </c>
      <c r="M1232" s="47">
        <f>IF(A1232="",0,IF(AND(J1232="Yes",E1232&gt;0),E1232,0))</f>
      </c>
      <c r="N1232">
        <f>IF(A1232="","",IF(D1232="Category Pending","Needs categorization",IF(COUNTIFS($A$2:A1232,A1232,$B$2:B1232,B1232,$E$2:E1232,E1232)&gt;1,"Possible duplicate","")))</f>
      </c>
    </row>
    <row r="1233" spans="3:14" x14ac:dyDescent="0.3">
      <c r="A1233"/>
      <c r="C1233" s="16"/>
      <c r="G1233" s="5">
        <f>IF(A1233="","","Checking")</f>
      </c>
      <c r="H1233">
        <f>IF(A1233="","",IFERROR(XLOOKUP(D1233,Setup!$E$15:$E$79,Setup!$F$15:$F$79),"Miscellaneous"))</f>
      </c>
      <c r="I1233">
        <f>IF(A1233="","",IFERROR(XLOOKUP(D1233,Setup!$E$15:$E$79,Setup!$G$15:$G$79),"Uncategorized"))</f>
      </c>
      <c r="J1233">
        <f>IF(A1233="","",IF(OR(H1233="Transfers",H1233="Income",D1233="Transfer",D1233="Category Pending",F1233="Pending"),"No","Yes"))</f>
      </c>
      <c r="K1233" s="4">
        <f>IF(A1233="","",TEXT(IF(DAY(A1233)&gt;=Setup!$B$9,DATE(YEAR(A1233),MONTH(A1233)+1,1),DATE(YEAR(A1233),MONTH(A1233),1)),"mmmm yyyy"))</f>
      </c>
      <c r="L1233" s="47">
        <f>IF(A1233="",0,IF(AND(J1233="Yes",E1233&lt;0),-E1233,0))</f>
      </c>
      <c r="M1233" s="47">
        <f>IF(A1233="",0,IF(AND(J1233="Yes",E1233&gt;0),E1233,0))</f>
      </c>
      <c r="N1233">
        <f>IF(A1233="","",IF(D1233="Category Pending","Needs categorization",IF(COUNTIFS($A$2:A1233,A1233,$B$2:B1233,B1233,$E$2:E1233,E1233)&gt;1,"Possible duplicate","")))</f>
      </c>
    </row>
    <row r="1234" spans="3:14" x14ac:dyDescent="0.3">
      <c r="A1234"/>
      <c r="C1234" s="16"/>
      <c r="G1234" s="5">
        <f>IF(A1234="","","Checking")</f>
      </c>
      <c r="H1234">
        <f>IF(A1234="","",IFERROR(XLOOKUP(D1234,Setup!$E$15:$E$79,Setup!$F$15:$F$79),"Miscellaneous"))</f>
      </c>
      <c r="I1234">
        <f>IF(A1234="","",IFERROR(XLOOKUP(D1234,Setup!$E$15:$E$79,Setup!$G$15:$G$79),"Uncategorized"))</f>
      </c>
      <c r="J1234">
        <f>IF(A1234="","",IF(OR(H1234="Transfers",H1234="Income",D1234="Transfer",D1234="Category Pending",F1234="Pending"),"No","Yes"))</f>
      </c>
      <c r="K1234" s="4">
        <f>IF(A1234="","",TEXT(IF(DAY(A1234)&gt;=Setup!$B$9,DATE(YEAR(A1234),MONTH(A1234)+1,1),DATE(YEAR(A1234),MONTH(A1234),1)),"mmmm yyyy"))</f>
      </c>
      <c r="L1234" s="47">
        <f>IF(A1234="",0,IF(AND(J1234="Yes",E1234&lt;0),-E1234,0))</f>
      </c>
      <c r="M1234" s="47">
        <f>IF(A1234="",0,IF(AND(J1234="Yes",E1234&gt;0),E1234,0))</f>
      </c>
      <c r="N1234">
        <f>IF(A1234="","",IF(D1234="Category Pending","Needs categorization",IF(COUNTIFS($A$2:A1234,A1234,$B$2:B1234,B1234,$E$2:E1234,E1234)&gt;1,"Possible duplicate","")))</f>
      </c>
    </row>
    <row r="1235" spans="3:14" x14ac:dyDescent="0.3">
      <c r="A1235"/>
      <c r="C1235" s="16"/>
      <c r="G1235" s="5">
        <f>IF(A1235="","","Checking")</f>
      </c>
      <c r="H1235">
        <f>IF(A1235="","",IFERROR(XLOOKUP(D1235,Setup!$E$15:$E$79,Setup!$F$15:$F$79),"Miscellaneous"))</f>
      </c>
      <c r="I1235">
        <f>IF(A1235="","",IFERROR(XLOOKUP(D1235,Setup!$E$15:$E$79,Setup!$G$15:$G$79),"Uncategorized"))</f>
      </c>
      <c r="J1235">
        <f>IF(A1235="","",IF(OR(H1235="Transfers",H1235="Income",D1235="Transfer",D1235="Category Pending",F1235="Pending"),"No","Yes"))</f>
      </c>
      <c r="K1235" s="4">
        <f>IF(A1235="","",TEXT(IF(DAY(A1235)&gt;=Setup!$B$9,DATE(YEAR(A1235),MONTH(A1235)+1,1),DATE(YEAR(A1235),MONTH(A1235),1)),"mmmm yyyy"))</f>
      </c>
      <c r="L1235" s="47">
        <f>IF(A1235="",0,IF(AND(J1235="Yes",E1235&lt;0),-E1235,0))</f>
      </c>
      <c r="M1235" s="47">
        <f>IF(A1235="",0,IF(AND(J1235="Yes",E1235&gt;0),E1235,0))</f>
      </c>
      <c r="N1235">
        <f>IF(A1235="","",IF(D1235="Category Pending","Needs categorization",IF(COUNTIFS($A$2:A1235,A1235,$B$2:B1235,B1235,$E$2:E1235,E1235)&gt;1,"Possible duplicate","")))</f>
      </c>
    </row>
    <row r="1236" spans="3:14" x14ac:dyDescent="0.3">
      <c r="A1236"/>
      <c r="C1236" s="16"/>
      <c r="G1236" s="5">
        <f>IF(A1236="","","Checking")</f>
      </c>
      <c r="H1236">
        <f>IF(A1236="","",IFERROR(XLOOKUP(D1236,Setup!$E$15:$E$79,Setup!$F$15:$F$79),"Miscellaneous"))</f>
      </c>
      <c r="I1236">
        <f>IF(A1236="","",IFERROR(XLOOKUP(D1236,Setup!$E$15:$E$79,Setup!$G$15:$G$79),"Uncategorized"))</f>
      </c>
      <c r="J1236">
        <f>IF(A1236="","",IF(OR(H1236="Transfers",H1236="Income",D1236="Transfer",D1236="Category Pending",F1236="Pending"),"No","Yes"))</f>
      </c>
      <c r="K1236" s="4">
        <f>IF(A1236="","",TEXT(IF(DAY(A1236)&gt;=Setup!$B$9,DATE(YEAR(A1236),MONTH(A1236)+1,1),DATE(YEAR(A1236),MONTH(A1236),1)),"mmmm yyyy"))</f>
      </c>
      <c r="L1236" s="47">
        <f>IF(A1236="",0,IF(AND(J1236="Yes",E1236&lt;0),-E1236,0))</f>
      </c>
      <c r="M1236" s="47">
        <f>IF(A1236="",0,IF(AND(J1236="Yes",E1236&gt;0),E1236,0))</f>
      </c>
      <c r="N1236">
        <f>IF(A1236="","",IF(D1236="Category Pending","Needs categorization",IF(COUNTIFS($A$2:A1236,A1236,$B$2:B1236,B1236,$E$2:E1236,E1236)&gt;1,"Possible duplicate","")))</f>
      </c>
    </row>
    <row r="1237" spans="3:14" x14ac:dyDescent="0.3">
      <c r="A1237"/>
      <c r="C1237" s="16"/>
      <c r="G1237" s="5">
        <f>IF(A1237="","","Checking")</f>
      </c>
      <c r="H1237">
        <f>IF(A1237="","",IFERROR(XLOOKUP(D1237,Setup!$E$15:$E$79,Setup!$F$15:$F$79),"Miscellaneous"))</f>
      </c>
      <c r="I1237">
        <f>IF(A1237="","",IFERROR(XLOOKUP(D1237,Setup!$E$15:$E$79,Setup!$G$15:$G$79),"Uncategorized"))</f>
      </c>
      <c r="J1237">
        <f>IF(A1237="","",IF(OR(H1237="Transfers",H1237="Income",D1237="Transfer",D1237="Category Pending",F1237="Pending"),"No","Yes"))</f>
      </c>
      <c r="K1237" s="4">
        <f>IF(A1237="","",TEXT(IF(DAY(A1237)&gt;=Setup!$B$9,DATE(YEAR(A1237),MONTH(A1237)+1,1),DATE(YEAR(A1237),MONTH(A1237),1)),"mmmm yyyy"))</f>
      </c>
      <c r="L1237" s="47">
        <f>IF(A1237="",0,IF(AND(J1237="Yes",E1237&lt;0),-E1237,0))</f>
      </c>
      <c r="M1237" s="47">
        <f>IF(A1237="",0,IF(AND(J1237="Yes",E1237&gt;0),E1237,0))</f>
      </c>
      <c r="N1237">
        <f>IF(A1237="","",IF(D1237="Category Pending","Needs categorization",IF(COUNTIFS($A$2:A1237,A1237,$B$2:B1237,B1237,$E$2:E1237,E1237)&gt;1,"Possible duplicate","")))</f>
      </c>
    </row>
    <row r="1238" spans="3:14" x14ac:dyDescent="0.3">
      <c r="A1238"/>
      <c r="C1238" s="16"/>
      <c r="G1238" s="5">
        <f>IF(A1238="","","Checking")</f>
      </c>
      <c r="H1238">
        <f>IF(A1238="","",IFERROR(XLOOKUP(D1238,Setup!$E$15:$E$79,Setup!$F$15:$F$79),"Miscellaneous"))</f>
      </c>
      <c r="I1238">
        <f>IF(A1238="","",IFERROR(XLOOKUP(D1238,Setup!$E$15:$E$79,Setup!$G$15:$G$79),"Uncategorized"))</f>
      </c>
      <c r="J1238">
        <f>IF(A1238="","",IF(OR(H1238="Transfers",H1238="Income",D1238="Transfer",D1238="Category Pending",F1238="Pending"),"No","Yes"))</f>
      </c>
      <c r="K1238" s="4">
        <f>IF(A1238="","",TEXT(IF(DAY(A1238)&gt;=Setup!$B$9,DATE(YEAR(A1238),MONTH(A1238)+1,1),DATE(YEAR(A1238),MONTH(A1238),1)),"mmmm yyyy"))</f>
      </c>
      <c r="L1238" s="47">
        <f>IF(A1238="",0,IF(AND(J1238="Yes",E1238&lt;0),-E1238,0))</f>
      </c>
      <c r="M1238" s="47">
        <f>IF(A1238="",0,IF(AND(J1238="Yes",E1238&gt;0),E1238,0))</f>
      </c>
      <c r="N1238">
        <f>IF(A1238="","",IF(D1238="Category Pending","Needs categorization",IF(COUNTIFS($A$2:A1238,A1238,$B$2:B1238,B1238,$E$2:E1238,E1238)&gt;1,"Possible duplicate","")))</f>
      </c>
    </row>
    <row r="1239" spans="3:14" x14ac:dyDescent="0.3">
      <c r="A1239"/>
      <c r="C1239" s="16"/>
      <c r="G1239" s="5">
        <f>IF(A1239="","","Checking")</f>
      </c>
      <c r="H1239">
        <f>IF(A1239="","",IFERROR(XLOOKUP(D1239,Setup!$E$15:$E$79,Setup!$F$15:$F$79),"Miscellaneous"))</f>
      </c>
      <c r="I1239">
        <f>IF(A1239="","",IFERROR(XLOOKUP(D1239,Setup!$E$15:$E$79,Setup!$G$15:$G$79),"Uncategorized"))</f>
      </c>
      <c r="J1239">
        <f>IF(A1239="","",IF(OR(H1239="Transfers",H1239="Income",D1239="Transfer",D1239="Category Pending",F1239="Pending"),"No","Yes"))</f>
      </c>
      <c r="K1239" s="4">
        <f>IF(A1239="","",TEXT(IF(DAY(A1239)&gt;=Setup!$B$9,DATE(YEAR(A1239),MONTH(A1239)+1,1),DATE(YEAR(A1239),MONTH(A1239),1)),"mmmm yyyy"))</f>
      </c>
      <c r="L1239" s="47">
        <f>IF(A1239="",0,IF(AND(J1239="Yes",E1239&lt;0),-E1239,0))</f>
      </c>
      <c r="M1239" s="47">
        <f>IF(A1239="",0,IF(AND(J1239="Yes",E1239&gt;0),E1239,0))</f>
      </c>
      <c r="N1239">
        <f>IF(A1239="","",IF(D1239="Category Pending","Needs categorization",IF(COUNTIFS($A$2:A1239,A1239,$B$2:B1239,B1239,$E$2:E1239,E1239)&gt;1,"Possible duplicate","")))</f>
      </c>
    </row>
    <row r="1240" spans="3:14" x14ac:dyDescent="0.3">
      <c r="A1240"/>
      <c r="C1240" s="16"/>
      <c r="G1240" s="5">
        <f>IF(A1240="","","Checking")</f>
      </c>
      <c r="H1240">
        <f>IF(A1240="","",IFERROR(XLOOKUP(D1240,Setup!$E$15:$E$79,Setup!$F$15:$F$79),"Miscellaneous"))</f>
      </c>
      <c r="I1240">
        <f>IF(A1240="","",IFERROR(XLOOKUP(D1240,Setup!$E$15:$E$79,Setup!$G$15:$G$79),"Uncategorized"))</f>
      </c>
      <c r="J1240">
        <f>IF(A1240="","",IF(OR(H1240="Transfers",H1240="Income",D1240="Transfer",D1240="Category Pending",F1240="Pending"),"No","Yes"))</f>
      </c>
      <c r="K1240" s="4">
        <f>IF(A1240="","",TEXT(IF(DAY(A1240)&gt;=Setup!$B$9,DATE(YEAR(A1240),MONTH(A1240)+1,1),DATE(YEAR(A1240),MONTH(A1240),1)),"mmmm yyyy"))</f>
      </c>
      <c r="L1240" s="47">
        <f>IF(A1240="",0,IF(AND(J1240="Yes",E1240&lt;0),-E1240,0))</f>
      </c>
      <c r="M1240" s="47">
        <f>IF(A1240="",0,IF(AND(J1240="Yes",E1240&gt;0),E1240,0))</f>
      </c>
      <c r="N1240">
        <f>IF(A1240="","",IF(D1240="Category Pending","Needs categorization",IF(COUNTIFS($A$2:A1240,A1240,$B$2:B1240,B1240,$E$2:E1240,E1240)&gt;1,"Possible duplicate","")))</f>
      </c>
    </row>
    <row r="1241" spans="3:14" x14ac:dyDescent="0.3">
      <c r="A1241"/>
      <c r="C1241" s="16"/>
      <c r="G1241" s="5">
        <f>IF(A1241="","","Checking")</f>
      </c>
      <c r="H1241">
        <f>IF(A1241="","",IFERROR(XLOOKUP(D1241,Setup!$E$15:$E$79,Setup!$F$15:$F$79),"Miscellaneous"))</f>
      </c>
      <c r="I1241">
        <f>IF(A1241="","",IFERROR(XLOOKUP(D1241,Setup!$E$15:$E$79,Setup!$G$15:$G$79),"Uncategorized"))</f>
      </c>
      <c r="J1241">
        <f>IF(A1241="","",IF(OR(H1241="Transfers",H1241="Income",D1241="Transfer",D1241="Category Pending",F1241="Pending"),"No","Yes"))</f>
      </c>
      <c r="K1241" s="4">
        <f>IF(A1241="","",TEXT(IF(DAY(A1241)&gt;=Setup!$B$9,DATE(YEAR(A1241),MONTH(A1241)+1,1),DATE(YEAR(A1241),MONTH(A1241),1)),"mmmm yyyy"))</f>
      </c>
      <c r="L1241" s="47">
        <f>IF(A1241="",0,IF(AND(J1241="Yes",E1241&lt;0),-E1241,0))</f>
      </c>
      <c r="M1241" s="47">
        <f>IF(A1241="",0,IF(AND(J1241="Yes",E1241&gt;0),E1241,0))</f>
      </c>
      <c r="N1241">
        <f>IF(A1241="","",IF(D1241="Category Pending","Needs categorization",IF(COUNTIFS($A$2:A1241,A1241,$B$2:B1241,B1241,$E$2:E1241,E1241)&gt;1,"Possible duplicate","")))</f>
      </c>
    </row>
    <row r="1242" spans="3:14" x14ac:dyDescent="0.3">
      <c r="A1242"/>
      <c r="C1242" s="16"/>
      <c r="G1242" s="5">
        <f>IF(A1242="","","Checking")</f>
      </c>
      <c r="H1242">
        <f>IF(A1242="","",IFERROR(XLOOKUP(D1242,Setup!$E$15:$E$79,Setup!$F$15:$F$79),"Miscellaneous"))</f>
      </c>
      <c r="I1242">
        <f>IF(A1242="","",IFERROR(XLOOKUP(D1242,Setup!$E$15:$E$79,Setup!$G$15:$G$79),"Uncategorized"))</f>
      </c>
      <c r="J1242">
        <f>IF(A1242="","",IF(OR(H1242="Transfers",H1242="Income",D1242="Transfer",D1242="Category Pending",F1242="Pending"),"No","Yes"))</f>
      </c>
      <c r="K1242" s="4">
        <f>IF(A1242="","",TEXT(IF(DAY(A1242)&gt;=Setup!$B$9,DATE(YEAR(A1242),MONTH(A1242)+1,1),DATE(YEAR(A1242),MONTH(A1242),1)),"mmmm yyyy"))</f>
      </c>
      <c r="L1242" s="47">
        <f>IF(A1242="",0,IF(AND(J1242="Yes",E1242&lt;0),-E1242,0))</f>
      </c>
      <c r="M1242" s="47">
        <f>IF(A1242="",0,IF(AND(J1242="Yes",E1242&gt;0),E1242,0))</f>
      </c>
      <c r="N1242">
        <f>IF(A1242="","",IF(D1242="Category Pending","Needs categorization",IF(COUNTIFS($A$2:A1242,A1242,$B$2:B1242,B1242,$E$2:E1242,E1242)&gt;1,"Possible duplicate","")))</f>
      </c>
    </row>
    <row r="1243" spans="3:14" x14ac:dyDescent="0.3">
      <c r="A1243"/>
      <c r="C1243" s="16"/>
      <c r="G1243" s="5">
        <f>IF(A1243="","","Checking")</f>
      </c>
      <c r="H1243">
        <f>IF(A1243="","",IFERROR(XLOOKUP(D1243,Setup!$E$15:$E$79,Setup!$F$15:$F$79),"Miscellaneous"))</f>
      </c>
      <c r="I1243">
        <f>IF(A1243="","",IFERROR(XLOOKUP(D1243,Setup!$E$15:$E$79,Setup!$G$15:$G$79),"Uncategorized"))</f>
      </c>
      <c r="J1243">
        <f>IF(A1243="","",IF(OR(H1243="Transfers",H1243="Income",D1243="Transfer",D1243="Category Pending",F1243="Pending"),"No","Yes"))</f>
      </c>
      <c r="K1243" s="4">
        <f>IF(A1243="","",TEXT(IF(DAY(A1243)&gt;=Setup!$B$9,DATE(YEAR(A1243),MONTH(A1243)+1,1),DATE(YEAR(A1243),MONTH(A1243),1)),"mmmm yyyy"))</f>
      </c>
      <c r="L1243" s="47">
        <f>IF(A1243="",0,IF(AND(J1243="Yes",E1243&lt;0),-E1243,0))</f>
      </c>
      <c r="M1243" s="47">
        <f>IF(A1243="",0,IF(AND(J1243="Yes",E1243&gt;0),E1243,0))</f>
      </c>
      <c r="N1243">
        <f>IF(A1243="","",IF(D1243="Category Pending","Needs categorization",IF(COUNTIFS($A$2:A1243,A1243,$B$2:B1243,B1243,$E$2:E1243,E1243)&gt;1,"Possible duplicate","")))</f>
      </c>
    </row>
    <row r="1244" spans="3:14" x14ac:dyDescent="0.3">
      <c r="A1244"/>
      <c r="C1244" s="16"/>
      <c r="G1244" s="5">
        <f>IF(A1244="","","Checking")</f>
      </c>
      <c r="H1244">
        <f>IF(A1244="","",IFERROR(XLOOKUP(D1244,Setup!$E$15:$E$79,Setup!$F$15:$F$79),"Miscellaneous"))</f>
      </c>
      <c r="I1244">
        <f>IF(A1244="","",IFERROR(XLOOKUP(D1244,Setup!$E$15:$E$79,Setup!$G$15:$G$79),"Uncategorized"))</f>
      </c>
      <c r="J1244">
        <f>IF(A1244="","",IF(OR(H1244="Transfers",H1244="Income",D1244="Transfer",D1244="Category Pending",F1244="Pending"),"No","Yes"))</f>
      </c>
      <c r="K1244" s="4">
        <f>IF(A1244="","",TEXT(IF(DAY(A1244)&gt;=Setup!$B$9,DATE(YEAR(A1244),MONTH(A1244)+1,1),DATE(YEAR(A1244),MONTH(A1244),1)),"mmmm yyyy"))</f>
      </c>
      <c r="L1244" s="47">
        <f>IF(A1244="",0,IF(AND(J1244="Yes",E1244&lt;0),-E1244,0))</f>
      </c>
      <c r="M1244" s="47">
        <f>IF(A1244="",0,IF(AND(J1244="Yes",E1244&gt;0),E1244,0))</f>
      </c>
      <c r="N1244">
        <f>IF(A1244="","",IF(D1244="Category Pending","Needs categorization",IF(COUNTIFS($A$2:A1244,A1244,$B$2:B1244,B1244,$E$2:E1244,E1244)&gt;1,"Possible duplicate","")))</f>
      </c>
    </row>
    <row r="1245" spans="3:14" x14ac:dyDescent="0.3">
      <c r="A1245"/>
      <c r="C1245" s="16"/>
      <c r="G1245" s="5">
        <f>IF(A1245="","","Checking")</f>
      </c>
      <c r="H1245">
        <f>IF(A1245="","",IFERROR(XLOOKUP(D1245,Setup!$E$15:$E$79,Setup!$F$15:$F$79),"Miscellaneous"))</f>
      </c>
      <c r="I1245">
        <f>IF(A1245="","",IFERROR(XLOOKUP(D1245,Setup!$E$15:$E$79,Setup!$G$15:$G$79),"Uncategorized"))</f>
      </c>
      <c r="J1245">
        <f>IF(A1245="","",IF(OR(H1245="Transfers",H1245="Income",D1245="Transfer",D1245="Category Pending",F1245="Pending"),"No","Yes"))</f>
      </c>
      <c r="K1245" s="4">
        <f>IF(A1245="","",TEXT(IF(DAY(A1245)&gt;=Setup!$B$9,DATE(YEAR(A1245),MONTH(A1245)+1,1),DATE(YEAR(A1245),MONTH(A1245),1)),"mmmm yyyy"))</f>
      </c>
      <c r="L1245" s="47">
        <f>IF(A1245="",0,IF(AND(J1245="Yes",E1245&lt;0),-E1245,0))</f>
      </c>
      <c r="M1245" s="47">
        <f>IF(A1245="",0,IF(AND(J1245="Yes",E1245&gt;0),E1245,0))</f>
      </c>
      <c r="N1245">
        <f>IF(A1245="","",IF(D1245="Category Pending","Needs categorization",IF(COUNTIFS($A$2:A1245,A1245,$B$2:B1245,B1245,$E$2:E1245,E1245)&gt;1,"Possible duplicate","")))</f>
      </c>
    </row>
    <row r="1246" spans="3:14" x14ac:dyDescent="0.3">
      <c r="A1246"/>
      <c r="C1246" s="16"/>
      <c r="G1246" s="5">
        <f>IF(A1246="","","Checking")</f>
      </c>
      <c r="H1246">
        <f>IF(A1246="","",IFERROR(XLOOKUP(D1246,Setup!$E$15:$E$79,Setup!$F$15:$F$79),"Miscellaneous"))</f>
      </c>
      <c r="I1246">
        <f>IF(A1246="","",IFERROR(XLOOKUP(D1246,Setup!$E$15:$E$79,Setup!$G$15:$G$79),"Uncategorized"))</f>
      </c>
      <c r="J1246">
        <f>IF(A1246="","",IF(OR(H1246="Transfers",H1246="Income",D1246="Transfer",D1246="Category Pending",F1246="Pending"),"No","Yes"))</f>
      </c>
      <c r="K1246" s="4">
        <f>IF(A1246="","",TEXT(IF(DAY(A1246)&gt;=Setup!$B$9,DATE(YEAR(A1246),MONTH(A1246)+1,1),DATE(YEAR(A1246),MONTH(A1246),1)),"mmmm yyyy"))</f>
      </c>
      <c r="L1246" s="47">
        <f>IF(A1246="",0,IF(AND(J1246="Yes",E1246&lt;0),-E1246,0))</f>
      </c>
      <c r="M1246" s="47">
        <f>IF(A1246="",0,IF(AND(J1246="Yes",E1246&gt;0),E1246,0))</f>
      </c>
      <c r="N1246">
        <f>IF(A1246="","",IF(D1246="Category Pending","Needs categorization",IF(COUNTIFS($A$2:A1246,A1246,$B$2:B1246,B1246,$E$2:E1246,E1246)&gt;1,"Possible duplicate","")))</f>
      </c>
    </row>
    <row r="1247" spans="3:14" x14ac:dyDescent="0.3">
      <c r="A1247"/>
      <c r="C1247" s="16"/>
      <c r="G1247" s="5">
        <f>IF(A1247="","","Checking")</f>
      </c>
      <c r="H1247">
        <f>IF(A1247="","",IFERROR(XLOOKUP(D1247,Setup!$E$15:$E$79,Setup!$F$15:$F$79),"Miscellaneous"))</f>
      </c>
      <c r="I1247">
        <f>IF(A1247="","",IFERROR(XLOOKUP(D1247,Setup!$E$15:$E$79,Setup!$G$15:$G$79),"Uncategorized"))</f>
      </c>
      <c r="J1247">
        <f>IF(A1247="","",IF(OR(H1247="Transfers",H1247="Income",D1247="Transfer",D1247="Category Pending",F1247="Pending"),"No","Yes"))</f>
      </c>
      <c r="K1247" s="4">
        <f>IF(A1247="","",TEXT(IF(DAY(A1247)&gt;=Setup!$B$9,DATE(YEAR(A1247),MONTH(A1247)+1,1),DATE(YEAR(A1247),MONTH(A1247),1)),"mmmm yyyy"))</f>
      </c>
      <c r="L1247" s="47">
        <f>IF(A1247="",0,IF(AND(J1247="Yes",E1247&lt;0),-E1247,0))</f>
      </c>
      <c r="M1247" s="47">
        <f>IF(A1247="",0,IF(AND(J1247="Yes",E1247&gt;0),E1247,0))</f>
      </c>
      <c r="N1247">
        <f>IF(A1247="","",IF(D1247="Category Pending","Needs categorization",IF(COUNTIFS($A$2:A1247,A1247,$B$2:B1247,B1247,$E$2:E1247,E1247)&gt;1,"Possible duplicate","")))</f>
      </c>
    </row>
    <row r="1248" spans="3:14" x14ac:dyDescent="0.3">
      <c r="A1248"/>
      <c r="C1248" s="16"/>
      <c r="G1248" s="5">
        <f>IF(A1248="","","Checking")</f>
      </c>
      <c r="H1248">
        <f>IF(A1248="","",IFERROR(XLOOKUP(D1248,Setup!$E$15:$E$79,Setup!$F$15:$F$79),"Miscellaneous"))</f>
      </c>
      <c r="I1248">
        <f>IF(A1248="","",IFERROR(XLOOKUP(D1248,Setup!$E$15:$E$79,Setup!$G$15:$G$79),"Uncategorized"))</f>
      </c>
      <c r="J1248">
        <f>IF(A1248="","",IF(OR(H1248="Transfers",H1248="Income",D1248="Transfer",D1248="Category Pending",F1248="Pending"),"No","Yes"))</f>
      </c>
      <c r="K1248" s="4">
        <f>IF(A1248="","",TEXT(IF(DAY(A1248)&gt;=Setup!$B$9,DATE(YEAR(A1248),MONTH(A1248)+1,1),DATE(YEAR(A1248),MONTH(A1248),1)),"mmmm yyyy"))</f>
      </c>
      <c r="L1248" s="47">
        <f>IF(A1248="",0,IF(AND(J1248="Yes",E1248&lt;0),-E1248,0))</f>
      </c>
      <c r="M1248" s="47">
        <f>IF(A1248="",0,IF(AND(J1248="Yes",E1248&gt;0),E1248,0))</f>
      </c>
      <c r="N1248">
        <f>IF(A1248="","",IF(D1248="Category Pending","Needs categorization",IF(COUNTIFS($A$2:A1248,A1248,$B$2:B1248,B1248,$E$2:E1248,E1248)&gt;1,"Possible duplicate","")))</f>
      </c>
    </row>
    <row r="1249" spans="3:14" x14ac:dyDescent="0.3">
      <c r="A1249"/>
      <c r="C1249" s="16"/>
      <c r="G1249" s="5">
        <f>IF(A1249="","","Checking")</f>
      </c>
      <c r="H1249">
        <f>IF(A1249="","",IFERROR(XLOOKUP(D1249,Setup!$E$15:$E$79,Setup!$F$15:$F$79),"Miscellaneous"))</f>
      </c>
      <c r="I1249">
        <f>IF(A1249="","",IFERROR(XLOOKUP(D1249,Setup!$E$15:$E$79,Setup!$G$15:$G$79),"Uncategorized"))</f>
      </c>
      <c r="J1249">
        <f>IF(A1249="","",IF(OR(H1249="Transfers",H1249="Income",D1249="Transfer",D1249="Category Pending",F1249="Pending"),"No","Yes"))</f>
      </c>
      <c r="K1249" s="4">
        <f>IF(A1249="","",TEXT(IF(DAY(A1249)&gt;=Setup!$B$9,DATE(YEAR(A1249),MONTH(A1249)+1,1),DATE(YEAR(A1249),MONTH(A1249),1)),"mmmm yyyy"))</f>
      </c>
      <c r="L1249" s="47">
        <f>IF(A1249="",0,IF(AND(J1249="Yes",E1249&lt;0),-E1249,0))</f>
      </c>
      <c r="M1249" s="47">
        <f>IF(A1249="",0,IF(AND(J1249="Yes",E1249&gt;0),E1249,0))</f>
      </c>
      <c r="N1249">
        <f>IF(A1249="","",IF(D1249="Category Pending","Needs categorization",IF(COUNTIFS($A$2:A1249,A1249,$B$2:B1249,B1249,$E$2:E1249,E1249)&gt;1,"Possible duplicate","")))</f>
      </c>
    </row>
    <row r="1250" spans="3:14" x14ac:dyDescent="0.3">
      <c r="A1250"/>
      <c r="C1250" s="16"/>
      <c r="G1250" s="5">
        <f>IF(A1250="","","Checking")</f>
      </c>
      <c r="H1250">
        <f>IF(A1250="","",IFERROR(XLOOKUP(D1250,Setup!$E$15:$E$79,Setup!$F$15:$F$79),"Miscellaneous"))</f>
      </c>
      <c r="I1250">
        <f>IF(A1250="","",IFERROR(XLOOKUP(D1250,Setup!$E$15:$E$79,Setup!$G$15:$G$79),"Uncategorized"))</f>
      </c>
      <c r="J1250">
        <f>IF(A1250="","",IF(OR(H1250="Transfers",H1250="Income",D1250="Transfer",D1250="Category Pending",F1250="Pending"),"No","Yes"))</f>
      </c>
      <c r="K1250" s="4">
        <f>IF(A1250="","",TEXT(IF(DAY(A1250)&gt;=Setup!$B$9,DATE(YEAR(A1250),MONTH(A1250)+1,1),DATE(YEAR(A1250),MONTH(A1250),1)),"mmmm yyyy"))</f>
      </c>
      <c r="L1250" s="47">
        <f>IF(A1250="",0,IF(AND(J1250="Yes",E1250&lt;0),-E1250,0))</f>
      </c>
      <c r="M1250" s="47">
        <f>IF(A1250="",0,IF(AND(J1250="Yes",E1250&gt;0),E1250,0))</f>
      </c>
      <c r="N1250">
        <f>IF(A1250="","",IF(D1250="Category Pending","Needs categorization",IF(COUNTIFS($A$2:A1250,A1250,$B$2:B1250,B1250,$E$2:E1250,E1250)&gt;1,"Possible duplicate","")))</f>
      </c>
    </row>
    <row r="1251" spans="3:14" x14ac:dyDescent="0.3">
      <c r="A1251"/>
      <c r="C1251" s="16"/>
      <c r="G1251" s="5">
        <f>IF(A1251="","","Checking")</f>
      </c>
      <c r="H1251">
        <f>IF(A1251="","",IFERROR(XLOOKUP(D1251,Setup!$E$15:$E$79,Setup!$F$15:$F$79),"Miscellaneous"))</f>
      </c>
      <c r="I1251">
        <f>IF(A1251="","",IFERROR(XLOOKUP(D1251,Setup!$E$15:$E$79,Setup!$G$15:$G$79),"Uncategorized"))</f>
      </c>
      <c r="J1251">
        <f>IF(A1251="","",IF(OR(H1251="Transfers",H1251="Income",D1251="Transfer",D1251="Category Pending",F1251="Pending"),"No","Yes"))</f>
      </c>
      <c r="K1251" s="4">
        <f>IF(A1251="","",TEXT(IF(DAY(A1251)&gt;=Setup!$B$9,DATE(YEAR(A1251),MONTH(A1251)+1,1),DATE(YEAR(A1251),MONTH(A1251),1)),"mmmm yyyy"))</f>
      </c>
      <c r="L1251" s="47">
        <f>IF(A1251="",0,IF(AND(J1251="Yes",E1251&lt;0),-E1251,0))</f>
      </c>
      <c r="M1251" s="47">
        <f>IF(A1251="",0,IF(AND(J1251="Yes",E1251&gt;0),E1251,0))</f>
      </c>
      <c r="N1251">
        <f>IF(A1251="","",IF(D1251="Category Pending","Needs categorization",IF(COUNTIFS($A$2:A1251,A1251,$B$2:B1251,B1251,$E$2:E1251,E1251)&gt;1,"Possible duplicate","")))</f>
      </c>
    </row>
    <row r="1252" spans="3:14" x14ac:dyDescent="0.3">
      <c r="A1252"/>
      <c r="C1252" s="16"/>
      <c r="G1252" s="5">
        <f>IF(A1252="","","Checking")</f>
      </c>
      <c r="H1252">
        <f>IF(A1252="","",IFERROR(XLOOKUP(D1252,Setup!$E$15:$E$79,Setup!$F$15:$F$79),"Miscellaneous"))</f>
      </c>
      <c r="I1252">
        <f>IF(A1252="","",IFERROR(XLOOKUP(D1252,Setup!$E$15:$E$79,Setup!$G$15:$G$79),"Uncategorized"))</f>
      </c>
      <c r="J1252">
        <f>IF(A1252="","",IF(OR(H1252="Transfers",H1252="Income",D1252="Transfer",D1252="Category Pending",F1252="Pending"),"No","Yes"))</f>
      </c>
      <c r="K1252" s="4">
        <f>IF(A1252="","",TEXT(IF(DAY(A1252)&gt;=Setup!$B$9,DATE(YEAR(A1252),MONTH(A1252)+1,1),DATE(YEAR(A1252),MONTH(A1252),1)),"mmmm yyyy"))</f>
      </c>
      <c r="L1252" s="47">
        <f>IF(A1252="",0,IF(AND(J1252="Yes",E1252&lt;0),-E1252,0))</f>
      </c>
      <c r="M1252" s="47">
        <f>IF(A1252="",0,IF(AND(J1252="Yes",E1252&gt;0),E1252,0))</f>
      </c>
      <c r="N1252">
        <f>IF(A1252="","",IF(D1252="Category Pending","Needs categorization",IF(COUNTIFS($A$2:A1252,A1252,$B$2:B1252,B1252,$E$2:E1252,E1252)&gt;1,"Possible duplicate","")))</f>
      </c>
    </row>
    <row r="1253" spans="3:14" x14ac:dyDescent="0.3">
      <c r="A1253"/>
      <c r="C1253" s="16"/>
      <c r="G1253" s="5">
        <f>IF(A1253="","","Checking")</f>
      </c>
      <c r="H1253">
        <f>IF(A1253="","",IFERROR(XLOOKUP(D1253,Setup!$E$15:$E$79,Setup!$F$15:$F$79),"Miscellaneous"))</f>
      </c>
      <c r="I1253">
        <f>IF(A1253="","",IFERROR(XLOOKUP(D1253,Setup!$E$15:$E$79,Setup!$G$15:$G$79),"Uncategorized"))</f>
      </c>
      <c r="J1253">
        <f>IF(A1253="","",IF(OR(H1253="Transfers",H1253="Income",D1253="Transfer",D1253="Category Pending",F1253="Pending"),"No","Yes"))</f>
      </c>
      <c r="K1253" s="4">
        <f>IF(A1253="","",TEXT(IF(DAY(A1253)&gt;=Setup!$B$9,DATE(YEAR(A1253),MONTH(A1253)+1,1),DATE(YEAR(A1253),MONTH(A1253),1)),"mmmm yyyy"))</f>
      </c>
      <c r="L1253" s="47">
        <f>IF(A1253="",0,IF(AND(J1253="Yes",E1253&lt;0),-E1253,0))</f>
      </c>
      <c r="M1253" s="47">
        <f>IF(A1253="",0,IF(AND(J1253="Yes",E1253&gt;0),E1253,0))</f>
      </c>
      <c r="N1253">
        <f>IF(A1253="","",IF(D1253="Category Pending","Needs categorization",IF(COUNTIFS($A$2:A1253,A1253,$B$2:B1253,B1253,$E$2:E1253,E1253)&gt;1,"Possible duplicate","")))</f>
      </c>
    </row>
    <row r="1254" spans="3:14" x14ac:dyDescent="0.3">
      <c r="A1254"/>
      <c r="C1254" s="16"/>
      <c r="G1254" s="5">
        <f>IF(A1254="","","Checking")</f>
      </c>
      <c r="H1254">
        <f>IF(A1254="","",IFERROR(XLOOKUP(D1254,Setup!$E$15:$E$79,Setup!$F$15:$F$79),"Miscellaneous"))</f>
      </c>
      <c r="I1254">
        <f>IF(A1254="","",IFERROR(XLOOKUP(D1254,Setup!$E$15:$E$79,Setup!$G$15:$G$79),"Uncategorized"))</f>
      </c>
      <c r="J1254">
        <f>IF(A1254="","",IF(OR(H1254="Transfers",H1254="Income",D1254="Transfer",D1254="Category Pending",F1254="Pending"),"No","Yes"))</f>
      </c>
      <c r="K1254" s="4">
        <f>IF(A1254="","",TEXT(IF(DAY(A1254)&gt;=Setup!$B$9,DATE(YEAR(A1254),MONTH(A1254)+1,1),DATE(YEAR(A1254),MONTH(A1254),1)),"mmmm yyyy"))</f>
      </c>
      <c r="L1254" s="47">
        <f>IF(A1254="",0,IF(AND(J1254="Yes",E1254&lt;0),-E1254,0))</f>
      </c>
      <c r="M1254" s="47">
        <f>IF(A1254="",0,IF(AND(J1254="Yes",E1254&gt;0),E1254,0))</f>
      </c>
      <c r="N1254">
        <f>IF(A1254="","",IF(D1254="Category Pending","Needs categorization",IF(COUNTIFS($A$2:A1254,A1254,$B$2:B1254,B1254,$E$2:E1254,E1254)&gt;1,"Possible duplicate","")))</f>
      </c>
    </row>
    <row r="1255" spans="3:14" x14ac:dyDescent="0.3">
      <c r="A1255"/>
      <c r="C1255" s="16"/>
      <c r="G1255" s="5">
        <f>IF(A1255="","","Checking")</f>
      </c>
      <c r="H1255">
        <f>IF(A1255="","",IFERROR(XLOOKUP(D1255,Setup!$E$15:$E$79,Setup!$F$15:$F$79),"Miscellaneous"))</f>
      </c>
      <c r="I1255">
        <f>IF(A1255="","",IFERROR(XLOOKUP(D1255,Setup!$E$15:$E$79,Setup!$G$15:$G$79),"Uncategorized"))</f>
      </c>
      <c r="J1255">
        <f>IF(A1255="","",IF(OR(H1255="Transfers",H1255="Income",D1255="Transfer",D1255="Category Pending",F1255="Pending"),"No","Yes"))</f>
      </c>
      <c r="K1255" s="4">
        <f>IF(A1255="","",TEXT(IF(DAY(A1255)&gt;=Setup!$B$9,DATE(YEAR(A1255),MONTH(A1255)+1,1),DATE(YEAR(A1255),MONTH(A1255),1)),"mmmm yyyy"))</f>
      </c>
      <c r="L1255" s="47">
        <f>IF(A1255="",0,IF(AND(J1255="Yes",E1255&lt;0),-E1255,0))</f>
      </c>
      <c r="M1255" s="47">
        <f>IF(A1255="",0,IF(AND(J1255="Yes",E1255&gt;0),E1255,0))</f>
      </c>
      <c r="N1255">
        <f>IF(A1255="","",IF(D1255="Category Pending","Needs categorization",IF(COUNTIFS($A$2:A1255,A1255,$B$2:B1255,B1255,$E$2:E1255,E1255)&gt;1,"Possible duplicate","")))</f>
      </c>
    </row>
    <row r="1256" spans="3:14" x14ac:dyDescent="0.3">
      <c r="A1256"/>
      <c r="C1256" s="16"/>
      <c r="G1256" s="5">
        <f>IF(A1256="","","Checking")</f>
      </c>
      <c r="H1256">
        <f>IF(A1256="","",IFERROR(XLOOKUP(D1256,Setup!$E$15:$E$79,Setup!$F$15:$F$79),"Miscellaneous"))</f>
      </c>
      <c r="I1256">
        <f>IF(A1256="","",IFERROR(XLOOKUP(D1256,Setup!$E$15:$E$79,Setup!$G$15:$G$79),"Uncategorized"))</f>
      </c>
      <c r="J1256">
        <f>IF(A1256="","",IF(OR(H1256="Transfers",H1256="Income",D1256="Transfer",D1256="Category Pending",F1256="Pending"),"No","Yes"))</f>
      </c>
      <c r="K1256" s="4">
        <f>IF(A1256="","",TEXT(IF(DAY(A1256)&gt;=Setup!$B$9,DATE(YEAR(A1256),MONTH(A1256)+1,1),DATE(YEAR(A1256),MONTH(A1256),1)),"mmmm yyyy"))</f>
      </c>
      <c r="L1256" s="47">
        <f>IF(A1256="",0,IF(AND(J1256="Yes",E1256&lt;0),-E1256,0))</f>
      </c>
      <c r="M1256" s="47">
        <f>IF(A1256="",0,IF(AND(J1256="Yes",E1256&gt;0),E1256,0))</f>
      </c>
      <c r="N1256">
        <f>IF(A1256="","",IF(D1256="Category Pending","Needs categorization",IF(COUNTIFS($A$2:A1256,A1256,$B$2:B1256,B1256,$E$2:E1256,E1256)&gt;1,"Possible duplicate","")))</f>
      </c>
    </row>
    <row r="1257" spans="3:14" x14ac:dyDescent="0.3">
      <c r="A1257"/>
      <c r="C1257" s="16"/>
      <c r="G1257" s="5">
        <f>IF(A1257="","","Checking")</f>
      </c>
      <c r="H1257">
        <f>IF(A1257="","",IFERROR(XLOOKUP(D1257,Setup!$E$15:$E$79,Setup!$F$15:$F$79),"Miscellaneous"))</f>
      </c>
      <c r="I1257">
        <f>IF(A1257="","",IFERROR(XLOOKUP(D1257,Setup!$E$15:$E$79,Setup!$G$15:$G$79),"Uncategorized"))</f>
      </c>
      <c r="J1257">
        <f>IF(A1257="","",IF(OR(H1257="Transfers",H1257="Income",D1257="Transfer",D1257="Category Pending",F1257="Pending"),"No","Yes"))</f>
      </c>
      <c r="K1257" s="4">
        <f>IF(A1257="","",TEXT(IF(DAY(A1257)&gt;=Setup!$B$9,DATE(YEAR(A1257),MONTH(A1257)+1,1),DATE(YEAR(A1257),MONTH(A1257),1)),"mmmm yyyy"))</f>
      </c>
      <c r="L1257" s="47">
        <f>IF(A1257="",0,IF(AND(J1257="Yes",E1257&lt;0),-E1257,0))</f>
      </c>
      <c r="M1257" s="47">
        <f>IF(A1257="",0,IF(AND(J1257="Yes",E1257&gt;0),E1257,0))</f>
      </c>
      <c r="N1257">
        <f>IF(A1257="","",IF(D1257="Category Pending","Needs categorization",IF(COUNTIFS($A$2:A1257,A1257,$B$2:B1257,B1257,$E$2:E1257,E1257)&gt;1,"Possible duplicate","")))</f>
      </c>
    </row>
    <row r="1258" spans="3:14" x14ac:dyDescent="0.3">
      <c r="A1258"/>
      <c r="C1258" s="16"/>
      <c r="G1258" s="5">
        <f>IF(A1258="","","Checking")</f>
      </c>
      <c r="H1258">
        <f>IF(A1258="","",IFERROR(XLOOKUP(D1258,Setup!$E$15:$E$79,Setup!$F$15:$F$79),"Miscellaneous"))</f>
      </c>
      <c r="I1258">
        <f>IF(A1258="","",IFERROR(XLOOKUP(D1258,Setup!$E$15:$E$79,Setup!$G$15:$G$79),"Uncategorized"))</f>
      </c>
      <c r="J1258">
        <f>IF(A1258="","",IF(OR(H1258="Transfers",H1258="Income",D1258="Transfer",D1258="Category Pending",F1258="Pending"),"No","Yes"))</f>
      </c>
      <c r="K1258" s="4">
        <f>IF(A1258="","",TEXT(IF(DAY(A1258)&gt;=Setup!$B$9,DATE(YEAR(A1258),MONTH(A1258)+1,1),DATE(YEAR(A1258),MONTH(A1258),1)),"mmmm yyyy"))</f>
      </c>
      <c r="L1258" s="47">
        <f>IF(A1258="",0,IF(AND(J1258="Yes",E1258&lt;0),-E1258,0))</f>
      </c>
      <c r="M1258" s="47">
        <f>IF(A1258="",0,IF(AND(J1258="Yes",E1258&gt;0),E1258,0))</f>
      </c>
      <c r="N1258">
        <f>IF(A1258="","",IF(D1258="Category Pending","Needs categorization",IF(COUNTIFS($A$2:A1258,A1258,$B$2:B1258,B1258,$E$2:E1258,E1258)&gt;1,"Possible duplicate","")))</f>
      </c>
    </row>
    <row r="1259" spans="3:14" x14ac:dyDescent="0.3">
      <c r="A1259"/>
      <c r="C1259" s="16"/>
      <c r="G1259" s="5">
        <f>IF(A1259="","","Checking")</f>
      </c>
      <c r="H1259">
        <f>IF(A1259="","",IFERROR(XLOOKUP(D1259,Setup!$E$15:$E$79,Setup!$F$15:$F$79),"Miscellaneous"))</f>
      </c>
      <c r="I1259">
        <f>IF(A1259="","",IFERROR(XLOOKUP(D1259,Setup!$E$15:$E$79,Setup!$G$15:$G$79),"Uncategorized"))</f>
      </c>
      <c r="J1259">
        <f>IF(A1259="","",IF(OR(H1259="Transfers",H1259="Income",D1259="Transfer",D1259="Category Pending",F1259="Pending"),"No","Yes"))</f>
      </c>
      <c r="K1259" s="4">
        <f>IF(A1259="","",TEXT(IF(DAY(A1259)&gt;=Setup!$B$9,DATE(YEAR(A1259),MONTH(A1259)+1,1),DATE(YEAR(A1259),MONTH(A1259),1)),"mmmm yyyy"))</f>
      </c>
      <c r="L1259" s="47">
        <f>IF(A1259="",0,IF(AND(J1259="Yes",E1259&lt;0),-E1259,0))</f>
      </c>
      <c r="M1259" s="47">
        <f>IF(A1259="",0,IF(AND(J1259="Yes",E1259&gt;0),E1259,0))</f>
      </c>
      <c r="N1259">
        <f>IF(A1259="","",IF(D1259="Category Pending","Needs categorization",IF(COUNTIFS($A$2:A1259,A1259,$B$2:B1259,B1259,$E$2:E1259,E1259)&gt;1,"Possible duplicate","")))</f>
      </c>
    </row>
    <row r="1260" spans="3:14" x14ac:dyDescent="0.3">
      <c r="A1260"/>
      <c r="C1260" s="16"/>
      <c r="G1260" s="5">
        <f>IF(A1260="","","Checking")</f>
      </c>
      <c r="H1260">
        <f>IF(A1260="","",IFERROR(XLOOKUP(D1260,Setup!$E$15:$E$79,Setup!$F$15:$F$79),"Miscellaneous"))</f>
      </c>
      <c r="I1260">
        <f>IF(A1260="","",IFERROR(XLOOKUP(D1260,Setup!$E$15:$E$79,Setup!$G$15:$G$79),"Uncategorized"))</f>
      </c>
      <c r="J1260">
        <f>IF(A1260="","",IF(OR(H1260="Transfers",H1260="Income",D1260="Transfer",D1260="Category Pending",F1260="Pending"),"No","Yes"))</f>
      </c>
      <c r="K1260" s="4">
        <f>IF(A1260="","",TEXT(IF(DAY(A1260)&gt;=Setup!$B$9,DATE(YEAR(A1260),MONTH(A1260)+1,1),DATE(YEAR(A1260),MONTH(A1260),1)),"mmmm yyyy"))</f>
      </c>
      <c r="L1260" s="47">
        <f>IF(A1260="",0,IF(AND(J1260="Yes",E1260&lt;0),-E1260,0))</f>
      </c>
      <c r="M1260" s="47">
        <f>IF(A1260="",0,IF(AND(J1260="Yes",E1260&gt;0),E1260,0))</f>
      </c>
      <c r="N1260">
        <f>IF(A1260="","",IF(D1260="Category Pending","Needs categorization",IF(COUNTIFS($A$2:A1260,A1260,$B$2:B1260,B1260,$E$2:E1260,E1260)&gt;1,"Possible duplicate","")))</f>
      </c>
    </row>
    <row r="1261" spans="3:14" x14ac:dyDescent="0.3">
      <c r="A1261"/>
      <c r="C1261" s="16"/>
      <c r="G1261" s="5">
        <f>IF(A1261="","","Checking")</f>
      </c>
      <c r="H1261">
        <f>IF(A1261="","",IFERROR(XLOOKUP(D1261,Setup!$E$15:$E$79,Setup!$F$15:$F$79),"Miscellaneous"))</f>
      </c>
      <c r="I1261">
        <f>IF(A1261="","",IFERROR(XLOOKUP(D1261,Setup!$E$15:$E$79,Setup!$G$15:$G$79),"Uncategorized"))</f>
      </c>
      <c r="J1261">
        <f>IF(A1261="","",IF(OR(H1261="Transfers",H1261="Income",D1261="Transfer",D1261="Category Pending",F1261="Pending"),"No","Yes"))</f>
      </c>
      <c r="K1261" s="4">
        <f>IF(A1261="","",TEXT(IF(DAY(A1261)&gt;=Setup!$B$9,DATE(YEAR(A1261),MONTH(A1261)+1,1),DATE(YEAR(A1261),MONTH(A1261),1)),"mmmm yyyy"))</f>
      </c>
      <c r="L1261" s="47">
        <f>IF(A1261="",0,IF(AND(J1261="Yes",E1261&lt;0),-E1261,0))</f>
      </c>
      <c r="M1261" s="47">
        <f>IF(A1261="",0,IF(AND(J1261="Yes",E1261&gt;0),E1261,0))</f>
      </c>
      <c r="N1261">
        <f>IF(A1261="","",IF(D1261="Category Pending","Needs categorization",IF(COUNTIFS($A$2:A1261,A1261,$B$2:B1261,B1261,$E$2:E1261,E1261)&gt;1,"Possible duplicate","")))</f>
      </c>
    </row>
    <row r="1262" spans="3:14" x14ac:dyDescent="0.3">
      <c r="A1262"/>
      <c r="C1262" s="16"/>
      <c r="G1262" s="5">
        <f>IF(A1262="","","Checking")</f>
      </c>
      <c r="H1262">
        <f>IF(A1262="","",IFERROR(XLOOKUP(D1262,Setup!$E$15:$E$79,Setup!$F$15:$F$79),"Miscellaneous"))</f>
      </c>
      <c r="I1262">
        <f>IF(A1262="","",IFERROR(XLOOKUP(D1262,Setup!$E$15:$E$79,Setup!$G$15:$G$79),"Uncategorized"))</f>
      </c>
      <c r="J1262">
        <f>IF(A1262="","",IF(OR(H1262="Transfers",H1262="Income",D1262="Transfer",D1262="Category Pending",F1262="Pending"),"No","Yes"))</f>
      </c>
      <c r="K1262" s="4">
        <f>IF(A1262="","",TEXT(IF(DAY(A1262)&gt;=Setup!$B$9,DATE(YEAR(A1262),MONTH(A1262)+1,1),DATE(YEAR(A1262),MONTH(A1262),1)),"mmmm yyyy"))</f>
      </c>
      <c r="L1262" s="47">
        <f>IF(A1262="",0,IF(AND(J1262="Yes",E1262&lt;0),-E1262,0))</f>
      </c>
      <c r="M1262" s="47">
        <f>IF(A1262="",0,IF(AND(J1262="Yes",E1262&gt;0),E1262,0))</f>
      </c>
      <c r="N1262">
        <f>IF(A1262="","",IF(D1262="Category Pending","Needs categorization",IF(COUNTIFS($A$2:A1262,A1262,$B$2:B1262,B1262,$E$2:E1262,E1262)&gt;1,"Possible duplicate","")))</f>
      </c>
    </row>
    <row r="1263" spans="3:14" x14ac:dyDescent="0.3">
      <c r="A1263"/>
      <c r="C1263" s="16"/>
      <c r="G1263" s="5">
        <f>IF(A1263="","","Checking")</f>
      </c>
      <c r="H1263">
        <f>IF(A1263="","",IFERROR(XLOOKUP(D1263,Setup!$E$15:$E$79,Setup!$F$15:$F$79),"Miscellaneous"))</f>
      </c>
      <c r="I1263">
        <f>IF(A1263="","",IFERROR(XLOOKUP(D1263,Setup!$E$15:$E$79,Setup!$G$15:$G$79),"Uncategorized"))</f>
      </c>
      <c r="J1263">
        <f>IF(A1263="","",IF(OR(H1263="Transfers",H1263="Income",D1263="Transfer",D1263="Category Pending",F1263="Pending"),"No","Yes"))</f>
      </c>
      <c r="K1263" s="4">
        <f>IF(A1263="","",TEXT(IF(DAY(A1263)&gt;=Setup!$B$9,DATE(YEAR(A1263),MONTH(A1263)+1,1),DATE(YEAR(A1263),MONTH(A1263),1)),"mmmm yyyy"))</f>
      </c>
      <c r="L1263" s="47">
        <f>IF(A1263="",0,IF(AND(J1263="Yes",E1263&lt;0),-E1263,0))</f>
      </c>
      <c r="M1263" s="47">
        <f>IF(A1263="",0,IF(AND(J1263="Yes",E1263&gt;0),E1263,0))</f>
      </c>
      <c r="N1263">
        <f>IF(A1263="","",IF(D1263="Category Pending","Needs categorization",IF(COUNTIFS($A$2:A1263,A1263,$B$2:B1263,B1263,$E$2:E1263,E1263)&gt;1,"Possible duplicate","")))</f>
      </c>
    </row>
    <row r="1264" spans="3:14" x14ac:dyDescent="0.3">
      <c r="A1264"/>
      <c r="C1264" s="16"/>
      <c r="G1264" s="5">
        <f>IF(A1264="","","Checking")</f>
      </c>
      <c r="H1264">
        <f>IF(A1264="","",IFERROR(XLOOKUP(D1264,Setup!$E$15:$E$79,Setup!$F$15:$F$79),"Miscellaneous"))</f>
      </c>
      <c r="I1264">
        <f>IF(A1264="","",IFERROR(XLOOKUP(D1264,Setup!$E$15:$E$79,Setup!$G$15:$G$79),"Uncategorized"))</f>
      </c>
      <c r="J1264">
        <f>IF(A1264="","",IF(OR(H1264="Transfers",H1264="Income",D1264="Transfer",D1264="Category Pending",F1264="Pending"),"No","Yes"))</f>
      </c>
      <c r="K1264" s="4">
        <f>IF(A1264="","",TEXT(IF(DAY(A1264)&gt;=Setup!$B$9,DATE(YEAR(A1264),MONTH(A1264)+1,1),DATE(YEAR(A1264),MONTH(A1264),1)),"mmmm yyyy"))</f>
      </c>
      <c r="L1264" s="47">
        <f>IF(A1264="",0,IF(AND(J1264="Yes",E1264&lt;0),-E1264,0))</f>
      </c>
      <c r="M1264" s="47">
        <f>IF(A1264="",0,IF(AND(J1264="Yes",E1264&gt;0),E1264,0))</f>
      </c>
      <c r="N1264">
        <f>IF(A1264="","",IF(D1264="Category Pending","Needs categorization",IF(COUNTIFS($A$2:A1264,A1264,$B$2:B1264,B1264,$E$2:E1264,E1264)&gt;1,"Possible duplicate","")))</f>
      </c>
    </row>
    <row r="1265" spans="3:14" x14ac:dyDescent="0.3">
      <c r="A1265"/>
      <c r="C1265" s="16"/>
      <c r="G1265" s="5">
        <f>IF(A1265="","","Checking")</f>
      </c>
      <c r="H1265">
        <f>IF(A1265="","",IFERROR(XLOOKUP(D1265,Setup!$E$15:$E$79,Setup!$F$15:$F$79),"Miscellaneous"))</f>
      </c>
      <c r="I1265">
        <f>IF(A1265="","",IFERROR(XLOOKUP(D1265,Setup!$E$15:$E$79,Setup!$G$15:$G$79),"Uncategorized"))</f>
      </c>
      <c r="J1265">
        <f>IF(A1265="","",IF(OR(H1265="Transfers",H1265="Income",D1265="Transfer",D1265="Category Pending",F1265="Pending"),"No","Yes"))</f>
      </c>
      <c r="K1265" s="4">
        <f>IF(A1265="","",TEXT(IF(DAY(A1265)&gt;=Setup!$B$9,DATE(YEAR(A1265),MONTH(A1265)+1,1),DATE(YEAR(A1265),MONTH(A1265),1)),"mmmm yyyy"))</f>
      </c>
      <c r="L1265" s="47">
        <f>IF(A1265="",0,IF(AND(J1265="Yes",E1265&lt;0),-E1265,0))</f>
      </c>
      <c r="M1265" s="47">
        <f>IF(A1265="",0,IF(AND(J1265="Yes",E1265&gt;0),E1265,0))</f>
      </c>
      <c r="N1265">
        <f>IF(A1265="","",IF(D1265="Category Pending","Needs categorization",IF(COUNTIFS($A$2:A1265,A1265,$B$2:B1265,B1265,$E$2:E1265,E1265)&gt;1,"Possible duplicate","")))</f>
      </c>
    </row>
    <row r="1266" spans="3:14" x14ac:dyDescent="0.3">
      <c r="A1266"/>
      <c r="C1266" s="16"/>
      <c r="G1266" s="5">
        <f>IF(A1266="","","Checking")</f>
      </c>
      <c r="H1266">
        <f>IF(A1266="","",IFERROR(XLOOKUP(D1266,Setup!$E$15:$E$79,Setup!$F$15:$F$79),"Miscellaneous"))</f>
      </c>
      <c r="I1266">
        <f>IF(A1266="","",IFERROR(XLOOKUP(D1266,Setup!$E$15:$E$79,Setup!$G$15:$G$79),"Uncategorized"))</f>
      </c>
      <c r="J1266">
        <f>IF(A1266="","",IF(OR(H1266="Transfers",H1266="Income",D1266="Transfer",D1266="Category Pending",F1266="Pending"),"No","Yes"))</f>
      </c>
      <c r="K1266" s="4">
        <f>IF(A1266="","",TEXT(IF(DAY(A1266)&gt;=Setup!$B$9,DATE(YEAR(A1266),MONTH(A1266)+1,1),DATE(YEAR(A1266),MONTH(A1266),1)),"mmmm yyyy"))</f>
      </c>
      <c r="L1266" s="47">
        <f>IF(A1266="",0,IF(AND(J1266="Yes",E1266&lt;0),-E1266,0))</f>
      </c>
      <c r="M1266" s="47">
        <f>IF(A1266="",0,IF(AND(J1266="Yes",E1266&gt;0),E1266,0))</f>
      </c>
      <c r="N1266">
        <f>IF(A1266="","",IF(D1266="Category Pending","Needs categorization",IF(COUNTIFS($A$2:A1266,A1266,$B$2:B1266,B1266,$E$2:E1266,E1266)&gt;1,"Possible duplicate","")))</f>
      </c>
    </row>
    <row r="1267" spans="3:14" x14ac:dyDescent="0.3">
      <c r="A1267"/>
      <c r="C1267" s="16"/>
      <c r="G1267" s="5">
        <f>IF(A1267="","","Checking")</f>
      </c>
      <c r="H1267">
        <f>IF(A1267="","",IFERROR(XLOOKUP(D1267,Setup!$E$15:$E$79,Setup!$F$15:$F$79),"Miscellaneous"))</f>
      </c>
      <c r="I1267">
        <f>IF(A1267="","",IFERROR(XLOOKUP(D1267,Setup!$E$15:$E$79,Setup!$G$15:$G$79),"Uncategorized"))</f>
      </c>
      <c r="J1267">
        <f>IF(A1267="","",IF(OR(H1267="Transfers",H1267="Income",D1267="Transfer",D1267="Category Pending",F1267="Pending"),"No","Yes"))</f>
      </c>
      <c r="K1267" s="4">
        <f>IF(A1267="","",TEXT(IF(DAY(A1267)&gt;=Setup!$B$9,DATE(YEAR(A1267),MONTH(A1267)+1,1),DATE(YEAR(A1267),MONTH(A1267),1)),"mmmm yyyy"))</f>
      </c>
      <c r="L1267" s="47">
        <f>IF(A1267="",0,IF(AND(J1267="Yes",E1267&lt;0),-E1267,0))</f>
      </c>
      <c r="M1267" s="47">
        <f>IF(A1267="",0,IF(AND(J1267="Yes",E1267&gt;0),E1267,0))</f>
      </c>
      <c r="N1267">
        <f>IF(A1267="","",IF(D1267="Category Pending","Needs categorization",IF(COUNTIFS($A$2:A1267,A1267,$B$2:B1267,B1267,$E$2:E1267,E1267)&gt;1,"Possible duplicate","")))</f>
      </c>
    </row>
    <row r="1268" spans="3:14" x14ac:dyDescent="0.3">
      <c r="A1268"/>
      <c r="C1268" s="16"/>
      <c r="G1268" s="5">
        <f>IF(A1268="","","Checking")</f>
      </c>
      <c r="H1268">
        <f>IF(A1268="","",IFERROR(XLOOKUP(D1268,Setup!$E$15:$E$79,Setup!$F$15:$F$79),"Miscellaneous"))</f>
      </c>
      <c r="I1268">
        <f>IF(A1268="","",IFERROR(XLOOKUP(D1268,Setup!$E$15:$E$79,Setup!$G$15:$G$79),"Uncategorized"))</f>
      </c>
      <c r="J1268">
        <f>IF(A1268="","",IF(OR(H1268="Transfers",H1268="Income",D1268="Transfer",D1268="Category Pending",F1268="Pending"),"No","Yes"))</f>
      </c>
      <c r="K1268" s="4">
        <f>IF(A1268="","",TEXT(IF(DAY(A1268)&gt;=Setup!$B$9,DATE(YEAR(A1268),MONTH(A1268)+1,1),DATE(YEAR(A1268),MONTH(A1268),1)),"mmmm yyyy"))</f>
      </c>
      <c r="L1268" s="47">
        <f>IF(A1268="",0,IF(AND(J1268="Yes",E1268&lt;0),-E1268,0))</f>
      </c>
      <c r="M1268" s="47">
        <f>IF(A1268="",0,IF(AND(J1268="Yes",E1268&gt;0),E1268,0))</f>
      </c>
      <c r="N1268">
        <f>IF(A1268="","",IF(D1268="Category Pending","Needs categorization",IF(COUNTIFS($A$2:A1268,A1268,$B$2:B1268,B1268,$E$2:E1268,E1268)&gt;1,"Possible duplicate","")))</f>
      </c>
    </row>
    <row r="1269" spans="3:14" x14ac:dyDescent="0.3">
      <c r="A1269"/>
      <c r="C1269" s="16"/>
      <c r="G1269" s="5">
        <f>IF(A1269="","","Checking")</f>
      </c>
      <c r="H1269">
        <f>IF(A1269="","",IFERROR(XLOOKUP(D1269,Setup!$E$15:$E$79,Setup!$F$15:$F$79),"Miscellaneous"))</f>
      </c>
      <c r="I1269">
        <f>IF(A1269="","",IFERROR(XLOOKUP(D1269,Setup!$E$15:$E$79,Setup!$G$15:$G$79),"Uncategorized"))</f>
      </c>
      <c r="J1269">
        <f>IF(A1269="","",IF(OR(H1269="Transfers",H1269="Income",D1269="Transfer",D1269="Category Pending",F1269="Pending"),"No","Yes"))</f>
      </c>
      <c r="K1269" s="4">
        <f>IF(A1269="","",TEXT(IF(DAY(A1269)&gt;=Setup!$B$9,DATE(YEAR(A1269),MONTH(A1269)+1,1),DATE(YEAR(A1269),MONTH(A1269),1)),"mmmm yyyy"))</f>
      </c>
      <c r="L1269" s="47">
        <f>IF(A1269="",0,IF(AND(J1269="Yes",E1269&lt;0),-E1269,0))</f>
      </c>
      <c r="M1269" s="47">
        <f>IF(A1269="",0,IF(AND(J1269="Yes",E1269&gt;0),E1269,0))</f>
      </c>
      <c r="N1269">
        <f>IF(A1269="","",IF(D1269="Category Pending","Needs categorization",IF(COUNTIFS($A$2:A1269,A1269,$B$2:B1269,B1269,$E$2:E1269,E1269)&gt;1,"Possible duplicate","")))</f>
      </c>
    </row>
    <row r="1270" spans="3:14" x14ac:dyDescent="0.3">
      <c r="A1270"/>
      <c r="C1270" s="16"/>
      <c r="G1270" s="5">
        <f>IF(A1270="","","Checking")</f>
      </c>
      <c r="H1270">
        <f>IF(A1270="","",IFERROR(XLOOKUP(D1270,Setup!$E$15:$E$79,Setup!$F$15:$F$79),"Miscellaneous"))</f>
      </c>
      <c r="I1270">
        <f>IF(A1270="","",IFERROR(XLOOKUP(D1270,Setup!$E$15:$E$79,Setup!$G$15:$G$79),"Uncategorized"))</f>
      </c>
      <c r="J1270">
        <f>IF(A1270="","",IF(OR(H1270="Transfers",H1270="Income",D1270="Transfer",D1270="Category Pending",F1270="Pending"),"No","Yes"))</f>
      </c>
      <c r="K1270" s="4">
        <f>IF(A1270="","",TEXT(IF(DAY(A1270)&gt;=Setup!$B$9,DATE(YEAR(A1270),MONTH(A1270)+1,1),DATE(YEAR(A1270),MONTH(A1270),1)),"mmmm yyyy"))</f>
      </c>
      <c r="L1270" s="47">
        <f>IF(A1270="",0,IF(AND(J1270="Yes",E1270&lt;0),-E1270,0))</f>
      </c>
      <c r="M1270" s="47">
        <f>IF(A1270="",0,IF(AND(J1270="Yes",E1270&gt;0),E1270,0))</f>
      </c>
      <c r="N1270">
        <f>IF(A1270="","",IF(D1270="Category Pending","Needs categorization",IF(COUNTIFS($A$2:A1270,A1270,$B$2:B1270,B1270,$E$2:E1270,E1270)&gt;1,"Possible duplicate","")))</f>
      </c>
    </row>
    <row r="1271" spans="3:14" x14ac:dyDescent="0.3">
      <c r="A1271"/>
      <c r="C1271" s="16"/>
      <c r="G1271" s="5">
        <f>IF(A1271="","","Checking")</f>
      </c>
      <c r="H1271">
        <f>IF(A1271="","",IFERROR(XLOOKUP(D1271,Setup!$E$15:$E$79,Setup!$F$15:$F$79),"Miscellaneous"))</f>
      </c>
      <c r="I1271">
        <f>IF(A1271="","",IFERROR(XLOOKUP(D1271,Setup!$E$15:$E$79,Setup!$G$15:$G$79),"Uncategorized"))</f>
      </c>
      <c r="J1271">
        <f>IF(A1271="","",IF(OR(H1271="Transfers",H1271="Income",D1271="Transfer",D1271="Category Pending",F1271="Pending"),"No","Yes"))</f>
      </c>
      <c r="K1271" s="4">
        <f>IF(A1271="","",TEXT(IF(DAY(A1271)&gt;=Setup!$B$9,DATE(YEAR(A1271),MONTH(A1271)+1,1),DATE(YEAR(A1271),MONTH(A1271),1)),"mmmm yyyy"))</f>
      </c>
      <c r="L1271" s="47">
        <f>IF(A1271="",0,IF(AND(J1271="Yes",E1271&lt;0),-E1271,0))</f>
      </c>
      <c r="M1271" s="47">
        <f>IF(A1271="",0,IF(AND(J1271="Yes",E1271&gt;0),E1271,0))</f>
      </c>
      <c r="N1271">
        <f>IF(A1271="","",IF(D1271="Category Pending","Needs categorization",IF(COUNTIFS($A$2:A1271,A1271,$B$2:B1271,B1271,$E$2:E1271,E1271)&gt;1,"Possible duplicate","")))</f>
      </c>
    </row>
    <row r="1272" spans="3:14" x14ac:dyDescent="0.3">
      <c r="A1272"/>
      <c r="C1272" s="16"/>
      <c r="G1272" s="5">
        <f>IF(A1272="","","Checking")</f>
      </c>
      <c r="H1272">
        <f>IF(A1272="","",IFERROR(XLOOKUP(D1272,Setup!$E$15:$E$79,Setup!$F$15:$F$79),"Miscellaneous"))</f>
      </c>
      <c r="I1272">
        <f>IF(A1272="","",IFERROR(XLOOKUP(D1272,Setup!$E$15:$E$79,Setup!$G$15:$G$79),"Uncategorized"))</f>
      </c>
      <c r="J1272">
        <f>IF(A1272="","",IF(OR(H1272="Transfers",H1272="Income",D1272="Transfer",D1272="Category Pending",F1272="Pending"),"No","Yes"))</f>
      </c>
      <c r="K1272" s="4">
        <f>IF(A1272="","",TEXT(IF(DAY(A1272)&gt;=Setup!$B$9,DATE(YEAR(A1272),MONTH(A1272)+1,1),DATE(YEAR(A1272),MONTH(A1272),1)),"mmmm yyyy"))</f>
      </c>
      <c r="L1272" s="47">
        <f>IF(A1272="",0,IF(AND(J1272="Yes",E1272&lt;0),-E1272,0))</f>
      </c>
      <c r="M1272" s="47">
        <f>IF(A1272="",0,IF(AND(J1272="Yes",E1272&gt;0),E1272,0))</f>
      </c>
      <c r="N1272">
        <f>IF(A1272="","",IF(D1272="Category Pending","Needs categorization",IF(COUNTIFS($A$2:A1272,A1272,$B$2:B1272,B1272,$E$2:E1272,E1272)&gt;1,"Possible duplicate","")))</f>
      </c>
    </row>
    <row r="1273" spans="3:14" x14ac:dyDescent="0.3">
      <c r="A1273"/>
      <c r="C1273" s="16"/>
      <c r="G1273" s="5">
        <f>IF(A1273="","","Checking")</f>
      </c>
      <c r="H1273">
        <f>IF(A1273="","",IFERROR(XLOOKUP(D1273,Setup!$E$15:$E$79,Setup!$F$15:$F$79),"Miscellaneous"))</f>
      </c>
      <c r="I1273">
        <f>IF(A1273="","",IFERROR(XLOOKUP(D1273,Setup!$E$15:$E$79,Setup!$G$15:$G$79),"Uncategorized"))</f>
      </c>
      <c r="J1273">
        <f>IF(A1273="","",IF(OR(H1273="Transfers",H1273="Income",D1273="Transfer",D1273="Category Pending",F1273="Pending"),"No","Yes"))</f>
      </c>
      <c r="K1273" s="4">
        <f>IF(A1273="","",TEXT(IF(DAY(A1273)&gt;=Setup!$B$9,DATE(YEAR(A1273),MONTH(A1273)+1,1),DATE(YEAR(A1273),MONTH(A1273),1)),"mmmm yyyy"))</f>
      </c>
      <c r="L1273" s="47">
        <f>IF(A1273="",0,IF(AND(J1273="Yes",E1273&lt;0),-E1273,0))</f>
      </c>
      <c r="M1273" s="47">
        <f>IF(A1273="",0,IF(AND(J1273="Yes",E1273&gt;0),E1273,0))</f>
      </c>
      <c r="N1273">
        <f>IF(A1273="","",IF(D1273="Category Pending","Needs categorization",IF(COUNTIFS($A$2:A1273,A1273,$B$2:B1273,B1273,$E$2:E1273,E1273)&gt;1,"Possible duplicate","")))</f>
      </c>
    </row>
    <row r="1274" spans="3:14" x14ac:dyDescent="0.3">
      <c r="A1274"/>
      <c r="C1274" s="16"/>
      <c r="G1274" s="5">
        <f>IF(A1274="","","Checking")</f>
      </c>
      <c r="H1274">
        <f>IF(A1274="","",IFERROR(XLOOKUP(D1274,Setup!$E$15:$E$79,Setup!$F$15:$F$79),"Miscellaneous"))</f>
      </c>
      <c r="I1274">
        <f>IF(A1274="","",IFERROR(XLOOKUP(D1274,Setup!$E$15:$E$79,Setup!$G$15:$G$79),"Uncategorized"))</f>
      </c>
      <c r="J1274">
        <f>IF(A1274="","",IF(OR(H1274="Transfers",H1274="Income",D1274="Transfer",D1274="Category Pending",F1274="Pending"),"No","Yes"))</f>
      </c>
      <c r="K1274" s="4">
        <f>IF(A1274="","",TEXT(IF(DAY(A1274)&gt;=Setup!$B$9,DATE(YEAR(A1274),MONTH(A1274)+1,1),DATE(YEAR(A1274),MONTH(A1274),1)),"mmmm yyyy"))</f>
      </c>
      <c r="L1274" s="47">
        <f>IF(A1274="",0,IF(AND(J1274="Yes",E1274&lt;0),-E1274,0))</f>
      </c>
      <c r="M1274" s="47">
        <f>IF(A1274="",0,IF(AND(J1274="Yes",E1274&gt;0),E1274,0))</f>
      </c>
      <c r="N1274">
        <f>IF(A1274="","",IF(D1274="Category Pending","Needs categorization",IF(COUNTIFS($A$2:A1274,A1274,$B$2:B1274,B1274,$E$2:E1274,E1274)&gt;1,"Possible duplicate","")))</f>
      </c>
    </row>
    <row r="1275" spans="3:14" x14ac:dyDescent="0.3">
      <c r="A1275"/>
      <c r="C1275" s="16"/>
      <c r="G1275" s="5">
        <f>IF(A1275="","","Checking")</f>
      </c>
      <c r="H1275">
        <f>IF(A1275="","",IFERROR(XLOOKUP(D1275,Setup!$E$15:$E$79,Setup!$F$15:$F$79),"Miscellaneous"))</f>
      </c>
      <c r="I1275">
        <f>IF(A1275="","",IFERROR(XLOOKUP(D1275,Setup!$E$15:$E$79,Setup!$G$15:$G$79),"Uncategorized"))</f>
      </c>
      <c r="J1275">
        <f>IF(A1275="","",IF(OR(H1275="Transfers",H1275="Income",D1275="Transfer",D1275="Category Pending",F1275="Pending"),"No","Yes"))</f>
      </c>
      <c r="K1275" s="4">
        <f>IF(A1275="","",TEXT(IF(DAY(A1275)&gt;=Setup!$B$9,DATE(YEAR(A1275),MONTH(A1275)+1,1),DATE(YEAR(A1275),MONTH(A1275),1)),"mmmm yyyy"))</f>
      </c>
      <c r="L1275" s="47">
        <f>IF(A1275="",0,IF(AND(J1275="Yes",E1275&lt;0),-E1275,0))</f>
      </c>
      <c r="M1275" s="47">
        <f>IF(A1275="",0,IF(AND(J1275="Yes",E1275&gt;0),E1275,0))</f>
      </c>
      <c r="N1275">
        <f>IF(A1275="","",IF(D1275="Category Pending","Needs categorization",IF(COUNTIFS($A$2:A1275,A1275,$B$2:B1275,B1275,$E$2:E1275,E1275)&gt;1,"Possible duplicate","")))</f>
      </c>
    </row>
    <row r="1276" spans="3:14" x14ac:dyDescent="0.3">
      <c r="A1276"/>
      <c r="C1276" s="16"/>
      <c r="G1276" s="5">
        <f>IF(A1276="","","Checking")</f>
      </c>
      <c r="H1276">
        <f>IF(A1276="","",IFERROR(XLOOKUP(D1276,Setup!$E$15:$E$79,Setup!$F$15:$F$79),"Miscellaneous"))</f>
      </c>
      <c r="I1276">
        <f>IF(A1276="","",IFERROR(XLOOKUP(D1276,Setup!$E$15:$E$79,Setup!$G$15:$G$79),"Uncategorized"))</f>
      </c>
      <c r="J1276">
        <f>IF(A1276="","",IF(OR(H1276="Transfers",H1276="Income",D1276="Transfer",D1276="Category Pending",F1276="Pending"),"No","Yes"))</f>
      </c>
      <c r="K1276" s="4">
        <f>IF(A1276="","",TEXT(IF(DAY(A1276)&gt;=Setup!$B$9,DATE(YEAR(A1276),MONTH(A1276)+1,1),DATE(YEAR(A1276),MONTH(A1276),1)),"mmmm yyyy"))</f>
      </c>
      <c r="L1276" s="47">
        <f>IF(A1276="",0,IF(AND(J1276="Yes",E1276&lt;0),-E1276,0))</f>
      </c>
      <c r="M1276" s="47">
        <f>IF(A1276="",0,IF(AND(J1276="Yes",E1276&gt;0),E1276,0))</f>
      </c>
      <c r="N1276">
        <f>IF(A1276="","",IF(D1276="Category Pending","Needs categorization",IF(COUNTIFS($A$2:A1276,A1276,$B$2:B1276,B1276,$E$2:E1276,E1276)&gt;1,"Possible duplicate","")))</f>
      </c>
    </row>
    <row r="1277" spans="3:14" x14ac:dyDescent="0.3">
      <c r="A1277"/>
      <c r="C1277" s="16"/>
      <c r="G1277" s="5">
        <f>IF(A1277="","","Checking")</f>
      </c>
      <c r="H1277">
        <f>IF(A1277="","",IFERROR(XLOOKUP(D1277,Setup!$E$15:$E$79,Setup!$F$15:$F$79),"Miscellaneous"))</f>
      </c>
      <c r="I1277">
        <f>IF(A1277="","",IFERROR(XLOOKUP(D1277,Setup!$E$15:$E$79,Setup!$G$15:$G$79),"Uncategorized"))</f>
      </c>
      <c r="J1277">
        <f>IF(A1277="","",IF(OR(H1277="Transfers",H1277="Income",D1277="Transfer",D1277="Category Pending",F1277="Pending"),"No","Yes"))</f>
      </c>
      <c r="K1277" s="4">
        <f>IF(A1277="","",TEXT(IF(DAY(A1277)&gt;=Setup!$B$9,DATE(YEAR(A1277),MONTH(A1277)+1,1),DATE(YEAR(A1277),MONTH(A1277),1)),"mmmm yyyy"))</f>
      </c>
      <c r="L1277" s="47">
        <f>IF(A1277="",0,IF(AND(J1277="Yes",E1277&lt;0),-E1277,0))</f>
      </c>
      <c r="M1277" s="47">
        <f>IF(A1277="",0,IF(AND(J1277="Yes",E1277&gt;0),E1277,0))</f>
      </c>
      <c r="N1277">
        <f>IF(A1277="","",IF(D1277="Category Pending","Needs categorization",IF(COUNTIFS($A$2:A1277,A1277,$B$2:B1277,B1277,$E$2:E1277,E1277)&gt;1,"Possible duplicate","")))</f>
      </c>
    </row>
    <row r="1278" spans="3:14" x14ac:dyDescent="0.3">
      <c r="A1278"/>
      <c r="C1278" s="16"/>
      <c r="G1278" s="5">
        <f>IF(A1278="","","Checking")</f>
      </c>
      <c r="H1278">
        <f>IF(A1278="","",IFERROR(XLOOKUP(D1278,Setup!$E$15:$E$79,Setup!$F$15:$F$79),"Miscellaneous"))</f>
      </c>
      <c r="I1278">
        <f>IF(A1278="","",IFERROR(XLOOKUP(D1278,Setup!$E$15:$E$79,Setup!$G$15:$G$79),"Uncategorized"))</f>
      </c>
      <c r="J1278">
        <f>IF(A1278="","",IF(OR(H1278="Transfers",H1278="Income",D1278="Transfer",D1278="Category Pending",F1278="Pending"),"No","Yes"))</f>
      </c>
      <c r="K1278" s="4">
        <f>IF(A1278="","",TEXT(IF(DAY(A1278)&gt;=Setup!$B$9,DATE(YEAR(A1278),MONTH(A1278)+1,1),DATE(YEAR(A1278),MONTH(A1278),1)),"mmmm yyyy"))</f>
      </c>
      <c r="L1278" s="47">
        <f>IF(A1278="",0,IF(AND(J1278="Yes",E1278&lt;0),-E1278,0))</f>
      </c>
      <c r="M1278" s="47">
        <f>IF(A1278="",0,IF(AND(J1278="Yes",E1278&gt;0),E1278,0))</f>
      </c>
      <c r="N1278">
        <f>IF(A1278="","",IF(D1278="Category Pending","Needs categorization",IF(COUNTIFS($A$2:A1278,A1278,$B$2:B1278,B1278,$E$2:E1278,E1278)&gt;1,"Possible duplicate","")))</f>
      </c>
    </row>
    <row r="1279" spans="3:14" x14ac:dyDescent="0.3">
      <c r="A1279"/>
      <c r="C1279" s="16"/>
      <c r="G1279" s="5">
        <f>IF(A1279="","","Checking")</f>
      </c>
      <c r="H1279">
        <f>IF(A1279="","",IFERROR(XLOOKUP(D1279,Setup!$E$15:$E$79,Setup!$F$15:$F$79),"Miscellaneous"))</f>
      </c>
      <c r="I1279">
        <f>IF(A1279="","",IFERROR(XLOOKUP(D1279,Setup!$E$15:$E$79,Setup!$G$15:$G$79),"Uncategorized"))</f>
      </c>
      <c r="J1279">
        <f>IF(A1279="","",IF(OR(H1279="Transfers",H1279="Income",D1279="Transfer",D1279="Category Pending",F1279="Pending"),"No","Yes"))</f>
      </c>
      <c r="K1279" s="4">
        <f>IF(A1279="","",TEXT(IF(DAY(A1279)&gt;=Setup!$B$9,DATE(YEAR(A1279),MONTH(A1279)+1,1),DATE(YEAR(A1279),MONTH(A1279),1)),"mmmm yyyy"))</f>
      </c>
      <c r="L1279" s="47">
        <f>IF(A1279="",0,IF(AND(J1279="Yes",E1279&lt;0),-E1279,0))</f>
      </c>
      <c r="M1279" s="47">
        <f>IF(A1279="",0,IF(AND(J1279="Yes",E1279&gt;0),E1279,0))</f>
      </c>
      <c r="N1279">
        <f>IF(A1279="","",IF(D1279="Category Pending","Needs categorization",IF(COUNTIFS($A$2:A1279,A1279,$B$2:B1279,B1279,$E$2:E1279,E1279)&gt;1,"Possible duplicate","")))</f>
      </c>
    </row>
    <row r="1280" spans="3:14" x14ac:dyDescent="0.3">
      <c r="A1280"/>
      <c r="C1280" s="16"/>
      <c r="G1280" s="5">
        <f>IF(A1280="","","Checking")</f>
      </c>
      <c r="H1280">
        <f>IF(A1280="","",IFERROR(XLOOKUP(D1280,Setup!$E$15:$E$79,Setup!$F$15:$F$79),"Miscellaneous"))</f>
      </c>
      <c r="I1280">
        <f>IF(A1280="","",IFERROR(XLOOKUP(D1280,Setup!$E$15:$E$79,Setup!$G$15:$G$79),"Uncategorized"))</f>
      </c>
      <c r="J1280">
        <f>IF(A1280="","",IF(OR(H1280="Transfers",H1280="Income",D1280="Transfer",D1280="Category Pending",F1280="Pending"),"No","Yes"))</f>
      </c>
      <c r="K1280" s="4">
        <f>IF(A1280="","",TEXT(IF(DAY(A1280)&gt;=Setup!$B$9,DATE(YEAR(A1280),MONTH(A1280)+1,1),DATE(YEAR(A1280),MONTH(A1280),1)),"mmmm yyyy"))</f>
      </c>
      <c r="L1280" s="47">
        <f>IF(A1280="",0,IF(AND(J1280="Yes",E1280&lt;0),-E1280,0))</f>
      </c>
      <c r="M1280" s="47">
        <f>IF(A1280="",0,IF(AND(J1280="Yes",E1280&gt;0),E1280,0))</f>
      </c>
      <c r="N1280">
        <f>IF(A1280="","",IF(D1280="Category Pending","Needs categorization",IF(COUNTIFS($A$2:A1280,A1280,$B$2:B1280,B1280,$E$2:E1280,E1280)&gt;1,"Possible duplicate","")))</f>
      </c>
    </row>
    <row r="1281" spans="3:14" x14ac:dyDescent="0.3">
      <c r="A1281"/>
      <c r="C1281" s="16"/>
      <c r="G1281" s="5">
        <f>IF(A1281="","","Checking")</f>
      </c>
      <c r="H1281">
        <f>IF(A1281="","",IFERROR(XLOOKUP(D1281,Setup!$E$15:$E$79,Setup!$F$15:$F$79),"Miscellaneous"))</f>
      </c>
      <c r="I1281">
        <f>IF(A1281="","",IFERROR(XLOOKUP(D1281,Setup!$E$15:$E$79,Setup!$G$15:$G$79),"Uncategorized"))</f>
      </c>
      <c r="J1281">
        <f>IF(A1281="","",IF(OR(H1281="Transfers",H1281="Income",D1281="Transfer",D1281="Category Pending",F1281="Pending"),"No","Yes"))</f>
      </c>
      <c r="K1281" s="4">
        <f>IF(A1281="","",TEXT(IF(DAY(A1281)&gt;=Setup!$B$9,DATE(YEAR(A1281),MONTH(A1281)+1,1),DATE(YEAR(A1281),MONTH(A1281),1)),"mmmm yyyy"))</f>
      </c>
      <c r="L1281" s="47">
        <f>IF(A1281="",0,IF(AND(J1281="Yes",E1281&lt;0),-E1281,0))</f>
      </c>
      <c r="M1281" s="47">
        <f>IF(A1281="",0,IF(AND(J1281="Yes",E1281&gt;0),E1281,0))</f>
      </c>
      <c r="N1281">
        <f>IF(A1281="","",IF(D1281="Category Pending","Needs categorization",IF(COUNTIFS($A$2:A1281,A1281,$B$2:B1281,B1281,$E$2:E1281,E1281)&gt;1,"Possible duplicate","")))</f>
      </c>
    </row>
    <row r="1282" spans="3:14" x14ac:dyDescent="0.3">
      <c r="A1282"/>
      <c r="C1282" s="16"/>
      <c r="G1282" s="5">
        <f>IF(A1282="","","Checking")</f>
      </c>
      <c r="H1282">
        <f>IF(A1282="","",IFERROR(XLOOKUP(D1282,Setup!$E$15:$E$79,Setup!$F$15:$F$79),"Miscellaneous"))</f>
      </c>
      <c r="I1282">
        <f>IF(A1282="","",IFERROR(XLOOKUP(D1282,Setup!$E$15:$E$79,Setup!$G$15:$G$79),"Uncategorized"))</f>
      </c>
      <c r="J1282">
        <f>IF(A1282="","",IF(OR(H1282="Transfers",H1282="Income",D1282="Transfer",D1282="Category Pending",F1282="Pending"),"No","Yes"))</f>
      </c>
      <c r="K1282" s="4">
        <f>IF(A1282="","",TEXT(IF(DAY(A1282)&gt;=Setup!$B$9,DATE(YEAR(A1282),MONTH(A1282)+1,1),DATE(YEAR(A1282),MONTH(A1282),1)),"mmmm yyyy"))</f>
      </c>
      <c r="L1282" s="47">
        <f>IF(A1282="",0,IF(AND(J1282="Yes",E1282&lt;0),-E1282,0))</f>
      </c>
      <c r="M1282" s="47">
        <f>IF(A1282="",0,IF(AND(J1282="Yes",E1282&gt;0),E1282,0))</f>
      </c>
      <c r="N1282">
        <f>IF(A1282="","",IF(D1282="Category Pending","Needs categorization",IF(COUNTIFS($A$2:A1282,A1282,$B$2:B1282,B1282,$E$2:E1282,E1282)&gt;1,"Possible duplicate","")))</f>
      </c>
    </row>
    <row r="1283" spans="3:14" x14ac:dyDescent="0.3">
      <c r="A1283"/>
      <c r="C1283" s="16"/>
      <c r="G1283" s="5">
        <f>IF(A1283="","","Checking")</f>
      </c>
      <c r="H1283">
        <f>IF(A1283="","",IFERROR(XLOOKUP(D1283,Setup!$E$15:$E$79,Setup!$F$15:$F$79),"Miscellaneous"))</f>
      </c>
      <c r="I1283">
        <f>IF(A1283="","",IFERROR(XLOOKUP(D1283,Setup!$E$15:$E$79,Setup!$G$15:$G$79),"Uncategorized"))</f>
      </c>
      <c r="J1283">
        <f>IF(A1283="","",IF(OR(H1283="Transfers",H1283="Income",D1283="Transfer",D1283="Category Pending",F1283="Pending"),"No","Yes"))</f>
      </c>
      <c r="K1283" s="4">
        <f>IF(A1283="","",TEXT(IF(DAY(A1283)&gt;=Setup!$B$9,DATE(YEAR(A1283),MONTH(A1283)+1,1),DATE(YEAR(A1283),MONTH(A1283),1)),"mmmm yyyy"))</f>
      </c>
      <c r="L1283" s="47">
        <f>IF(A1283="",0,IF(AND(J1283="Yes",E1283&lt;0),-E1283,0))</f>
      </c>
      <c r="M1283" s="47">
        <f>IF(A1283="",0,IF(AND(J1283="Yes",E1283&gt;0),E1283,0))</f>
      </c>
      <c r="N1283">
        <f>IF(A1283="","",IF(D1283="Category Pending","Needs categorization",IF(COUNTIFS($A$2:A1283,A1283,$B$2:B1283,B1283,$E$2:E1283,E1283)&gt;1,"Possible duplicate","")))</f>
      </c>
    </row>
    <row r="1284" spans="3:14" x14ac:dyDescent="0.3">
      <c r="A1284"/>
      <c r="C1284" s="16"/>
      <c r="G1284" s="5">
        <f>IF(A1284="","","Checking")</f>
      </c>
      <c r="H1284">
        <f>IF(A1284="","",IFERROR(XLOOKUP(D1284,Setup!$E$15:$E$79,Setup!$F$15:$F$79),"Miscellaneous"))</f>
      </c>
      <c r="I1284">
        <f>IF(A1284="","",IFERROR(XLOOKUP(D1284,Setup!$E$15:$E$79,Setup!$G$15:$G$79),"Uncategorized"))</f>
      </c>
      <c r="J1284">
        <f>IF(A1284="","",IF(OR(H1284="Transfers",H1284="Income",D1284="Transfer",D1284="Category Pending",F1284="Pending"),"No","Yes"))</f>
      </c>
      <c r="K1284" s="4">
        <f>IF(A1284="","",TEXT(IF(DAY(A1284)&gt;=Setup!$B$9,DATE(YEAR(A1284),MONTH(A1284)+1,1),DATE(YEAR(A1284),MONTH(A1284),1)),"mmmm yyyy"))</f>
      </c>
      <c r="L1284" s="47">
        <f>IF(A1284="",0,IF(AND(J1284="Yes",E1284&lt;0),-E1284,0))</f>
      </c>
      <c r="M1284" s="47">
        <f>IF(A1284="",0,IF(AND(J1284="Yes",E1284&gt;0),E1284,0))</f>
      </c>
      <c r="N1284">
        <f>IF(A1284="","",IF(D1284="Category Pending","Needs categorization",IF(COUNTIFS($A$2:A1284,A1284,$B$2:B1284,B1284,$E$2:E1284,E1284)&gt;1,"Possible duplicate","")))</f>
      </c>
    </row>
    <row r="1285" spans="3:14" x14ac:dyDescent="0.3">
      <c r="A1285"/>
      <c r="C1285" s="16"/>
      <c r="G1285" s="5">
        <f>IF(A1285="","","Checking")</f>
      </c>
      <c r="H1285">
        <f>IF(A1285="","",IFERROR(XLOOKUP(D1285,Setup!$E$15:$E$79,Setup!$F$15:$F$79),"Miscellaneous"))</f>
      </c>
      <c r="I1285">
        <f>IF(A1285="","",IFERROR(XLOOKUP(D1285,Setup!$E$15:$E$79,Setup!$G$15:$G$79),"Uncategorized"))</f>
      </c>
      <c r="J1285">
        <f>IF(A1285="","",IF(OR(H1285="Transfers",H1285="Income",D1285="Transfer",D1285="Category Pending",F1285="Pending"),"No","Yes"))</f>
      </c>
      <c r="K1285" s="4">
        <f>IF(A1285="","",TEXT(IF(DAY(A1285)&gt;=Setup!$B$9,DATE(YEAR(A1285),MONTH(A1285)+1,1),DATE(YEAR(A1285),MONTH(A1285),1)),"mmmm yyyy"))</f>
      </c>
      <c r="L1285" s="47">
        <f>IF(A1285="",0,IF(AND(J1285="Yes",E1285&lt;0),-E1285,0))</f>
      </c>
      <c r="M1285" s="47">
        <f>IF(A1285="",0,IF(AND(J1285="Yes",E1285&gt;0),E1285,0))</f>
      </c>
      <c r="N1285">
        <f>IF(A1285="","",IF(D1285="Category Pending","Needs categorization",IF(COUNTIFS($A$2:A1285,A1285,$B$2:B1285,B1285,$E$2:E1285,E1285)&gt;1,"Possible duplicate","")))</f>
      </c>
    </row>
    <row r="1286" spans="3:14" x14ac:dyDescent="0.3">
      <c r="A1286"/>
      <c r="C1286" s="16"/>
      <c r="G1286" s="5">
        <f>IF(A1286="","","Checking")</f>
      </c>
      <c r="H1286">
        <f>IF(A1286="","",IFERROR(XLOOKUP(D1286,Setup!$E$15:$E$79,Setup!$F$15:$F$79),"Miscellaneous"))</f>
      </c>
      <c r="I1286">
        <f>IF(A1286="","",IFERROR(XLOOKUP(D1286,Setup!$E$15:$E$79,Setup!$G$15:$G$79),"Uncategorized"))</f>
      </c>
      <c r="J1286">
        <f>IF(A1286="","",IF(OR(H1286="Transfers",H1286="Income",D1286="Transfer",D1286="Category Pending",F1286="Pending"),"No","Yes"))</f>
      </c>
      <c r="K1286" s="4">
        <f>IF(A1286="","",TEXT(IF(DAY(A1286)&gt;=Setup!$B$9,DATE(YEAR(A1286),MONTH(A1286)+1,1),DATE(YEAR(A1286),MONTH(A1286),1)),"mmmm yyyy"))</f>
      </c>
      <c r="L1286" s="47">
        <f>IF(A1286="",0,IF(AND(J1286="Yes",E1286&lt;0),-E1286,0))</f>
      </c>
      <c r="M1286" s="47">
        <f>IF(A1286="",0,IF(AND(J1286="Yes",E1286&gt;0),E1286,0))</f>
      </c>
      <c r="N1286">
        <f>IF(A1286="","",IF(D1286="Category Pending","Needs categorization",IF(COUNTIFS($A$2:A1286,A1286,$B$2:B1286,B1286,$E$2:E1286,E1286)&gt;1,"Possible duplicate","")))</f>
      </c>
    </row>
    <row r="1287" spans="3:14" x14ac:dyDescent="0.3">
      <c r="A1287"/>
      <c r="C1287" s="16"/>
      <c r="G1287" s="5">
        <f>IF(A1287="","","Checking")</f>
      </c>
      <c r="H1287">
        <f>IF(A1287="","",IFERROR(XLOOKUP(D1287,Setup!$E$15:$E$79,Setup!$F$15:$F$79),"Miscellaneous"))</f>
      </c>
      <c r="I1287">
        <f>IF(A1287="","",IFERROR(XLOOKUP(D1287,Setup!$E$15:$E$79,Setup!$G$15:$G$79),"Uncategorized"))</f>
      </c>
      <c r="J1287">
        <f>IF(A1287="","",IF(OR(H1287="Transfers",H1287="Income",D1287="Transfer",D1287="Category Pending",F1287="Pending"),"No","Yes"))</f>
      </c>
      <c r="K1287" s="4">
        <f>IF(A1287="","",TEXT(IF(DAY(A1287)&gt;=Setup!$B$9,DATE(YEAR(A1287),MONTH(A1287)+1,1),DATE(YEAR(A1287),MONTH(A1287),1)),"mmmm yyyy"))</f>
      </c>
      <c r="L1287" s="47">
        <f>IF(A1287="",0,IF(AND(J1287="Yes",E1287&lt;0),-E1287,0))</f>
      </c>
      <c r="M1287" s="47">
        <f>IF(A1287="",0,IF(AND(J1287="Yes",E1287&gt;0),E1287,0))</f>
      </c>
      <c r="N1287">
        <f>IF(A1287="","",IF(D1287="Category Pending","Needs categorization",IF(COUNTIFS($A$2:A1287,A1287,$B$2:B1287,B1287,$E$2:E1287,E1287)&gt;1,"Possible duplicate","")))</f>
      </c>
    </row>
    <row r="1288" spans="3:14" x14ac:dyDescent="0.3">
      <c r="A1288"/>
      <c r="C1288" s="16"/>
      <c r="G1288" s="5">
        <f>IF(A1288="","","Checking")</f>
      </c>
      <c r="H1288">
        <f>IF(A1288="","",IFERROR(XLOOKUP(D1288,Setup!$E$15:$E$79,Setup!$F$15:$F$79),"Miscellaneous"))</f>
      </c>
      <c r="I1288">
        <f>IF(A1288="","",IFERROR(XLOOKUP(D1288,Setup!$E$15:$E$79,Setup!$G$15:$G$79),"Uncategorized"))</f>
      </c>
      <c r="J1288">
        <f>IF(A1288="","",IF(OR(H1288="Transfers",H1288="Income",D1288="Transfer",D1288="Category Pending",F1288="Pending"),"No","Yes"))</f>
      </c>
      <c r="K1288" s="4">
        <f>IF(A1288="","",TEXT(IF(DAY(A1288)&gt;=Setup!$B$9,DATE(YEAR(A1288),MONTH(A1288)+1,1),DATE(YEAR(A1288),MONTH(A1288),1)),"mmmm yyyy"))</f>
      </c>
      <c r="L1288" s="47">
        <f>IF(A1288="",0,IF(AND(J1288="Yes",E1288&lt;0),-E1288,0))</f>
      </c>
      <c r="M1288" s="47">
        <f>IF(A1288="",0,IF(AND(J1288="Yes",E1288&gt;0),E1288,0))</f>
      </c>
      <c r="N1288">
        <f>IF(A1288="","",IF(D1288="Category Pending","Needs categorization",IF(COUNTIFS($A$2:A1288,A1288,$B$2:B1288,B1288,$E$2:E1288,E1288)&gt;1,"Possible duplicate","")))</f>
      </c>
    </row>
    <row r="1289" spans="3:14" x14ac:dyDescent="0.3">
      <c r="A1289"/>
      <c r="C1289" s="16"/>
      <c r="G1289" s="5">
        <f>IF(A1289="","","Checking")</f>
      </c>
      <c r="H1289">
        <f>IF(A1289="","",IFERROR(XLOOKUP(D1289,Setup!$E$15:$E$79,Setup!$F$15:$F$79),"Miscellaneous"))</f>
      </c>
      <c r="I1289">
        <f>IF(A1289="","",IFERROR(XLOOKUP(D1289,Setup!$E$15:$E$79,Setup!$G$15:$G$79),"Uncategorized"))</f>
      </c>
      <c r="J1289">
        <f>IF(A1289="","",IF(OR(H1289="Transfers",H1289="Income",D1289="Transfer",D1289="Category Pending",F1289="Pending"),"No","Yes"))</f>
      </c>
      <c r="K1289" s="4">
        <f>IF(A1289="","",TEXT(IF(DAY(A1289)&gt;=Setup!$B$9,DATE(YEAR(A1289),MONTH(A1289)+1,1),DATE(YEAR(A1289),MONTH(A1289),1)),"mmmm yyyy"))</f>
      </c>
      <c r="L1289" s="47">
        <f>IF(A1289="",0,IF(AND(J1289="Yes",E1289&lt;0),-E1289,0))</f>
      </c>
      <c r="M1289" s="47">
        <f>IF(A1289="",0,IF(AND(J1289="Yes",E1289&gt;0),E1289,0))</f>
      </c>
      <c r="N1289">
        <f>IF(A1289="","",IF(D1289="Category Pending","Needs categorization",IF(COUNTIFS($A$2:A1289,A1289,$B$2:B1289,B1289,$E$2:E1289,E1289)&gt;1,"Possible duplicate","")))</f>
      </c>
    </row>
    <row r="1290" spans="3:14" x14ac:dyDescent="0.3">
      <c r="A1290"/>
      <c r="C1290" s="16"/>
      <c r="G1290" s="5">
        <f>IF(A1290="","","Checking")</f>
      </c>
      <c r="H1290">
        <f>IF(A1290="","",IFERROR(XLOOKUP(D1290,Setup!$E$15:$E$79,Setup!$F$15:$F$79),"Miscellaneous"))</f>
      </c>
      <c r="I1290">
        <f>IF(A1290="","",IFERROR(XLOOKUP(D1290,Setup!$E$15:$E$79,Setup!$G$15:$G$79),"Uncategorized"))</f>
      </c>
      <c r="J1290">
        <f>IF(A1290="","",IF(OR(H1290="Transfers",H1290="Income",D1290="Transfer",D1290="Category Pending",F1290="Pending"),"No","Yes"))</f>
      </c>
      <c r="K1290" s="4">
        <f>IF(A1290="","",TEXT(IF(DAY(A1290)&gt;=Setup!$B$9,DATE(YEAR(A1290),MONTH(A1290)+1,1),DATE(YEAR(A1290),MONTH(A1290),1)),"mmmm yyyy"))</f>
      </c>
      <c r="L1290" s="47">
        <f>IF(A1290="",0,IF(AND(J1290="Yes",E1290&lt;0),-E1290,0))</f>
      </c>
      <c r="M1290" s="47">
        <f>IF(A1290="",0,IF(AND(J1290="Yes",E1290&gt;0),E1290,0))</f>
      </c>
      <c r="N1290">
        <f>IF(A1290="","",IF(D1290="Category Pending","Needs categorization",IF(COUNTIFS($A$2:A1290,A1290,$B$2:B1290,B1290,$E$2:E1290,E1290)&gt;1,"Possible duplicate","")))</f>
      </c>
    </row>
    <row r="1291" spans="3:14" x14ac:dyDescent="0.3">
      <c r="A1291"/>
      <c r="C1291" s="16"/>
      <c r="G1291" s="5">
        <f>IF(A1291="","","Checking")</f>
      </c>
      <c r="H1291">
        <f>IF(A1291="","",IFERROR(XLOOKUP(D1291,Setup!$E$15:$E$79,Setup!$F$15:$F$79),"Miscellaneous"))</f>
      </c>
      <c r="I1291">
        <f>IF(A1291="","",IFERROR(XLOOKUP(D1291,Setup!$E$15:$E$79,Setup!$G$15:$G$79),"Uncategorized"))</f>
      </c>
      <c r="J1291">
        <f>IF(A1291="","",IF(OR(H1291="Transfers",H1291="Income",D1291="Transfer",D1291="Category Pending",F1291="Pending"),"No","Yes"))</f>
      </c>
      <c r="K1291" s="4">
        <f>IF(A1291="","",TEXT(IF(DAY(A1291)&gt;=Setup!$B$9,DATE(YEAR(A1291),MONTH(A1291)+1,1),DATE(YEAR(A1291),MONTH(A1291),1)),"mmmm yyyy"))</f>
      </c>
      <c r="L1291" s="47">
        <f>IF(A1291="",0,IF(AND(J1291="Yes",E1291&lt;0),-E1291,0))</f>
      </c>
      <c r="M1291" s="47">
        <f>IF(A1291="",0,IF(AND(J1291="Yes",E1291&gt;0),E1291,0))</f>
      </c>
      <c r="N1291">
        <f>IF(A1291="","",IF(D1291="Category Pending","Needs categorization",IF(COUNTIFS($A$2:A1291,A1291,$B$2:B1291,B1291,$E$2:E1291,E1291)&gt;1,"Possible duplicate","")))</f>
      </c>
    </row>
    <row r="1292" spans="3:14" x14ac:dyDescent="0.3">
      <c r="A1292"/>
      <c r="C1292" s="16"/>
      <c r="G1292" s="5">
        <f>IF(A1292="","","Checking")</f>
      </c>
      <c r="H1292">
        <f>IF(A1292="","",IFERROR(XLOOKUP(D1292,Setup!$E$15:$E$79,Setup!$F$15:$F$79),"Miscellaneous"))</f>
      </c>
      <c r="I1292">
        <f>IF(A1292="","",IFERROR(XLOOKUP(D1292,Setup!$E$15:$E$79,Setup!$G$15:$G$79),"Uncategorized"))</f>
      </c>
      <c r="J1292">
        <f>IF(A1292="","",IF(OR(H1292="Transfers",H1292="Income",D1292="Transfer",D1292="Category Pending",F1292="Pending"),"No","Yes"))</f>
      </c>
      <c r="K1292" s="4">
        <f>IF(A1292="","",TEXT(IF(DAY(A1292)&gt;=Setup!$B$9,DATE(YEAR(A1292),MONTH(A1292)+1,1),DATE(YEAR(A1292),MONTH(A1292),1)),"mmmm yyyy"))</f>
      </c>
      <c r="L1292" s="47">
        <f>IF(A1292="",0,IF(AND(J1292="Yes",E1292&lt;0),-E1292,0))</f>
      </c>
      <c r="M1292" s="47">
        <f>IF(A1292="",0,IF(AND(J1292="Yes",E1292&gt;0),E1292,0))</f>
      </c>
      <c r="N1292">
        <f>IF(A1292="","",IF(D1292="Category Pending","Needs categorization",IF(COUNTIFS($A$2:A1292,A1292,$B$2:B1292,B1292,$E$2:E1292,E1292)&gt;1,"Possible duplicate","")))</f>
      </c>
    </row>
    <row r="1293" spans="3:14" x14ac:dyDescent="0.3">
      <c r="A1293"/>
      <c r="C1293" s="16"/>
      <c r="G1293" s="5">
        <f>IF(A1293="","","Checking")</f>
      </c>
      <c r="H1293">
        <f>IF(A1293="","",IFERROR(XLOOKUP(D1293,Setup!$E$15:$E$79,Setup!$F$15:$F$79),"Miscellaneous"))</f>
      </c>
      <c r="I1293">
        <f>IF(A1293="","",IFERROR(XLOOKUP(D1293,Setup!$E$15:$E$79,Setup!$G$15:$G$79),"Uncategorized"))</f>
      </c>
      <c r="J1293">
        <f>IF(A1293="","",IF(OR(H1293="Transfers",H1293="Income",D1293="Transfer",D1293="Category Pending",F1293="Pending"),"No","Yes"))</f>
      </c>
      <c r="K1293" s="4">
        <f>IF(A1293="","",TEXT(IF(DAY(A1293)&gt;=Setup!$B$9,DATE(YEAR(A1293),MONTH(A1293)+1,1),DATE(YEAR(A1293),MONTH(A1293),1)),"mmmm yyyy"))</f>
      </c>
      <c r="L1293" s="47">
        <f>IF(A1293="",0,IF(AND(J1293="Yes",E1293&lt;0),-E1293,0))</f>
      </c>
      <c r="M1293" s="47">
        <f>IF(A1293="",0,IF(AND(J1293="Yes",E1293&gt;0),E1293,0))</f>
      </c>
      <c r="N1293">
        <f>IF(A1293="","",IF(D1293="Category Pending","Needs categorization",IF(COUNTIFS($A$2:A1293,A1293,$B$2:B1293,B1293,$E$2:E1293,E1293)&gt;1,"Possible duplicate","")))</f>
      </c>
    </row>
    <row r="1294" spans="3:14" x14ac:dyDescent="0.3">
      <c r="A1294"/>
      <c r="C1294" s="16"/>
      <c r="G1294" s="5">
        <f>IF(A1294="","","Checking")</f>
      </c>
      <c r="H1294">
        <f>IF(A1294="","",IFERROR(XLOOKUP(D1294,Setup!$E$15:$E$79,Setup!$F$15:$F$79),"Miscellaneous"))</f>
      </c>
      <c r="I1294">
        <f>IF(A1294="","",IFERROR(XLOOKUP(D1294,Setup!$E$15:$E$79,Setup!$G$15:$G$79),"Uncategorized"))</f>
      </c>
      <c r="J1294">
        <f>IF(A1294="","",IF(OR(H1294="Transfers",H1294="Income",D1294="Transfer",D1294="Category Pending",F1294="Pending"),"No","Yes"))</f>
      </c>
      <c r="K1294" s="4">
        <f>IF(A1294="","",TEXT(IF(DAY(A1294)&gt;=Setup!$B$9,DATE(YEAR(A1294),MONTH(A1294)+1,1),DATE(YEAR(A1294),MONTH(A1294),1)),"mmmm yyyy"))</f>
      </c>
      <c r="L1294" s="47">
        <f>IF(A1294="",0,IF(AND(J1294="Yes",E1294&lt;0),-E1294,0))</f>
      </c>
      <c r="M1294" s="47">
        <f>IF(A1294="",0,IF(AND(J1294="Yes",E1294&gt;0),E1294,0))</f>
      </c>
      <c r="N1294">
        <f>IF(A1294="","",IF(D1294="Category Pending","Needs categorization",IF(COUNTIFS($A$2:A1294,A1294,$B$2:B1294,B1294,$E$2:E1294,E1294)&gt;1,"Possible duplicate","")))</f>
      </c>
    </row>
    <row r="1295" spans="3:14" x14ac:dyDescent="0.3">
      <c r="A1295"/>
      <c r="C1295" s="16"/>
      <c r="G1295" s="5">
        <f>IF(A1295="","","Checking")</f>
      </c>
      <c r="H1295">
        <f>IF(A1295="","",IFERROR(XLOOKUP(D1295,Setup!$E$15:$E$79,Setup!$F$15:$F$79),"Miscellaneous"))</f>
      </c>
      <c r="I1295">
        <f>IF(A1295="","",IFERROR(XLOOKUP(D1295,Setup!$E$15:$E$79,Setup!$G$15:$G$79),"Uncategorized"))</f>
      </c>
      <c r="J1295">
        <f>IF(A1295="","",IF(OR(H1295="Transfers",H1295="Income",D1295="Transfer",D1295="Category Pending",F1295="Pending"),"No","Yes"))</f>
      </c>
      <c r="K1295" s="4">
        <f>IF(A1295="","",TEXT(IF(DAY(A1295)&gt;=Setup!$B$9,DATE(YEAR(A1295),MONTH(A1295)+1,1),DATE(YEAR(A1295),MONTH(A1295),1)),"mmmm yyyy"))</f>
      </c>
      <c r="L1295" s="47">
        <f>IF(A1295="",0,IF(AND(J1295="Yes",E1295&lt;0),-E1295,0))</f>
      </c>
      <c r="M1295" s="47">
        <f>IF(A1295="",0,IF(AND(J1295="Yes",E1295&gt;0),E1295,0))</f>
      </c>
      <c r="N1295">
        <f>IF(A1295="","",IF(D1295="Category Pending","Needs categorization",IF(COUNTIFS($A$2:A1295,A1295,$B$2:B1295,B1295,$E$2:E1295,E1295)&gt;1,"Possible duplicate","")))</f>
      </c>
    </row>
    <row r="1296" spans="3:14" x14ac:dyDescent="0.3">
      <c r="A1296"/>
      <c r="C1296" s="16"/>
      <c r="G1296" s="5">
        <f>IF(A1296="","","Checking")</f>
      </c>
      <c r="H1296">
        <f>IF(A1296="","",IFERROR(XLOOKUP(D1296,Setup!$E$15:$E$79,Setup!$F$15:$F$79),"Miscellaneous"))</f>
      </c>
      <c r="I1296">
        <f>IF(A1296="","",IFERROR(XLOOKUP(D1296,Setup!$E$15:$E$79,Setup!$G$15:$G$79),"Uncategorized"))</f>
      </c>
      <c r="J1296">
        <f>IF(A1296="","",IF(OR(H1296="Transfers",H1296="Income",D1296="Transfer",D1296="Category Pending",F1296="Pending"),"No","Yes"))</f>
      </c>
      <c r="K1296" s="4">
        <f>IF(A1296="","",TEXT(IF(DAY(A1296)&gt;=Setup!$B$9,DATE(YEAR(A1296),MONTH(A1296)+1,1),DATE(YEAR(A1296),MONTH(A1296),1)),"mmmm yyyy"))</f>
      </c>
      <c r="L1296" s="47">
        <f>IF(A1296="",0,IF(AND(J1296="Yes",E1296&lt;0),-E1296,0))</f>
      </c>
      <c r="M1296" s="47">
        <f>IF(A1296="",0,IF(AND(J1296="Yes",E1296&gt;0),E1296,0))</f>
      </c>
      <c r="N1296">
        <f>IF(A1296="","",IF(D1296="Category Pending","Needs categorization",IF(COUNTIFS($A$2:A1296,A1296,$B$2:B1296,B1296,$E$2:E1296,E1296)&gt;1,"Possible duplicate","")))</f>
      </c>
    </row>
    <row r="1297" spans="3:14" x14ac:dyDescent="0.3">
      <c r="A1297"/>
      <c r="C1297" s="16"/>
      <c r="G1297" s="5">
        <f>IF(A1297="","","Checking")</f>
      </c>
      <c r="H1297">
        <f>IF(A1297="","",IFERROR(XLOOKUP(D1297,Setup!$E$15:$E$79,Setup!$F$15:$F$79),"Miscellaneous"))</f>
      </c>
      <c r="I1297">
        <f>IF(A1297="","",IFERROR(XLOOKUP(D1297,Setup!$E$15:$E$79,Setup!$G$15:$G$79),"Uncategorized"))</f>
      </c>
      <c r="J1297">
        <f>IF(A1297="","",IF(OR(H1297="Transfers",H1297="Income",D1297="Transfer",D1297="Category Pending",F1297="Pending"),"No","Yes"))</f>
      </c>
      <c r="K1297" s="4">
        <f>IF(A1297="","",TEXT(IF(DAY(A1297)&gt;=Setup!$B$9,DATE(YEAR(A1297),MONTH(A1297)+1,1),DATE(YEAR(A1297),MONTH(A1297),1)),"mmmm yyyy"))</f>
      </c>
      <c r="L1297" s="47">
        <f>IF(A1297="",0,IF(AND(J1297="Yes",E1297&lt;0),-E1297,0))</f>
      </c>
      <c r="M1297" s="47">
        <f>IF(A1297="",0,IF(AND(J1297="Yes",E1297&gt;0),E1297,0))</f>
      </c>
      <c r="N1297">
        <f>IF(A1297="","",IF(D1297="Category Pending","Needs categorization",IF(COUNTIFS($A$2:A1297,A1297,$B$2:B1297,B1297,$E$2:E1297,E1297)&gt;1,"Possible duplicate","")))</f>
      </c>
    </row>
    <row r="1298" spans="3:14" x14ac:dyDescent="0.3">
      <c r="A1298"/>
      <c r="C1298" s="16"/>
      <c r="G1298" s="5">
        <f>IF(A1298="","","Checking")</f>
      </c>
      <c r="H1298">
        <f>IF(A1298="","",IFERROR(XLOOKUP(D1298,Setup!$E$15:$E$79,Setup!$F$15:$F$79),"Miscellaneous"))</f>
      </c>
      <c r="I1298">
        <f>IF(A1298="","",IFERROR(XLOOKUP(D1298,Setup!$E$15:$E$79,Setup!$G$15:$G$79),"Uncategorized"))</f>
      </c>
      <c r="J1298">
        <f>IF(A1298="","",IF(OR(H1298="Transfers",H1298="Income",D1298="Transfer",D1298="Category Pending",F1298="Pending"),"No","Yes"))</f>
      </c>
      <c r="K1298" s="4">
        <f>IF(A1298="","",TEXT(IF(DAY(A1298)&gt;=Setup!$B$9,DATE(YEAR(A1298),MONTH(A1298)+1,1),DATE(YEAR(A1298),MONTH(A1298),1)),"mmmm yyyy"))</f>
      </c>
      <c r="L1298" s="47">
        <f>IF(A1298="",0,IF(AND(J1298="Yes",E1298&lt;0),-E1298,0))</f>
      </c>
      <c r="M1298" s="47">
        <f>IF(A1298="",0,IF(AND(J1298="Yes",E1298&gt;0),E1298,0))</f>
      </c>
      <c r="N1298">
        <f>IF(A1298="","",IF(D1298="Category Pending","Needs categorization",IF(COUNTIFS($A$2:A1298,A1298,$B$2:B1298,B1298,$E$2:E1298,E1298)&gt;1,"Possible duplicate","")))</f>
      </c>
    </row>
    <row r="1299" spans="3:14" x14ac:dyDescent="0.3">
      <c r="A1299"/>
      <c r="C1299" s="16"/>
      <c r="G1299" s="5">
        <f>IF(A1299="","","Checking")</f>
      </c>
      <c r="H1299">
        <f>IF(A1299="","",IFERROR(XLOOKUP(D1299,Setup!$E$15:$E$79,Setup!$F$15:$F$79),"Miscellaneous"))</f>
      </c>
      <c r="I1299">
        <f>IF(A1299="","",IFERROR(XLOOKUP(D1299,Setup!$E$15:$E$79,Setup!$G$15:$G$79),"Uncategorized"))</f>
      </c>
      <c r="J1299">
        <f>IF(A1299="","",IF(OR(H1299="Transfers",H1299="Income",D1299="Transfer",D1299="Category Pending",F1299="Pending"),"No","Yes"))</f>
      </c>
      <c r="K1299" s="4">
        <f>IF(A1299="","",TEXT(IF(DAY(A1299)&gt;=Setup!$B$9,DATE(YEAR(A1299),MONTH(A1299)+1,1),DATE(YEAR(A1299),MONTH(A1299),1)),"mmmm yyyy"))</f>
      </c>
      <c r="L1299" s="47">
        <f>IF(A1299="",0,IF(AND(J1299="Yes",E1299&lt;0),-E1299,0))</f>
      </c>
      <c r="M1299" s="47">
        <f>IF(A1299="",0,IF(AND(J1299="Yes",E1299&gt;0),E1299,0))</f>
      </c>
      <c r="N1299">
        <f>IF(A1299="","",IF(D1299="Category Pending","Needs categorization",IF(COUNTIFS($A$2:A1299,A1299,$B$2:B1299,B1299,$E$2:E1299,E1299)&gt;1,"Possible duplicate","")))</f>
      </c>
    </row>
    <row r="1300" spans="3:14" x14ac:dyDescent="0.3">
      <c r="A1300"/>
      <c r="C1300" s="16"/>
      <c r="G1300" s="5">
        <f>IF(A1300="","","Checking")</f>
      </c>
      <c r="H1300">
        <f>IF(A1300="","",IFERROR(XLOOKUP(D1300,Setup!$E$15:$E$79,Setup!$F$15:$F$79),"Miscellaneous"))</f>
      </c>
      <c r="I1300">
        <f>IF(A1300="","",IFERROR(XLOOKUP(D1300,Setup!$E$15:$E$79,Setup!$G$15:$G$79),"Uncategorized"))</f>
      </c>
      <c r="J1300">
        <f>IF(A1300="","",IF(OR(H1300="Transfers",H1300="Income",D1300="Transfer",D1300="Category Pending",F1300="Pending"),"No","Yes"))</f>
      </c>
      <c r="K1300" s="4">
        <f>IF(A1300="","",TEXT(IF(DAY(A1300)&gt;=Setup!$B$9,DATE(YEAR(A1300),MONTH(A1300)+1,1),DATE(YEAR(A1300),MONTH(A1300),1)),"mmmm yyyy"))</f>
      </c>
      <c r="L1300" s="47">
        <f>IF(A1300="",0,IF(AND(J1300="Yes",E1300&lt;0),-E1300,0))</f>
      </c>
      <c r="M1300" s="47">
        <f>IF(A1300="",0,IF(AND(J1300="Yes",E1300&gt;0),E1300,0))</f>
      </c>
      <c r="N1300">
        <f>IF(A1300="","",IF(D1300="Category Pending","Needs categorization",IF(COUNTIFS($A$2:A1300,A1300,$B$2:B1300,B1300,$E$2:E1300,E1300)&gt;1,"Possible duplicate","")))</f>
      </c>
    </row>
    <row r="1301" spans="3:14" x14ac:dyDescent="0.3">
      <c r="A1301"/>
      <c r="C1301" s="16"/>
      <c r="G1301" s="5">
        <f>IF(A1301="","","Checking")</f>
      </c>
      <c r="H1301">
        <f>IF(A1301="","",IFERROR(XLOOKUP(D1301,Setup!$E$15:$E$79,Setup!$F$15:$F$79),"Miscellaneous"))</f>
      </c>
      <c r="I1301">
        <f>IF(A1301="","",IFERROR(XLOOKUP(D1301,Setup!$E$15:$E$79,Setup!$G$15:$G$79),"Uncategorized"))</f>
      </c>
      <c r="J1301">
        <f>IF(A1301="","",IF(OR(H1301="Transfers",H1301="Income",D1301="Transfer",D1301="Category Pending",F1301="Pending"),"No","Yes"))</f>
      </c>
      <c r="K1301" s="4">
        <f>IF(A1301="","",TEXT(IF(DAY(A1301)&gt;=Setup!$B$9,DATE(YEAR(A1301),MONTH(A1301)+1,1),DATE(YEAR(A1301),MONTH(A1301),1)),"mmmm yyyy"))</f>
      </c>
      <c r="L1301" s="47">
        <f>IF(A1301="",0,IF(AND(J1301="Yes",E1301&lt;0),-E1301,0))</f>
      </c>
      <c r="M1301" s="47">
        <f>IF(A1301="",0,IF(AND(J1301="Yes",E1301&gt;0),E1301,0))</f>
      </c>
      <c r="N1301">
        <f>IF(A1301="","",IF(D1301="Category Pending","Needs categorization",IF(COUNTIFS($A$2:A1301,A1301,$B$2:B1301,B1301,$E$2:E1301,E1301)&gt;1,"Possible duplicate","")))</f>
      </c>
    </row>
    <row r="1302" spans="3:14" x14ac:dyDescent="0.3">
      <c r="A1302"/>
      <c r="C1302" s="16"/>
      <c r="G1302" s="5">
        <f>IF(A1302="","","Checking")</f>
      </c>
      <c r="H1302">
        <f>IF(A1302="","",IFERROR(XLOOKUP(D1302,Setup!$E$15:$E$79,Setup!$F$15:$F$79),"Miscellaneous"))</f>
      </c>
      <c r="I1302">
        <f>IF(A1302="","",IFERROR(XLOOKUP(D1302,Setup!$E$15:$E$79,Setup!$G$15:$G$79),"Uncategorized"))</f>
      </c>
      <c r="J1302">
        <f>IF(A1302="","",IF(OR(H1302="Transfers",H1302="Income",D1302="Transfer",D1302="Category Pending",F1302="Pending"),"No","Yes"))</f>
      </c>
      <c r="K1302" s="4">
        <f>IF(A1302="","",TEXT(IF(DAY(A1302)&gt;=Setup!$B$9,DATE(YEAR(A1302),MONTH(A1302)+1,1),DATE(YEAR(A1302),MONTH(A1302),1)),"mmmm yyyy"))</f>
      </c>
      <c r="L1302" s="47">
        <f>IF(A1302="",0,IF(AND(J1302="Yes",E1302&lt;0),-E1302,0))</f>
      </c>
      <c r="M1302" s="47">
        <f>IF(A1302="",0,IF(AND(J1302="Yes",E1302&gt;0),E1302,0))</f>
      </c>
      <c r="N1302">
        <f>IF(A1302="","",IF(D1302="Category Pending","Needs categorization",IF(COUNTIFS($A$2:A1302,A1302,$B$2:B1302,B1302,$E$2:E1302,E1302)&gt;1,"Possible duplicate","")))</f>
      </c>
    </row>
    <row r="1303" spans="3:14" x14ac:dyDescent="0.3">
      <c r="A1303"/>
      <c r="C1303" s="16"/>
      <c r="G1303" s="5">
        <f>IF(A1303="","","Checking")</f>
      </c>
      <c r="H1303">
        <f>IF(A1303="","",IFERROR(XLOOKUP(D1303,Setup!$E$15:$E$79,Setup!$F$15:$F$79),"Miscellaneous"))</f>
      </c>
      <c r="I1303">
        <f>IF(A1303="","",IFERROR(XLOOKUP(D1303,Setup!$E$15:$E$79,Setup!$G$15:$G$79),"Uncategorized"))</f>
      </c>
      <c r="J1303">
        <f>IF(A1303="","",IF(OR(H1303="Transfers",H1303="Income",D1303="Transfer",D1303="Category Pending",F1303="Pending"),"No","Yes"))</f>
      </c>
      <c r="K1303" s="4">
        <f>IF(A1303="","",TEXT(IF(DAY(A1303)&gt;=Setup!$B$9,DATE(YEAR(A1303),MONTH(A1303)+1,1),DATE(YEAR(A1303),MONTH(A1303),1)),"mmmm yyyy"))</f>
      </c>
      <c r="L1303" s="47">
        <f>IF(A1303="",0,IF(AND(J1303="Yes",E1303&lt;0),-E1303,0))</f>
      </c>
      <c r="M1303" s="47">
        <f>IF(A1303="",0,IF(AND(J1303="Yes",E1303&gt;0),E1303,0))</f>
      </c>
      <c r="N1303">
        <f>IF(A1303="","",IF(D1303="Category Pending","Needs categorization",IF(COUNTIFS($A$2:A1303,A1303,$B$2:B1303,B1303,$E$2:E1303,E1303)&gt;1,"Possible duplicate","")))</f>
      </c>
    </row>
    <row r="1304" spans="3:14" x14ac:dyDescent="0.3">
      <c r="A1304"/>
      <c r="C1304" s="16"/>
      <c r="G1304" s="5">
        <f>IF(A1304="","","Checking")</f>
      </c>
      <c r="H1304">
        <f>IF(A1304="","",IFERROR(XLOOKUP(D1304,Setup!$E$15:$E$79,Setup!$F$15:$F$79),"Miscellaneous"))</f>
      </c>
      <c r="I1304">
        <f>IF(A1304="","",IFERROR(XLOOKUP(D1304,Setup!$E$15:$E$79,Setup!$G$15:$G$79),"Uncategorized"))</f>
      </c>
      <c r="J1304">
        <f>IF(A1304="","",IF(OR(H1304="Transfers",H1304="Income",D1304="Transfer",D1304="Category Pending",F1304="Pending"),"No","Yes"))</f>
      </c>
      <c r="K1304" s="4">
        <f>IF(A1304="","",TEXT(IF(DAY(A1304)&gt;=Setup!$B$9,DATE(YEAR(A1304),MONTH(A1304)+1,1),DATE(YEAR(A1304),MONTH(A1304),1)),"mmmm yyyy"))</f>
      </c>
      <c r="L1304" s="47">
        <f>IF(A1304="",0,IF(AND(J1304="Yes",E1304&lt;0),-E1304,0))</f>
      </c>
      <c r="M1304" s="47">
        <f>IF(A1304="",0,IF(AND(J1304="Yes",E1304&gt;0),E1304,0))</f>
      </c>
      <c r="N1304">
        <f>IF(A1304="","",IF(D1304="Category Pending","Needs categorization",IF(COUNTIFS($A$2:A1304,A1304,$B$2:B1304,B1304,$E$2:E1304,E1304)&gt;1,"Possible duplicate","")))</f>
      </c>
    </row>
    <row r="1305" spans="3:14" x14ac:dyDescent="0.3">
      <c r="A1305"/>
      <c r="C1305" s="16"/>
      <c r="G1305" s="5">
        <f>IF(A1305="","","Checking")</f>
      </c>
      <c r="H1305">
        <f>IF(A1305="","",IFERROR(XLOOKUP(D1305,Setup!$E$15:$E$79,Setup!$F$15:$F$79),"Miscellaneous"))</f>
      </c>
      <c r="I1305">
        <f>IF(A1305="","",IFERROR(XLOOKUP(D1305,Setup!$E$15:$E$79,Setup!$G$15:$G$79),"Uncategorized"))</f>
      </c>
      <c r="J1305">
        <f>IF(A1305="","",IF(OR(H1305="Transfers",H1305="Income",D1305="Transfer",D1305="Category Pending",F1305="Pending"),"No","Yes"))</f>
      </c>
      <c r="K1305" s="4">
        <f>IF(A1305="","",TEXT(IF(DAY(A1305)&gt;=Setup!$B$9,DATE(YEAR(A1305),MONTH(A1305)+1,1),DATE(YEAR(A1305),MONTH(A1305),1)),"mmmm yyyy"))</f>
      </c>
      <c r="L1305" s="47">
        <f>IF(A1305="",0,IF(AND(J1305="Yes",E1305&lt;0),-E1305,0))</f>
      </c>
      <c r="M1305" s="47">
        <f>IF(A1305="",0,IF(AND(J1305="Yes",E1305&gt;0),E1305,0))</f>
      </c>
      <c r="N1305">
        <f>IF(A1305="","",IF(D1305="Category Pending","Needs categorization",IF(COUNTIFS($A$2:A1305,A1305,$B$2:B1305,B1305,$E$2:E1305,E1305)&gt;1,"Possible duplicate","")))</f>
      </c>
    </row>
    <row r="1306" spans="3:14" x14ac:dyDescent="0.3">
      <c r="A1306"/>
      <c r="C1306" s="16"/>
      <c r="G1306" s="5">
        <f>IF(A1306="","","Checking")</f>
      </c>
      <c r="H1306">
        <f>IF(A1306="","",IFERROR(XLOOKUP(D1306,Setup!$E$15:$E$79,Setup!$F$15:$F$79),"Miscellaneous"))</f>
      </c>
      <c r="I1306">
        <f>IF(A1306="","",IFERROR(XLOOKUP(D1306,Setup!$E$15:$E$79,Setup!$G$15:$G$79),"Uncategorized"))</f>
      </c>
      <c r="J1306">
        <f>IF(A1306="","",IF(OR(H1306="Transfers",H1306="Income",D1306="Transfer",D1306="Category Pending",F1306="Pending"),"No","Yes"))</f>
      </c>
      <c r="K1306" s="4">
        <f>IF(A1306="","",TEXT(IF(DAY(A1306)&gt;=Setup!$B$9,DATE(YEAR(A1306),MONTH(A1306)+1,1),DATE(YEAR(A1306),MONTH(A1306),1)),"mmmm yyyy"))</f>
      </c>
      <c r="L1306" s="47">
        <f>IF(A1306="",0,IF(AND(J1306="Yes",E1306&lt;0),-E1306,0))</f>
      </c>
      <c r="M1306" s="47">
        <f>IF(A1306="",0,IF(AND(J1306="Yes",E1306&gt;0),E1306,0))</f>
      </c>
      <c r="N1306">
        <f>IF(A1306="","",IF(D1306="Category Pending","Needs categorization",IF(COUNTIFS($A$2:A1306,A1306,$B$2:B1306,B1306,$E$2:E1306,E1306)&gt;1,"Possible duplicate","")))</f>
      </c>
    </row>
    <row r="1307" spans="3:14" x14ac:dyDescent="0.3">
      <c r="A1307"/>
      <c r="C1307" s="16"/>
      <c r="G1307" s="5">
        <f>IF(A1307="","","Checking")</f>
      </c>
      <c r="H1307">
        <f>IF(A1307="","",IFERROR(XLOOKUP(D1307,Setup!$E$15:$E$79,Setup!$F$15:$F$79),"Miscellaneous"))</f>
      </c>
      <c r="I1307">
        <f>IF(A1307="","",IFERROR(XLOOKUP(D1307,Setup!$E$15:$E$79,Setup!$G$15:$G$79),"Uncategorized"))</f>
      </c>
      <c r="J1307">
        <f>IF(A1307="","",IF(OR(H1307="Transfers",H1307="Income",D1307="Transfer",D1307="Category Pending",F1307="Pending"),"No","Yes"))</f>
      </c>
      <c r="K1307" s="4">
        <f>IF(A1307="","",TEXT(IF(DAY(A1307)&gt;=Setup!$B$9,DATE(YEAR(A1307),MONTH(A1307)+1,1),DATE(YEAR(A1307),MONTH(A1307),1)),"mmmm yyyy"))</f>
      </c>
      <c r="L1307" s="47">
        <f>IF(A1307="",0,IF(AND(J1307="Yes",E1307&lt;0),-E1307,0))</f>
      </c>
      <c r="M1307" s="47">
        <f>IF(A1307="",0,IF(AND(J1307="Yes",E1307&gt;0),E1307,0))</f>
      </c>
      <c r="N1307">
        <f>IF(A1307="","",IF(D1307="Category Pending","Needs categorization",IF(COUNTIFS($A$2:A1307,A1307,$B$2:B1307,B1307,$E$2:E1307,E1307)&gt;1,"Possible duplicate","")))</f>
      </c>
    </row>
    <row r="1308" spans="3:14" x14ac:dyDescent="0.3">
      <c r="A1308"/>
      <c r="C1308" s="16"/>
      <c r="G1308" s="5">
        <f>IF(A1308="","","Checking")</f>
      </c>
      <c r="H1308">
        <f>IF(A1308="","",IFERROR(XLOOKUP(D1308,Setup!$E$15:$E$79,Setup!$F$15:$F$79),"Miscellaneous"))</f>
      </c>
      <c r="I1308">
        <f>IF(A1308="","",IFERROR(XLOOKUP(D1308,Setup!$E$15:$E$79,Setup!$G$15:$G$79),"Uncategorized"))</f>
      </c>
      <c r="J1308">
        <f>IF(A1308="","",IF(OR(H1308="Transfers",H1308="Income",D1308="Transfer",D1308="Category Pending",F1308="Pending"),"No","Yes"))</f>
      </c>
      <c r="K1308" s="4">
        <f>IF(A1308="","",TEXT(IF(DAY(A1308)&gt;=Setup!$B$9,DATE(YEAR(A1308),MONTH(A1308)+1,1),DATE(YEAR(A1308),MONTH(A1308),1)),"mmmm yyyy"))</f>
      </c>
      <c r="L1308" s="47">
        <f>IF(A1308="",0,IF(AND(J1308="Yes",E1308&lt;0),-E1308,0))</f>
      </c>
      <c r="M1308" s="47">
        <f>IF(A1308="",0,IF(AND(J1308="Yes",E1308&gt;0),E1308,0))</f>
      </c>
      <c r="N1308">
        <f>IF(A1308="","",IF(D1308="Category Pending","Needs categorization",IF(COUNTIFS($A$2:A1308,A1308,$B$2:B1308,B1308,$E$2:E1308,E1308)&gt;1,"Possible duplicate","")))</f>
      </c>
    </row>
    <row r="1309" spans="3:14" x14ac:dyDescent="0.3">
      <c r="A1309"/>
      <c r="C1309" s="16"/>
      <c r="G1309" s="5">
        <f>IF(A1309="","","Checking")</f>
      </c>
      <c r="H1309">
        <f>IF(A1309="","",IFERROR(XLOOKUP(D1309,Setup!$E$15:$E$79,Setup!$F$15:$F$79),"Miscellaneous"))</f>
      </c>
      <c r="I1309">
        <f>IF(A1309="","",IFERROR(XLOOKUP(D1309,Setup!$E$15:$E$79,Setup!$G$15:$G$79),"Uncategorized"))</f>
      </c>
      <c r="J1309">
        <f>IF(A1309="","",IF(OR(H1309="Transfers",H1309="Income",D1309="Transfer",D1309="Category Pending",F1309="Pending"),"No","Yes"))</f>
      </c>
      <c r="K1309" s="4">
        <f>IF(A1309="","",TEXT(IF(DAY(A1309)&gt;=Setup!$B$9,DATE(YEAR(A1309),MONTH(A1309)+1,1),DATE(YEAR(A1309),MONTH(A1309),1)),"mmmm yyyy"))</f>
      </c>
      <c r="L1309" s="47">
        <f>IF(A1309="",0,IF(AND(J1309="Yes",E1309&lt;0),-E1309,0))</f>
      </c>
      <c r="M1309" s="47">
        <f>IF(A1309="",0,IF(AND(J1309="Yes",E1309&gt;0),E1309,0))</f>
      </c>
      <c r="N1309">
        <f>IF(A1309="","",IF(D1309="Category Pending","Needs categorization",IF(COUNTIFS($A$2:A1309,A1309,$B$2:B1309,B1309,$E$2:E1309,E1309)&gt;1,"Possible duplicate","")))</f>
      </c>
    </row>
    <row r="1310" spans="3:14" x14ac:dyDescent="0.3">
      <c r="A1310"/>
      <c r="C1310" s="16"/>
      <c r="G1310" s="5">
        <f>IF(A1310="","","Checking")</f>
      </c>
      <c r="H1310">
        <f>IF(A1310="","",IFERROR(XLOOKUP(D1310,Setup!$E$15:$E$79,Setup!$F$15:$F$79),"Miscellaneous"))</f>
      </c>
      <c r="I1310">
        <f>IF(A1310="","",IFERROR(XLOOKUP(D1310,Setup!$E$15:$E$79,Setup!$G$15:$G$79),"Uncategorized"))</f>
      </c>
      <c r="J1310">
        <f>IF(A1310="","",IF(OR(H1310="Transfers",H1310="Income",D1310="Transfer",D1310="Category Pending",F1310="Pending"),"No","Yes"))</f>
      </c>
      <c r="K1310" s="4">
        <f>IF(A1310="","",TEXT(IF(DAY(A1310)&gt;=Setup!$B$9,DATE(YEAR(A1310),MONTH(A1310)+1,1),DATE(YEAR(A1310),MONTH(A1310),1)),"mmmm yyyy"))</f>
      </c>
      <c r="L1310" s="47">
        <f>IF(A1310="",0,IF(AND(J1310="Yes",E1310&lt;0),-E1310,0))</f>
      </c>
      <c r="M1310" s="47">
        <f>IF(A1310="",0,IF(AND(J1310="Yes",E1310&gt;0),E1310,0))</f>
      </c>
      <c r="N1310">
        <f>IF(A1310="","",IF(D1310="Category Pending","Needs categorization",IF(COUNTIFS($A$2:A1310,A1310,$B$2:B1310,B1310,$E$2:E1310,E1310)&gt;1,"Possible duplicate","")))</f>
      </c>
    </row>
    <row r="1311" spans="3:14" x14ac:dyDescent="0.3">
      <c r="A1311"/>
      <c r="C1311" s="16"/>
      <c r="G1311" s="5">
        <f>IF(A1311="","","Checking")</f>
      </c>
      <c r="H1311">
        <f>IF(A1311="","",IFERROR(XLOOKUP(D1311,Setup!$E$15:$E$79,Setup!$F$15:$F$79),"Miscellaneous"))</f>
      </c>
      <c r="I1311">
        <f>IF(A1311="","",IFERROR(XLOOKUP(D1311,Setup!$E$15:$E$79,Setup!$G$15:$G$79),"Uncategorized"))</f>
      </c>
      <c r="J1311">
        <f>IF(A1311="","",IF(OR(H1311="Transfers",H1311="Income",D1311="Transfer",D1311="Category Pending",F1311="Pending"),"No","Yes"))</f>
      </c>
      <c r="K1311" s="4">
        <f>IF(A1311="","",TEXT(IF(DAY(A1311)&gt;=Setup!$B$9,DATE(YEAR(A1311),MONTH(A1311)+1,1),DATE(YEAR(A1311),MONTH(A1311),1)),"mmmm yyyy"))</f>
      </c>
      <c r="L1311" s="47">
        <f>IF(A1311="",0,IF(AND(J1311="Yes",E1311&lt;0),-E1311,0))</f>
      </c>
      <c r="M1311" s="47">
        <f>IF(A1311="",0,IF(AND(J1311="Yes",E1311&gt;0),E1311,0))</f>
      </c>
      <c r="N1311">
        <f>IF(A1311="","",IF(D1311="Category Pending","Needs categorization",IF(COUNTIFS($A$2:A1311,A1311,$B$2:B1311,B1311,$E$2:E1311,E1311)&gt;1,"Possible duplicate","")))</f>
      </c>
    </row>
    <row r="1312" spans="3:14" x14ac:dyDescent="0.3">
      <c r="A1312"/>
      <c r="C1312" s="16"/>
      <c r="G1312" s="5">
        <f>IF(A1312="","","Checking")</f>
      </c>
      <c r="H1312">
        <f>IF(A1312="","",IFERROR(XLOOKUP(D1312,Setup!$E$15:$E$79,Setup!$F$15:$F$79),"Miscellaneous"))</f>
      </c>
      <c r="I1312">
        <f>IF(A1312="","",IFERROR(XLOOKUP(D1312,Setup!$E$15:$E$79,Setup!$G$15:$G$79),"Uncategorized"))</f>
      </c>
      <c r="J1312">
        <f>IF(A1312="","",IF(OR(H1312="Transfers",H1312="Income",D1312="Transfer",D1312="Category Pending",F1312="Pending"),"No","Yes"))</f>
      </c>
      <c r="K1312" s="4">
        <f>IF(A1312="","",TEXT(IF(DAY(A1312)&gt;=Setup!$B$9,DATE(YEAR(A1312),MONTH(A1312)+1,1),DATE(YEAR(A1312),MONTH(A1312),1)),"mmmm yyyy"))</f>
      </c>
      <c r="L1312" s="47">
        <f>IF(A1312="",0,IF(AND(J1312="Yes",E1312&lt;0),-E1312,0))</f>
      </c>
      <c r="M1312" s="47">
        <f>IF(A1312="",0,IF(AND(J1312="Yes",E1312&gt;0),E1312,0))</f>
      </c>
      <c r="N1312">
        <f>IF(A1312="","",IF(D1312="Category Pending","Needs categorization",IF(COUNTIFS($A$2:A1312,A1312,$B$2:B1312,B1312,$E$2:E1312,E1312)&gt;1,"Possible duplicate","")))</f>
      </c>
    </row>
    <row r="1313" spans="3:14" x14ac:dyDescent="0.3">
      <c r="A1313"/>
      <c r="C1313" s="16"/>
      <c r="G1313" s="5">
        <f>IF(A1313="","","Checking")</f>
      </c>
      <c r="H1313">
        <f>IF(A1313="","",IFERROR(XLOOKUP(D1313,Setup!$E$15:$E$79,Setup!$F$15:$F$79),"Miscellaneous"))</f>
      </c>
      <c r="I1313">
        <f>IF(A1313="","",IFERROR(XLOOKUP(D1313,Setup!$E$15:$E$79,Setup!$G$15:$G$79),"Uncategorized"))</f>
      </c>
      <c r="J1313">
        <f>IF(A1313="","",IF(OR(H1313="Transfers",H1313="Income",D1313="Transfer",D1313="Category Pending",F1313="Pending"),"No","Yes"))</f>
      </c>
      <c r="K1313" s="4">
        <f>IF(A1313="","",TEXT(IF(DAY(A1313)&gt;=Setup!$B$9,DATE(YEAR(A1313),MONTH(A1313)+1,1),DATE(YEAR(A1313),MONTH(A1313),1)),"mmmm yyyy"))</f>
      </c>
      <c r="L1313" s="47">
        <f>IF(A1313="",0,IF(AND(J1313="Yes",E1313&lt;0),-E1313,0))</f>
      </c>
      <c r="M1313" s="47">
        <f>IF(A1313="",0,IF(AND(J1313="Yes",E1313&gt;0),E1313,0))</f>
      </c>
      <c r="N1313">
        <f>IF(A1313="","",IF(D1313="Category Pending","Needs categorization",IF(COUNTIFS($A$2:A1313,A1313,$B$2:B1313,B1313,$E$2:E1313,E1313)&gt;1,"Possible duplicate","")))</f>
      </c>
    </row>
    <row r="1314" spans="3:14" x14ac:dyDescent="0.3">
      <c r="A1314"/>
      <c r="C1314" s="16"/>
      <c r="G1314" s="5">
        <f>IF(A1314="","","Checking")</f>
      </c>
      <c r="H1314">
        <f>IF(A1314="","",IFERROR(XLOOKUP(D1314,Setup!$E$15:$E$79,Setup!$F$15:$F$79),"Miscellaneous"))</f>
      </c>
      <c r="I1314">
        <f>IF(A1314="","",IFERROR(XLOOKUP(D1314,Setup!$E$15:$E$79,Setup!$G$15:$G$79),"Uncategorized"))</f>
      </c>
      <c r="J1314">
        <f>IF(A1314="","",IF(OR(H1314="Transfers",H1314="Income",D1314="Transfer",D1314="Category Pending",F1314="Pending"),"No","Yes"))</f>
      </c>
      <c r="K1314" s="4">
        <f>IF(A1314="","",TEXT(IF(DAY(A1314)&gt;=Setup!$B$9,DATE(YEAR(A1314),MONTH(A1314)+1,1),DATE(YEAR(A1314),MONTH(A1314),1)),"mmmm yyyy"))</f>
      </c>
      <c r="L1314" s="47">
        <f>IF(A1314="",0,IF(AND(J1314="Yes",E1314&lt;0),-E1314,0))</f>
      </c>
      <c r="M1314" s="47">
        <f>IF(A1314="",0,IF(AND(J1314="Yes",E1314&gt;0),E1314,0))</f>
      </c>
      <c r="N1314">
        <f>IF(A1314="","",IF(D1314="Category Pending","Needs categorization",IF(COUNTIFS($A$2:A1314,A1314,$B$2:B1314,B1314,$E$2:E1314,E1314)&gt;1,"Possible duplicate","")))</f>
      </c>
    </row>
    <row r="1315" spans="3:14" x14ac:dyDescent="0.3">
      <c r="A1315"/>
      <c r="C1315" s="16"/>
      <c r="G1315" s="5">
        <f>IF(A1315="","","Checking")</f>
      </c>
      <c r="H1315">
        <f>IF(A1315="","",IFERROR(XLOOKUP(D1315,Setup!$E$15:$E$79,Setup!$F$15:$F$79),"Miscellaneous"))</f>
      </c>
      <c r="I1315">
        <f>IF(A1315="","",IFERROR(XLOOKUP(D1315,Setup!$E$15:$E$79,Setup!$G$15:$G$79),"Uncategorized"))</f>
      </c>
      <c r="J1315">
        <f>IF(A1315="","",IF(OR(H1315="Transfers",H1315="Income",D1315="Transfer",D1315="Category Pending",F1315="Pending"),"No","Yes"))</f>
      </c>
      <c r="K1315" s="4">
        <f>IF(A1315="","",TEXT(IF(DAY(A1315)&gt;=Setup!$B$9,DATE(YEAR(A1315),MONTH(A1315)+1,1),DATE(YEAR(A1315),MONTH(A1315),1)),"mmmm yyyy"))</f>
      </c>
      <c r="L1315" s="47">
        <f>IF(A1315="",0,IF(AND(J1315="Yes",E1315&lt;0),-E1315,0))</f>
      </c>
      <c r="M1315" s="47">
        <f>IF(A1315="",0,IF(AND(J1315="Yes",E1315&gt;0),E1315,0))</f>
      </c>
      <c r="N1315">
        <f>IF(A1315="","",IF(D1315="Category Pending","Needs categorization",IF(COUNTIFS($A$2:A1315,A1315,$B$2:B1315,B1315,$E$2:E1315,E1315)&gt;1,"Possible duplicate","")))</f>
      </c>
    </row>
    <row r="1316" spans="3:14" x14ac:dyDescent="0.3">
      <c r="A1316"/>
      <c r="C1316" s="16"/>
      <c r="G1316" s="5">
        <f>IF(A1316="","","Checking")</f>
      </c>
      <c r="H1316">
        <f>IF(A1316="","",IFERROR(XLOOKUP(D1316,Setup!$E$15:$E$79,Setup!$F$15:$F$79),"Miscellaneous"))</f>
      </c>
      <c r="I1316">
        <f>IF(A1316="","",IFERROR(XLOOKUP(D1316,Setup!$E$15:$E$79,Setup!$G$15:$G$79),"Uncategorized"))</f>
      </c>
      <c r="J1316">
        <f>IF(A1316="","",IF(OR(H1316="Transfers",H1316="Income",D1316="Transfer",D1316="Category Pending",F1316="Pending"),"No","Yes"))</f>
      </c>
      <c r="K1316" s="4">
        <f>IF(A1316="","",TEXT(IF(DAY(A1316)&gt;=Setup!$B$9,DATE(YEAR(A1316),MONTH(A1316)+1,1),DATE(YEAR(A1316),MONTH(A1316),1)),"mmmm yyyy"))</f>
      </c>
      <c r="L1316" s="47">
        <f>IF(A1316="",0,IF(AND(J1316="Yes",E1316&lt;0),-E1316,0))</f>
      </c>
      <c r="M1316" s="47">
        <f>IF(A1316="",0,IF(AND(J1316="Yes",E1316&gt;0),E1316,0))</f>
      </c>
      <c r="N1316">
        <f>IF(A1316="","",IF(D1316="Category Pending","Needs categorization",IF(COUNTIFS($A$2:A1316,A1316,$B$2:B1316,B1316,$E$2:E1316,E1316)&gt;1,"Possible duplicate","")))</f>
      </c>
    </row>
    <row r="1317" spans="3:14" x14ac:dyDescent="0.3">
      <c r="A1317"/>
      <c r="C1317" s="16"/>
      <c r="G1317" s="5">
        <f>IF(A1317="","","Checking")</f>
      </c>
      <c r="H1317">
        <f>IF(A1317="","",IFERROR(XLOOKUP(D1317,Setup!$E$15:$E$79,Setup!$F$15:$F$79),"Miscellaneous"))</f>
      </c>
      <c r="I1317">
        <f>IF(A1317="","",IFERROR(XLOOKUP(D1317,Setup!$E$15:$E$79,Setup!$G$15:$G$79),"Uncategorized"))</f>
      </c>
      <c r="J1317">
        <f>IF(A1317="","",IF(OR(H1317="Transfers",H1317="Income",D1317="Transfer",D1317="Category Pending",F1317="Pending"),"No","Yes"))</f>
      </c>
      <c r="K1317" s="4">
        <f>IF(A1317="","",TEXT(IF(DAY(A1317)&gt;=Setup!$B$9,DATE(YEAR(A1317),MONTH(A1317)+1,1),DATE(YEAR(A1317),MONTH(A1317),1)),"mmmm yyyy"))</f>
      </c>
      <c r="L1317" s="47">
        <f>IF(A1317="",0,IF(AND(J1317="Yes",E1317&lt;0),-E1317,0))</f>
      </c>
      <c r="M1317" s="47">
        <f>IF(A1317="",0,IF(AND(J1317="Yes",E1317&gt;0),E1317,0))</f>
      </c>
      <c r="N1317">
        <f>IF(A1317="","",IF(D1317="Category Pending","Needs categorization",IF(COUNTIFS($A$2:A1317,A1317,$B$2:B1317,B1317,$E$2:E1317,E1317)&gt;1,"Possible duplicate","")))</f>
      </c>
    </row>
    <row r="1318" spans="3:14" x14ac:dyDescent="0.3">
      <c r="A1318"/>
      <c r="C1318" s="16"/>
      <c r="G1318" s="5">
        <f>IF(A1318="","","Checking")</f>
      </c>
      <c r="H1318">
        <f>IF(A1318="","",IFERROR(XLOOKUP(D1318,Setup!$E$15:$E$79,Setup!$F$15:$F$79),"Miscellaneous"))</f>
      </c>
      <c r="I1318">
        <f>IF(A1318="","",IFERROR(XLOOKUP(D1318,Setup!$E$15:$E$79,Setup!$G$15:$G$79),"Uncategorized"))</f>
      </c>
      <c r="J1318">
        <f>IF(A1318="","",IF(OR(H1318="Transfers",H1318="Income",D1318="Transfer",D1318="Category Pending",F1318="Pending"),"No","Yes"))</f>
      </c>
      <c r="K1318" s="4">
        <f>IF(A1318="","",TEXT(IF(DAY(A1318)&gt;=Setup!$B$9,DATE(YEAR(A1318),MONTH(A1318)+1,1),DATE(YEAR(A1318),MONTH(A1318),1)),"mmmm yyyy"))</f>
      </c>
      <c r="L1318" s="47">
        <f>IF(A1318="",0,IF(AND(J1318="Yes",E1318&lt;0),-E1318,0))</f>
      </c>
      <c r="M1318" s="47">
        <f>IF(A1318="",0,IF(AND(J1318="Yes",E1318&gt;0),E1318,0))</f>
      </c>
      <c r="N1318">
        <f>IF(A1318="","",IF(D1318="Category Pending","Needs categorization",IF(COUNTIFS($A$2:A1318,A1318,$B$2:B1318,B1318,$E$2:E1318,E1318)&gt;1,"Possible duplicate","")))</f>
      </c>
    </row>
    <row r="1319" spans="3:14" x14ac:dyDescent="0.3">
      <c r="A1319"/>
      <c r="C1319" s="16"/>
      <c r="G1319" s="5">
        <f>IF(A1319="","","Checking")</f>
      </c>
      <c r="H1319">
        <f>IF(A1319="","",IFERROR(XLOOKUP(D1319,Setup!$E$15:$E$79,Setup!$F$15:$F$79),"Miscellaneous"))</f>
      </c>
      <c r="I1319">
        <f>IF(A1319="","",IFERROR(XLOOKUP(D1319,Setup!$E$15:$E$79,Setup!$G$15:$G$79),"Uncategorized"))</f>
      </c>
      <c r="J1319">
        <f>IF(A1319="","",IF(OR(H1319="Transfers",H1319="Income",D1319="Transfer",D1319="Category Pending",F1319="Pending"),"No","Yes"))</f>
      </c>
      <c r="K1319" s="4">
        <f>IF(A1319="","",TEXT(IF(DAY(A1319)&gt;=Setup!$B$9,DATE(YEAR(A1319),MONTH(A1319)+1,1),DATE(YEAR(A1319),MONTH(A1319),1)),"mmmm yyyy"))</f>
      </c>
      <c r="L1319" s="47">
        <f>IF(A1319="",0,IF(AND(J1319="Yes",E1319&lt;0),-E1319,0))</f>
      </c>
      <c r="M1319" s="47">
        <f>IF(A1319="",0,IF(AND(J1319="Yes",E1319&gt;0),E1319,0))</f>
      </c>
      <c r="N1319">
        <f>IF(A1319="","",IF(D1319="Category Pending","Needs categorization",IF(COUNTIFS($A$2:A1319,A1319,$B$2:B1319,B1319,$E$2:E1319,E1319)&gt;1,"Possible duplicate","")))</f>
      </c>
    </row>
    <row r="1320" spans="3:14" x14ac:dyDescent="0.3">
      <c r="A1320"/>
      <c r="C1320" s="16"/>
      <c r="G1320" s="5">
        <f>IF(A1320="","","Checking")</f>
      </c>
      <c r="H1320">
        <f>IF(A1320="","",IFERROR(XLOOKUP(D1320,Setup!$E$15:$E$79,Setup!$F$15:$F$79),"Miscellaneous"))</f>
      </c>
      <c r="I1320">
        <f>IF(A1320="","",IFERROR(XLOOKUP(D1320,Setup!$E$15:$E$79,Setup!$G$15:$G$79),"Uncategorized"))</f>
      </c>
      <c r="J1320">
        <f>IF(A1320="","",IF(OR(H1320="Transfers",H1320="Income",D1320="Transfer",D1320="Category Pending",F1320="Pending"),"No","Yes"))</f>
      </c>
      <c r="K1320" s="4">
        <f>IF(A1320="","",TEXT(IF(DAY(A1320)&gt;=Setup!$B$9,DATE(YEAR(A1320),MONTH(A1320)+1,1),DATE(YEAR(A1320),MONTH(A1320),1)),"mmmm yyyy"))</f>
      </c>
      <c r="L1320" s="47">
        <f>IF(A1320="",0,IF(AND(J1320="Yes",E1320&lt;0),-E1320,0))</f>
      </c>
      <c r="M1320" s="47">
        <f>IF(A1320="",0,IF(AND(J1320="Yes",E1320&gt;0),E1320,0))</f>
      </c>
      <c r="N1320">
        <f>IF(A1320="","",IF(D1320="Category Pending","Needs categorization",IF(COUNTIFS($A$2:A1320,A1320,$B$2:B1320,B1320,$E$2:E1320,E1320)&gt;1,"Possible duplicate","")))</f>
      </c>
    </row>
    <row r="1321" spans="3:14" x14ac:dyDescent="0.3">
      <c r="A1321"/>
      <c r="C1321" s="16"/>
      <c r="G1321" s="5">
        <f>IF(A1321="","","Checking")</f>
      </c>
      <c r="H1321">
        <f>IF(A1321="","",IFERROR(XLOOKUP(D1321,Setup!$E$15:$E$79,Setup!$F$15:$F$79),"Miscellaneous"))</f>
      </c>
      <c r="I1321">
        <f>IF(A1321="","",IFERROR(XLOOKUP(D1321,Setup!$E$15:$E$79,Setup!$G$15:$G$79),"Uncategorized"))</f>
      </c>
      <c r="J1321">
        <f>IF(A1321="","",IF(OR(H1321="Transfers",H1321="Income",D1321="Transfer",D1321="Category Pending",F1321="Pending"),"No","Yes"))</f>
      </c>
      <c r="K1321" s="4">
        <f>IF(A1321="","",TEXT(IF(DAY(A1321)&gt;=Setup!$B$9,DATE(YEAR(A1321),MONTH(A1321)+1,1),DATE(YEAR(A1321),MONTH(A1321),1)),"mmmm yyyy"))</f>
      </c>
      <c r="L1321" s="47">
        <f>IF(A1321="",0,IF(AND(J1321="Yes",E1321&lt;0),-E1321,0))</f>
      </c>
      <c r="M1321" s="47">
        <f>IF(A1321="",0,IF(AND(J1321="Yes",E1321&gt;0),E1321,0))</f>
      </c>
      <c r="N1321">
        <f>IF(A1321="","",IF(D1321="Category Pending","Needs categorization",IF(COUNTIFS($A$2:A1321,A1321,$B$2:B1321,B1321,$E$2:E1321,E1321)&gt;1,"Possible duplicate","")))</f>
      </c>
    </row>
    <row r="1322" spans="3:14" x14ac:dyDescent="0.3">
      <c r="A1322"/>
      <c r="C1322" s="16"/>
      <c r="G1322" s="5">
        <f>IF(A1322="","","Checking")</f>
      </c>
      <c r="H1322">
        <f>IF(A1322="","",IFERROR(XLOOKUP(D1322,Setup!$E$15:$E$79,Setup!$F$15:$F$79),"Miscellaneous"))</f>
      </c>
      <c r="I1322">
        <f>IF(A1322="","",IFERROR(XLOOKUP(D1322,Setup!$E$15:$E$79,Setup!$G$15:$G$79),"Uncategorized"))</f>
      </c>
      <c r="J1322">
        <f>IF(A1322="","",IF(OR(H1322="Transfers",H1322="Income",D1322="Transfer",D1322="Category Pending",F1322="Pending"),"No","Yes"))</f>
      </c>
      <c r="K1322" s="4">
        <f>IF(A1322="","",TEXT(IF(DAY(A1322)&gt;=Setup!$B$9,DATE(YEAR(A1322),MONTH(A1322)+1,1),DATE(YEAR(A1322),MONTH(A1322),1)),"mmmm yyyy"))</f>
      </c>
      <c r="L1322" s="47">
        <f>IF(A1322="",0,IF(AND(J1322="Yes",E1322&lt;0),-E1322,0))</f>
      </c>
      <c r="M1322" s="47">
        <f>IF(A1322="",0,IF(AND(J1322="Yes",E1322&gt;0),E1322,0))</f>
      </c>
      <c r="N1322">
        <f>IF(A1322="","",IF(D1322="Category Pending","Needs categorization",IF(COUNTIFS($A$2:A1322,A1322,$B$2:B1322,B1322,$E$2:E1322,E1322)&gt;1,"Possible duplicate","")))</f>
      </c>
    </row>
    <row r="1323" spans="3:14" x14ac:dyDescent="0.3">
      <c r="A1323"/>
      <c r="C1323" s="16"/>
      <c r="G1323" s="5">
        <f>IF(A1323="","","Checking")</f>
      </c>
      <c r="H1323">
        <f>IF(A1323="","",IFERROR(XLOOKUP(D1323,Setup!$E$15:$E$79,Setup!$F$15:$F$79),"Miscellaneous"))</f>
      </c>
      <c r="I1323">
        <f>IF(A1323="","",IFERROR(XLOOKUP(D1323,Setup!$E$15:$E$79,Setup!$G$15:$G$79),"Uncategorized"))</f>
      </c>
      <c r="J1323">
        <f>IF(A1323="","",IF(OR(H1323="Transfers",H1323="Income",D1323="Transfer",D1323="Category Pending",F1323="Pending"),"No","Yes"))</f>
      </c>
      <c r="K1323" s="4">
        <f>IF(A1323="","",TEXT(IF(DAY(A1323)&gt;=Setup!$B$9,DATE(YEAR(A1323),MONTH(A1323)+1,1),DATE(YEAR(A1323),MONTH(A1323),1)),"mmmm yyyy"))</f>
      </c>
      <c r="L1323" s="47">
        <f>IF(A1323="",0,IF(AND(J1323="Yes",E1323&lt;0),-E1323,0))</f>
      </c>
      <c r="M1323" s="47">
        <f>IF(A1323="",0,IF(AND(J1323="Yes",E1323&gt;0),E1323,0))</f>
      </c>
      <c r="N1323">
        <f>IF(A1323="","",IF(D1323="Category Pending","Needs categorization",IF(COUNTIFS($A$2:A1323,A1323,$B$2:B1323,B1323,$E$2:E1323,E1323)&gt;1,"Possible duplicate","")))</f>
      </c>
    </row>
    <row r="1324" spans="3:14" x14ac:dyDescent="0.3">
      <c r="A1324"/>
      <c r="C1324" s="16"/>
      <c r="G1324" s="5">
        <f>IF(A1324="","","Checking")</f>
      </c>
      <c r="H1324">
        <f>IF(A1324="","",IFERROR(XLOOKUP(D1324,Setup!$E$15:$E$79,Setup!$F$15:$F$79),"Miscellaneous"))</f>
      </c>
      <c r="I1324">
        <f>IF(A1324="","",IFERROR(XLOOKUP(D1324,Setup!$E$15:$E$79,Setup!$G$15:$G$79),"Uncategorized"))</f>
      </c>
      <c r="J1324">
        <f>IF(A1324="","",IF(OR(H1324="Transfers",H1324="Income",D1324="Transfer",D1324="Category Pending",F1324="Pending"),"No","Yes"))</f>
      </c>
      <c r="K1324" s="4">
        <f>IF(A1324="","",TEXT(IF(DAY(A1324)&gt;=Setup!$B$9,DATE(YEAR(A1324),MONTH(A1324)+1,1),DATE(YEAR(A1324),MONTH(A1324),1)),"mmmm yyyy"))</f>
      </c>
      <c r="L1324" s="47">
        <f>IF(A1324="",0,IF(AND(J1324="Yes",E1324&lt;0),-E1324,0))</f>
      </c>
      <c r="M1324" s="47">
        <f>IF(A1324="",0,IF(AND(J1324="Yes",E1324&gt;0),E1324,0))</f>
      </c>
      <c r="N1324">
        <f>IF(A1324="","",IF(D1324="Category Pending","Needs categorization",IF(COUNTIFS($A$2:A1324,A1324,$B$2:B1324,B1324,$E$2:E1324,E1324)&gt;1,"Possible duplicate","")))</f>
      </c>
    </row>
    <row r="1325" spans="3:14" x14ac:dyDescent="0.3">
      <c r="A1325"/>
      <c r="C1325" s="16"/>
      <c r="G1325" s="5">
        <f>IF(A1325="","","Checking")</f>
      </c>
      <c r="H1325">
        <f>IF(A1325="","",IFERROR(XLOOKUP(D1325,Setup!$E$15:$E$79,Setup!$F$15:$F$79),"Miscellaneous"))</f>
      </c>
      <c r="I1325">
        <f>IF(A1325="","",IFERROR(XLOOKUP(D1325,Setup!$E$15:$E$79,Setup!$G$15:$G$79),"Uncategorized"))</f>
      </c>
      <c r="J1325">
        <f>IF(A1325="","",IF(OR(H1325="Transfers",H1325="Income",D1325="Transfer",D1325="Category Pending",F1325="Pending"),"No","Yes"))</f>
      </c>
      <c r="K1325" s="4">
        <f>IF(A1325="","",TEXT(IF(DAY(A1325)&gt;=Setup!$B$9,DATE(YEAR(A1325),MONTH(A1325)+1,1),DATE(YEAR(A1325),MONTH(A1325),1)),"mmmm yyyy"))</f>
      </c>
      <c r="L1325" s="47">
        <f>IF(A1325="",0,IF(AND(J1325="Yes",E1325&lt;0),-E1325,0))</f>
      </c>
      <c r="M1325" s="47">
        <f>IF(A1325="",0,IF(AND(J1325="Yes",E1325&gt;0),E1325,0))</f>
      </c>
      <c r="N1325">
        <f>IF(A1325="","",IF(D1325="Category Pending","Needs categorization",IF(COUNTIFS($A$2:A1325,A1325,$B$2:B1325,B1325,$E$2:E1325,E1325)&gt;1,"Possible duplicate","")))</f>
      </c>
    </row>
    <row r="1326" spans="3:14" x14ac:dyDescent="0.3">
      <c r="A1326"/>
      <c r="C1326" s="16"/>
      <c r="G1326" s="5">
        <f>IF(A1326="","","Checking")</f>
      </c>
      <c r="H1326">
        <f>IF(A1326="","",IFERROR(XLOOKUP(D1326,Setup!$E$15:$E$79,Setup!$F$15:$F$79),"Miscellaneous"))</f>
      </c>
      <c r="I1326">
        <f>IF(A1326="","",IFERROR(XLOOKUP(D1326,Setup!$E$15:$E$79,Setup!$G$15:$G$79),"Uncategorized"))</f>
      </c>
      <c r="J1326">
        <f>IF(A1326="","",IF(OR(H1326="Transfers",H1326="Income",D1326="Transfer",D1326="Category Pending",F1326="Pending"),"No","Yes"))</f>
      </c>
      <c r="K1326" s="4">
        <f>IF(A1326="","",TEXT(IF(DAY(A1326)&gt;=Setup!$B$9,DATE(YEAR(A1326),MONTH(A1326)+1,1),DATE(YEAR(A1326),MONTH(A1326),1)),"mmmm yyyy"))</f>
      </c>
      <c r="L1326" s="47">
        <f>IF(A1326="",0,IF(AND(J1326="Yes",E1326&lt;0),-E1326,0))</f>
      </c>
      <c r="M1326" s="47">
        <f>IF(A1326="",0,IF(AND(J1326="Yes",E1326&gt;0),E1326,0))</f>
      </c>
      <c r="N1326">
        <f>IF(A1326="","",IF(D1326="Category Pending","Needs categorization",IF(COUNTIFS($A$2:A1326,A1326,$B$2:B1326,B1326,$E$2:E1326,E1326)&gt;1,"Possible duplicate","")))</f>
      </c>
    </row>
    <row r="1327" spans="3:14" x14ac:dyDescent="0.3">
      <c r="A1327"/>
      <c r="C1327" s="16"/>
      <c r="G1327" s="5">
        <f>IF(A1327="","","Checking")</f>
      </c>
      <c r="H1327">
        <f>IF(A1327="","",IFERROR(XLOOKUP(D1327,Setup!$E$15:$E$79,Setup!$F$15:$F$79),"Miscellaneous"))</f>
      </c>
      <c r="I1327">
        <f>IF(A1327="","",IFERROR(XLOOKUP(D1327,Setup!$E$15:$E$79,Setup!$G$15:$G$79),"Uncategorized"))</f>
      </c>
      <c r="J1327">
        <f>IF(A1327="","",IF(OR(H1327="Transfers",H1327="Income",D1327="Transfer",D1327="Category Pending",F1327="Pending"),"No","Yes"))</f>
      </c>
      <c r="K1327" s="4">
        <f>IF(A1327="","",TEXT(IF(DAY(A1327)&gt;=Setup!$B$9,DATE(YEAR(A1327),MONTH(A1327)+1,1),DATE(YEAR(A1327),MONTH(A1327),1)),"mmmm yyyy"))</f>
      </c>
      <c r="L1327" s="47">
        <f>IF(A1327="",0,IF(AND(J1327="Yes",E1327&lt;0),-E1327,0))</f>
      </c>
      <c r="M1327" s="47">
        <f>IF(A1327="",0,IF(AND(J1327="Yes",E1327&gt;0),E1327,0))</f>
      </c>
      <c r="N1327">
        <f>IF(A1327="","",IF(D1327="Category Pending","Needs categorization",IF(COUNTIFS($A$2:A1327,A1327,$B$2:B1327,B1327,$E$2:E1327,E1327)&gt;1,"Possible duplicate","")))</f>
      </c>
    </row>
    <row r="1328" spans="3:14" x14ac:dyDescent="0.3">
      <c r="A1328"/>
      <c r="C1328" s="16"/>
      <c r="G1328" s="5">
        <f>IF(A1328="","","Checking")</f>
      </c>
      <c r="H1328">
        <f>IF(A1328="","",IFERROR(XLOOKUP(D1328,Setup!$E$15:$E$79,Setup!$F$15:$F$79),"Miscellaneous"))</f>
      </c>
      <c r="I1328">
        <f>IF(A1328="","",IFERROR(XLOOKUP(D1328,Setup!$E$15:$E$79,Setup!$G$15:$G$79),"Uncategorized"))</f>
      </c>
      <c r="J1328">
        <f>IF(A1328="","",IF(OR(H1328="Transfers",H1328="Income",D1328="Transfer",D1328="Category Pending",F1328="Pending"),"No","Yes"))</f>
      </c>
      <c r="K1328" s="4">
        <f>IF(A1328="","",TEXT(IF(DAY(A1328)&gt;=Setup!$B$9,DATE(YEAR(A1328),MONTH(A1328)+1,1),DATE(YEAR(A1328),MONTH(A1328),1)),"mmmm yyyy"))</f>
      </c>
      <c r="L1328" s="47">
        <f>IF(A1328="",0,IF(AND(J1328="Yes",E1328&lt;0),-E1328,0))</f>
      </c>
      <c r="M1328" s="47">
        <f>IF(A1328="",0,IF(AND(J1328="Yes",E1328&gt;0),E1328,0))</f>
      </c>
      <c r="N1328">
        <f>IF(A1328="","",IF(D1328="Category Pending","Needs categorization",IF(COUNTIFS($A$2:A1328,A1328,$B$2:B1328,B1328,$E$2:E1328,E1328)&gt;1,"Possible duplicate","")))</f>
      </c>
    </row>
    <row r="1329" spans="3:14" x14ac:dyDescent="0.3">
      <c r="A1329"/>
      <c r="C1329" s="16"/>
      <c r="G1329" s="5">
        <f>IF(A1329="","","Checking")</f>
      </c>
      <c r="H1329">
        <f>IF(A1329="","",IFERROR(XLOOKUP(D1329,Setup!$E$15:$E$79,Setup!$F$15:$F$79),"Miscellaneous"))</f>
      </c>
      <c r="I1329">
        <f>IF(A1329="","",IFERROR(XLOOKUP(D1329,Setup!$E$15:$E$79,Setup!$G$15:$G$79),"Uncategorized"))</f>
      </c>
      <c r="J1329">
        <f>IF(A1329="","",IF(OR(H1329="Transfers",H1329="Income",D1329="Transfer",D1329="Category Pending",F1329="Pending"),"No","Yes"))</f>
      </c>
      <c r="K1329" s="4">
        <f>IF(A1329="","",TEXT(IF(DAY(A1329)&gt;=Setup!$B$9,DATE(YEAR(A1329),MONTH(A1329)+1,1),DATE(YEAR(A1329),MONTH(A1329),1)),"mmmm yyyy"))</f>
      </c>
      <c r="L1329" s="47">
        <f>IF(A1329="",0,IF(AND(J1329="Yes",E1329&lt;0),-E1329,0))</f>
      </c>
      <c r="M1329" s="47">
        <f>IF(A1329="",0,IF(AND(J1329="Yes",E1329&gt;0),E1329,0))</f>
      </c>
      <c r="N1329">
        <f>IF(A1329="","",IF(D1329="Category Pending","Needs categorization",IF(COUNTIFS($A$2:A1329,A1329,$B$2:B1329,B1329,$E$2:E1329,E1329)&gt;1,"Possible duplicate","")))</f>
      </c>
    </row>
    <row r="1330" spans="3:14" x14ac:dyDescent="0.3">
      <c r="A1330"/>
      <c r="C1330" s="16"/>
      <c r="G1330" s="5">
        <f>IF(A1330="","","Checking")</f>
      </c>
      <c r="H1330">
        <f>IF(A1330="","",IFERROR(XLOOKUP(D1330,Setup!$E$15:$E$79,Setup!$F$15:$F$79),"Miscellaneous"))</f>
      </c>
      <c r="I1330">
        <f>IF(A1330="","",IFERROR(XLOOKUP(D1330,Setup!$E$15:$E$79,Setup!$G$15:$G$79),"Uncategorized"))</f>
      </c>
      <c r="J1330">
        <f>IF(A1330="","",IF(OR(H1330="Transfers",H1330="Income",D1330="Transfer",D1330="Category Pending",F1330="Pending"),"No","Yes"))</f>
      </c>
      <c r="K1330" s="4">
        <f>IF(A1330="","",TEXT(IF(DAY(A1330)&gt;=Setup!$B$9,DATE(YEAR(A1330),MONTH(A1330)+1,1),DATE(YEAR(A1330),MONTH(A1330),1)),"mmmm yyyy"))</f>
      </c>
      <c r="L1330" s="47">
        <f>IF(A1330="",0,IF(AND(J1330="Yes",E1330&lt;0),-E1330,0))</f>
      </c>
      <c r="M1330" s="47">
        <f>IF(A1330="",0,IF(AND(J1330="Yes",E1330&gt;0),E1330,0))</f>
      </c>
      <c r="N1330">
        <f>IF(A1330="","",IF(D1330="Category Pending","Needs categorization",IF(COUNTIFS($A$2:A1330,A1330,$B$2:B1330,B1330,$E$2:E1330,E1330)&gt;1,"Possible duplicate","")))</f>
      </c>
    </row>
    <row r="1331" spans="3:14" x14ac:dyDescent="0.3">
      <c r="A1331"/>
      <c r="C1331" s="16"/>
      <c r="G1331" s="5">
        <f>IF(A1331="","","Checking")</f>
      </c>
      <c r="H1331">
        <f>IF(A1331="","",IFERROR(XLOOKUP(D1331,Setup!$E$15:$E$79,Setup!$F$15:$F$79),"Miscellaneous"))</f>
      </c>
      <c r="I1331">
        <f>IF(A1331="","",IFERROR(XLOOKUP(D1331,Setup!$E$15:$E$79,Setup!$G$15:$G$79),"Uncategorized"))</f>
      </c>
      <c r="J1331">
        <f>IF(A1331="","",IF(OR(H1331="Transfers",H1331="Income",D1331="Transfer",D1331="Category Pending",F1331="Pending"),"No","Yes"))</f>
      </c>
      <c r="K1331" s="4">
        <f>IF(A1331="","",TEXT(IF(DAY(A1331)&gt;=Setup!$B$9,DATE(YEAR(A1331),MONTH(A1331)+1,1),DATE(YEAR(A1331),MONTH(A1331),1)),"mmmm yyyy"))</f>
      </c>
      <c r="L1331" s="47">
        <f>IF(A1331="",0,IF(AND(J1331="Yes",E1331&lt;0),-E1331,0))</f>
      </c>
      <c r="M1331" s="47">
        <f>IF(A1331="",0,IF(AND(J1331="Yes",E1331&gt;0),E1331,0))</f>
      </c>
      <c r="N1331">
        <f>IF(A1331="","",IF(D1331="Category Pending","Needs categorization",IF(COUNTIFS($A$2:A1331,A1331,$B$2:B1331,B1331,$E$2:E1331,E1331)&gt;1,"Possible duplicate","")))</f>
      </c>
    </row>
    <row r="1332" spans="3:14" x14ac:dyDescent="0.3">
      <c r="A1332"/>
      <c r="C1332" s="16"/>
      <c r="G1332" s="5">
        <f>IF(A1332="","","Checking")</f>
      </c>
      <c r="H1332">
        <f>IF(A1332="","",IFERROR(XLOOKUP(D1332,Setup!$E$15:$E$79,Setup!$F$15:$F$79),"Miscellaneous"))</f>
      </c>
      <c r="I1332">
        <f>IF(A1332="","",IFERROR(XLOOKUP(D1332,Setup!$E$15:$E$79,Setup!$G$15:$G$79),"Uncategorized"))</f>
      </c>
      <c r="J1332">
        <f>IF(A1332="","",IF(OR(H1332="Transfers",H1332="Income",D1332="Transfer",D1332="Category Pending",F1332="Pending"),"No","Yes"))</f>
      </c>
      <c r="K1332" s="4">
        <f>IF(A1332="","",TEXT(IF(DAY(A1332)&gt;=Setup!$B$9,DATE(YEAR(A1332),MONTH(A1332)+1,1),DATE(YEAR(A1332),MONTH(A1332),1)),"mmmm yyyy"))</f>
      </c>
      <c r="L1332" s="47">
        <f>IF(A1332="",0,IF(AND(J1332="Yes",E1332&lt;0),-E1332,0))</f>
      </c>
      <c r="M1332" s="47">
        <f>IF(A1332="",0,IF(AND(J1332="Yes",E1332&gt;0),E1332,0))</f>
      </c>
      <c r="N1332">
        <f>IF(A1332="","",IF(D1332="Category Pending","Needs categorization",IF(COUNTIFS($A$2:A1332,A1332,$B$2:B1332,B1332,$E$2:E1332,E1332)&gt;1,"Possible duplicate","")))</f>
      </c>
    </row>
    <row r="1333" spans="3:14" x14ac:dyDescent="0.3">
      <c r="A1333"/>
      <c r="C1333" s="16"/>
      <c r="G1333" s="5">
        <f>IF(A1333="","","Checking")</f>
      </c>
      <c r="H1333">
        <f>IF(A1333="","",IFERROR(XLOOKUP(D1333,Setup!$E$15:$E$79,Setup!$F$15:$F$79),"Miscellaneous"))</f>
      </c>
      <c r="I1333">
        <f>IF(A1333="","",IFERROR(XLOOKUP(D1333,Setup!$E$15:$E$79,Setup!$G$15:$G$79),"Uncategorized"))</f>
      </c>
      <c r="J1333">
        <f>IF(A1333="","",IF(OR(H1333="Transfers",H1333="Income",D1333="Transfer",D1333="Category Pending",F1333="Pending"),"No","Yes"))</f>
      </c>
      <c r="K1333" s="4">
        <f>IF(A1333="","",TEXT(IF(DAY(A1333)&gt;=Setup!$B$9,DATE(YEAR(A1333),MONTH(A1333)+1,1),DATE(YEAR(A1333),MONTH(A1333),1)),"mmmm yyyy"))</f>
      </c>
      <c r="L1333" s="47">
        <f>IF(A1333="",0,IF(AND(J1333="Yes",E1333&lt;0),-E1333,0))</f>
      </c>
      <c r="M1333" s="47">
        <f>IF(A1333="",0,IF(AND(J1333="Yes",E1333&gt;0),E1333,0))</f>
      </c>
      <c r="N1333">
        <f>IF(A1333="","",IF(D1333="Category Pending","Needs categorization",IF(COUNTIFS($A$2:A1333,A1333,$B$2:B1333,B1333,$E$2:E1333,E1333)&gt;1,"Possible duplicate","")))</f>
      </c>
    </row>
    <row r="1334" spans="3:14" x14ac:dyDescent="0.3">
      <c r="A1334"/>
      <c r="C1334" s="16"/>
      <c r="G1334" s="5">
        <f>IF(A1334="","","Checking")</f>
      </c>
      <c r="H1334">
        <f>IF(A1334="","",IFERROR(XLOOKUP(D1334,Setup!$E$15:$E$79,Setup!$F$15:$F$79),"Miscellaneous"))</f>
      </c>
      <c r="I1334">
        <f>IF(A1334="","",IFERROR(XLOOKUP(D1334,Setup!$E$15:$E$79,Setup!$G$15:$G$79),"Uncategorized"))</f>
      </c>
      <c r="J1334">
        <f>IF(A1334="","",IF(OR(H1334="Transfers",H1334="Income",D1334="Transfer",D1334="Category Pending",F1334="Pending"),"No","Yes"))</f>
      </c>
      <c r="K1334" s="4">
        <f>IF(A1334="","",TEXT(IF(DAY(A1334)&gt;=Setup!$B$9,DATE(YEAR(A1334),MONTH(A1334)+1,1),DATE(YEAR(A1334),MONTH(A1334),1)),"mmmm yyyy"))</f>
      </c>
      <c r="L1334" s="47">
        <f>IF(A1334="",0,IF(AND(J1334="Yes",E1334&lt;0),-E1334,0))</f>
      </c>
      <c r="M1334" s="47">
        <f>IF(A1334="",0,IF(AND(J1334="Yes",E1334&gt;0),E1334,0))</f>
      </c>
      <c r="N1334">
        <f>IF(A1334="","",IF(D1334="Category Pending","Needs categorization",IF(COUNTIFS($A$2:A1334,A1334,$B$2:B1334,B1334,$E$2:E1334,E1334)&gt;1,"Possible duplicate","")))</f>
      </c>
    </row>
    <row r="1335" spans="3:14" x14ac:dyDescent="0.3">
      <c r="A1335"/>
      <c r="C1335" s="16"/>
      <c r="G1335" s="5">
        <f>IF(A1335="","","Checking")</f>
      </c>
      <c r="H1335">
        <f>IF(A1335="","",IFERROR(XLOOKUP(D1335,Setup!$E$15:$E$79,Setup!$F$15:$F$79),"Miscellaneous"))</f>
      </c>
      <c r="I1335">
        <f>IF(A1335="","",IFERROR(XLOOKUP(D1335,Setup!$E$15:$E$79,Setup!$G$15:$G$79),"Uncategorized"))</f>
      </c>
      <c r="J1335">
        <f>IF(A1335="","",IF(OR(H1335="Transfers",H1335="Income",D1335="Transfer",D1335="Category Pending",F1335="Pending"),"No","Yes"))</f>
      </c>
      <c r="K1335" s="4">
        <f>IF(A1335="","",TEXT(IF(DAY(A1335)&gt;=Setup!$B$9,DATE(YEAR(A1335),MONTH(A1335)+1,1),DATE(YEAR(A1335),MONTH(A1335),1)),"mmmm yyyy"))</f>
      </c>
      <c r="L1335" s="47">
        <f>IF(A1335="",0,IF(AND(J1335="Yes",E1335&lt;0),-E1335,0))</f>
      </c>
      <c r="M1335" s="47">
        <f>IF(A1335="",0,IF(AND(J1335="Yes",E1335&gt;0),E1335,0))</f>
      </c>
      <c r="N1335">
        <f>IF(A1335="","",IF(D1335="Category Pending","Needs categorization",IF(COUNTIFS($A$2:A1335,A1335,$B$2:B1335,B1335,$E$2:E1335,E1335)&gt;1,"Possible duplicate","")))</f>
      </c>
    </row>
    <row r="1336" spans="3:14" x14ac:dyDescent="0.3">
      <c r="A1336"/>
      <c r="C1336" s="16"/>
      <c r="G1336" s="5">
        <f>IF(A1336="","","Checking")</f>
      </c>
      <c r="H1336">
        <f>IF(A1336="","",IFERROR(XLOOKUP(D1336,Setup!$E$15:$E$79,Setup!$F$15:$F$79),"Miscellaneous"))</f>
      </c>
      <c r="I1336">
        <f>IF(A1336="","",IFERROR(XLOOKUP(D1336,Setup!$E$15:$E$79,Setup!$G$15:$G$79),"Uncategorized"))</f>
      </c>
      <c r="J1336">
        <f>IF(A1336="","",IF(OR(H1336="Transfers",H1336="Income",D1336="Transfer",D1336="Category Pending",F1336="Pending"),"No","Yes"))</f>
      </c>
      <c r="K1336" s="4">
        <f>IF(A1336="","",TEXT(IF(DAY(A1336)&gt;=Setup!$B$9,DATE(YEAR(A1336),MONTH(A1336)+1,1),DATE(YEAR(A1336),MONTH(A1336),1)),"mmmm yyyy"))</f>
      </c>
      <c r="L1336" s="47">
        <f>IF(A1336="",0,IF(AND(J1336="Yes",E1336&lt;0),-E1336,0))</f>
      </c>
      <c r="M1336" s="47">
        <f>IF(A1336="",0,IF(AND(J1336="Yes",E1336&gt;0),E1336,0))</f>
      </c>
      <c r="N1336">
        <f>IF(A1336="","",IF(D1336="Category Pending","Needs categorization",IF(COUNTIFS($A$2:A1336,A1336,$B$2:B1336,B1336,$E$2:E1336,E1336)&gt;1,"Possible duplicate","")))</f>
      </c>
    </row>
    <row r="1337" spans="3:14" x14ac:dyDescent="0.3">
      <c r="A1337"/>
      <c r="C1337" s="16"/>
      <c r="G1337" s="5">
        <f>IF(A1337="","","Checking")</f>
      </c>
      <c r="H1337">
        <f>IF(A1337="","",IFERROR(XLOOKUP(D1337,Setup!$E$15:$E$79,Setup!$F$15:$F$79),"Miscellaneous"))</f>
      </c>
      <c r="I1337">
        <f>IF(A1337="","",IFERROR(XLOOKUP(D1337,Setup!$E$15:$E$79,Setup!$G$15:$G$79),"Uncategorized"))</f>
      </c>
      <c r="J1337">
        <f>IF(A1337="","",IF(OR(H1337="Transfers",H1337="Income",D1337="Transfer",D1337="Category Pending",F1337="Pending"),"No","Yes"))</f>
      </c>
      <c r="K1337" s="4">
        <f>IF(A1337="","",TEXT(IF(DAY(A1337)&gt;=Setup!$B$9,DATE(YEAR(A1337),MONTH(A1337)+1,1),DATE(YEAR(A1337),MONTH(A1337),1)),"mmmm yyyy"))</f>
      </c>
      <c r="L1337" s="47">
        <f>IF(A1337="",0,IF(AND(J1337="Yes",E1337&lt;0),-E1337,0))</f>
      </c>
      <c r="M1337" s="47">
        <f>IF(A1337="",0,IF(AND(J1337="Yes",E1337&gt;0),E1337,0))</f>
      </c>
      <c r="N1337">
        <f>IF(A1337="","",IF(D1337="Category Pending","Needs categorization",IF(COUNTIFS($A$2:A1337,A1337,$B$2:B1337,B1337,$E$2:E1337,E1337)&gt;1,"Possible duplicate","")))</f>
      </c>
    </row>
    <row r="1338" spans="3:14" x14ac:dyDescent="0.3">
      <c r="A1338"/>
      <c r="C1338" s="16"/>
      <c r="G1338" s="5">
        <f>IF(A1338="","","Checking")</f>
      </c>
      <c r="H1338">
        <f>IF(A1338="","",IFERROR(XLOOKUP(D1338,Setup!$E$15:$E$79,Setup!$F$15:$F$79),"Miscellaneous"))</f>
      </c>
      <c r="I1338">
        <f>IF(A1338="","",IFERROR(XLOOKUP(D1338,Setup!$E$15:$E$79,Setup!$G$15:$G$79),"Uncategorized"))</f>
      </c>
      <c r="J1338">
        <f>IF(A1338="","",IF(OR(H1338="Transfers",H1338="Income",D1338="Transfer",D1338="Category Pending",F1338="Pending"),"No","Yes"))</f>
      </c>
      <c r="K1338" s="4">
        <f>IF(A1338="","",TEXT(IF(DAY(A1338)&gt;=Setup!$B$9,DATE(YEAR(A1338),MONTH(A1338)+1,1),DATE(YEAR(A1338),MONTH(A1338),1)),"mmmm yyyy"))</f>
      </c>
      <c r="L1338" s="47">
        <f>IF(A1338="",0,IF(AND(J1338="Yes",E1338&lt;0),-E1338,0))</f>
      </c>
      <c r="M1338" s="47">
        <f>IF(A1338="",0,IF(AND(J1338="Yes",E1338&gt;0),E1338,0))</f>
      </c>
      <c r="N1338">
        <f>IF(A1338="","",IF(D1338="Category Pending","Needs categorization",IF(COUNTIFS($A$2:A1338,A1338,$B$2:B1338,B1338,$E$2:E1338,E1338)&gt;1,"Possible duplicate","")))</f>
      </c>
    </row>
    <row r="1339" spans="3:14" x14ac:dyDescent="0.3">
      <c r="A1339"/>
      <c r="C1339" s="16"/>
      <c r="G1339" s="5">
        <f>IF(A1339="","","Checking")</f>
      </c>
      <c r="H1339">
        <f>IF(A1339="","",IFERROR(XLOOKUP(D1339,Setup!$E$15:$E$79,Setup!$F$15:$F$79),"Miscellaneous"))</f>
      </c>
      <c r="I1339">
        <f>IF(A1339="","",IFERROR(XLOOKUP(D1339,Setup!$E$15:$E$79,Setup!$G$15:$G$79),"Uncategorized"))</f>
      </c>
      <c r="J1339">
        <f>IF(A1339="","",IF(OR(H1339="Transfers",H1339="Income",D1339="Transfer",D1339="Category Pending",F1339="Pending"),"No","Yes"))</f>
      </c>
      <c r="K1339" s="4">
        <f>IF(A1339="","",TEXT(IF(DAY(A1339)&gt;=Setup!$B$9,DATE(YEAR(A1339),MONTH(A1339)+1,1),DATE(YEAR(A1339),MONTH(A1339),1)),"mmmm yyyy"))</f>
      </c>
      <c r="L1339" s="47">
        <f>IF(A1339="",0,IF(AND(J1339="Yes",E1339&lt;0),-E1339,0))</f>
      </c>
      <c r="M1339" s="47">
        <f>IF(A1339="",0,IF(AND(J1339="Yes",E1339&gt;0),E1339,0))</f>
      </c>
      <c r="N1339">
        <f>IF(A1339="","",IF(D1339="Category Pending","Needs categorization",IF(COUNTIFS($A$2:A1339,A1339,$B$2:B1339,B1339,$E$2:E1339,E1339)&gt;1,"Possible duplicate","")))</f>
      </c>
    </row>
    <row r="1340" spans="3:14" x14ac:dyDescent="0.3">
      <c r="A1340"/>
      <c r="C1340" s="16"/>
      <c r="G1340" s="5">
        <f>IF(A1340="","","Checking")</f>
      </c>
      <c r="H1340">
        <f>IF(A1340="","",IFERROR(XLOOKUP(D1340,Setup!$E$15:$E$79,Setup!$F$15:$F$79),"Miscellaneous"))</f>
      </c>
      <c r="I1340">
        <f>IF(A1340="","",IFERROR(XLOOKUP(D1340,Setup!$E$15:$E$79,Setup!$G$15:$G$79),"Uncategorized"))</f>
      </c>
      <c r="J1340">
        <f>IF(A1340="","",IF(OR(H1340="Transfers",H1340="Income",D1340="Transfer",D1340="Category Pending",F1340="Pending"),"No","Yes"))</f>
      </c>
      <c r="K1340" s="4">
        <f>IF(A1340="","",TEXT(IF(DAY(A1340)&gt;=Setup!$B$9,DATE(YEAR(A1340),MONTH(A1340)+1,1),DATE(YEAR(A1340),MONTH(A1340),1)),"mmmm yyyy"))</f>
      </c>
      <c r="L1340" s="47">
        <f>IF(A1340="",0,IF(AND(J1340="Yes",E1340&lt;0),-E1340,0))</f>
      </c>
      <c r="M1340" s="47">
        <f>IF(A1340="",0,IF(AND(J1340="Yes",E1340&gt;0),E1340,0))</f>
      </c>
      <c r="N1340">
        <f>IF(A1340="","",IF(D1340="Category Pending","Needs categorization",IF(COUNTIFS($A$2:A1340,A1340,$B$2:B1340,B1340,$E$2:E1340,E1340)&gt;1,"Possible duplicate","")))</f>
      </c>
    </row>
    <row r="1341" spans="3:14" x14ac:dyDescent="0.3">
      <c r="A1341"/>
      <c r="C1341" s="16"/>
      <c r="G1341" s="5">
        <f>IF(A1341="","","Checking")</f>
      </c>
      <c r="H1341">
        <f>IF(A1341="","",IFERROR(XLOOKUP(D1341,Setup!$E$15:$E$79,Setup!$F$15:$F$79),"Miscellaneous"))</f>
      </c>
      <c r="I1341">
        <f>IF(A1341="","",IFERROR(XLOOKUP(D1341,Setup!$E$15:$E$79,Setup!$G$15:$G$79),"Uncategorized"))</f>
      </c>
      <c r="J1341">
        <f>IF(A1341="","",IF(OR(H1341="Transfers",H1341="Income",D1341="Transfer",D1341="Category Pending",F1341="Pending"),"No","Yes"))</f>
      </c>
      <c r="K1341" s="4">
        <f>IF(A1341="","",TEXT(IF(DAY(A1341)&gt;=Setup!$B$9,DATE(YEAR(A1341),MONTH(A1341)+1,1),DATE(YEAR(A1341),MONTH(A1341),1)),"mmmm yyyy"))</f>
      </c>
      <c r="L1341" s="47">
        <f>IF(A1341="",0,IF(AND(J1341="Yes",E1341&lt;0),-E1341,0))</f>
      </c>
      <c r="M1341" s="47">
        <f>IF(A1341="",0,IF(AND(J1341="Yes",E1341&gt;0),E1341,0))</f>
      </c>
      <c r="N1341">
        <f>IF(A1341="","",IF(D1341="Category Pending","Needs categorization",IF(COUNTIFS($A$2:A1341,A1341,$B$2:B1341,B1341,$E$2:E1341,E1341)&gt;1,"Possible duplicate","")))</f>
      </c>
    </row>
    <row r="1342" spans="3:14" x14ac:dyDescent="0.3">
      <c r="A1342"/>
      <c r="C1342" s="16"/>
      <c r="G1342" s="5">
        <f>IF(A1342="","","Checking")</f>
      </c>
      <c r="H1342">
        <f>IF(A1342="","",IFERROR(XLOOKUP(D1342,Setup!$E$15:$E$79,Setup!$F$15:$F$79),"Miscellaneous"))</f>
      </c>
      <c r="I1342">
        <f>IF(A1342="","",IFERROR(XLOOKUP(D1342,Setup!$E$15:$E$79,Setup!$G$15:$G$79),"Uncategorized"))</f>
      </c>
      <c r="J1342">
        <f>IF(A1342="","",IF(OR(H1342="Transfers",H1342="Income",D1342="Transfer",D1342="Category Pending",F1342="Pending"),"No","Yes"))</f>
      </c>
      <c r="K1342" s="4">
        <f>IF(A1342="","",TEXT(IF(DAY(A1342)&gt;=Setup!$B$9,DATE(YEAR(A1342),MONTH(A1342)+1,1),DATE(YEAR(A1342),MONTH(A1342),1)),"mmmm yyyy"))</f>
      </c>
      <c r="L1342" s="47">
        <f>IF(A1342="",0,IF(AND(J1342="Yes",E1342&lt;0),-E1342,0))</f>
      </c>
      <c r="M1342" s="47">
        <f>IF(A1342="",0,IF(AND(J1342="Yes",E1342&gt;0),E1342,0))</f>
      </c>
      <c r="N1342">
        <f>IF(A1342="","",IF(D1342="Category Pending","Needs categorization",IF(COUNTIFS($A$2:A1342,A1342,$B$2:B1342,B1342,$E$2:E1342,E1342)&gt;1,"Possible duplicate","")))</f>
      </c>
    </row>
    <row r="1343" spans="3:14" x14ac:dyDescent="0.3">
      <c r="A1343"/>
      <c r="C1343" s="16"/>
      <c r="G1343" s="5">
        <f>IF(A1343="","","Checking")</f>
      </c>
      <c r="H1343">
        <f>IF(A1343="","",IFERROR(XLOOKUP(D1343,Setup!$E$15:$E$79,Setup!$F$15:$F$79),"Miscellaneous"))</f>
      </c>
      <c r="I1343">
        <f>IF(A1343="","",IFERROR(XLOOKUP(D1343,Setup!$E$15:$E$79,Setup!$G$15:$G$79),"Uncategorized"))</f>
      </c>
      <c r="J1343">
        <f>IF(A1343="","",IF(OR(H1343="Transfers",H1343="Income",D1343="Transfer",D1343="Category Pending",F1343="Pending"),"No","Yes"))</f>
      </c>
      <c r="K1343" s="4">
        <f>IF(A1343="","",TEXT(IF(DAY(A1343)&gt;=Setup!$B$9,DATE(YEAR(A1343),MONTH(A1343)+1,1),DATE(YEAR(A1343),MONTH(A1343),1)),"mmmm yyyy"))</f>
      </c>
      <c r="L1343" s="47">
        <f>IF(A1343="",0,IF(AND(J1343="Yes",E1343&lt;0),-E1343,0))</f>
      </c>
      <c r="M1343" s="47">
        <f>IF(A1343="",0,IF(AND(J1343="Yes",E1343&gt;0),E1343,0))</f>
      </c>
      <c r="N1343">
        <f>IF(A1343="","",IF(D1343="Category Pending","Needs categorization",IF(COUNTIFS($A$2:A1343,A1343,$B$2:B1343,B1343,$E$2:E1343,E1343)&gt;1,"Possible duplicate","")))</f>
      </c>
    </row>
    <row r="1344" spans="3:14" x14ac:dyDescent="0.3">
      <c r="A1344"/>
      <c r="C1344" s="16"/>
      <c r="G1344" s="5">
        <f>IF(A1344="","","Checking")</f>
      </c>
      <c r="H1344">
        <f>IF(A1344="","",IFERROR(XLOOKUP(D1344,Setup!$E$15:$E$79,Setup!$F$15:$F$79),"Miscellaneous"))</f>
      </c>
      <c r="I1344">
        <f>IF(A1344="","",IFERROR(XLOOKUP(D1344,Setup!$E$15:$E$79,Setup!$G$15:$G$79),"Uncategorized"))</f>
      </c>
      <c r="J1344">
        <f>IF(A1344="","",IF(OR(H1344="Transfers",H1344="Income",D1344="Transfer",D1344="Category Pending",F1344="Pending"),"No","Yes"))</f>
      </c>
      <c r="K1344" s="4">
        <f>IF(A1344="","",TEXT(IF(DAY(A1344)&gt;=Setup!$B$9,DATE(YEAR(A1344),MONTH(A1344)+1,1),DATE(YEAR(A1344),MONTH(A1344),1)),"mmmm yyyy"))</f>
      </c>
      <c r="L1344" s="47">
        <f>IF(A1344="",0,IF(AND(J1344="Yes",E1344&lt;0),-E1344,0))</f>
      </c>
      <c r="M1344" s="47">
        <f>IF(A1344="",0,IF(AND(J1344="Yes",E1344&gt;0),E1344,0))</f>
      </c>
      <c r="N1344">
        <f>IF(A1344="","",IF(D1344="Category Pending","Needs categorization",IF(COUNTIFS($A$2:A1344,A1344,$B$2:B1344,B1344,$E$2:E1344,E1344)&gt;1,"Possible duplicate","")))</f>
      </c>
    </row>
    <row r="1345" spans="3:14" x14ac:dyDescent="0.3">
      <c r="A1345"/>
      <c r="C1345" s="16"/>
      <c r="G1345" s="5">
        <f>IF(A1345="","","Checking")</f>
      </c>
      <c r="H1345">
        <f>IF(A1345="","",IFERROR(XLOOKUP(D1345,Setup!$E$15:$E$79,Setup!$F$15:$F$79),"Miscellaneous"))</f>
      </c>
      <c r="I1345">
        <f>IF(A1345="","",IFERROR(XLOOKUP(D1345,Setup!$E$15:$E$79,Setup!$G$15:$G$79),"Uncategorized"))</f>
      </c>
      <c r="J1345">
        <f>IF(A1345="","",IF(OR(H1345="Transfers",H1345="Income",D1345="Transfer",D1345="Category Pending",F1345="Pending"),"No","Yes"))</f>
      </c>
      <c r="K1345" s="4">
        <f>IF(A1345="","",TEXT(IF(DAY(A1345)&gt;=Setup!$B$9,DATE(YEAR(A1345),MONTH(A1345)+1,1),DATE(YEAR(A1345),MONTH(A1345),1)),"mmmm yyyy"))</f>
      </c>
      <c r="L1345" s="47">
        <f>IF(A1345="",0,IF(AND(J1345="Yes",E1345&lt;0),-E1345,0))</f>
      </c>
      <c r="M1345" s="47">
        <f>IF(A1345="",0,IF(AND(J1345="Yes",E1345&gt;0),E1345,0))</f>
      </c>
      <c r="N1345">
        <f>IF(A1345="","",IF(D1345="Category Pending","Needs categorization",IF(COUNTIFS($A$2:A1345,A1345,$B$2:B1345,B1345,$E$2:E1345,E1345)&gt;1,"Possible duplicate","")))</f>
      </c>
    </row>
    <row r="1346" spans="3:14" x14ac:dyDescent="0.3">
      <c r="A1346"/>
      <c r="C1346" s="16"/>
      <c r="G1346" s="5">
        <f>IF(A1346="","","Checking")</f>
      </c>
      <c r="H1346">
        <f>IF(A1346="","",IFERROR(XLOOKUP(D1346,Setup!$E$15:$E$79,Setup!$F$15:$F$79),"Miscellaneous"))</f>
      </c>
      <c r="I1346">
        <f>IF(A1346="","",IFERROR(XLOOKUP(D1346,Setup!$E$15:$E$79,Setup!$G$15:$G$79),"Uncategorized"))</f>
      </c>
      <c r="J1346">
        <f>IF(A1346="","",IF(OR(H1346="Transfers",H1346="Income",D1346="Transfer",D1346="Category Pending",F1346="Pending"),"No","Yes"))</f>
      </c>
      <c r="K1346" s="4">
        <f>IF(A1346="","",TEXT(IF(DAY(A1346)&gt;=Setup!$B$9,DATE(YEAR(A1346),MONTH(A1346)+1,1),DATE(YEAR(A1346),MONTH(A1346),1)),"mmmm yyyy"))</f>
      </c>
      <c r="L1346" s="47">
        <f>IF(A1346="",0,IF(AND(J1346="Yes",E1346&lt;0),-E1346,0))</f>
      </c>
      <c r="M1346" s="47">
        <f>IF(A1346="",0,IF(AND(J1346="Yes",E1346&gt;0),E1346,0))</f>
      </c>
      <c r="N1346">
        <f>IF(A1346="","",IF(D1346="Category Pending","Needs categorization",IF(COUNTIFS($A$2:A1346,A1346,$B$2:B1346,B1346,$E$2:E1346,E1346)&gt;1,"Possible duplicate","")))</f>
      </c>
    </row>
    <row r="1347" spans="3:14" x14ac:dyDescent="0.3">
      <c r="A1347"/>
      <c r="C1347" s="16"/>
      <c r="G1347" s="5">
        <f>IF(A1347="","","Checking")</f>
      </c>
      <c r="H1347">
        <f>IF(A1347="","",IFERROR(XLOOKUP(D1347,Setup!$E$15:$E$79,Setup!$F$15:$F$79),"Miscellaneous"))</f>
      </c>
      <c r="I1347">
        <f>IF(A1347="","",IFERROR(XLOOKUP(D1347,Setup!$E$15:$E$79,Setup!$G$15:$G$79),"Uncategorized"))</f>
      </c>
      <c r="J1347">
        <f>IF(A1347="","",IF(OR(H1347="Transfers",H1347="Income",D1347="Transfer",D1347="Category Pending",F1347="Pending"),"No","Yes"))</f>
      </c>
      <c r="K1347" s="4">
        <f>IF(A1347="","",TEXT(IF(DAY(A1347)&gt;=Setup!$B$9,DATE(YEAR(A1347),MONTH(A1347)+1,1),DATE(YEAR(A1347),MONTH(A1347),1)),"mmmm yyyy"))</f>
      </c>
      <c r="L1347" s="47">
        <f>IF(A1347="",0,IF(AND(J1347="Yes",E1347&lt;0),-E1347,0))</f>
      </c>
      <c r="M1347" s="47">
        <f>IF(A1347="",0,IF(AND(J1347="Yes",E1347&gt;0),E1347,0))</f>
      </c>
      <c r="N1347">
        <f>IF(A1347="","",IF(D1347="Category Pending","Needs categorization",IF(COUNTIFS($A$2:A1347,A1347,$B$2:B1347,B1347,$E$2:E1347,E1347)&gt;1,"Possible duplicate","")))</f>
      </c>
    </row>
    <row r="1348" spans="3:14" x14ac:dyDescent="0.3">
      <c r="A1348"/>
      <c r="C1348" s="16"/>
      <c r="G1348" s="5">
        <f>IF(A1348="","","Checking")</f>
      </c>
      <c r="H1348">
        <f>IF(A1348="","",IFERROR(XLOOKUP(D1348,Setup!$E$15:$E$79,Setup!$F$15:$F$79),"Miscellaneous"))</f>
      </c>
      <c r="I1348">
        <f>IF(A1348="","",IFERROR(XLOOKUP(D1348,Setup!$E$15:$E$79,Setup!$G$15:$G$79),"Uncategorized"))</f>
      </c>
      <c r="J1348">
        <f>IF(A1348="","",IF(OR(H1348="Transfers",H1348="Income",D1348="Transfer",D1348="Category Pending",F1348="Pending"),"No","Yes"))</f>
      </c>
      <c r="K1348" s="4">
        <f>IF(A1348="","",TEXT(IF(DAY(A1348)&gt;=Setup!$B$9,DATE(YEAR(A1348),MONTH(A1348)+1,1),DATE(YEAR(A1348),MONTH(A1348),1)),"mmmm yyyy"))</f>
      </c>
      <c r="L1348" s="47">
        <f>IF(A1348="",0,IF(AND(J1348="Yes",E1348&lt;0),-E1348,0))</f>
      </c>
      <c r="M1348" s="47">
        <f>IF(A1348="",0,IF(AND(J1348="Yes",E1348&gt;0),E1348,0))</f>
      </c>
      <c r="N1348">
        <f>IF(A1348="","",IF(D1348="Category Pending","Needs categorization",IF(COUNTIFS($A$2:A1348,A1348,$B$2:B1348,B1348,$E$2:E1348,E1348)&gt;1,"Possible duplicate","")))</f>
      </c>
    </row>
    <row r="1349" spans="3:14" x14ac:dyDescent="0.3">
      <c r="A1349"/>
      <c r="C1349" s="16"/>
      <c r="G1349" s="5">
        <f>IF(A1349="","","Checking")</f>
      </c>
      <c r="H1349">
        <f>IF(A1349="","",IFERROR(XLOOKUP(D1349,Setup!$E$15:$E$79,Setup!$F$15:$F$79),"Miscellaneous"))</f>
      </c>
      <c r="I1349">
        <f>IF(A1349="","",IFERROR(XLOOKUP(D1349,Setup!$E$15:$E$79,Setup!$G$15:$G$79),"Uncategorized"))</f>
      </c>
      <c r="J1349">
        <f>IF(A1349="","",IF(OR(H1349="Transfers",H1349="Income",D1349="Transfer",D1349="Category Pending",F1349="Pending"),"No","Yes"))</f>
      </c>
      <c r="K1349" s="4">
        <f>IF(A1349="","",TEXT(IF(DAY(A1349)&gt;=Setup!$B$9,DATE(YEAR(A1349),MONTH(A1349)+1,1),DATE(YEAR(A1349),MONTH(A1349),1)),"mmmm yyyy"))</f>
      </c>
      <c r="L1349" s="47">
        <f>IF(A1349="",0,IF(AND(J1349="Yes",E1349&lt;0),-E1349,0))</f>
      </c>
      <c r="M1349" s="47">
        <f>IF(A1349="",0,IF(AND(J1349="Yes",E1349&gt;0),E1349,0))</f>
      </c>
      <c r="N1349">
        <f>IF(A1349="","",IF(D1349="Category Pending","Needs categorization",IF(COUNTIFS($A$2:A1349,A1349,$B$2:B1349,B1349,$E$2:E1349,E1349)&gt;1,"Possible duplicate","")))</f>
      </c>
    </row>
    <row r="1350" spans="3:14" x14ac:dyDescent="0.3">
      <c r="A1350"/>
      <c r="C1350" s="16"/>
      <c r="G1350" s="5">
        <f>IF(A1350="","","Checking")</f>
      </c>
      <c r="H1350">
        <f>IF(A1350="","",IFERROR(XLOOKUP(D1350,Setup!$E$15:$E$79,Setup!$F$15:$F$79),"Miscellaneous"))</f>
      </c>
      <c r="I1350">
        <f>IF(A1350="","",IFERROR(XLOOKUP(D1350,Setup!$E$15:$E$79,Setup!$G$15:$G$79),"Uncategorized"))</f>
      </c>
      <c r="J1350">
        <f>IF(A1350="","",IF(OR(H1350="Transfers",H1350="Income",D1350="Transfer",D1350="Category Pending",F1350="Pending"),"No","Yes"))</f>
      </c>
      <c r="K1350" s="4">
        <f>IF(A1350="","",TEXT(IF(DAY(A1350)&gt;=Setup!$B$9,DATE(YEAR(A1350),MONTH(A1350)+1,1),DATE(YEAR(A1350),MONTH(A1350),1)),"mmmm yyyy"))</f>
      </c>
      <c r="L1350" s="47">
        <f>IF(A1350="",0,IF(AND(J1350="Yes",E1350&lt;0),-E1350,0))</f>
      </c>
      <c r="M1350" s="47">
        <f>IF(A1350="",0,IF(AND(J1350="Yes",E1350&gt;0),E1350,0))</f>
      </c>
      <c r="N1350">
        <f>IF(A1350="","",IF(D1350="Category Pending","Needs categorization",IF(COUNTIFS($A$2:A1350,A1350,$B$2:B1350,B1350,$E$2:E1350,E1350)&gt;1,"Possible duplicate","")))</f>
      </c>
    </row>
    <row r="1351" spans="3:14" x14ac:dyDescent="0.3">
      <c r="A1351"/>
      <c r="C1351" s="16"/>
      <c r="G1351" s="5">
        <f>IF(A1351="","","Checking")</f>
      </c>
      <c r="H1351">
        <f>IF(A1351="","",IFERROR(XLOOKUP(D1351,Setup!$E$15:$E$79,Setup!$F$15:$F$79),"Miscellaneous"))</f>
      </c>
      <c r="I1351">
        <f>IF(A1351="","",IFERROR(XLOOKUP(D1351,Setup!$E$15:$E$79,Setup!$G$15:$G$79),"Uncategorized"))</f>
      </c>
      <c r="J1351">
        <f>IF(A1351="","",IF(OR(H1351="Transfers",H1351="Income",D1351="Transfer",D1351="Category Pending",F1351="Pending"),"No","Yes"))</f>
      </c>
      <c r="K1351" s="4">
        <f>IF(A1351="","",TEXT(IF(DAY(A1351)&gt;=Setup!$B$9,DATE(YEAR(A1351),MONTH(A1351)+1,1),DATE(YEAR(A1351),MONTH(A1351),1)),"mmmm yyyy"))</f>
      </c>
      <c r="L1351" s="47">
        <f>IF(A1351="",0,IF(AND(J1351="Yes",E1351&lt;0),-E1351,0))</f>
      </c>
      <c r="M1351" s="47">
        <f>IF(A1351="",0,IF(AND(J1351="Yes",E1351&gt;0),E1351,0))</f>
      </c>
      <c r="N1351">
        <f>IF(A1351="","",IF(D1351="Category Pending","Needs categorization",IF(COUNTIFS($A$2:A1351,A1351,$B$2:B1351,B1351,$E$2:E1351,E1351)&gt;1,"Possible duplicate","")))</f>
      </c>
    </row>
    <row r="1352" spans="3:14" x14ac:dyDescent="0.3">
      <c r="A1352"/>
      <c r="C1352" s="16"/>
      <c r="G1352" s="5">
        <f>IF(A1352="","","Checking")</f>
      </c>
      <c r="H1352">
        <f>IF(A1352="","",IFERROR(XLOOKUP(D1352,Setup!$E$15:$E$79,Setup!$F$15:$F$79),"Miscellaneous"))</f>
      </c>
      <c r="I1352">
        <f>IF(A1352="","",IFERROR(XLOOKUP(D1352,Setup!$E$15:$E$79,Setup!$G$15:$G$79),"Uncategorized"))</f>
      </c>
      <c r="J1352">
        <f>IF(A1352="","",IF(OR(H1352="Transfers",H1352="Income",D1352="Transfer",D1352="Category Pending",F1352="Pending"),"No","Yes"))</f>
      </c>
      <c r="K1352" s="4">
        <f>IF(A1352="","",TEXT(IF(DAY(A1352)&gt;=Setup!$B$9,DATE(YEAR(A1352),MONTH(A1352)+1,1),DATE(YEAR(A1352),MONTH(A1352),1)),"mmmm yyyy"))</f>
      </c>
      <c r="L1352" s="47">
        <f>IF(A1352="",0,IF(AND(J1352="Yes",E1352&lt;0),-E1352,0))</f>
      </c>
      <c r="M1352" s="47">
        <f>IF(A1352="",0,IF(AND(J1352="Yes",E1352&gt;0),E1352,0))</f>
      </c>
      <c r="N1352">
        <f>IF(A1352="","",IF(D1352="Category Pending","Needs categorization",IF(COUNTIFS($A$2:A1352,A1352,$B$2:B1352,B1352,$E$2:E1352,E1352)&gt;1,"Possible duplicate","")))</f>
      </c>
    </row>
    <row r="1353" spans="3:14" x14ac:dyDescent="0.3">
      <c r="A1353"/>
      <c r="C1353" s="16"/>
      <c r="G1353" s="5">
        <f>IF(A1353="","","Checking")</f>
      </c>
      <c r="H1353">
        <f>IF(A1353="","",IFERROR(XLOOKUP(D1353,Setup!$E$15:$E$79,Setup!$F$15:$F$79),"Miscellaneous"))</f>
      </c>
      <c r="I1353">
        <f>IF(A1353="","",IFERROR(XLOOKUP(D1353,Setup!$E$15:$E$79,Setup!$G$15:$G$79),"Uncategorized"))</f>
      </c>
      <c r="J1353">
        <f>IF(A1353="","",IF(OR(H1353="Transfers",H1353="Income",D1353="Transfer",D1353="Category Pending",F1353="Pending"),"No","Yes"))</f>
      </c>
      <c r="K1353" s="4">
        <f>IF(A1353="","",TEXT(IF(DAY(A1353)&gt;=Setup!$B$9,DATE(YEAR(A1353),MONTH(A1353)+1,1),DATE(YEAR(A1353),MONTH(A1353),1)),"mmmm yyyy"))</f>
      </c>
      <c r="L1353" s="47">
        <f>IF(A1353="",0,IF(AND(J1353="Yes",E1353&lt;0),-E1353,0))</f>
      </c>
      <c r="M1353" s="47">
        <f>IF(A1353="",0,IF(AND(J1353="Yes",E1353&gt;0),E1353,0))</f>
      </c>
      <c r="N1353">
        <f>IF(A1353="","",IF(D1353="Category Pending","Needs categorization",IF(COUNTIFS($A$2:A1353,A1353,$B$2:B1353,B1353,$E$2:E1353,E1353)&gt;1,"Possible duplicate","")))</f>
      </c>
    </row>
    <row r="1354" spans="3:14" x14ac:dyDescent="0.3">
      <c r="A1354"/>
      <c r="C1354" s="16"/>
      <c r="G1354" s="5">
        <f>IF(A1354="","","Checking")</f>
      </c>
      <c r="H1354">
        <f>IF(A1354="","",IFERROR(XLOOKUP(D1354,Setup!$E$15:$E$79,Setup!$F$15:$F$79),"Miscellaneous"))</f>
      </c>
      <c r="I1354">
        <f>IF(A1354="","",IFERROR(XLOOKUP(D1354,Setup!$E$15:$E$79,Setup!$G$15:$G$79),"Uncategorized"))</f>
      </c>
      <c r="J1354">
        <f>IF(A1354="","",IF(OR(H1354="Transfers",H1354="Income",D1354="Transfer",D1354="Category Pending",F1354="Pending"),"No","Yes"))</f>
      </c>
      <c r="K1354" s="4">
        <f>IF(A1354="","",TEXT(IF(DAY(A1354)&gt;=Setup!$B$9,DATE(YEAR(A1354),MONTH(A1354)+1,1),DATE(YEAR(A1354),MONTH(A1354),1)),"mmmm yyyy"))</f>
      </c>
      <c r="L1354" s="47">
        <f>IF(A1354="",0,IF(AND(J1354="Yes",E1354&lt;0),-E1354,0))</f>
      </c>
      <c r="M1354" s="47">
        <f>IF(A1354="",0,IF(AND(J1354="Yes",E1354&gt;0),E1354,0))</f>
      </c>
      <c r="N1354">
        <f>IF(A1354="","",IF(D1354="Category Pending","Needs categorization",IF(COUNTIFS($A$2:A1354,A1354,$B$2:B1354,B1354,$E$2:E1354,E1354)&gt;1,"Possible duplicate","")))</f>
      </c>
    </row>
    <row r="1355" spans="3:14" x14ac:dyDescent="0.3">
      <c r="A1355"/>
      <c r="C1355" s="16"/>
      <c r="G1355" s="5">
        <f>IF(A1355="","","Checking")</f>
      </c>
      <c r="H1355">
        <f>IF(A1355="","",IFERROR(XLOOKUP(D1355,Setup!$E$15:$E$79,Setup!$F$15:$F$79),"Miscellaneous"))</f>
      </c>
      <c r="I1355">
        <f>IF(A1355="","",IFERROR(XLOOKUP(D1355,Setup!$E$15:$E$79,Setup!$G$15:$G$79),"Uncategorized"))</f>
      </c>
      <c r="J1355">
        <f>IF(A1355="","",IF(OR(H1355="Transfers",H1355="Income",D1355="Transfer",D1355="Category Pending",F1355="Pending"),"No","Yes"))</f>
      </c>
      <c r="K1355" s="4">
        <f>IF(A1355="","",TEXT(IF(DAY(A1355)&gt;=Setup!$B$9,DATE(YEAR(A1355),MONTH(A1355)+1,1),DATE(YEAR(A1355),MONTH(A1355),1)),"mmmm yyyy"))</f>
      </c>
      <c r="L1355" s="47">
        <f>IF(A1355="",0,IF(AND(J1355="Yes",E1355&lt;0),-E1355,0))</f>
      </c>
      <c r="M1355" s="47">
        <f>IF(A1355="",0,IF(AND(J1355="Yes",E1355&gt;0),E1355,0))</f>
      </c>
      <c r="N1355">
        <f>IF(A1355="","",IF(D1355="Category Pending","Needs categorization",IF(COUNTIFS($A$2:A1355,A1355,$B$2:B1355,B1355,$E$2:E1355,E1355)&gt;1,"Possible duplicate","")))</f>
      </c>
    </row>
    <row r="1356" spans="3:14" x14ac:dyDescent="0.3">
      <c r="A1356"/>
      <c r="C1356" s="16"/>
      <c r="G1356" s="5">
        <f>IF(A1356="","","Checking")</f>
      </c>
      <c r="H1356">
        <f>IF(A1356="","",IFERROR(XLOOKUP(D1356,Setup!$E$15:$E$79,Setup!$F$15:$F$79),"Miscellaneous"))</f>
      </c>
      <c r="I1356">
        <f>IF(A1356="","",IFERROR(XLOOKUP(D1356,Setup!$E$15:$E$79,Setup!$G$15:$G$79),"Uncategorized"))</f>
      </c>
      <c r="J1356">
        <f>IF(A1356="","",IF(OR(H1356="Transfers",H1356="Income",D1356="Transfer",D1356="Category Pending",F1356="Pending"),"No","Yes"))</f>
      </c>
      <c r="K1356" s="4">
        <f>IF(A1356="","",TEXT(IF(DAY(A1356)&gt;=Setup!$B$9,DATE(YEAR(A1356),MONTH(A1356)+1,1),DATE(YEAR(A1356),MONTH(A1356),1)),"mmmm yyyy"))</f>
      </c>
      <c r="L1356" s="47">
        <f>IF(A1356="",0,IF(AND(J1356="Yes",E1356&lt;0),-E1356,0))</f>
      </c>
      <c r="M1356" s="47">
        <f>IF(A1356="",0,IF(AND(J1356="Yes",E1356&gt;0),E1356,0))</f>
      </c>
      <c r="N1356">
        <f>IF(A1356="","",IF(D1356="Category Pending","Needs categorization",IF(COUNTIFS($A$2:A1356,A1356,$B$2:B1356,B1356,$E$2:E1356,E1356)&gt;1,"Possible duplicate","")))</f>
      </c>
    </row>
    <row r="1357" spans="3:14" x14ac:dyDescent="0.3">
      <c r="A1357"/>
      <c r="C1357" s="16"/>
      <c r="G1357" s="5">
        <f>IF(A1357="","","Checking")</f>
      </c>
      <c r="H1357">
        <f>IF(A1357="","",IFERROR(XLOOKUP(D1357,Setup!$E$15:$E$79,Setup!$F$15:$F$79),"Miscellaneous"))</f>
      </c>
      <c r="I1357">
        <f>IF(A1357="","",IFERROR(XLOOKUP(D1357,Setup!$E$15:$E$79,Setup!$G$15:$G$79),"Uncategorized"))</f>
      </c>
      <c r="J1357">
        <f>IF(A1357="","",IF(OR(H1357="Transfers",H1357="Income",D1357="Transfer",D1357="Category Pending",F1357="Pending"),"No","Yes"))</f>
      </c>
      <c r="K1357" s="4">
        <f>IF(A1357="","",TEXT(IF(DAY(A1357)&gt;=Setup!$B$9,DATE(YEAR(A1357),MONTH(A1357)+1,1),DATE(YEAR(A1357),MONTH(A1357),1)),"mmmm yyyy"))</f>
      </c>
      <c r="L1357" s="47">
        <f>IF(A1357="",0,IF(AND(J1357="Yes",E1357&lt;0),-E1357,0))</f>
      </c>
      <c r="M1357" s="47">
        <f>IF(A1357="",0,IF(AND(J1357="Yes",E1357&gt;0),E1357,0))</f>
      </c>
      <c r="N1357">
        <f>IF(A1357="","",IF(D1357="Category Pending","Needs categorization",IF(COUNTIFS($A$2:A1357,A1357,$B$2:B1357,B1357,$E$2:E1357,E1357)&gt;1,"Possible duplicate","")))</f>
      </c>
    </row>
    <row r="1358" spans="3:14" x14ac:dyDescent="0.3">
      <c r="A1358"/>
      <c r="C1358" s="16"/>
      <c r="G1358" s="5">
        <f>IF(A1358="","","Checking")</f>
      </c>
      <c r="H1358">
        <f>IF(A1358="","",IFERROR(XLOOKUP(D1358,Setup!$E$15:$E$79,Setup!$F$15:$F$79),"Miscellaneous"))</f>
      </c>
      <c r="I1358">
        <f>IF(A1358="","",IFERROR(XLOOKUP(D1358,Setup!$E$15:$E$79,Setup!$G$15:$G$79),"Uncategorized"))</f>
      </c>
      <c r="J1358">
        <f>IF(A1358="","",IF(OR(H1358="Transfers",H1358="Income",D1358="Transfer",D1358="Category Pending",F1358="Pending"),"No","Yes"))</f>
      </c>
      <c r="K1358" s="4">
        <f>IF(A1358="","",TEXT(IF(DAY(A1358)&gt;=Setup!$B$9,DATE(YEAR(A1358),MONTH(A1358)+1,1),DATE(YEAR(A1358),MONTH(A1358),1)),"mmmm yyyy"))</f>
      </c>
      <c r="L1358" s="47">
        <f>IF(A1358="",0,IF(AND(J1358="Yes",E1358&lt;0),-E1358,0))</f>
      </c>
      <c r="M1358" s="47">
        <f>IF(A1358="",0,IF(AND(J1358="Yes",E1358&gt;0),E1358,0))</f>
      </c>
      <c r="N1358">
        <f>IF(A1358="","",IF(D1358="Category Pending","Needs categorization",IF(COUNTIFS($A$2:A1358,A1358,$B$2:B1358,B1358,$E$2:E1358,E1358)&gt;1,"Possible duplicate","")))</f>
      </c>
    </row>
    <row r="1359" spans="3:14" x14ac:dyDescent="0.3">
      <c r="A1359"/>
      <c r="C1359" s="16"/>
      <c r="G1359" s="5">
        <f>IF(A1359="","","Checking")</f>
      </c>
      <c r="H1359">
        <f>IF(A1359="","",IFERROR(XLOOKUP(D1359,Setup!$E$15:$E$79,Setup!$F$15:$F$79),"Miscellaneous"))</f>
      </c>
      <c r="I1359">
        <f>IF(A1359="","",IFERROR(XLOOKUP(D1359,Setup!$E$15:$E$79,Setup!$G$15:$G$79),"Uncategorized"))</f>
      </c>
      <c r="J1359">
        <f>IF(A1359="","",IF(OR(H1359="Transfers",H1359="Income",D1359="Transfer",D1359="Category Pending",F1359="Pending"),"No","Yes"))</f>
      </c>
      <c r="K1359" s="4">
        <f>IF(A1359="","",TEXT(IF(DAY(A1359)&gt;=Setup!$B$9,DATE(YEAR(A1359),MONTH(A1359)+1,1),DATE(YEAR(A1359),MONTH(A1359),1)),"mmmm yyyy"))</f>
      </c>
      <c r="L1359" s="47">
        <f>IF(A1359="",0,IF(AND(J1359="Yes",E1359&lt;0),-E1359,0))</f>
      </c>
      <c r="M1359" s="47">
        <f>IF(A1359="",0,IF(AND(J1359="Yes",E1359&gt;0),E1359,0))</f>
      </c>
      <c r="N1359">
        <f>IF(A1359="","",IF(D1359="Category Pending","Needs categorization",IF(COUNTIFS($A$2:A1359,A1359,$B$2:B1359,B1359,$E$2:E1359,E1359)&gt;1,"Possible duplicate","")))</f>
      </c>
    </row>
    <row r="1360" spans="3:14" x14ac:dyDescent="0.3">
      <c r="A1360"/>
      <c r="C1360" s="16"/>
      <c r="G1360" s="5">
        <f>IF(A1360="","","Checking")</f>
      </c>
      <c r="H1360">
        <f>IF(A1360="","",IFERROR(XLOOKUP(D1360,Setup!$E$15:$E$79,Setup!$F$15:$F$79),"Miscellaneous"))</f>
      </c>
      <c r="I1360">
        <f>IF(A1360="","",IFERROR(XLOOKUP(D1360,Setup!$E$15:$E$79,Setup!$G$15:$G$79),"Uncategorized"))</f>
      </c>
      <c r="J1360">
        <f>IF(A1360="","",IF(OR(H1360="Transfers",H1360="Income",D1360="Transfer",D1360="Category Pending",F1360="Pending"),"No","Yes"))</f>
      </c>
      <c r="K1360" s="4">
        <f>IF(A1360="","",TEXT(IF(DAY(A1360)&gt;=Setup!$B$9,DATE(YEAR(A1360),MONTH(A1360)+1,1),DATE(YEAR(A1360),MONTH(A1360),1)),"mmmm yyyy"))</f>
      </c>
      <c r="L1360" s="47">
        <f>IF(A1360="",0,IF(AND(J1360="Yes",E1360&lt;0),-E1360,0))</f>
      </c>
      <c r="M1360" s="47">
        <f>IF(A1360="",0,IF(AND(J1360="Yes",E1360&gt;0),E1360,0))</f>
      </c>
      <c r="N1360">
        <f>IF(A1360="","",IF(D1360="Category Pending","Needs categorization",IF(COUNTIFS($A$2:A1360,A1360,$B$2:B1360,B1360,$E$2:E1360,E1360)&gt;1,"Possible duplicate","")))</f>
      </c>
    </row>
    <row r="1361" spans="3:14" x14ac:dyDescent="0.3">
      <c r="A1361"/>
      <c r="C1361" s="16"/>
      <c r="G1361" s="5">
        <f>IF(A1361="","","Checking")</f>
      </c>
      <c r="H1361">
        <f>IF(A1361="","",IFERROR(XLOOKUP(D1361,Setup!$E$15:$E$79,Setup!$F$15:$F$79),"Miscellaneous"))</f>
      </c>
      <c r="I1361">
        <f>IF(A1361="","",IFERROR(XLOOKUP(D1361,Setup!$E$15:$E$79,Setup!$G$15:$G$79),"Uncategorized"))</f>
      </c>
      <c r="J1361">
        <f>IF(A1361="","",IF(OR(H1361="Transfers",H1361="Income",D1361="Transfer",D1361="Category Pending",F1361="Pending"),"No","Yes"))</f>
      </c>
      <c r="K1361" s="4">
        <f>IF(A1361="","",TEXT(IF(DAY(A1361)&gt;=Setup!$B$9,DATE(YEAR(A1361),MONTH(A1361)+1,1),DATE(YEAR(A1361),MONTH(A1361),1)),"mmmm yyyy"))</f>
      </c>
      <c r="L1361" s="47">
        <f>IF(A1361="",0,IF(AND(J1361="Yes",E1361&lt;0),-E1361,0))</f>
      </c>
      <c r="M1361" s="47">
        <f>IF(A1361="",0,IF(AND(J1361="Yes",E1361&gt;0),E1361,0))</f>
      </c>
      <c r="N1361">
        <f>IF(A1361="","",IF(D1361="Category Pending","Needs categorization",IF(COUNTIFS($A$2:A1361,A1361,$B$2:B1361,B1361,$E$2:E1361,E1361)&gt;1,"Possible duplicate","")))</f>
      </c>
    </row>
    <row r="1362" spans="3:14" x14ac:dyDescent="0.3">
      <c r="A1362"/>
      <c r="C1362" s="16"/>
      <c r="G1362" s="5">
        <f>IF(A1362="","","Checking")</f>
      </c>
      <c r="H1362">
        <f>IF(A1362="","",IFERROR(XLOOKUP(D1362,Setup!$E$15:$E$79,Setup!$F$15:$F$79),"Miscellaneous"))</f>
      </c>
      <c r="I1362">
        <f>IF(A1362="","",IFERROR(XLOOKUP(D1362,Setup!$E$15:$E$79,Setup!$G$15:$G$79),"Uncategorized"))</f>
      </c>
      <c r="J1362">
        <f>IF(A1362="","",IF(OR(H1362="Transfers",H1362="Income",D1362="Transfer",D1362="Category Pending",F1362="Pending"),"No","Yes"))</f>
      </c>
      <c r="K1362" s="4">
        <f>IF(A1362="","",TEXT(IF(DAY(A1362)&gt;=Setup!$B$9,DATE(YEAR(A1362),MONTH(A1362)+1,1),DATE(YEAR(A1362),MONTH(A1362),1)),"mmmm yyyy"))</f>
      </c>
      <c r="L1362" s="47">
        <f>IF(A1362="",0,IF(AND(J1362="Yes",E1362&lt;0),-E1362,0))</f>
      </c>
      <c r="M1362" s="47">
        <f>IF(A1362="",0,IF(AND(J1362="Yes",E1362&gt;0),E1362,0))</f>
      </c>
      <c r="N1362">
        <f>IF(A1362="","",IF(D1362="Category Pending","Needs categorization",IF(COUNTIFS($A$2:A1362,A1362,$B$2:B1362,B1362,$E$2:E1362,E1362)&gt;1,"Possible duplicate","")))</f>
      </c>
    </row>
    <row r="1363" spans="3:14" x14ac:dyDescent="0.3">
      <c r="A1363"/>
      <c r="C1363" s="16"/>
      <c r="G1363" s="5">
        <f>IF(A1363="","","Checking")</f>
      </c>
      <c r="H1363">
        <f>IF(A1363="","",IFERROR(XLOOKUP(D1363,Setup!$E$15:$E$79,Setup!$F$15:$F$79),"Miscellaneous"))</f>
      </c>
      <c r="I1363">
        <f>IF(A1363="","",IFERROR(XLOOKUP(D1363,Setup!$E$15:$E$79,Setup!$G$15:$G$79),"Uncategorized"))</f>
      </c>
      <c r="J1363">
        <f>IF(A1363="","",IF(OR(H1363="Transfers",H1363="Income",D1363="Transfer",D1363="Category Pending",F1363="Pending"),"No","Yes"))</f>
      </c>
      <c r="K1363" s="4">
        <f>IF(A1363="","",TEXT(IF(DAY(A1363)&gt;=Setup!$B$9,DATE(YEAR(A1363),MONTH(A1363)+1,1),DATE(YEAR(A1363),MONTH(A1363),1)),"mmmm yyyy"))</f>
      </c>
      <c r="L1363" s="47">
        <f>IF(A1363="",0,IF(AND(J1363="Yes",E1363&lt;0),-E1363,0))</f>
      </c>
      <c r="M1363" s="47">
        <f>IF(A1363="",0,IF(AND(J1363="Yes",E1363&gt;0),E1363,0))</f>
      </c>
      <c r="N1363">
        <f>IF(A1363="","",IF(D1363="Category Pending","Needs categorization",IF(COUNTIFS($A$2:A1363,A1363,$B$2:B1363,B1363,$E$2:E1363,E1363)&gt;1,"Possible duplicate","")))</f>
      </c>
    </row>
    <row r="1364" spans="3:14" x14ac:dyDescent="0.3">
      <c r="A1364"/>
      <c r="C1364" s="16"/>
      <c r="G1364" s="5">
        <f>IF(A1364="","","Checking")</f>
      </c>
      <c r="H1364">
        <f>IF(A1364="","",IFERROR(XLOOKUP(D1364,Setup!$E$15:$E$79,Setup!$F$15:$F$79),"Miscellaneous"))</f>
      </c>
      <c r="I1364">
        <f>IF(A1364="","",IFERROR(XLOOKUP(D1364,Setup!$E$15:$E$79,Setup!$G$15:$G$79),"Uncategorized"))</f>
      </c>
      <c r="J1364">
        <f>IF(A1364="","",IF(OR(H1364="Transfers",H1364="Income",D1364="Transfer",D1364="Category Pending",F1364="Pending"),"No","Yes"))</f>
      </c>
      <c r="K1364" s="4">
        <f>IF(A1364="","",TEXT(IF(DAY(A1364)&gt;=Setup!$B$9,DATE(YEAR(A1364),MONTH(A1364)+1,1),DATE(YEAR(A1364),MONTH(A1364),1)),"mmmm yyyy"))</f>
      </c>
      <c r="L1364" s="47">
        <f>IF(A1364="",0,IF(AND(J1364="Yes",E1364&lt;0),-E1364,0))</f>
      </c>
      <c r="M1364" s="47">
        <f>IF(A1364="",0,IF(AND(J1364="Yes",E1364&gt;0),E1364,0))</f>
      </c>
      <c r="N1364">
        <f>IF(A1364="","",IF(D1364="Category Pending","Needs categorization",IF(COUNTIFS($A$2:A1364,A1364,$B$2:B1364,B1364,$E$2:E1364,E1364)&gt;1,"Possible duplicate","")))</f>
      </c>
    </row>
    <row r="1365" spans="3:14" x14ac:dyDescent="0.3">
      <c r="A1365"/>
      <c r="C1365" s="16"/>
      <c r="G1365" s="5">
        <f>IF(A1365="","","Checking")</f>
      </c>
      <c r="H1365">
        <f>IF(A1365="","",IFERROR(XLOOKUP(D1365,Setup!$E$15:$E$79,Setup!$F$15:$F$79),"Miscellaneous"))</f>
      </c>
      <c r="I1365">
        <f>IF(A1365="","",IFERROR(XLOOKUP(D1365,Setup!$E$15:$E$79,Setup!$G$15:$G$79),"Uncategorized"))</f>
      </c>
      <c r="J1365">
        <f>IF(A1365="","",IF(OR(H1365="Transfers",H1365="Income",D1365="Transfer",D1365="Category Pending",F1365="Pending"),"No","Yes"))</f>
      </c>
      <c r="K1365" s="4">
        <f>IF(A1365="","",TEXT(IF(DAY(A1365)&gt;=Setup!$B$9,DATE(YEAR(A1365),MONTH(A1365)+1,1),DATE(YEAR(A1365),MONTH(A1365),1)),"mmmm yyyy"))</f>
      </c>
      <c r="L1365" s="47">
        <f>IF(A1365="",0,IF(AND(J1365="Yes",E1365&lt;0),-E1365,0))</f>
      </c>
      <c r="M1365" s="47">
        <f>IF(A1365="",0,IF(AND(J1365="Yes",E1365&gt;0),E1365,0))</f>
      </c>
      <c r="N1365">
        <f>IF(A1365="","",IF(D1365="Category Pending","Needs categorization",IF(COUNTIFS($A$2:A1365,A1365,$B$2:B1365,B1365,$E$2:E1365,E1365)&gt;1,"Possible duplicate","")))</f>
      </c>
    </row>
    <row r="1366" spans="3:14" x14ac:dyDescent="0.3">
      <c r="A1366"/>
      <c r="C1366" s="16"/>
      <c r="G1366" s="5">
        <f>IF(A1366="","","Checking")</f>
      </c>
      <c r="H1366">
        <f>IF(A1366="","",IFERROR(XLOOKUP(D1366,Setup!$E$15:$E$79,Setup!$F$15:$F$79),"Miscellaneous"))</f>
      </c>
      <c r="I1366">
        <f>IF(A1366="","",IFERROR(XLOOKUP(D1366,Setup!$E$15:$E$79,Setup!$G$15:$G$79),"Uncategorized"))</f>
      </c>
      <c r="J1366">
        <f>IF(A1366="","",IF(OR(H1366="Transfers",H1366="Income",D1366="Transfer",D1366="Category Pending",F1366="Pending"),"No","Yes"))</f>
      </c>
      <c r="K1366" s="4">
        <f>IF(A1366="","",TEXT(IF(DAY(A1366)&gt;=Setup!$B$9,DATE(YEAR(A1366),MONTH(A1366)+1,1),DATE(YEAR(A1366),MONTH(A1366),1)),"mmmm yyyy"))</f>
      </c>
      <c r="L1366" s="47">
        <f>IF(A1366="",0,IF(AND(J1366="Yes",E1366&lt;0),-E1366,0))</f>
      </c>
      <c r="M1366" s="47">
        <f>IF(A1366="",0,IF(AND(J1366="Yes",E1366&gt;0),E1366,0))</f>
      </c>
      <c r="N1366">
        <f>IF(A1366="","",IF(D1366="Category Pending","Needs categorization",IF(COUNTIFS($A$2:A1366,A1366,$B$2:B1366,B1366,$E$2:E1366,E1366)&gt;1,"Possible duplicate","")))</f>
      </c>
    </row>
    <row r="1367" spans="3:14" x14ac:dyDescent="0.3">
      <c r="A1367"/>
      <c r="C1367" s="16"/>
      <c r="G1367" s="5">
        <f>IF(A1367="","","Checking")</f>
      </c>
      <c r="H1367">
        <f>IF(A1367="","",IFERROR(XLOOKUP(D1367,Setup!$E$15:$E$79,Setup!$F$15:$F$79),"Miscellaneous"))</f>
      </c>
      <c r="I1367">
        <f>IF(A1367="","",IFERROR(XLOOKUP(D1367,Setup!$E$15:$E$79,Setup!$G$15:$G$79),"Uncategorized"))</f>
      </c>
      <c r="J1367">
        <f>IF(A1367="","",IF(OR(H1367="Transfers",H1367="Income",D1367="Transfer",D1367="Category Pending",F1367="Pending"),"No","Yes"))</f>
      </c>
      <c r="K1367" s="4">
        <f>IF(A1367="","",TEXT(IF(DAY(A1367)&gt;=Setup!$B$9,DATE(YEAR(A1367),MONTH(A1367)+1,1),DATE(YEAR(A1367),MONTH(A1367),1)),"mmmm yyyy"))</f>
      </c>
      <c r="L1367" s="47">
        <f>IF(A1367="",0,IF(AND(J1367="Yes",E1367&lt;0),-E1367,0))</f>
      </c>
      <c r="M1367" s="47">
        <f>IF(A1367="",0,IF(AND(J1367="Yes",E1367&gt;0),E1367,0))</f>
      </c>
      <c r="N1367">
        <f>IF(A1367="","",IF(D1367="Category Pending","Needs categorization",IF(COUNTIFS($A$2:A1367,A1367,$B$2:B1367,B1367,$E$2:E1367,E1367)&gt;1,"Possible duplicate","")))</f>
      </c>
    </row>
    <row r="1368" spans="3:14" x14ac:dyDescent="0.3">
      <c r="A1368"/>
      <c r="C1368" s="16"/>
      <c r="G1368" s="5">
        <f>IF(A1368="","","Checking")</f>
      </c>
      <c r="H1368">
        <f>IF(A1368="","",IFERROR(XLOOKUP(D1368,Setup!$E$15:$E$79,Setup!$F$15:$F$79),"Miscellaneous"))</f>
      </c>
      <c r="I1368">
        <f>IF(A1368="","",IFERROR(XLOOKUP(D1368,Setup!$E$15:$E$79,Setup!$G$15:$G$79),"Uncategorized"))</f>
      </c>
      <c r="J1368">
        <f>IF(A1368="","",IF(OR(H1368="Transfers",H1368="Income",D1368="Transfer",D1368="Category Pending",F1368="Pending"),"No","Yes"))</f>
      </c>
      <c r="K1368" s="4">
        <f>IF(A1368="","",TEXT(IF(DAY(A1368)&gt;=Setup!$B$9,DATE(YEAR(A1368),MONTH(A1368)+1,1),DATE(YEAR(A1368),MONTH(A1368),1)),"mmmm yyyy"))</f>
      </c>
      <c r="L1368" s="47">
        <f>IF(A1368="",0,IF(AND(J1368="Yes",E1368&lt;0),-E1368,0))</f>
      </c>
      <c r="M1368" s="47">
        <f>IF(A1368="",0,IF(AND(J1368="Yes",E1368&gt;0),E1368,0))</f>
      </c>
      <c r="N1368">
        <f>IF(A1368="","",IF(D1368="Category Pending","Needs categorization",IF(COUNTIFS($A$2:A1368,A1368,$B$2:B1368,B1368,$E$2:E1368,E1368)&gt;1,"Possible duplicate","")))</f>
      </c>
    </row>
    <row r="1369" spans="3:14" x14ac:dyDescent="0.3">
      <c r="A1369"/>
      <c r="C1369" s="16"/>
      <c r="G1369" s="5">
        <f>IF(A1369="","","Checking")</f>
      </c>
      <c r="H1369">
        <f>IF(A1369="","",IFERROR(XLOOKUP(D1369,Setup!$E$15:$E$79,Setup!$F$15:$F$79),"Miscellaneous"))</f>
      </c>
      <c r="I1369">
        <f>IF(A1369="","",IFERROR(XLOOKUP(D1369,Setup!$E$15:$E$79,Setup!$G$15:$G$79),"Uncategorized"))</f>
      </c>
      <c r="J1369">
        <f>IF(A1369="","",IF(OR(H1369="Transfers",H1369="Income",D1369="Transfer",D1369="Category Pending",F1369="Pending"),"No","Yes"))</f>
      </c>
      <c r="K1369" s="4">
        <f>IF(A1369="","",TEXT(IF(DAY(A1369)&gt;=Setup!$B$9,DATE(YEAR(A1369),MONTH(A1369)+1,1),DATE(YEAR(A1369),MONTH(A1369),1)),"mmmm yyyy"))</f>
      </c>
      <c r="L1369" s="47">
        <f>IF(A1369="",0,IF(AND(J1369="Yes",E1369&lt;0),-E1369,0))</f>
      </c>
      <c r="M1369" s="47">
        <f>IF(A1369="",0,IF(AND(J1369="Yes",E1369&gt;0),E1369,0))</f>
      </c>
      <c r="N1369">
        <f>IF(A1369="","",IF(D1369="Category Pending","Needs categorization",IF(COUNTIFS($A$2:A1369,A1369,$B$2:B1369,B1369,$E$2:E1369,E1369)&gt;1,"Possible duplicate","")))</f>
      </c>
    </row>
    <row r="1370" spans="3:14" x14ac:dyDescent="0.3">
      <c r="A1370"/>
      <c r="C1370" s="16"/>
      <c r="G1370" s="5">
        <f>IF(A1370="","","Checking")</f>
      </c>
      <c r="H1370">
        <f>IF(A1370="","",IFERROR(XLOOKUP(D1370,Setup!$E$15:$E$79,Setup!$F$15:$F$79),"Miscellaneous"))</f>
      </c>
      <c r="I1370">
        <f>IF(A1370="","",IFERROR(XLOOKUP(D1370,Setup!$E$15:$E$79,Setup!$G$15:$G$79),"Uncategorized"))</f>
      </c>
      <c r="J1370">
        <f>IF(A1370="","",IF(OR(H1370="Transfers",H1370="Income",D1370="Transfer",D1370="Category Pending",F1370="Pending"),"No","Yes"))</f>
      </c>
      <c r="K1370" s="4">
        <f>IF(A1370="","",TEXT(IF(DAY(A1370)&gt;=Setup!$B$9,DATE(YEAR(A1370),MONTH(A1370)+1,1),DATE(YEAR(A1370),MONTH(A1370),1)),"mmmm yyyy"))</f>
      </c>
      <c r="L1370" s="47">
        <f>IF(A1370="",0,IF(AND(J1370="Yes",E1370&lt;0),-E1370,0))</f>
      </c>
      <c r="M1370" s="47">
        <f>IF(A1370="",0,IF(AND(J1370="Yes",E1370&gt;0),E1370,0))</f>
      </c>
      <c r="N1370">
        <f>IF(A1370="","",IF(D1370="Category Pending","Needs categorization",IF(COUNTIFS($A$2:A1370,A1370,$B$2:B1370,B1370,$E$2:E1370,E1370)&gt;1,"Possible duplicate","")))</f>
      </c>
    </row>
    <row r="1371" spans="3:14" x14ac:dyDescent="0.3">
      <c r="A1371"/>
      <c r="C1371" s="16"/>
      <c r="G1371" s="5">
        <f>IF(A1371="","","Checking")</f>
      </c>
      <c r="H1371">
        <f>IF(A1371="","",IFERROR(XLOOKUP(D1371,Setup!$E$15:$E$79,Setup!$F$15:$F$79),"Miscellaneous"))</f>
      </c>
      <c r="I1371">
        <f>IF(A1371="","",IFERROR(XLOOKUP(D1371,Setup!$E$15:$E$79,Setup!$G$15:$G$79),"Uncategorized"))</f>
      </c>
      <c r="J1371">
        <f>IF(A1371="","",IF(OR(H1371="Transfers",H1371="Income",D1371="Transfer",D1371="Category Pending",F1371="Pending"),"No","Yes"))</f>
      </c>
      <c r="K1371" s="4">
        <f>IF(A1371="","",TEXT(IF(DAY(A1371)&gt;=Setup!$B$9,DATE(YEAR(A1371),MONTH(A1371)+1,1),DATE(YEAR(A1371),MONTH(A1371),1)),"mmmm yyyy"))</f>
      </c>
      <c r="L1371" s="47">
        <f>IF(A1371="",0,IF(AND(J1371="Yes",E1371&lt;0),-E1371,0))</f>
      </c>
      <c r="M1371" s="47">
        <f>IF(A1371="",0,IF(AND(J1371="Yes",E1371&gt;0),E1371,0))</f>
      </c>
      <c r="N1371">
        <f>IF(A1371="","",IF(D1371="Category Pending","Needs categorization",IF(COUNTIFS($A$2:A1371,A1371,$B$2:B1371,B1371,$E$2:E1371,E1371)&gt;1,"Possible duplicate","")))</f>
      </c>
    </row>
    <row r="1372" spans="3:14" x14ac:dyDescent="0.3">
      <c r="A1372"/>
      <c r="C1372" s="16"/>
      <c r="G1372" s="5">
        <f>IF(A1372="","","Checking")</f>
      </c>
      <c r="H1372">
        <f>IF(A1372="","",IFERROR(XLOOKUP(D1372,Setup!$E$15:$E$79,Setup!$F$15:$F$79),"Miscellaneous"))</f>
      </c>
      <c r="I1372">
        <f>IF(A1372="","",IFERROR(XLOOKUP(D1372,Setup!$E$15:$E$79,Setup!$G$15:$G$79),"Uncategorized"))</f>
      </c>
      <c r="J1372">
        <f>IF(A1372="","",IF(OR(H1372="Transfers",H1372="Income",D1372="Transfer",D1372="Category Pending",F1372="Pending"),"No","Yes"))</f>
      </c>
      <c r="K1372" s="4">
        <f>IF(A1372="","",TEXT(IF(DAY(A1372)&gt;=Setup!$B$9,DATE(YEAR(A1372),MONTH(A1372)+1,1),DATE(YEAR(A1372),MONTH(A1372),1)),"mmmm yyyy"))</f>
      </c>
      <c r="L1372" s="47">
        <f>IF(A1372="",0,IF(AND(J1372="Yes",E1372&lt;0),-E1372,0))</f>
      </c>
      <c r="M1372" s="47">
        <f>IF(A1372="",0,IF(AND(J1372="Yes",E1372&gt;0),E1372,0))</f>
      </c>
      <c r="N1372">
        <f>IF(A1372="","",IF(D1372="Category Pending","Needs categorization",IF(COUNTIFS($A$2:A1372,A1372,$B$2:B1372,B1372,$E$2:E1372,E1372)&gt;1,"Possible duplicate","")))</f>
      </c>
    </row>
    <row r="1373" spans="3:14" x14ac:dyDescent="0.3">
      <c r="A1373"/>
      <c r="C1373" s="16"/>
      <c r="G1373" s="5">
        <f>IF(A1373="","","Checking")</f>
      </c>
      <c r="H1373">
        <f>IF(A1373="","",IFERROR(XLOOKUP(D1373,Setup!$E$15:$E$79,Setup!$F$15:$F$79),"Miscellaneous"))</f>
      </c>
      <c r="I1373">
        <f>IF(A1373="","",IFERROR(XLOOKUP(D1373,Setup!$E$15:$E$79,Setup!$G$15:$G$79),"Uncategorized"))</f>
      </c>
      <c r="J1373">
        <f>IF(A1373="","",IF(OR(H1373="Transfers",H1373="Income",D1373="Transfer",D1373="Category Pending",F1373="Pending"),"No","Yes"))</f>
      </c>
      <c r="K1373" s="4">
        <f>IF(A1373="","",TEXT(IF(DAY(A1373)&gt;=Setup!$B$9,DATE(YEAR(A1373),MONTH(A1373)+1,1),DATE(YEAR(A1373),MONTH(A1373),1)),"mmmm yyyy"))</f>
      </c>
      <c r="L1373" s="47">
        <f>IF(A1373="",0,IF(AND(J1373="Yes",E1373&lt;0),-E1373,0))</f>
      </c>
      <c r="M1373" s="47">
        <f>IF(A1373="",0,IF(AND(J1373="Yes",E1373&gt;0),E1373,0))</f>
      </c>
      <c r="N1373">
        <f>IF(A1373="","",IF(D1373="Category Pending","Needs categorization",IF(COUNTIFS($A$2:A1373,A1373,$B$2:B1373,B1373,$E$2:E1373,E1373)&gt;1,"Possible duplicate","")))</f>
      </c>
    </row>
    <row r="1374" spans="3:14" x14ac:dyDescent="0.3">
      <c r="A1374"/>
      <c r="C1374" s="16"/>
      <c r="G1374" s="5">
        <f>IF(A1374="","","Checking")</f>
      </c>
      <c r="H1374">
        <f>IF(A1374="","",IFERROR(XLOOKUP(D1374,Setup!$E$15:$E$79,Setup!$F$15:$F$79),"Miscellaneous"))</f>
      </c>
      <c r="I1374">
        <f>IF(A1374="","",IFERROR(XLOOKUP(D1374,Setup!$E$15:$E$79,Setup!$G$15:$G$79),"Uncategorized"))</f>
      </c>
      <c r="J1374">
        <f>IF(A1374="","",IF(OR(H1374="Transfers",H1374="Income",D1374="Transfer",D1374="Category Pending",F1374="Pending"),"No","Yes"))</f>
      </c>
      <c r="K1374" s="4">
        <f>IF(A1374="","",TEXT(IF(DAY(A1374)&gt;=Setup!$B$9,DATE(YEAR(A1374),MONTH(A1374)+1,1),DATE(YEAR(A1374),MONTH(A1374),1)),"mmmm yyyy"))</f>
      </c>
      <c r="L1374" s="47">
        <f>IF(A1374="",0,IF(AND(J1374="Yes",E1374&lt;0),-E1374,0))</f>
      </c>
      <c r="M1374" s="47">
        <f>IF(A1374="",0,IF(AND(J1374="Yes",E1374&gt;0),E1374,0))</f>
      </c>
      <c r="N1374">
        <f>IF(A1374="","",IF(D1374="Category Pending","Needs categorization",IF(COUNTIFS($A$2:A1374,A1374,$B$2:B1374,B1374,$E$2:E1374,E1374)&gt;1,"Possible duplicate","")))</f>
      </c>
    </row>
    <row r="1375" spans="3:14" x14ac:dyDescent="0.3">
      <c r="A1375"/>
      <c r="C1375" s="16"/>
      <c r="G1375" s="5">
        <f>IF(A1375="","","Checking")</f>
      </c>
      <c r="H1375">
        <f>IF(A1375="","",IFERROR(XLOOKUP(D1375,Setup!$E$15:$E$79,Setup!$F$15:$F$79),"Miscellaneous"))</f>
      </c>
      <c r="I1375">
        <f>IF(A1375="","",IFERROR(XLOOKUP(D1375,Setup!$E$15:$E$79,Setup!$G$15:$G$79),"Uncategorized"))</f>
      </c>
      <c r="J1375">
        <f>IF(A1375="","",IF(OR(H1375="Transfers",H1375="Income",D1375="Transfer",D1375="Category Pending",F1375="Pending"),"No","Yes"))</f>
      </c>
      <c r="K1375" s="4">
        <f>IF(A1375="","",TEXT(IF(DAY(A1375)&gt;=Setup!$B$9,DATE(YEAR(A1375),MONTH(A1375)+1,1),DATE(YEAR(A1375),MONTH(A1375),1)),"mmmm yyyy"))</f>
      </c>
      <c r="L1375" s="47">
        <f>IF(A1375="",0,IF(AND(J1375="Yes",E1375&lt;0),-E1375,0))</f>
      </c>
      <c r="M1375" s="47">
        <f>IF(A1375="",0,IF(AND(J1375="Yes",E1375&gt;0),E1375,0))</f>
      </c>
      <c r="N1375">
        <f>IF(A1375="","",IF(D1375="Category Pending","Needs categorization",IF(COUNTIFS($A$2:A1375,A1375,$B$2:B1375,B1375,$E$2:E1375,E1375)&gt;1,"Possible duplicate","")))</f>
      </c>
    </row>
    <row r="1376" spans="3:14" x14ac:dyDescent="0.3">
      <c r="A1376"/>
      <c r="C1376" s="16"/>
      <c r="G1376" s="5">
        <f>IF(A1376="","","Checking")</f>
      </c>
      <c r="H1376">
        <f>IF(A1376="","",IFERROR(XLOOKUP(D1376,Setup!$E$15:$E$79,Setup!$F$15:$F$79),"Miscellaneous"))</f>
      </c>
      <c r="I1376">
        <f>IF(A1376="","",IFERROR(XLOOKUP(D1376,Setup!$E$15:$E$79,Setup!$G$15:$G$79),"Uncategorized"))</f>
      </c>
      <c r="J1376">
        <f>IF(A1376="","",IF(OR(H1376="Transfers",H1376="Income",D1376="Transfer",D1376="Category Pending",F1376="Pending"),"No","Yes"))</f>
      </c>
      <c r="K1376" s="4">
        <f>IF(A1376="","",TEXT(IF(DAY(A1376)&gt;=Setup!$B$9,DATE(YEAR(A1376),MONTH(A1376)+1,1),DATE(YEAR(A1376),MONTH(A1376),1)),"mmmm yyyy"))</f>
      </c>
      <c r="L1376" s="47">
        <f>IF(A1376="",0,IF(AND(J1376="Yes",E1376&lt;0),-E1376,0))</f>
      </c>
      <c r="M1376" s="47">
        <f>IF(A1376="",0,IF(AND(J1376="Yes",E1376&gt;0),E1376,0))</f>
      </c>
      <c r="N1376">
        <f>IF(A1376="","",IF(D1376="Category Pending","Needs categorization",IF(COUNTIFS($A$2:A1376,A1376,$B$2:B1376,B1376,$E$2:E1376,E1376)&gt;1,"Possible duplicate","")))</f>
      </c>
    </row>
    <row r="1377" spans="3:14" x14ac:dyDescent="0.3">
      <c r="A1377"/>
      <c r="C1377" s="16"/>
      <c r="G1377" s="5">
        <f>IF(A1377="","","Checking")</f>
      </c>
      <c r="H1377">
        <f>IF(A1377="","",IFERROR(XLOOKUP(D1377,Setup!$E$15:$E$79,Setup!$F$15:$F$79),"Miscellaneous"))</f>
      </c>
      <c r="I1377">
        <f>IF(A1377="","",IFERROR(XLOOKUP(D1377,Setup!$E$15:$E$79,Setup!$G$15:$G$79),"Uncategorized"))</f>
      </c>
      <c r="J1377">
        <f>IF(A1377="","",IF(OR(H1377="Transfers",H1377="Income",D1377="Transfer",D1377="Category Pending",F1377="Pending"),"No","Yes"))</f>
      </c>
      <c r="K1377" s="4">
        <f>IF(A1377="","",TEXT(IF(DAY(A1377)&gt;=Setup!$B$9,DATE(YEAR(A1377),MONTH(A1377)+1,1),DATE(YEAR(A1377),MONTH(A1377),1)),"mmmm yyyy"))</f>
      </c>
      <c r="L1377" s="47">
        <f>IF(A1377="",0,IF(AND(J1377="Yes",E1377&lt;0),-E1377,0))</f>
      </c>
      <c r="M1377" s="47">
        <f>IF(A1377="",0,IF(AND(J1377="Yes",E1377&gt;0),E1377,0))</f>
      </c>
      <c r="N1377">
        <f>IF(A1377="","",IF(D1377="Category Pending","Needs categorization",IF(COUNTIFS($A$2:A1377,A1377,$B$2:B1377,B1377,$E$2:E1377,E1377)&gt;1,"Possible duplicate","")))</f>
      </c>
    </row>
    <row r="1378" spans="3:14" x14ac:dyDescent="0.3">
      <c r="A1378"/>
      <c r="C1378" s="16"/>
      <c r="G1378" s="5">
        <f>IF(A1378="","","Checking")</f>
      </c>
      <c r="H1378">
        <f>IF(A1378="","",IFERROR(XLOOKUP(D1378,Setup!$E$15:$E$79,Setup!$F$15:$F$79),"Miscellaneous"))</f>
      </c>
      <c r="I1378">
        <f>IF(A1378="","",IFERROR(XLOOKUP(D1378,Setup!$E$15:$E$79,Setup!$G$15:$G$79),"Uncategorized"))</f>
      </c>
      <c r="J1378">
        <f>IF(A1378="","",IF(OR(H1378="Transfers",H1378="Income",D1378="Transfer",D1378="Category Pending",F1378="Pending"),"No","Yes"))</f>
      </c>
      <c r="K1378" s="4">
        <f>IF(A1378="","",TEXT(IF(DAY(A1378)&gt;=Setup!$B$9,DATE(YEAR(A1378),MONTH(A1378)+1,1),DATE(YEAR(A1378),MONTH(A1378),1)),"mmmm yyyy"))</f>
      </c>
      <c r="L1378" s="47">
        <f>IF(A1378="",0,IF(AND(J1378="Yes",E1378&lt;0),-E1378,0))</f>
      </c>
      <c r="M1378" s="47">
        <f>IF(A1378="",0,IF(AND(J1378="Yes",E1378&gt;0),E1378,0))</f>
      </c>
      <c r="N1378">
        <f>IF(A1378="","",IF(D1378="Category Pending","Needs categorization",IF(COUNTIFS($A$2:A1378,A1378,$B$2:B1378,B1378,$E$2:E1378,E1378)&gt;1,"Possible duplicate","")))</f>
      </c>
    </row>
    <row r="1379" spans="3:14" x14ac:dyDescent="0.3">
      <c r="A1379"/>
      <c r="C1379" s="16"/>
      <c r="G1379" s="5">
        <f>IF(A1379="","","Checking")</f>
      </c>
      <c r="H1379">
        <f>IF(A1379="","",IFERROR(XLOOKUP(D1379,Setup!$E$15:$E$79,Setup!$F$15:$F$79),"Miscellaneous"))</f>
      </c>
      <c r="I1379">
        <f>IF(A1379="","",IFERROR(XLOOKUP(D1379,Setup!$E$15:$E$79,Setup!$G$15:$G$79),"Uncategorized"))</f>
      </c>
      <c r="J1379">
        <f>IF(A1379="","",IF(OR(H1379="Transfers",H1379="Income",D1379="Transfer",D1379="Category Pending",F1379="Pending"),"No","Yes"))</f>
      </c>
      <c r="K1379" s="4">
        <f>IF(A1379="","",TEXT(IF(DAY(A1379)&gt;=Setup!$B$9,DATE(YEAR(A1379),MONTH(A1379)+1,1),DATE(YEAR(A1379),MONTH(A1379),1)),"mmmm yyyy"))</f>
      </c>
      <c r="L1379" s="47">
        <f>IF(A1379="",0,IF(AND(J1379="Yes",E1379&lt;0),-E1379,0))</f>
      </c>
      <c r="M1379" s="47">
        <f>IF(A1379="",0,IF(AND(J1379="Yes",E1379&gt;0),E1379,0))</f>
      </c>
      <c r="N1379">
        <f>IF(A1379="","",IF(D1379="Category Pending","Needs categorization",IF(COUNTIFS($A$2:A1379,A1379,$B$2:B1379,B1379,$E$2:E1379,E1379)&gt;1,"Possible duplicate","")))</f>
      </c>
    </row>
    <row r="1380" spans="3:14" x14ac:dyDescent="0.3">
      <c r="A1380"/>
      <c r="C1380" s="16"/>
      <c r="G1380" s="5">
        <f>IF(A1380="","","Checking")</f>
      </c>
      <c r="H1380">
        <f>IF(A1380="","",IFERROR(XLOOKUP(D1380,Setup!$E$15:$E$79,Setup!$F$15:$F$79),"Miscellaneous"))</f>
      </c>
      <c r="I1380">
        <f>IF(A1380="","",IFERROR(XLOOKUP(D1380,Setup!$E$15:$E$79,Setup!$G$15:$G$79),"Uncategorized"))</f>
      </c>
      <c r="J1380">
        <f>IF(A1380="","",IF(OR(H1380="Transfers",H1380="Income",D1380="Transfer",D1380="Category Pending",F1380="Pending"),"No","Yes"))</f>
      </c>
      <c r="K1380" s="4">
        <f>IF(A1380="","",TEXT(IF(DAY(A1380)&gt;=Setup!$B$9,DATE(YEAR(A1380),MONTH(A1380)+1,1),DATE(YEAR(A1380),MONTH(A1380),1)),"mmmm yyyy"))</f>
      </c>
      <c r="L1380" s="47">
        <f>IF(A1380="",0,IF(AND(J1380="Yes",E1380&lt;0),-E1380,0))</f>
      </c>
      <c r="M1380" s="47">
        <f>IF(A1380="",0,IF(AND(J1380="Yes",E1380&gt;0),E1380,0))</f>
      </c>
      <c r="N1380">
        <f>IF(A1380="","",IF(D1380="Category Pending","Needs categorization",IF(COUNTIFS($A$2:A1380,A1380,$B$2:B1380,B1380,$E$2:E1380,E1380)&gt;1,"Possible duplicate","")))</f>
      </c>
    </row>
    <row r="1381" spans="3:14" x14ac:dyDescent="0.3">
      <c r="A1381"/>
      <c r="C1381" s="16"/>
      <c r="G1381" s="5">
        <f>IF(A1381="","","Checking")</f>
      </c>
      <c r="H1381">
        <f>IF(A1381="","",IFERROR(XLOOKUP(D1381,Setup!$E$15:$E$79,Setup!$F$15:$F$79),"Miscellaneous"))</f>
      </c>
      <c r="I1381">
        <f>IF(A1381="","",IFERROR(XLOOKUP(D1381,Setup!$E$15:$E$79,Setup!$G$15:$G$79),"Uncategorized"))</f>
      </c>
      <c r="J1381">
        <f>IF(A1381="","",IF(OR(H1381="Transfers",H1381="Income",D1381="Transfer",D1381="Category Pending",F1381="Pending"),"No","Yes"))</f>
      </c>
      <c r="K1381" s="4">
        <f>IF(A1381="","",TEXT(IF(DAY(A1381)&gt;=Setup!$B$9,DATE(YEAR(A1381),MONTH(A1381)+1,1),DATE(YEAR(A1381),MONTH(A1381),1)),"mmmm yyyy"))</f>
      </c>
      <c r="L1381" s="47">
        <f>IF(A1381="",0,IF(AND(J1381="Yes",E1381&lt;0),-E1381,0))</f>
      </c>
      <c r="M1381" s="47">
        <f>IF(A1381="",0,IF(AND(J1381="Yes",E1381&gt;0),E1381,0))</f>
      </c>
      <c r="N1381">
        <f>IF(A1381="","",IF(D1381="Category Pending","Needs categorization",IF(COUNTIFS($A$2:A1381,A1381,$B$2:B1381,B1381,$E$2:E1381,E1381)&gt;1,"Possible duplicate","")))</f>
      </c>
    </row>
    <row r="1382" spans="3:14" x14ac:dyDescent="0.3">
      <c r="A1382"/>
      <c r="C1382" s="16"/>
      <c r="G1382" s="5">
        <f>IF(A1382="","","Checking")</f>
      </c>
      <c r="H1382">
        <f>IF(A1382="","",IFERROR(XLOOKUP(D1382,Setup!$E$15:$E$79,Setup!$F$15:$F$79),"Miscellaneous"))</f>
      </c>
      <c r="I1382">
        <f>IF(A1382="","",IFERROR(XLOOKUP(D1382,Setup!$E$15:$E$79,Setup!$G$15:$G$79),"Uncategorized"))</f>
      </c>
      <c r="J1382">
        <f>IF(A1382="","",IF(OR(H1382="Transfers",H1382="Income",D1382="Transfer",D1382="Category Pending",F1382="Pending"),"No","Yes"))</f>
      </c>
      <c r="K1382" s="4">
        <f>IF(A1382="","",TEXT(IF(DAY(A1382)&gt;=Setup!$B$9,DATE(YEAR(A1382),MONTH(A1382)+1,1),DATE(YEAR(A1382),MONTH(A1382),1)),"mmmm yyyy"))</f>
      </c>
      <c r="L1382" s="47">
        <f>IF(A1382="",0,IF(AND(J1382="Yes",E1382&lt;0),-E1382,0))</f>
      </c>
      <c r="M1382" s="47">
        <f>IF(A1382="",0,IF(AND(J1382="Yes",E1382&gt;0),E1382,0))</f>
      </c>
      <c r="N1382">
        <f>IF(A1382="","",IF(D1382="Category Pending","Needs categorization",IF(COUNTIFS($A$2:A1382,A1382,$B$2:B1382,B1382,$E$2:E1382,E1382)&gt;1,"Possible duplicate","")))</f>
      </c>
    </row>
    <row r="1383" spans="3:14" x14ac:dyDescent="0.3">
      <c r="A1383"/>
      <c r="C1383" s="16"/>
      <c r="G1383" s="5">
        <f>IF(A1383="","","Checking")</f>
      </c>
      <c r="H1383">
        <f>IF(A1383="","",IFERROR(XLOOKUP(D1383,Setup!$E$15:$E$79,Setup!$F$15:$F$79),"Miscellaneous"))</f>
      </c>
      <c r="I1383">
        <f>IF(A1383="","",IFERROR(XLOOKUP(D1383,Setup!$E$15:$E$79,Setup!$G$15:$G$79),"Uncategorized"))</f>
      </c>
      <c r="J1383">
        <f>IF(A1383="","",IF(OR(H1383="Transfers",H1383="Income",D1383="Transfer",D1383="Category Pending",F1383="Pending"),"No","Yes"))</f>
      </c>
      <c r="K1383" s="4">
        <f>IF(A1383="","",TEXT(IF(DAY(A1383)&gt;=Setup!$B$9,DATE(YEAR(A1383),MONTH(A1383)+1,1),DATE(YEAR(A1383),MONTH(A1383),1)),"mmmm yyyy"))</f>
      </c>
      <c r="L1383" s="47">
        <f>IF(A1383="",0,IF(AND(J1383="Yes",E1383&lt;0),-E1383,0))</f>
      </c>
      <c r="M1383" s="47">
        <f>IF(A1383="",0,IF(AND(J1383="Yes",E1383&gt;0),E1383,0))</f>
      </c>
      <c r="N1383">
        <f>IF(A1383="","",IF(D1383="Category Pending","Needs categorization",IF(COUNTIFS($A$2:A1383,A1383,$B$2:B1383,B1383,$E$2:E1383,E1383)&gt;1,"Possible duplicate","")))</f>
      </c>
    </row>
    <row r="1384" spans="3:14" x14ac:dyDescent="0.3">
      <c r="A1384"/>
      <c r="C1384" s="16"/>
      <c r="G1384" s="5">
        <f>IF(A1384="","","Checking")</f>
      </c>
      <c r="H1384">
        <f>IF(A1384="","",IFERROR(XLOOKUP(D1384,Setup!$E$15:$E$79,Setup!$F$15:$F$79),"Miscellaneous"))</f>
      </c>
      <c r="I1384">
        <f>IF(A1384="","",IFERROR(XLOOKUP(D1384,Setup!$E$15:$E$79,Setup!$G$15:$G$79),"Uncategorized"))</f>
      </c>
      <c r="J1384">
        <f>IF(A1384="","",IF(OR(H1384="Transfers",H1384="Income",D1384="Transfer",D1384="Category Pending",F1384="Pending"),"No","Yes"))</f>
      </c>
      <c r="K1384" s="4">
        <f>IF(A1384="","",TEXT(IF(DAY(A1384)&gt;=Setup!$B$9,DATE(YEAR(A1384),MONTH(A1384)+1,1),DATE(YEAR(A1384),MONTH(A1384),1)),"mmmm yyyy"))</f>
      </c>
      <c r="L1384" s="47">
        <f>IF(A1384="",0,IF(AND(J1384="Yes",E1384&lt;0),-E1384,0))</f>
      </c>
      <c r="M1384" s="47">
        <f>IF(A1384="",0,IF(AND(J1384="Yes",E1384&gt;0),E1384,0))</f>
      </c>
      <c r="N1384">
        <f>IF(A1384="","",IF(D1384="Category Pending","Needs categorization",IF(COUNTIFS($A$2:A1384,A1384,$B$2:B1384,B1384,$E$2:E1384,E1384)&gt;1,"Possible duplicate","")))</f>
      </c>
    </row>
    <row r="1385" spans="3:14" x14ac:dyDescent="0.3">
      <c r="A1385"/>
      <c r="C1385" s="16"/>
      <c r="G1385" s="5">
        <f>IF(A1385="","","Checking")</f>
      </c>
      <c r="H1385">
        <f>IF(A1385="","",IFERROR(XLOOKUP(D1385,Setup!$E$15:$E$79,Setup!$F$15:$F$79),"Miscellaneous"))</f>
      </c>
      <c r="I1385">
        <f>IF(A1385="","",IFERROR(XLOOKUP(D1385,Setup!$E$15:$E$79,Setup!$G$15:$G$79),"Uncategorized"))</f>
      </c>
      <c r="J1385">
        <f>IF(A1385="","",IF(OR(H1385="Transfers",H1385="Income",D1385="Transfer",D1385="Category Pending",F1385="Pending"),"No","Yes"))</f>
      </c>
      <c r="K1385" s="4">
        <f>IF(A1385="","",TEXT(IF(DAY(A1385)&gt;=Setup!$B$9,DATE(YEAR(A1385),MONTH(A1385)+1,1),DATE(YEAR(A1385),MONTH(A1385),1)),"mmmm yyyy"))</f>
      </c>
      <c r="L1385" s="47">
        <f>IF(A1385="",0,IF(AND(J1385="Yes",E1385&lt;0),-E1385,0))</f>
      </c>
      <c r="M1385" s="47">
        <f>IF(A1385="",0,IF(AND(J1385="Yes",E1385&gt;0),E1385,0))</f>
      </c>
      <c r="N1385">
        <f>IF(A1385="","",IF(D1385="Category Pending","Needs categorization",IF(COUNTIFS($A$2:A1385,A1385,$B$2:B1385,B1385,$E$2:E1385,E1385)&gt;1,"Possible duplicate","")))</f>
      </c>
    </row>
    <row r="1386" spans="3:14" x14ac:dyDescent="0.3">
      <c r="A1386"/>
      <c r="C1386" s="16"/>
      <c r="G1386" s="5">
        <f>IF(A1386="","","Checking")</f>
      </c>
      <c r="H1386">
        <f>IF(A1386="","",IFERROR(XLOOKUP(D1386,Setup!$E$15:$E$79,Setup!$F$15:$F$79),"Miscellaneous"))</f>
      </c>
      <c r="I1386">
        <f>IF(A1386="","",IFERROR(XLOOKUP(D1386,Setup!$E$15:$E$79,Setup!$G$15:$G$79),"Uncategorized"))</f>
      </c>
      <c r="J1386">
        <f>IF(A1386="","",IF(OR(H1386="Transfers",H1386="Income",D1386="Transfer",D1386="Category Pending",F1386="Pending"),"No","Yes"))</f>
      </c>
      <c r="K1386" s="4">
        <f>IF(A1386="","",TEXT(IF(DAY(A1386)&gt;=Setup!$B$9,DATE(YEAR(A1386),MONTH(A1386)+1,1),DATE(YEAR(A1386),MONTH(A1386),1)),"mmmm yyyy"))</f>
      </c>
      <c r="L1386" s="47">
        <f>IF(A1386="",0,IF(AND(J1386="Yes",E1386&lt;0),-E1386,0))</f>
      </c>
      <c r="M1386" s="47">
        <f>IF(A1386="",0,IF(AND(J1386="Yes",E1386&gt;0),E1386,0))</f>
      </c>
      <c r="N1386">
        <f>IF(A1386="","",IF(D1386="Category Pending","Needs categorization",IF(COUNTIFS($A$2:A1386,A1386,$B$2:B1386,B1386,$E$2:E1386,E1386)&gt;1,"Possible duplicate","")))</f>
      </c>
    </row>
    <row r="1387" spans="3:14" x14ac:dyDescent="0.3">
      <c r="A1387"/>
      <c r="C1387" s="16"/>
      <c r="G1387" s="5">
        <f>IF(A1387="","","Checking")</f>
      </c>
      <c r="H1387">
        <f>IF(A1387="","",IFERROR(XLOOKUP(D1387,Setup!$E$15:$E$79,Setup!$F$15:$F$79),"Miscellaneous"))</f>
      </c>
      <c r="I1387">
        <f>IF(A1387="","",IFERROR(XLOOKUP(D1387,Setup!$E$15:$E$79,Setup!$G$15:$G$79),"Uncategorized"))</f>
      </c>
      <c r="J1387">
        <f>IF(A1387="","",IF(OR(H1387="Transfers",H1387="Income",D1387="Transfer",D1387="Category Pending",F1387="Pending"),"No","Yes"))</f>
      </c>
      <c r="K1387" s="4">
        <f>IF(A1387="","",TEXT(IF(DAY(A1387)&gt;=Setup!$B$9,DATE(YEAR(A1387),MONTH(A1387)+1,1),DATE(YEAR(A1387),MONTH(A1387),1)),"mmmm yyyy"))</f>
      </c>
      <c r="L1387" s="47">
        <f>IF(A1387="",0,IF(AND(J1387="Yes",E1387&lt;0),-E1387,0))</f>
      </c>
      <c r="M1387" s="47">
        <f>IF(A1387="",0,IF(AND(J1387="Yes",E1387&gt;0),E1387,0))</f>
      </c>
      <c r="N1387">
        <f>IF(A1387="","",IF(D1387="Category Pending","Needs categorization",IF(COUNTIFS($A$2:A1387,A1387,$B$2:B1387,B1387,$E$2:E1387,E1387)&gt;1,"Possible duplicate","")))</f>
      </c>
    </row>
    <row r="1388" spans="3:14" x14ac:dyDescent="0.3">
      <c r="A1388"/>
      <c r="C1388" s="16"/>
      <c r="G1388" s="5">
        <f>IF(A1388="","","Checking")</f>
      </c>
      <c r="H1388">
        <f>IF(A1388="","",IFERROR(XLOOKUP(D1388,Setup!$E$15:$E$79,Setup!$F$15:$F$79),"Miscellaneous"))</f>
      </c>
      <c r="I1388">
        <f>IF(A1388="","",IFERROR(XLOOKUP(D1388,Setup!$E$15:$E$79,Setup!$G$15:$G$79),"Uncategorized"))</f>
      </c>
      <c r="J1388">
        <f>IF(A1388="","",IF(OR(H1388="Transfers",H1388="Income",D1388="Transfer",D1388="Category Pending",F1388="Pending"),"No","Yes"))</f>
      </c>
      <c r="K1388" s="4">
        <f>IF(A1388="","",TEXT(IF(DAY(A1388)&gt;=Setup!$B$9,DATE(YEAR(A1388),MONTH(A1388)+1,1),DATE(YEAR(A1388),MONTH(A1388),1)),"mmmm yyyy"))</f>
      </c>
      <c r="L1388" s="47">
        <f>IF(A1388="",0,IF(AND(J1388="Yes",E1388&lt;0),-E1388,0))</f>
      </c>
      <c r="M1388" s="47">
        <f>IF(A1388="",0,IF(AND(J1388="Yes",E1388&gt;0),E1388,0))</f>
      </c>
      <c r="N1388">
        <f>IF(A1388="","",IF(D1388="Category Pending","Needs categorization",IF(COUNTIFS($A$2:A1388,A1388,$B$2:B1388,B1388,$E$2:E1388,E1388)&gt;1,"Possible duplicate","")))</f>
      </c>
    </row>
    <row r="1389" spans="3:14" x14ac:dyDescent="0.3">
      <c r="A1389"/>
      <c r="C1389" s="16"/>
      <c r="G1389" s="5">
        <f>IF(A1389="","","Checking")</f>
      </c>
      <c r="H1389">
        <f>IF(A1389="","",IFERROR(XLOOKUP(D1389,Setup!$E$15:$E$79,Setup!$F$15:$F$79),"Miscellaneous"))</f>
      </c>
      <c r="I1389">
        <f>IF(A1389="","",IFERROR(XLOOKUP(D1389,Setup!$E$15:$E$79,Setup!$G$15:$G$79),"Uncategorized"))</f>
      </c>
      <c r="J1389">
        <f>IF(A1389="","",IF(OR(H1389="Transfers",H1389="Income",D1389="Transfer",D1389="Category Pending",F1389="Pending"),"No","Yes"))</f>
      </c>
      <c r="K1389" s="4">
        <f>IF(A1389="","",TEXT(IF(DAY(A1389)&gt;=Setup!$B$9,DATE(YEAR(A1389),MONTH(A1389)+1,1),DATE(YEAR(A1389),MONTH(A1389),1)),"mmmm yyyy"))</f>
      </c>
      <c r="L1389" s="47">
        <f>IF(A1389="",0,IF(AND(J1389="Yes",E1389&lt;0),-E1389,0))</f>
      </c>
      <c r="M1389" s="47">
        <f>IF(A1389="",0,IF(AND(J1389="Yes",E1389&gt;0),E1389,0))</f>
      </c>
      <c r="N1389">
        <f>IF(A1389="","",IF(D1389="Category Pending","Needs categorization",IF(COUNTIFS($A$2:A1389,A1389,$B$2:B1389,B1389,$E$2:E1389,E1389)&gt;1,"Possible duplicate","")))</f>
      </c>
    </row>
    <row r="1390" spans="3:14" x14ac:dyDescent="0.3">
      <c r="A1390"/>
      <c r="C1390" s="16"/>
      <c r="G1390" s="5">
        <f>IF(A1390="","","Checking")</f>
      </c>
      <c r="H1390">
        <f>IF(A1390="","",IFERROR(XLOOKUP(D1390,Setup!$E$15:$E$79,Setup!$F$15:$F$79),"Miscellaneous"))</f>
      </c>
      <c r="I1390">
        <f>IF(A1390="","",IFERROR(XLOOKUP(D1390,Setup!$E$15:$E$79,Setup!$G$15:$G$79),"Uncategorized"))</f>
      </c>
      <c r="J1390">
        <f>IF(A1390="","",IF(OR(H1390="Transfers",H1390="Income",D1390="Transfer",D1390="Category Pending",F1390="Pending"),"No","Yes"))</f>
      </c>
      <c r="K1390" s="4">
        <f>IF(A1390="","",TEXT(IF(DAY(A1390)&gt;=Setup!$B$9,DATE(YEAR(A1390),MONTH(A1390)+1,1),DATE(YEAR(A1390),MONTH(A1390),1)),"mmmm yyyy"))</f>
      </c>
      <c r="L1390" s="47">
        <f>IF(A1390="",0,IF(AND(J1390="Yes",E1390&lt;0),-E1390,0))</f>
      </c>
      <c r="M1390" s="47">
        <f>IF(A1390="",0,IF(AND(J1390="Yes",E1390&gt;0),E1390,0))</f>
      </c>
      <c r="N1390">
        <f>IF(A1390="","",IF(D1390="Category Pending","Needs categorization",IF(COUNTIFS($A$2:A1390,A1390,$B$2:B1390,B1390,$E$2:E1390,E1390)&gt;1,"Possible duplicate","")))</f>
      </c>
    </row>
    <row r="1391" spans="3:14" x14ac:dyDescent="0.3">
      <c r="A1391"/>
      <c r="C1391" s="16"/>
      <c r="G1391" s="5">
        <f>IF(A1391="","","Checking")</f>
      </c>
      <c r="H1391">
        <f>IF(A1391="","",IFERROR(XLOOKUP(D1391,Setup!$E$15:$E$79,Setup!$F$15:$F$79),"Miscellaneous"))</f>
      </c>
      <c r="I1391">
        <f>IF(A1391="","",IFERROR(XLOOKUP(D1391,Setup!$E$15:$E$79,Setup!$G$15:$G$79),"Uncategorized"))</f>
      </c>
      <c r="J1391">
        <f>IF(A1391="","",IF(OR(H1391="Transfers",H1391="Income",D1391="Transfer",D1391="Category Pending",F1391="Pending"),"No","Yes"))</f>
      </c>
      <c r="K1391" s="4">
        <f>IF(A1391="","",TEXT(IF(DAY(A1391)&gt;=Setup!$B$9,DATE(YEAR(A1391),MONTH(A1391)+1,1),DATE(YEAR(A1391),MONTH(A1391),1)),"mmmm yyyy"))</f>
      </c>
      <c r="L1391" s="47">
        <f>IF(A1391="",0,IF(AND(J1391="Yes",E1391&lt;0),-E1391,0))</f>
      </c>
      <c r="M1391" s="47">
        <f>IF(A1391="",0,IF(AND(J1391="Yes",E1391&gt;0),E1391,0))</f>
      </c>
      <c r="N1391">
        <f>IF(A1391="","",IF(D1391="Category Pending","Needs categorization",IF(COUNTIFS($A$2:A1391,A1391,$B$2:B1391,B1391,$E$2:E1391,E1391)&gt;1,"Possible duplicate","")))</f>
      </c>
    </row>
    <row r="1392" spans="3:14" x14ac:dyDescent="0.3">
      <c r="A1392"/>
      <c r="C1392" s="16"/>
      <c r="G1392" s="5">
        <f>IF(A1392="","","Checking")</f>
      </c>
      <c r="H1392">
        <f>IF(A1392="","",IFERROR(XLOOKUP(D1392,Setup!$E$15:$E$79,Setup!$F$15:$F$79),"Miscellaneous"))</f>
      </c>
      <c r="I1392">
        <f>IF(A1392="","",IFERROR(XLOOKUP(D1392,Setup!$E$15:$E$79,Setup!$G$15:$G$79),"Uncategorized"))</f>
      </c>
      <c r="J1392">
        <f>IF(A1392="","",IF(OR(H1392="Transfers",H1392="Income",D1392="Transfer",D1392="Category Pending",F1392="Pending"),"No","Yes"))</f>
      </c>
      <c r="K1392" s="4">
        <f>IF(A1392="","",TEXT(IF(DAY(A1392)&gt;=Setup!$B$9,DATE(YEAR(A1392),MONTH(A1392)+1,1),DATE(YEAR(A1392),MONTH(A1392),1)),"mmmm yyyy"))</f>
      </c>
      <c r="L1392" s="47">
        <f>IF(A1392="",0,IF(AND(J1392="Yes",E1392&lt;0),-E1392,0))</f>
      </c>
      <c r="M1392" s="47">
        <f>IF(A1392="",0,IF(AND(J1392="Yes",E1392&gt;0),E1392,0))</f>
      </c>
      <c r="N1392">
        <f>IF(A1392="","",IF(D1392="Category Pending","Needs categorization",IF(COUNTIFS($A$2:A1392,A1392,$B$2:B1392,B1392,$E$2:E1392,E1392)&gt;1,"Possible duplicate","")))</f>
      </c>
    </row>
    <row r="1393" spans="3:14" x14ac:dyDescent="0.3">
      <c r="A1393"/>
      <c r="C1393" s="16"/>
      <c r="G1393" s="5">
        <f>IF(A1393="","","Checking")</f>
      </c>
      <c r="H1393">
        <f>IF(A1393="","",IFERROR(XLOOKUP(D1393,Setup!$E$15:$E$79,Setup!$F$15:$F$79),"Miscellaneous"))</f>
      </c>
      <c r="I1393">
        <f>IF(A1393="","",IFERROR(XLOOKUP(D1393,Setup!$E$15:$E$79,Setup!$G$15:$G$79),"Uncategorized"))</f>
      </c>
      <c r="J1393">
        <f>IF(A1393="","",IF(OR(H1393="Transfers",H1393="Income",D1393="Transfer",D1393="Category Pending",F1393="Pending"),"No","Yes"))</f>
      </c>
      <c r="K1393" s="4">
        <f>IF(A1393="","",TEXT(IF(DAY(A1393)&gt;=Setup!$B$9,DATE(YEAR(A1393),MONTH(A1393)+1,1),DATE(YEAR(A1393),MONTH(A1393),1)),"mmmm yyyy"))</f>
      </c>
      <c r="L1393" s="47">
        <f>IF(A1393="",0,IF(AND(J1393="Yes",E1393&lt;0),-E1393,0))</f>
      </c>
      <c r="M1393" s="47">
        <f>IF(A1393="",0,IF(AND(J1393="Yes",E1393&gt;0),E1393,0))</f>
      </c>
      <c r="N1393">
        <f>IF(A1393="","",IF(D1393="Category Pending","Needs categorization",IF(COUNTIFS($A$2:A1393,A1393,$B$2:B1393,B1393,$E$2:E1393,E1393)&gt;1,"Possible duplicate","")))</f>
      </c>
    </row>
    <row r="1394" spans="3:14" x14ac:dyDescent="0.3">
      <c r="A1394"/>
      <c r="C1394" s="16"/>
      <c r="G1394" s="5">
        <f>IF(A1394="","","Checking")</f>
      </c>
      <c r="H1394">
        <f>IF(A1394="","",IFERROR(XLOOKUP(D1394,Setup!$E$15:$E$79,Setup!$F$15:$F$79),"Miscellaneous"))</f>
      </c>
      <c r="I1394">
        <f>IF(A1394="","",IFERROR(XLOOKUP(D1394,Setup!$E$15:$E$79,Setup!$G$15:$G$79),"Uncategorized"))</f>
      </c>
      <c r="J1394">
        <f>IF(A1394="","",IF(OR(H1394="Transfers",H1394="Income",D1394="Transfer",D1394="Category Pending",F1394="Pending"),"No","Yes"))</f>
      </c>
      <c r="K1394" s="4">
        <f>IF(A1394="","",TEXT(IF(DAY(A1394)&gt;=Setup!$B$9,DATE(YEAR(A1394),MONTH(A1394)+1,1),DATE(YEAR(A1394),MONTH(A1394),1)),"mmmm yyyy"))</f>
      </c>
      <c r="L1394" s="47">
        <f>IF(A1394="",0,IF(AND(J1394="Yes",E1394&lt;0),-E1394,0))</f>
      </c>
      <c r="M1394" s="47">
        <f>IF(A1394="",0,IF(AND(J1394="Yes",E1394&gt;0),E1394,0))</f>
      </c>
      <c r="N1394">
        <f>IF(A1394="","",IF(D1394="Category Pending","Needs categorization",IF(COUNTIFS($A$2:A1394,A1394,$B$2:B1394,B1394,$E$2:E1394,E1394)&gt;1,"Possible duplicate","")))</f>
      </c>
    </row>
    <row r="1395" spans="3:14" x14ac:dyDescent="0.3">
      <c r="A1395"/>
      <c r="C1395" s="16"/>
      <c r="G1395" s="5">
        <f>IF(A1395="","","Checking")</f>
      </c>
      <c r="H1395">
        <f>IF(A1395="","",IFERROR(XLOOKUP(D1395,Setup!$E$15:$E$79,Setup!$F$15:$F$79),"Miscellaneous"))</f>
      </c>
      <c r="I1395">
        <f>IF(A1395="","",IFERROR(XLOOKUP(D1395,Setup!$E$15:$E$79,Setup!$G$15:$G$79),"Uncategorized"))</f>
      </c>
      <c r="J1395">
        <f>IF(A1395="","",IF(OR(H1395="Transfers",H1395="Income",D1395="Transfer",D1395="Category Pending",F1395="Pending"),"No","Yes"))</f>
      </c>
      <c r="K1395" s="4">
        <f>IF(A1395="","",TEXT(IF(DAY(A1395)&gt;=Setup!$B$9,DATE(YEAR(A1395),MONTH(A1395)+1,1),DATE(YEAR(A1395),MONTH(A1395),1)),"mmmm yyyy"))</f>
      </c>
      <c r="L1395" s="47">
        <f>IF(A1395="",0,IF(AND(J1395="Yes",E1395&lt;0),-E1395,0))</f>
      </c>
      <c r="M1395" s="47">
        <f>IF(A1395="",0,IF(AND(J1395="Yes",E1395&gt;0),E1395,0))</f>
      </c>
      <c r="N1395">
        <f>IF(A1395="","",IF(D1395="Category Pending","Needs categorization",IF(COUNTIFS($A$2:A1395,A1395,$B$2:B1395,B1395,$E$2:E1395,E1395)&gt;1,"Possible duplicate","")))</f>
      </c>
    </row>
    <row r="1396" spans="3:14" x14ac:dyDescent="0.3">
      <c r="A1396"/>
      <c r="C1396" s="16"/>
      <c r="G1396" s="5">
        <f>IF(A1396="","","Checking")</f>
      </c>
      <c r="H1396">
        <f>IF(A1396="","",IFERROR(XLOOKUP(D1396,Setup!$E$15:$E$79,Setup!$F$15:$F$79),"Miscellaneous"))</f>
      </c>
      <c r="I1396">
        <f>IF(A1396="","",IFERROR(XLOOKUP(D1396,Setup!$E$15:$E$79,Setup!$G$15:$G$79),"Uncategorized"))</f>
      </c>
      <c r="J1396">
        <f>IF(A1396="","",IF(OR(H1396="Transfers",H1396="Income",D1396="Transfer",D1396="Category Pending",F1396="Pending"),"No","Yes"))</f>
      </c>
      <c r="K1396" s="4">
        <f>IF(A1396="","",TEXT(IF(DAY(A1396)&gt;=Setup!$B$9,DATE(YEAR(A1396),MONTH(A1396)+1,1),DATE(YEAR(A1396),MONTH(A1396),1)),"mmmm yyyy"))</f>
      </c>
      <c r="L1396" s="47">
        <f>IF(A1396="",0,IF(AND(J1396="Yes",E1396&lt;0),-E1396,0))</f>
      </c>
      <c r="M1396" s="47">
        <f>IF(A1396="",0,IF(AND(J1396="Yes",E1396&gt;0),E1396,0))</f>
      </c>
      <c r="N1396">
        <f>IF(A1396="","",IF(D1396="Category Pending","Needs categorization",IF(COUNTIFS($A$2:A1396,A1396,$B$2:B1396,B1396,$E$2:E1396,E1396)&gt;1,"Possible duplicate","")))</f>
      </c>
    </row>
    <row r="1397" spans="3:14" x14ac:dyDescent="0.3">
      <c r="A1397"/>
      <c r="C1397" s="16"/>
      <c r="G1397" s="5">
        <f>IF(A1397="","","Checking")</f>
      </c>
      <c r="H1397">
        <f>IF(A1397="","",IFERROR(XLOOKUP(D1397,Setup!$E$15:$E$79,Setup!$F$15:$F$79),"Miscellaneous"))</f>
      </c>
      <c r="I1397">
        <f>IF(A1397="","",IFERROR(XLOOKUP(D1397,Setup!$E$15:$E$79,Setup!$G$15:$G$79),"Uncategorized"))</f>
      </c>
      <c r="J1397">
        <f>IF(A1397="","",IF(OR(H1397="Transfers",H1397="Income",D1397="Transfer",D1397="Category Pending",F1397="Pending"),"No","Yes"))</f>
      </c>
      <c r="K1397" s="4">
        <f>IF(A1397="","",TEXT(IF(DAY(A1397)&gt;=Setup!$B$9,DATE(YEAR(A1397),MONTH(A1397)+1,1),DATE(YEAR(A1397),MONTH(A1397),1)),"mmmm yyyy"))</f>
      </c>
      <c r="L1397" s="47">
        <f>IF(A1397="",0,IF(AND(J1397="Yes",E1397&lt;0),-E1397,0))</f>
      </c>
      <c r="M1397" s="47">
        <f>IF(A1397="",0,IF(AND(J1397="Yes",E1397&gt;0),E1397,0))</f>
      </c>
      <c r="N1397">
        <f>IF(A1397="","",IF(D1397="Category Pending","Needs categorization",IF(COUNTIFS($A$2:A1397,A1397,$B$2:B1397,B1397,$E$2:E1397,E1397)&gt;1,"Possible duplicate","")))</f>
      </c>
    </row>
    <row r="1398" spans="3:14" x14ac:dyDescent="0.3">
      <c r="A1398"/>
      <c r="C1398" s="16"/>
      <c r="G1398" s="5">
        <f>IF(A1398="","","Checking")</f>
      </c>
      <c r="H1398">
        <f>IF(A1398="","",IFERROR(XLOOKUP(D1398,Setup!$E$15:$E$79,Setup!$F$15:$F$79),"Miscellaneous"))</f>
      </c>
      <c r="I1398">
        <f>IF(A1398="","",IFERROR(XLOOKUP(D1398,Setup!$E$15:$E$79,Setup!$G$15:$G$79),"Uncategorized"))</f>
      </c>
      <c r="J1398">
        <f>IF(A1398="","",IF(OR(H1398="Transfers",H1398="Income",D1398="Transfer",D1398="Category Pending",F1398="Pending"),"No","Yes"))</f>
      </c>
      <c r="K1398" s="4">
        <f>IF(A1398="","",TEXT(IF(DAY(A1398)&gt;=Setup!$B$9,DATE(YEAR(A1398),MONTH(A1398)+1,1),DATE(YEAR(A1398),MONTH(A1398),1)),"mmmm yyyy"))</f>
      </c>
      <c r="L1398" s="47">
        <f>IF(A1398="",0,IF(AND(J1398="Yes",E1398&lt;0),-E1398,0))</f>
      </c>
      <c r="M1398" s="47">
        <f>IF(A1398="",0,IF(AND(J1398="Yes",E1398&gt;0),E1398,0))</f>
      </c>
      <c r="N1398">
        <f>IF(A1398="","",IF(D1398="Category Pending","Needs categorization",IF(COUNTIFS($A$2:A1398,A1398,$B$2:B1398,B1398,$E$2:E1398,E1398)&gt;1,"Possible duplicate","")))</f>
      </c>
    </row>
    <row r="1399" spans="3:14" x14ac:dyDescent="0.3">
      <c r="A1399"/>
      <c r="C1399" s="16"/>
      <c r="G1399" s="5">
        <f>IF(A1399="","","Checking")</f>
      </c>
      <c r="H1399">
        <f>IF(A1399="","",IFERROR(XLOOKUP(D1399,Setup!$E$15:$E$79,Setup!$F$15:$F$79),"Miscellaneous"))</f>
      </c>
      <c r="I1399">
        <f>IF(A1399="","",IFERROR(XLOOKUP(D1399,Setup!$E$15:$E$79,Setup!$G$15:$G$79),"Uncategorized"))</f>
      </c>
      <c r="J1399">
        <f>IF(A1399="","",IF(OR(H1399="Transfers",H1399="Income",D1399="Transfer",D1399="Category Pending",F1399="Pending"),"No","Yes"))</f>
      </c>
      <c r="K1399" s="4">
        <f>IF(A1399="","",TEXT(IF(DAY(A1399)&gt;=Setup!$B$9,DATE(YEAR(A1399),MONTH(A1399)+1,1),DATE(YEAR(A1399),MONTH(A1399),1)),"mmmm yyyy"))</f>
      </c>
      <c r="L1399" s="47">
        <f>IF(A1399="",0,IF(AND(J1399="Yes",E1399&lt;0),-E1399,0))</f>
      </c>
      <c r="M1399" s="47">
        <f>IF(A1399="",0,IF(AND(J1399="Yes",E1399&gt;0),E1399,0))</f>
      </c>
      <c r="N1399">
        <f>IF(A1399="","",IF(D1399="Category Pending","Needs categorization",IF(COUNTIFS($A$2:A1399,A1399,$B$2:B1399,B1399,$E$2:E1399,E1399)&gt;1,"Possible duplicate","")))</f>
      </c>
    </row>
    <row r="1400" spans="3:14" x14ac:dyDescent="0.3">
      <c r="A1400"/>
      <c r="C1400" s="16"/>
      <c r="G1400" s="5">
        <f>IF(A1400="","","Checking")</f>
      </c>
      <c r="H1400">
        <f>IF(A1400="","",IFERROR(XLOOKUP(D1400,Setup!$E$15:$E$79,Setup!$F$15:$F$79),"Miscellaneous"))</f>
      </c>
      <c r="I1400">
        <f>IF(A1400="","",IFERROR(XLOOKUP(D1400,Setup!$E$15:$E$79,Setup!$G$15:$G$79),"Uncategorized"))</f>
      </c>
      <c r="J1400">
        <f>IF(A1400="","",IF(OR(H1400="Transfers",H1400="Income",D1400="Transfer",D1400="Category Pending",F1400="Pending"),"No","Yes"))</f>
      </c>
      <c r="K1400" s="4">
        <f>IF(A1400="","",TEXT(IF(DAY(A1400)&gt;=Setup!$B$9,DATE(YEAR(A1400),MONTH(A1400)+1,1),DATE(YEAR(A1400),MONTH(A1400),1)),"mmmm yyyy"))</f>
      </c>
      <c r="L1400" s="47">
        <f>IF(A1400="",0,IF(AND(J1400="Yes",E1400&lt;0),-E1400,0))</f>
      </c>
      <c r="M1400" s="47">
        <f>IF(A1400="",0,IF(AND(J1400="Yes",E1400&gt;0),E1400,0))</f>
      </c>
      <c r="N1400">
        <f>IF(A1400="","",IF(D1400="Category Pending","Needs categorization",IF(COUNTIFS($A$2:A1400,A1400,$B$2:B1400,B1400,$E$2:E1400,E1400)&gt;1,"Possible duplicate","")))</f>
      </c>
    </row>
    <row r="1401" spans="3:14" x14ac:dyDescent="0.3">
      <c r="A1401"/>
      <c r="C1401" s="16"/>
      <c r="G1401" s="5">
        <f>IF(A1401="","","Checking")</f>
      </c>
      <c r="H1401">
        <f>IF(A1401="","",IFERROR(XLOOKUP(D1401,Setup!$E$15:$E$79,Setup!$F$15:$F$79),"Miscellaneous"))</f>
      </c>
      <c r="I1401">
        <f>IF(A1401="","",IFERROR(XLOOKUP(D1401,Setup!$E$15:$E$79,Setup!$G$15:$G$79),"Uncategorized"))</f>
      </c>
      <c r="J1401">
        <f>IF(A1401="","",IF(OR(H1401="Transfers",H1401="Income",D1401="Transfer",D1401="Category Pending",F1401="Pending"),"No","Yes"))</f>
      </c>
      <c r="K1401" s="4">
        <f>IF(A1401="","",TEXT(IF(DAY(A1401)&gt;=Setup!$B$9,DATE(YEAR(A1401),MONTH(A1401)+1,1),DATE(YEAR(A1401),MONTH(A1401),1)),"mmmm yyyy"))</f>
      </c>
      <c r="L1401" s="47">
        <f>IF(A1401="",0,IF(AND(J1401="Yes",E1401&lt;0),-E1401,0))</f>
      </c>
      <c r="M1401" s="47">
        <f>IF(A1401="",0,IF(AND(J1401="Yes",E1401&gt;0),E1401,0))</f>
      </c>
      <c r="N1401">
        <f>IF(A1401="","",IF(D1401="Category Pending","Needs categorization",IF(COUNTIFS($A$2:A1401,A1401,$B$2:B1401,B1401,$E$2:E1401,E1401)&gt;1,"Possible duplicate","")))</f>
      </c>
    </row>
    <row r="1402" spans="3:14" x14ac:dyDescent="0.3">
      <c r="A1402"/>
      <c r="C1402" s="16"/>
      <c r="G1402" s="5">
        <f>IF(A1402="","","Checking")</f>
      </c>
      <c r="H1402">
        <f>IF(A1402="","",IFERROR(XLOOKUP(D1402,Setup!$E$15:$E$79,Setup!$F$15:$F$79),"Miscellaneous"))</f>
      </c>
      <c r="I1402">
        <f>IF(A1402="","",IFERROR(XLOOKUP(D1402,Setup!$E$15:$E$79,Setup!$G$15:$G$79),"Uncategorized"))</f>
      </c>
      <c r="J1402">
        <f>IF(A1402="","",IF(OR(H1402="Transfers",H1402="Income",D1402="Transfer",D1402="Category Pending",F1402="Pending"),"No","Yes"))</f>
      </c>
      <c r="K1402" s="4">
        <f>IF(A1402="","",TEXT(IF(DAY(A1402)&gt;=Setup!$B$9,DATE(YEAR(A1402),MONTH(A1402)+1,1),DATE(YEAR(A1402),MONTH(A1402),1)),"mmmm yyyy"))</f>
      </c>
      <c r="L1402" s="47">
        <f>IF(A1402="",0,IF(AND(J1402="Yes",E1402&lt;0),-E1402,0))</f>
      </c>
      <c r="M1402" s="47">
        <f>IF(A1402="",0,IF(AND(J1402="Yes",E1402&gt;0),E1402,0))</f>
      </c>
      <c r="N1402">
        <f>IF(A1402="","",IF(D1402="Category Pending","Needs categorization",IF(COUNTIFS($A$2:A1402,A1402,$B$2:B1402,B1402,$E$2:E1402,E1402)&gt;1,"Possible duplicate","")))</f>
      </c>
    </row>
    <row r="1403" spans="3:14" x14ac:dyDescent="0.3">
      <c r="A1403"/>
      <c r="C1403" s="16"/>
      <c r="G1403" s="5">
        <f>IF(A1403="","","Checking")</f>
      </c>
      <c r="H1403">
        <f>IF(A1403="","",IFERROR(XLOOKUP(D1403,Setup!$E$15:$E$79,Setup!$F$15:$F$79),"Miscellaneous"))</f>
      </c>
      <c r="I1403">
        <f>IF(A1403="","",IFERROR(XLOOKUP(D1403,Setup!$E$15:$E$79,Setup!$G$15:$G$79),"Uncategorized"))</f>
      </c>
      <c r="J1403">
        <f>IF(A1403="","",IF(OR(H1403="Transfers",H1403="Income",D1403="Transfer",D1403="Category Pending",F1403="Pending"),"No","Yes"))</f>
      </c>
      <c r="K1403" s="4">
        <f>IF(A1403="","",TEXT(IF(DAY(A1403)&gt;=Setup!$B$9,DATE(YEAR(A1403),MONTH(A1403)+1,1),DATE(YEAR(A1403),MONTH(A1403),1)),"mmmm yyyy"))</f>
      </c>
      <c r="L1403" s="47">
        <f>IF(A1403="",0,IF(AND(J1403="Yes",E1403&lt;0),-E1403,0))</f>
      </c>
      <c r="M1403" s="47">
        <f>IF(A1403="",0,IF(AND(J1403="Yes",E1403&gt;0),E1403,0))</f>
      </c>
      <c r="N1403">
        <f>IF(A1403="","",IF(D1403="Category Pending","Needs categorization",IF(COUNTIFS($A$2:A1403,A1403,$B$2:B1403,B1403,$E$2:E1403,E1403)&gt;1,"Possible duplicate","")))</f>
      </c>
    </row>
    <row r="1404" spans="3:14" x14ac:dyDescent="0.3">
      <c r="A1404"/>
      <c r="C1404" s="16"/>
      <c r="G1404" s="5">
        <f>IF(A1404="","","Checking")</f>
      </c>
      <c r="H1404">
        <f>IF(A1404="","",IFERROR(XLOOKUP(D1404,Setup!$E$15:$E$79,Setup!$F$15:$F$79),"Miscellaneous"))</f>
      </c>
      <c r="I1404">
        <f>IF(A1404="","",IFERROR(XLOOKUP(D1404,Setup!$E$15:$E$79,Setup!$G$15:$G$79),"Uncategorized"))</f>
      </c>
      <c r="J1404">
        <f>IF(A1404="","",IF(OR(H1404="Transfers",H1404="Income",D1404="Transfer",D1404="Category Pending",F1404="Pending"),"No","Yes"))</f>
      </c>
      <c r="K1404" s="4">
        <f>IF(A1404="","",TEXT(IF(DAY(A1404)&gt;=Setup!$B$9,DATE(YEAR(A1404),MONTH(A1404)+1,1),DATE(YEAR(A1404),MONTH(A1404),1)),"mmmm yyyy"))</f>
      </c>
      <c r="L1404" s="47">
        <f>IF(A1404="",0,IF(AND(J1404="Yes",E1404&lt;0),-E1404,0))</f>
      </c>
      <c r="M1404" s="47">
        <f>IF(A1404="",0,IF(AND(J1404="Yes",E1404&gt;0),E1404,0))</f>
      </c>
      <c r="N1404">
        <f>IF(A1404="","",IF(D1404="Category Pending","Needs categorization",IF(COUNTIFS($A$2:A1404,A1404,$B$2:B1404,B1404,$E$2:E1404,E1404)&gt;1,"Possible duplicate","")))</f>
      </c>
    </row>
    <row r="1405" spans="3:14" x14ac:dyDescent="0.3">
      <c r="A1405"/>
      <c r="C1405" s="16"/>
      <c r="G1405" s="5">
        <f>IF(A1405="","","Checking")</f>
      </c>
      <c r="H1405">
        <f>IF(A1405="","",IFERROR(XLOOKUP(D1405,Setup!$E$15:$E$79,Setup!$F$15:$F$79),"Miscellaneous"))</f>
      </c>
      <c r="I1405">
        <f>IF(A1405="","",IFERROR(XLOOKUP(D1405,Setup!$E$15:$E$79,Setup!$G$15:$G$79),"Uncategorized"))</f>
      </c>
      <c r="J1405">
        <f>IF(A1405="","",IF(OR(H1405="Transfers",H1405="Income",D1405="Transfer",D1405="Category Pending",F1405="Pending"),"No","Yes"))</f>
      </c>
      <c r="K1405" s="4">
        <f>IF(A1405="","",TEXT(IF(DAY(A1405)&gt;=Setup!$B$9,DATE(YEAR(A1405),MONTH(A1405)+1,1),DATE(YEAR(A1405),MONTH(A1405),1)),"mmmm yyyy"))</f>
      </c>
      <c r="L1405" s="47">
        <f>IF(A1405="",0,IF(AND(J1405="Yes",E1405&lt;0),-E1405,0))</f>
      </c>
      <c r="M1405" s="47">
        <f>IF(A1405="",0,IF(AND(J1405="Yes",E1405&gt;0),E1405,0))</f>
      </c>
      <c r="N1405">
        <f>IF(A1405="","",IF(D1405="Category Pending","Needs categorization",IF(COUNTIFS($A$2:A1405,A1405,$B$2:B1405,B1405,$E$2:E1405,E1405)&gt;1,"Possible duplicate","")))</f>
      </c>
    </row>
    <row r="1406" spans="3:14" x14ac:dyDescent="0.3">
      <c r="A1406"/>
      <c r="C1406" s="16"/>
      <c r="G1406" s="5">
        <f>IF(A1406="","","Checking")</f>
      </c>
      <c r="H1406">
        <f>IF(A1406="","",IFERROR(XLOOKUP(D1406,Setup!$E$15:$E$79,Setup!$F$15:$F$79),"Miscellaneous"))</f>
      </c>
      <c r="I1406">
        <f>IF(A1406="","",IFERROR(XLOOKUP(D1406,Setup!$E$15:$E$79,Setup!$G$15:$G$79),"Uncategorized"))</f>
      </c>
      <c r="J1406">
        <f>IF(A1406="","",IF(OR(H1406="Transfers",H1406="Income",D1406="Transfer",D1406="Category Pending",F1406="Pending"),"No","Yes"))</f>
      </c>
      <c r="K1406" s="4">
        <f>IF(A1406="","",TEXT(IF(DAY(A1406)&gt;=Setup!$B$9,DATE(YEAR(A1406),MONTH(A1406)+1,1),DATE(YEAR(A1406),MONTH(A1406),1)),"mmmm yyyy"))</f>
      </c>
      <c r="L1406" s="47">
        <f>IF(A1406="",0,IF(AND(J1406="Yes",E1406&lt;0),-E1406,0))</f>
      </c>
      <c r="M1406" s="47">
        <f>IF(A1406="",0,IF(AND(J1406="Yes",E1406&gt;0),E1406,0))</f>
      </c>
      <c r="N1406">
        <f>IF(A1406="","",IF(D1406="Category Pending","Needs categorization",IF(COUNTIFS($A$2:A1406,A1406,$B$2:B1406,B1406,$E$2:E1406,E1406)&gt;1,"Possible duplicate","")))</f>
      </c>
    </row>
    <row r="1407" spans="3:14" x14ac:dyDescent="0.3">
      <c r="A1407"/>
      <c r="C1407" s="16"/>
      <c r="G1407" s="5">
        <f>IF(A1407="","","Checking")</f>
      </c>
      <c r="H1407">
        <f>IF(A1407="","",IFERROR(XLOOKUP(D1407,Setup!$E$15:$E$79,Setup!$F$15:$F$79),"Miscellaneous"))</f>
      </c>
      <c r="I1407">
        <f>IF(A1407="","",IFERROR(XLOOKUP(D1407,Setup!$E$15:$E$79,Setup!$G$15:$G$79),"Uncategorized"))</f>
      </c>
      <c r="J1407">
        <f>IF(A1407="","",IF(OR(H1407="Transfers",H1407="Income",D1407="Transfer",D1407="Category Pending",F1407="Pending"),"No","Yes"))</f>
      </c>
      <c r="K1407" s="4">
        <f>IF(A1407="","",TEXT(IF(DAY(A1407)&gt;=Setup!$B$9,DATE(YEAR(A1407),MONTH(A1407)+1,1),DATE(YEAR(A1407),MONTH(A1407),1)),"mmmm yyyy"))</f>
      </c>
      <c r="L1407" s="47">
        <f>IF(A1407="",0,IF(AND(J1407="Yes",E1407&lt;0),-E1407,0))</f>
      </c>
      <c r="M1407" s="47">
        <f>IF(A1407="",0,IF(AND(J1407="Yes",E1407&gt;0),E1407,0))</f>
      </c>
      <c r="N1407">
        <f>IF(A1407="","",IF(D1407="Category Pending","Needs categorization",IF(COUNTIFS($A$2:A1407,A1407,$B$2:B1407,B1407,$E$2:E1407,E1407)&gt;1,"Possible duplicate","")))</f>
      </c>
    </row>
    <row r="1408" spans="3:14" x14ac:dyDescent="0.3">
      <c r="A1408"/>
      <c r="C1408" s="16"/>
      <c r="G1408" s="5">
        <f>IF(A1408="","","Checking")</f>
      </c>
      <c r="H1408">
        <f>IF(A1408="","",IFERROR(XLOOKUP(D1408,Setup!$E$15:$E$79,Setup!$F$15:$F$79),"Miscellaneous"))</f>
      </c>
      <c r="I1408">
        <f>IF(A1408="","",IFERROR(XLOOKUP(D1408,Setup!$E$15:$E$79,Setup!$G$15:$G$79),"Uncategorized"))</f>
      </c>
      <c r="J1408">
        <f>IF(A1408="","",IF(OR(H1408="Transfers",H1408="Income",D1408="Transfer",D1408="Category Pending",F1408="Pending"),"No","Yes"))</f>
      </c>
      <c r="K1408" s="4">
        <f>IF(A1408="","",TEXT(IF(DAY(A1408)&gt;=Setup!$B$9,DATE(YEAR(A1408),MONTH(A1408)+1,1),DATE(YEAR(A1408),MONTH(A1408),1)),"mmmm yyyy"))</f>
      </c>
      <c r="L1408" s="47">
        <f>IF(A1408="",0,IF(AND(J1408="Yes",E1408&lt;0),-E1408,0))</f>
      </c>
      <c r="M1408" s="47">
        <f>IF(A1408="",0,IF(AND(J1408="Yes",E1408&gt;0),E1408,0))</f>
      </c>
      <c r="N1408">
        <f>IF(A1408="","",IF(D1408="Category Pending","Needs categorization",IF(COUNTIFS($A$2:A1408,A1408,$B$2:B1408,B1408,$E$2:E1408,E1408)&gt;1,"Possible duplicate","")))</f>
      </c>
    </row>
    <row r="1409" spans="3:14" x14ac:dyDescent="0.3">
      <c r="A1409"/>
      <c r="C1409" s="16"/>
      <c r="G1409" s="5">
        <f>IF(A1409="","","Checking")</f>
      </c>
      <c r="H1409">
        <f>IF(A1409="","",IFERROR(XLOOKUP(D1409,Setup!$E$15:$E$79,Setup!$F$15:$F$79),"Miscellaneous"))</f>
      </c>
      <c r="I1409">
        <f>IF(A1409="","",IFERROR(XLOOKUP(D1409,Setup!$E$15:$E$79,Setup!$G$15:$G$79),"Uncategorized"))</f>
      </c>
      <c r="J1409">
        <f>IF(A1409="","",IF(OR(H1409="Transfers",H1409="Income",D1409="Transfer",D1409="Category Pending",F1409="Pending"),"No","Yes"))</f>
      </c>
      <c r="K1409" s="4">
        <f>IF(A1409="","",TEXT(IF(DAY(A1409)&gt;=Setup!$B$9,DATE(YEAR(A1409),MONTH(A1409)+1,1),DATE(YEAR(A1409),MONTH(A1409),1)),"mmmm yyyy"))</f>
      </c>
      <c r="L1409" s="47">
        <f>IF(A1409="",0,IF(AND(J1409="Yes",E1409&lt;0),-E1409,0))</f>
      </c>
      <c r="M1409" s="47">
        <f>IF(A1409="",0,IF(AND(J1409="Yes",E1409&gt;0),E1409,0))</f>
      </c>
      <c r="N1409">
        <f>IF(A1409="","",IF(D1409="Category Pending","Needs categorization",IF(COUNTIFS($A$2:A1409,A1409,$B$2:B1409,B1409,$E$2:E1409,E1409)&gt;1,"Possible duplicate","")))</f>
      </c>
    </row>
    <row r="1410" spans="3:14" x14ac:dyDescent="0.3">
      <c r="A1410"/>
      <c r="C1410" s="16"/>
      <c r="G1410" s="5">
        <f>IF(A1410="","","Checking")</f>
      </c>
      <c r="H1410">
        <f>IF(A1410="","",IFERROR(XLOOKUP(D1410,Setup!$E$15:$E$79,Setup!$F$15:$F$79),"Miscellaneous"))</f>
      </c>
      <c r="I1410">
        <f>IF(A1410="","",IFERROR(XLOOKUP(D1410,Setup!$E$15:$E$79,Setup!$G$15:$G$79),"Uncategorized"))</f>
      </c>
      <c r="J1410">
        <f>IF(A1410="","",IF(OR(H1410="Transfers",H1410="Income",D1410="Transfer",D1410="Category Pending",F1410="Pending"),"No","Yes"))</f>
      </c>
      <c r="K1410" s="4">
        <f>IF(A1410="","",TEXT(IF(DAY(A1410)&gt;=Setup!$B$9,DATE(YEAR(A1410),MONTH(A1410)+1,1),DATE(YEAR(A1410),MONTH(A1410),1)),"mmmm yyyy"))</f>
      </c>
      <c r="L1410" s="47">
        <f>IF(A1410="",0,IF(AND(J1410="Yes",E1410&lt;0),-E1410,0))</f>
      </c>
      <c r="M1410" s="47">
        <f>IF(A1410="",0,IF(AND(J1410="Yes",E1410&gt;0),E1410,0))</f>
      </c>
      <c r="N1410">
        <f>IF(A1410="","",IF(D1410="Category Pending","Needs categorization",IF(COUNTIFS($A$2:A1410,A1410,$B$2:B1410,B1410,$E$2:E1410,E1410)&gt;1,"Possible duplicate","")))</f>
      </c>
    </row>
    <row r="1411" spans="3:14" x14ac:dyDescent="0.3">
      <c r="A1411"/>
      <c r="C1411" s="16"/>
      <c r="G1411" s="5">
        <f>IF(A1411="","","Checking")</f>
      </c>
      <c r="H1411">
        <f>IF(A1411="","",IFERROR(XLOOKUP(D1411,Setup!$E$15:$E$79,Setup!$F$15:$F$79),"Miscellaneous"))</f>
      </c>
      <c r="I1411">
        <f>IF(A1411="","",IFERROR(XLOOKUP(D1411,Setup!$E$15:$E$79,Setup!$G$15:$G$79),"Uncategorized"))</f>
      </c>
      <c r="J1411">
        <f>IF(A1411="","",IF(OR(H1411="Transfers",H1411="Income",D1411="Transfer",D1411="Category Pending",F1411="Pending"),"No","Yes"))</f>
      </c>
      <c r="K1411" s="4">
        <f>IF(A1411="","",TEXT(IF(DAY(A1411)&gt;=Setup!$B$9,DATE(YEAR(A1411),MONTH(A1411)+1,1),DATE(YEAR(A1411),MONTH(A1411),1)),"mmmm yyyy"))</f>
      </c>
      <c r="L1411" s="47">
        <f>IF(A1411="",0,IF(AND(J1411="Yes",E1411&lt;0),-E1411,0))</f>
      </c>
      <c r="M1411" s="47">
        <f>IF(A1411="",0,IF(AND(J1411="Yes",E1411&gt;0),E1411,0))</f>
      </c>
      <c r="N1411">
        <f>IF(A1411="","",IF(D1411="Category Pending","Needs categorization",IF(COUNTIFS($A$2:A1411,A1411,$B$2:B1411,B1411,$E$2:E1411,E1411)&gt;1,"Possible duplicate","")))</f>
      </c>
    </row>
    <row r="1412" spans="3:14" x14ac:dyDescent="0.3">
      <c r="A1412"/>
      <c r="C1412" s="16"/>
      <c r="G1412" s="5">
        <f>IF(A1412="","","Checking")</f>
      </c>
      <c r="H1412">
        <f>IF(A1412="","",IFERROR(XLOOKUP(D1412,Setup!$E$15:$E$79,Setup!$F$15:$F$79),"Miscellaneous"))</f>
      </c>
      <c r="I1412">
        <f>IF(A1412="","",IFERROR(XLOOKUP(D1412,Setup!$E$15:$E$79,Setup!$G$15:$G$79),"Uncategorized"))</f>
      </c>
      <c r="J1412">
        <f>IF(A1412="","",IF(OR(H1412="Transfers",H1412="Income",D1412="Transfer",D1412="Category Pending",F1412="Pending"),"No","Yes"))</f>
      </c>
      <c r="K1412" s="4">
        <f>IF(A1412="","",TEXT(IF(DAY(A1412)&gt;=Setup!$B$9,DATE(YEAR(A1412),MONTH(A1412)+1,1),DATE(YEAR(A1412),MONTH(A1412),1)),"mmmm yyyy"))</f>
      </c>
      <c r="L1412" s="47">
        <f>IF(A1412="",0,IF(AND(J1412="Yes",E1412&lt;0),-E1412,0))</f>
      </c>
      <c r="M1412" s="47">
        <f>IF(A1412="",0,IF(AND(J1412="Yes",E1412&gt;0),E1412,0))</f>
      </c>
      <c r="N1412">
        <f>IF(A1412="","",IF(D1412="Category Pending","Needs categorization",IF(COUNTIFS($A$2:A1412,A1412,$B$2:B1412,B1412,$E$2:E1412,E1412)&gt;1,"Possible duplicate","")))</f>
      </c>
    </row>
    <row r="1413" spans="3:14" x14ac:dyDescent="0.3">
      <c r="A1413"/>
      <c r="C1413" s="16"/>
      <c r="G1413" s="5">
        <f>IF(A1413="","","Checking")</f>
      </c>
      <c r="H1413">
        <f>IF(A1413="","",IFERROR(XLOOKUP(D1413,Setup!$E$15:$E$79,Setup!$F$15:$F$79),"Miscellaneous"))</f>
      </c>
      <c r="I1413">
        <f>IF(A1413="","",IFERROR(XLOOKUP(D1413,Setup!$E$15:$E$79,Setup!$G$15:$G$79),"Uncategorized"))</f>
      </c>
      <c r="J1413">
        <f>IF(A1413="","",IF(OR(H1413="Transfers",H1413="Income",D1413="Transfer",D1413="Category Pending",F1413="Pending"),"No","Yes"))</f>
      </c>
      <c r="K1413" s="4">
        <f>IF(A1413="","",TEXT(IF(DAY(A1413)&gt;=Setup!$B$9,DATE(YEAR(A1413),MONTH(A1413)+1,1),DATE(YEAR(A1413),MONTH(A1413),1)),"mmmm yyyy"))</f>
      </c>
      <c r="L1413" s="47">
        <f>IF(A1413="",0,IF(AND(J1413="Yes",E1413&lt;0),-E1413,0))</f>
      </c>
      <c r="M1413" s="47">
        <f>IF(A1413="",0,IF(AND(J1413="Yes",E1413&gt;0),E1413,0))</f>
      </c>
      <c r="N1413">
        <f>IF(A1413="","",IF(D1413="Category Pending","Needs categorization",IF(COUNTIFS($A$2:A1413,A1413,$B$2:B1413,B1413,$E$2:E1413,E1413)&gt;1,"Possible duplicate","")))</f>
      </c>
    </row>
    <row r="1414" spans="3:14" x14ac:dyDescent="0.3">
      <c r="A1414"/>
      <c r="C1414" s="16"/>
      <c r="G1414" s="5">
        <f>IF(A1414="","","Checking")</f>
      </c>
      <c r="H1414">
        <f>IF(A1414="","",IFERROR(XLOOKUP(D1414,Setup!$E$15:$E$79,Setup!$F$15:$F$79),"Miscellaneous"))</f>
      </c>
      <c r="I1414">
        <f>IF(A1414="","",IFERROR(XLOOKUP(D1414,Setup!$E$15:$E$79,Setup!$G$15:$G$79),"Uncategorized"))</f>
      </c>
      <c r="J1414">
        <f>IF(A1414="","",IF(OR(H1414="Transfers",H1414="Income",D1414="Transfer",D1414="Category Pending",F1414="Pending"),"No","Yes"))</f>
      </c>
      <c r="K1414" s="4">
        <f>IF(A1414="","",TEXT(IF(DAY(A1414)&gt;=Setup!$B$9,DATE(YEAR(A1414),MONTH(A1414)+1,1),DATE(YEAR(A1414),MONTH(A1414),1)),"mmmm yyyy"))</f>
      </c>
      <c r="L1414" s="47">
        <f>IF(A1414="",0,IF(AND(J1414="Yes",E1414&lt;0),-E1414,0))</f>
      </c>
      <c r="M1414" s="47">
        <f>IF(A1414="",0,IF(AND(J1414="Yes",E1414&gt;0),E1414,0))</f>
      </c>
      <c r="N1414">
        <f>IF(A1414="","",IF(D1414="Category Pending","Needs categorization",IF(COUNTIFS($A$2:A1414,A1414,$B$2:B1414,B1414,$E$2:E1414,E1414)&gt;1,"Possible duplicate","")))</f>
      </c>
    </row>
    <row r="1415" spans="3:14" x14ac:dyDescent="0.3">
      <c r="A1415"/>
      <c r="C1415" s="16"/>
      <c r="G1415" s="5">
        <f>IF(A1415="","","Checking")</f>
      </c>
      <c r="H1415">
        <f>IF(A1415="","",IFERROR(XLOOKUP(D1415,Setup!$E$15:$E$79,Setup!$F$15:$F$79),"Miscellaneous"))</f>
      </c>
      <c r="I1415">
        <f>IF(A1415="","",IFERROR(XLOOKUP(D1415,Setup!$E$15:$E$79,Setup!$G$15:$G$79),"Uncategorized"))</f>
      </c>
      <c r="J1415">
        <f>IF(A1415="","",IF(OR(H1415="Transfers",H1415="Income",D1415="Transfer",D1415="Category Pending",F1415="Pending"),"No","Yes"))</f>
      </c>
      <c r="K1415" s="4">
        <f>IF(A1415="","",TEXT(IF(DAY(A1415)&gt;=Setup!$B$9,DATE(YEAR(A1415),MONTH(A1415)+1,1),DATE(YEAR(A1415),MONTH(A1415),1)),"mmmm yyyy"))</f>
      </c>
      <c r="L1415" s="47">
        <f>IF(A1415="",0,IF(AND(J1415="Yes",E1415&lt;0),-E1415,0))</f>
      </c>
      <c r="M1415" s="47">
        <f>IF(A1415="",0,IF(AND(J1415="Yes",E1415&gt;0),E1415,0))</f>
      </c>
      <c r="N1415">
        <f>IF(A1415="","",IF(D1415="Category Pending","Needs categorization",IF(COUNTIFS($A$2:A1415,A1415,$B$2:B1415,B1415,$E$2:E1415,E1415)&gt;1,"Possible duplicate","")))</f>
      </c>
    </row>
    <row r="1416" spans="3:14" x14ac:dyDescent="0.3">
      <c r="A1416"/>
      <c r="C1416" s="16"/>
      <c r="G1416" s="5">
        <f>IF(A1416="","","Checking")</f>
      </c>
      <c r="H1416">
        <f>IF(A1416="","",IFERROR(XLOOKUP(D1416,Setup!$E$15:$E$79,Setup!$F$15:$F$79),"Miscellaneous"))</f>
      </c>
      <c r="I1416">
        <f>IF(A1416="","",IFERROR(XLOOKUP(D1416,Setup!$E$15:$E$79,Setup!$G$15:$G$79),"Uncategorized"))</f>
      </c>
      <c r="J1416">
        <f>IF(A1416="","",IF(OR(H1416="Transfers",H1416="Income",D1416="Transfer",D1416="Category Pending",F1416="Pending"),"No","Yes"))</f>
      </c>
      <c r="K1416" s="4">
        <f>IF(A1416="","",TEXT(IF(DAY(A1416)&gt;=Setup!$B$9,DATE(YEAR(A1416),MONTH(A1416)+1,1),DATE(YEAR(A1416),MONTH(A1416),1)),"mmmm yyyy"))</f>
      </c>
      <c r="L1416" s="47">
        <f>IF(A1416="",0,IF(AND(J1416="Yes",E1416&lt;0),-E1416,0))</f>
      </c>
      <c r="M1416" s="47">
        <f>IF(A1416="",0,IF(AND(J1416="Yes",E1416&gt;0),E1416,0))</f>
      </c>
      <c r="N1416">
        <f>IF(A1416="","",IF(D1416="Category Pending","Needs categorization",IF(COUNTIFS($A$2:A1416,A1416,$B$2:B1416,B1416,$E$2:E1416,E1416)&gt;1,"Possible duplicate","")))</f>
      </c>
    </row>
    <row r="1417" spans="3:14" x14ac:dyDescent="0.3">
      <c r="A1417"/>
      <c r="C1417" s="16"/>
      <c r="G1417" s="5">
        <f>IF(A1417="","","Checking")</f>
      </c>
      <c r="H1417">
        <f>IF(A1417="","",IFERROR(XLOOKUP(D1417,Setup!$E$15:$E$79,Setup!$F$15:$F$79),"Miscellaneous"))</f>
      </c>
      <c r="I1417">
        <f>IF(A1417="","",IFERROR(XLOOKUP(D1417,Setup!$E$15:$E$79,Setup!$G$15:$G$79),"Uncategorized"))</f>
      </c>
      <c r="J1417">
        <f>IF(A1417="","",IF(OR(H1417="Transfers",H1417="Income",D1417="Transfer",D1417="Category Pending",F1417="Pending"),"No","Yes"))</f>
      </c>
      <c r="K1417" s="4">
        <f>IF(A1417="","",TEXT(IF(DAY(A1417)&gt;=Setup!$B$9,DATE(YEAR(A1417),MONTH(A1417)+1,1),DATE(YEAR(A1417),MONTH(A1417),1)),"mmmm yyyy"))</f>
      </c>
      <c r="L1417" s="47">
        <f>IF(A1417="",0,IF(AND(J1417="Yes",E1417&lt;0),-E1417,0))</f>
      </c>
      <c r="M1417" s="47">
        <f>IF(A1417="",0,IF(AND(J1417="Yes",E1417&gt;0),E1417,0))</f>
      </c>
      <c r="N1417">
        <f>IF(A1417="","",IF(D1417="Category Pending","Needs categorization",IF(COUNTIFS($A$2:A1417,A1417,$B$2:B1417,B1417,$E$2:E1417,E1417)&gt;1,"Possible duplicate","")))</f>
      </c>
    </row>
    <row r="1418" spans="3:14" x14ac:dyDescent="0.3">
      <c r="A1418"/>
      <c r="C1418" s="16"/>
      <c r="G1418" s="5">
        <f>IF(A1418="","","Checking")</f>
      </c>
      <c r="H1418">
        <f>IF(A1418="","",IFERROR(XLOOKUP(D1418,Setup!$E$15:$E$79,Setup!$F$15:$F$79),"Miscellaneous"))</f>
      </c>
      <c r="I1418">
        <f>IF(A1418="","",IFERROR(XLOOKUP(D1418,Setup!$E$15:$E$79,Setup!$G$15:$G$79),"Uncategorized"))</f>
      </c>
      <c r="J1418">
        <f>IF(A1418="","",IF(OR(H1418="Transfers",H1418="Income",D1418="Transfer",D1418="Category Pending",F1418="Pending"),"No","Yes"))</f>
      </c>
      <c r="K1418" s="4">
        <f>IF(A1418="","",TEXT(IF(DAY(A1418)&gt;=Setup!$B$9,DATE(YEAR(A1418),MONTH(A1418)+1,1),DATE(YEAR(A1418),MONTH(A1418),1)),"mmmm yyyy"))</f>
      </c>
      <c r="L1418" s="47">
        <f>IF(A1418="",0,IF(AND(J1418="Yes",E1418&lt;0),-E1418,0))</f>
      </c>
      <c r="M1418" s="47">
        <f>IF(A1418="",0,IF(AND(J1418="Yes",E1418&gt;0),E1418,0))</f>
      </c>
      <c r="N1418">
        <f>IF(A1418="","",IF(D1418="Category Pending","Needs categorization",IF(COUNTIFS($A$2:A1418,A1418,$B$2:B1418,B1418,$E$2:E1418,E1418)&gt;1,"Possible duplicate","")))</f>
      </c>
    </row>
    <row r="1419" spans="3:14" x14ac:dyDescent="0.3">
      <c r="A1419"/>
      <c r="C1419" s="16"/>
      <c r="G1419" s="5">
        <f>IF(A1419="","","Checking")</f>
      </c>
      <c r="H1419">
        <f>IF(A1419="","",IFERROR(XLOOKUP(D1419,Setup!$E$15:$E$79,Setup!$F$15:$F$79),"Miscellaneous"))</f>
      </c>
      <c r="I1419">
        <f>IF(A1419="","",IFERROR(XLOOKUP(D1419,Setup!$E$15:$E$79,Setup!$G$15:$G$79),"Uncategorized"))</f>
      </c>
      <c r="J1419">
        <f>IF(A1419="","",IF(OR(H1419="Transfers",H1419="Income",D1419="Transfer",D1419="Category Pending",F1419="Pending"),"No","Yes"))</f>
      </c>
      <c r="K1419" s="4">
        <f>IF(A1419="","",TEXT(IF(DAY(A1419)&gt;=Setup!$B$9,DATE(YEAR(A1419),MONTH(A1419)+1,1),DATE(YEAR(A1419),MONTH(A1419),1)),"mmmm yyyy"))</f>
      </c>
      <c r="L1419" s="47">
        <f>IF(A1419="",0,IF(AND(J1419="Yes",E1419&lt;0),-E1419,0))</f>
      </c>
      <c r="M1419" s="47">
        <f>IF(A1419="",0,IF(AND(J1419="Yes",E1419&gt;0),E1419,0))</f>
      </c>
      <c r="N1419">
        <f>IF(A1419="","",IF(D1419="Category Pending","Needs categorization",IF(COUNTIFS($A$2:A1419,A1419,$B$2:B1419,B1419,$E$2:E1419,E1419)&gt;1,"Possible duplicate","")))</f>
      </c>
    </row>
    <row r="1420" spans="3:14" x14ac:dyDescent="0.3">
      <c r="A1420"/>
      <c r="C1420" s="16"/>
      <c r="G1420" s="5">
        <f>IF(A1420="","","Checking")</f>
      </c>
      <c r="H1420">
        <f>IF(A1420="","",IFERROR(XLOOKUP(D1420,Setup!$E$15:$E$79,Setup!$F$15:$F$79),"Miscellaneous"))</f>
      </c>
      <c r="I1420">
        <f>IF(A1420="","",IFERROR(XLOOKUP(D1420,Setup!$E$15:$E$79,Setup!$G$15:$G$79),"Uncategorized"))</f>
      </c>
      <c r="J1420">
        <f>IF(A1420="","",IF(OR(H1420="Transfers",H1420="Income",D1420="Transfer",D1420="Category Pending",F1420="Pending"),"No","Yes"))</f>
      </c>
      <c r="K1420" s="4">
        <f>IF(A1420="","",TEXT(IF(DAY(A1420)&gt;=Setup!$B$9,DATE(YEAR(A1420),MONTH(A1420)+1,1),DATE(YEAR(A1420),MONTH(A1420),1)),"mmmm yyyy"))</f>
      </c>
      <c r="L1420" s="47">
        <f>IF(A1420="",0,IF(AND(J1420="Yes",E1420&lt;0),-E1420,0))</f>
      </c>
      <c r="M1420" s="47">
        <f>IF(A1420="",0,IF(AND(J1420="Yes",E1420&gt;0),E1420,0))</f>
      </c>
      <c r="N1420">
        <f>IF(A1420="","",IF(D1420="Category Pending","Needs categorization",IF(COUNTIFS($A$2:A1420,A1420,$B$2:B1420,B1420,$E$2:E1420,E1420)&gt;1,"Possible duplicate","")))</f>
      </c>
    </row>
    <row r="1421" spans="3:14" x14ac:dyDescent="0.3">
      <c r="A1421"/>
      <c r="C1421" s="16"/>
      <c r="G1421" s="5">
        <f>IF(A1421="","","Checking")</f>
      </c>
      <c r="H1421">
        <f>IF(A1421="","",IFERROR(XLOOKUP(D1421,Setup!$E$15:$E$79,Setup!$F$15:$F$79),"Miscellaneous"))</f>
      </c>
      <c r="I1421">
        <f>IF(A1421="","",IFERROR(XLOOKUP(D1421,Setup!$E$15:$E$79,Setup!$G$15:$G$79),"Uncategorized"))</f>
      </c>
      <c r="J1421">
        <f>IF(A1421="","",IF(OR(H1421="Transfers",H1421="Income",D1421="Transfer",D1421="Category Pending",F1421="Pending"),"No","Yes"))</f>
      </c>
      <c r="K1421" s="4">
        <f>IF(A1421="","",TEXT(IF(DAY(A1421)&gt;=Setup!$B$9,DATE(YEAR(A1421),MONTH(A1421)+1,1),DATE(YEAR(A1421),MONTH(A1421),1)),"mmmm yyyy"))</f>
      </c>
      <c r="L1421" s="47">
        <f>IF(A1421="",0,IF(AND(J1421="Yes",E1421&lt;0),-E1421,0))</f>
      </c>
      <c r="M1421" s="47">
        <f>IF(A1421="",0,IF(AND(J1421="Yes",E1421&gt;0),E1421,0))</f>
      </c>
      <c r="N1421">
        <f>IF(A1421="","",IF(D1421="Category Pending","Needs categorization",IF(COUNTIFS($A$2:A1421,A1421,$B$2:B1421,B1421,$E$2:E1421,E1421)&gt;1,"Possible duplicate","")))</f>
      </c>
    </row>
    <row r="1422" spans="3:14" x14ac:dyDescent="0.3">
      <c r="A1422"/>
      <c r="C1422" s="16"/>
      <c r="G1422" s="5">
        <f>IF(A1422="","","Checking")</f>
      </c>
      <c r="H1422">
        <f>IF(A1422="","",IFERROR(XLOOKUP(D1422,Setup!$E$15:$E$79,Setup!$F$15:$F$79),"Miscellaneous"))</f>
      </c>
      <c r="I1422">
        <f>IF(A1422="","",IFERROR(XLOOKUP(D1422,Setup!$E$15:$E$79,Setup!$G$15:$G$79),"Uncategorized"))</f>
      </c>
      <c r="J1422">
        <f>IF(A1422="","",IF(OR(H1422="Transfers",H1422="Income",D1422="Transfer",D1422="Category Pending",F1422="Pending"),"No","Yes"))</f>
      </c>
      <c r="K1422" s="4">
        <f>IF(A1422="","",TEXT(IF(DAY(A1422)&gt;=Setup!$B$9,DATE(YEAR(A1422),MONTH(A1422)+1,1),DATE(YEAR(A1422),MONTH(A1422),1)),"mmmm yyyy"))</f>
      </c>
      <c r="L1422" s="47">
        <f>IF(A1422="",0,IF(AND(J1422="Yes",E1422&lt;0),-E1422,0))</f>
      </c>
      <c r="M1422" s="47">
        <f>IF(A1422="",0,IF(AND(J1422="Yes",E1422&gt;0),E1422,0))</f>
      </c>
      <c r="N1422">
        <f>IF(A1422="","",IF(D1422="Category Pending","Needs categorization",IF(COUNTIFS($A$2:A1422,A1422,$B$2:B1422,B1422,$E$2:E1422,E1422)&gt;1,"Possible duplicate","")))</f>
      </c>
    </row>
    <row r="1423" spans="3:14" x14ac:dyDescent="0.3">
      <c r="A1423"/>
      <c r="C1423" s="16"/>
      <c r="G1423" s="5">
        <f>IF(A1423="","","Checking")</f>
      </c>
      <c r="H1423">
        <f>IF(A1423="","",IFERROR(XLOOKUP(D1423,Setup!$E$15:$E$79,Setup!$F$15:$F$79),"Miscellaneous"))</f>
      </c>
      <c r="I1423">
        <f>IF(A1423="","",IFERROR(XLOOKUP(D1423,Setup!$E$15:$E$79,Setup!$G$15:$G$79),"Uncategorized"))</f>
      </c>
      <c r="J1423">
        <f>IF(A1423="","",IF(OR(H1423="Transfers",H1423="Income",D1423="Transfer",D1423="Category Pending",F1423="Pending"),"No","Yes"))</f>
      </c>
      <c r="K1423" s="4">
        <f>IF(A1423="","",TEXT(IF(DAY(A1423)&gt;=Setup!$B$9,DATE(YEAR(A1423),MONTH(A1423)+1,1),DATE(YEAR(A1423),MONTH(A1423),1)),"mmmm yyyy"))</f>
      </c>
      <c r="L1423" s="47">
        <f>IF(A1423="",0,IF(AND(J1423="Yes",E1423&lt;0),-E1423,0))</f>
      </c>
      <c r="M1423" s="47">
        <f>IF(A1423="",0,IF(AND(J1423="Yes",E1423&gt;0),E1423,0))</f>
      </c>
      <c r="N1423">
        <f>IF(A1423="","",IF(D1423="Category Pending","Needs categorization",IF(COUNTIFS($A$2:A1423,A1423,$B$2:B1423,B1423,$E$2:E1423,E1423)&gt;1,"Possible duplicate","")))</f>
      </c>
    </row>
    <row r="1424" spans="3:14" x14ac:dyDescent="0.3">
      <c r="A1424"/>
      <c r="C1424" s="16"/>
      <c r="G1424" s="5">
        <f>IF(A1424="","","Checking")</f>
      </c>
      <c r="H1424">
        <f>IF(A1424="","",IFERROR(XLOOKUP(D1424,Setup!$E$15:$E$79,Setup!$F$15:$F$79),"Miscellaneous"))</f>
      </c>
      <c r="I1424">
        <f>IF(A1424="","",IFERROR(XLOOKUP(D1424,Setup!$E$15:$E$79,Setup!$G$15:$G$79),"Uncategorized"))</f>
      </c>
      <c r="J1424">
        <f>IF(A1424="","",IF(OR(H1424="Transfers",H1424="Income",D1424="Transfer",D1424="Category Pending",F1424="Pending"),"No","Yes"))</f>
      </c>
      <c r="K1424" s="4">
        <f>IF(A1424="","",TEXT(IF(DAY(A1424)&gt;=Setup!$B$9,DATE(YEAR(A1424),MONTH(A1424)+1,1),DATE(YEAR(A1424),MONTH(A1424),1)),"mmmm yyyy"))</f>
      </c>
      <c r="L1424" s="47">
        <f>IF(A1424="",0,IF(AND(J1424="Yes",E1424&lt;0),-E1424,0))</f>
      </c>
      <c r="M1424" s="47">
        <f>IF(A1424="",0,IF(AND(J1424="Yes",E1424&gt;0),E1424,0))</f>
      </c>
      <c r="N1424">
        <f>IF(A1424="","",IF(D1424="Category Pending","Needs categorization",IF(COUNTIFS($A$2:A1424,A1424,$B$2:B1424,B1424,$E$2:E1424,E1424)&gt;1,"Possible duplicate","")))</f>
      </c>
    </row>
    <row r="1425" spans="3:14" x14ac:dyDescent="0.3">
      <c r="A1425"/>
      <c r="C1425" s="16"/>
      <c r="G1425" s="5">
        <f>IF(A1425="","","Checking")</f>
      </c>
      <c r="H1425">
        <f>IF(A1425="","",IFERROR(XLOOKUP(D1425,Setup!$E$15:$E$79,Setup!$F$15:$F$79),"Miscellaneous"))</f>
      </c>
      <c r="I1425">
        <f>IF(A1425="","",IFERROR(XLOOKUP(D1425,Setup!$E$15:$E$79,Setup!$G$15:$G$79),"Uncategorized"))</f>
      </c>
      <c r="J1425">
        <f>IF(A1425="","",IF(OR(H1425="Transfers",H1425="Income",D1425="Transfer",D1425="Category Pending",F1425="Pending"),"No","Yes"))</f>
      </c>
      <c r="K1425" s="4">
        <f>IF(A1425="","",TEXT(IF(DAY(A1425)&gt;=Setup!$B$9,DATE(YEAR(A1425),MONTH(A1425)+1,1),DATE(YEAR(A1425),MONTH(A1425),1)),"mmmm yyyy"))</f>
      </c>
      <c r="L1425" s="47">
        <f>IF(A1425="",0,IF(AND(J1425="Yes",E1425&lt;0),-E1425,0))</f>
      </c>
      <c r="M1425" s="47">
        <f>IF(A1425="",0,IF(AND(J1425="Yes",E1425&gt;0),E1425,0))</f>
      </c>
      <c r="N1425">
        <f>IF(A1425="","",IF(D1425="Category Pending","Needs categorization",IF(COUNTIFS($A$2:A1425,A1425,$B$2:B1425,B1425,$E$2:E1425,E1425)&gt;1,"Possible duplicate","")))</f>
      </c>
    </row>
    <row r="1426" spans="3:14" x14ac:dyDescent="0.3">
      <c r="A1426"/>
      <c r="C1426" s="16"/>
      <c r="G1426" s="5">
        <f>IF(A1426="","","Checking")</f>
      </c>
      <c r="H1426">
        <f>IF(A1426="","",IFERROR(XLOOKUP(D1426,Setup!$E$15:$E$79,Setup!$F$15:$F$79),"Miscellaneous"))</f>
      </c>
      <c r="I1426">
        <f>IF(A1426="","",IFERROR(XLOOKUP(D1426,Setup!$E$15:$E$79,Setup!$G$15:$G$79),"Uncategorized"))</f>
      </c>
      <c r="J1426">
        <f>IF(A1426="","",IF(OR(H1426="Transfers",H1426="Income",D1426="Transfer",D1426="Category Pending",F1426="Pending"),"No","Yes"))</f>
      </c>
      <c r="K1426" s="4">
        <f>IF(A1426="","",TEXT(IF(DAY(A1426)&gt;=Setup!$B$9,DATE(YEAR(A1426),MONTH(A1426)+1,1),DATE(YEAR(A1426),MONTH(A1426),1)),"mmmm yyyy"))</f>
      </c>
      <c r="L1426" s="47">
        <f>IF(A1426="",0,IF(AND(J1426="Yes",E1426&lt;0),-E1426,0))</f>
      </c>
      <c r="M1426" s="47">
        <f>IF(A1426="",0,IF(AND(J1426="Yes",E1426&gt;0),E1426,0))</f>
      </c>
      <c r="N1426">
        <f>IF(A1426="","",IF(D1426="Category Pending","Needs categorization",IF(COUNTIFS($A$2:A1426,A1426,$B$2:B1426,B1426,$E$2:E1426,E1426)&gt;1,"Possible duplicate","")))</f>
      </c>
    </row>
    <row r="1427" spans="3:14" x14ac:dyDescent="0.3">
      <c r="A1427"/>
      <c r="C1427" s="16"/>
      <c r="G1427" s="5">
        <f>IF(A1427="","","Checking")</f>
      </c>
      <c r="H1427">
        <f>IF(A1427="","",IFERROR(XLOOKUP(D1427,Setup!$E$15:$E$79,Setup!$F$15:$F$79),"Miscellaneous"))</f>
      </c>
      <c r="I1427">
        <f>IF(A1427="","",IFERROR(XLOOKUP(D1427,Setup!$E$15:$E$79,Setup!$G$15:$G$79),"Uncategorized"))</f>
      </c>
      <c r="J1427">
        <f>IF(A1427="","",IF(OR(H1427="Transfers",H1427="Income",D1427="Transfer",D1427="Category Pending",F1427="Pending"),"No","Yes"))</f>
      </c>
      <c r="K1427" s="4">
        <f>IF(A1427="","",TEXT(IF(DAY(A1427)&gt;=Setup!$B$9,DATE(YEAR(A1427),MONTH(A1427)+1,1),DATE(YEAR(A1427),MONTH(A1427),1)),"mmmm yyyy"))</f>
      </c>
      <c r="L1427" s="47">
        <f>IF(A1427="",0,IF(AND(J1427="Yes",E1427&lt;0),-E1427,0))</f>
      </c>
      <c r="M1427" s="47">
        <f>IF(A1427="",0,IF(AND(J1427="Yes",E1427&gt;0),E1427,0))</f>
      </c>
      <c r="N1427">
        <f>IF(A1427="","",IF(D1427="Category Pending","Needs categorization",IF(COUNTIFS($A$2:A1427,A1427,$B$2:B1427,B1427,$E$2:E1427,E1427)&gt;1,"Possible duplicate","")))</f>
      </c>
    </row>
    <row r="1428" spans="3:14" x14ac:dyDescent="0.3">
      <c r="A1428"/>
      <c r="C1428" s="16"/>
      <c r="G1428" s="5">
        <f>IF(A1428="","","Checking")</f>
      </c>
      <c r="H1428">
        <f>IF(A1428="","",IFERROR(XLOOKUP(D1428,Setup!$E$15:$E$79,Setup!$F$15:$F$79),"Miscellaneous"))</f>
      </c>
      <c r="I1428">
        <f>IF(A1428="","",IFERROR(XLOOKUP(D1428,Setup!$E$15:$E$79,Setup!$G$15:$G$79),"Uncategorized"))</f>
      </c>
      <c r="J1428">
        <f>IF(A1428="","",IF(OR(H1428="Transfers",H1428="Income",D1428="Transfer",D1428="Category Pending",F1428="Pending"),"No","Yes"))</f>
      </c>
      <c r="K1428" s="4">
        <f>IF(A1428="","",TEXT(IF(DAY(A1428)&gt;=Setup!$B$9,DATE(YEAR(A1428),MONTH(A1428)+1,1),DATE(YEAR(A1428),MONTH(A1428),1)),"mmmm yyyy"))</f>
      </c>
      <c r="L1428" s="47">
        <f>IF(A1428="",0,IF(AND(J1428="Yes",E1428&lt;0),-E1428,0))</f>
      </c>
      <c r="M1428" s="47">
        <f>IF(A1428="",0,IF(AND(J1428="Yes",E1428&gt;0),E1428,0))</f>
      </c>
      <c r="N1428">
        <f>IF(A1428="","",IF(D1428="Category Pending","Needs categorization",IF(COUNTIFS($A$2:A1428,A1428,$B$2:B1428,B1428,$E$2:E1428,E1428)&gt;1,"Possible duplicate","")))</f>
      </c>
    </row>
    <row r="1429" spans="3:14" x14ac:dyDescent="0.3">
      <c r="A1429"/>
      <c r="C1429" s="16"/>
      <c r="G1429" s="5">
        <f>IF(A1429="","","Checking")</f>
      </c>
      <c r="H1429">
        <f>IF(A1429="","",IFERROR(XLOOKUP(D1429,Setup!$E$15:$E$79,Setup!$F$15:$F$79),"Miscellaneous"))</f>
      </c>
      <c r="I1429">
        <f>IF(A1429="","",IFERROR(XLOOKUP(D1429,Setup!$E$15:$E$79,Setup!$G$15:$G$79),"Uncategorized"))</f>
      </c>
      <c r="J1429">
        <f>IF(A1429="","",IF(OR(H1429="Transfers",H1429="Income",D1429="Transfer",D1429="Category Pending",F1429="Pending"),"No","Yes"))</f>
      </c>
      <c r="K1429" s="4">
        <f>IF(A1429="","",TEXT(IF(DAY(A1429)&gt;=Setup!$B$9,DATE(YEAR(A1429),MONTH(A1429)+1,1),DATE(YEAR(A1429),MONTH(A1429),1)),"mmmm yyyy"))</f>
      </c>
      <c r="L1429" s="47">
        <f>IF(A1429="",0,IF(AND(J1429="Yes",E1429&lt;0),-E1429,0))</f>
      </c>
      <c r="M1429" s="47">
        <f>IF(A1429="",0,IF(AND(J1429="Yes",E1429&gt;0),E1429,0))</f>
      </c>
      <c r="N1429">
        <f>IF(A1429="","",IF(D1429="Category Pending","Needs categorization",IF(COUNTIFS($A$2:A1429,A1429,$B$2:B1429,B1429,$E$2:E1429,E1429)&gt;1,"Possible duplicate","")))</f>
      </c>
    </row>
    <row r="1430" spans="3:14" x14ac:dyDescent="0.3">
      <c r="A1430"/>
      <c r="C1430" s="16"/>
      <c r="G1430" s="5">
        <f>IF(A1430="","","Checking")</f>
      </c>
      <c r="H1430">
        <f>IF(A1430="","",IFERROR(XLOOKUP(D1430,Setup!$E$15:$E$79,Setup!$F$15:$F$79),"Miscellaneous"))</f>
      </c>
      <c r="I1430">
        <f>IF(A1430="","",IFERROR(XLOOKUP(D1430,Setup!$E$15:$E$79,Setup!$G$15:$G$79),"Uncategorized"))</f>
      </c>
      <c r="J1430">
        <f>IF(A1430="","",IF(OR(H1430="Transfers",H1430="Income",D1430="Transfer",D1430="Category Pending",F1430="Pending"),"No","Yes"))</f>
      </c>
      <c r="K1430" s="4">
        <f>IF(A1430="","",TEXT(IF(DAY(A1430)&gt;=Setup!$B$9,DATE(YEAR(A1430),MONTH(A1430)+1,1),DATE(YEAR(A1430),MONTH(A1430),1)),"mmmm yyyy"))</f>
      </c>
      <c r="L1430" s="47">
        <f>IF(A1430="",0,IF(AND(J1430="Yes",E1430&lt;0),-E1430,0))</f>
      </c>
      <c r="M1430" s="47">
        <f>IF(A1430="",0,IF(AND(J1430="Yes",E1430&gt;0),E1430,0))</f>
      </c>
      <c r="N1430">
        <f>IF(A1430="","",IF(D1430="Category Pending","Needs categorization",IF(COUNTIFS($A$2:A1430,A1430,$B$2:B1430,B1430,$E$2:E1430,E1430)&gt;1,"Possible duplicate","")))</f>
      </c>
    </row>
    <row r="1431" spans="3:14" x14ac:dyDescent="0.3">
      <c r="A1431"/>
      <c r="C1431" s="16"/>
      <c r="G1431" s="5">
        <f>IF(A1431="","","Checking")</f>
      </c>
      <c r="H1431">
        <f>IF(A1431="","",IFERROR(XLOOKUP(D1431,Setup!$E$15:$E$79,Setup!$F$15:$F$79),"Miscellaneous"))</f>
      </c>
      <c r="I1431">
        <f>IF(A1431="","",IFERROR(XLOOKUP(D1431,Setup!$E$15:$E$79,Setup!$G$15:$G$79),"Uncategorized"))</f>
      </c>
      <c r="J1431">
        <f>IF(A1431="","",IF(OR(H1431="Transfers",H1431="Income",D1431="Transfer",D1431="Category Pending",F1431="Pending"),"No","Yes"))</f>
      </c>
      <c r="K1431" s="4">
        <f>IF(A1431="","",TEXT(IF(DAY(A1431)&gt;=Setup!$B$9,DATE(YEAR(A1431),MONTH(A1431)+1,1),DATE(YEAR(A1431),MONTH(A1431),1)),"mmmm yyyy"))</f>
      </c>
      <c r="L1431" s="47">
        <f>IF(A1431="",0,IF(AND(J1431="Yes",E1431&lt;0),-E1431,0))</f>
      </c>
      <c r="M1431" s="47">
        <f>IF(A1431="",0,IF(AND(J1431="Yes",E1431&gt;0),E1431,0))</f>
      </c>
      <c r="N1431">
        <f>IF(A1431="","",IF(D1431="Category Pending","Needs categorization",IF(COUNTIFS($A$2:A1431,A1431,$B$2:B1431,B1431,$E$2:E1431,E1431)&gt;1,"Possible duplicate","")))</f>
      </c>
    </row>
    <row r="1432" spans="3:14" x14ac:dyDescent="0.3">
      <c r="A1432"/>
      <c r="C1432" s="16"/>
      <c r="G1432" s="5">
        <f>IF(A1432="","","Checking")</f>
      </c>
      <c r="H1432">
        <f>IF(A1432="","",IFERROR(XLOOKUP(D1432,Setup!$E$15:$E$79,Setup!$F$15:$F$79),"Miscellaneous"))</f>
      </c>
      <c r="I1432">
        <f>IF(A1432="","",IFERROR(XLOOKUP(D1432,Setup!$E$15:$E$79,Setup!$G$15:$G$79),"Uncategorized"))</f>
      </c>
      <c r="J1432">
        <f>IF(A1432="","",IF(OR(H1432="Transfers",H1432="Income",D1432="Transfer",D1432="Category Pending",F1432="Pending"),"No","Yes"))</f>
      </c>
      <c r="K1432" s="4">
        <f>IF(A1432="","",TEXT(IF(DAY(A1432)&gt;=Setup!$B$9,DATE(YEAR(A1432),MONTH(A1432)+1,1),DATE(YEAR(A1432),MONTH(A1432),1)),"mmmm yyyy"))</f>
      </c>
      <c r="L1432" s="47">
        <f>IF(A1432="",0,IF(AND(J1432="Yes",E1432&lt;0),-E1432,0))</f>
      </c>
      <c r="M1432" s="47">
        <f>IF(A1432="",0,IF(AND(J1432="Yes",E1432&gt;0),E1432,0))</f>
      </c>
      <c r="N1432">
        <f>IF(A1432="","",IF(D1432="Category Pending","Needs categorization",IF(COUNTIFS($A$2:A1432,A1432,$B$2:B1432,B1432,$E$2:E1432,E1432)&gt;1,"Possible duplicate","")))</f>
      </c>
    </row>
    <row r="1433" spans="3:14" x14ac:dyDescent="0.3">
      <c r="A1433"/>
      <c r="C1433" s="16"/>
      <c r="G1433" s="5">
        <f>IF(A1433="","","Checking")</f>
      </c>
      <c r="H1433">
        <f>IF(A1433="","",IFERROR(XLOOKUP(D1433,Setup!$E$15:$E$79,Setup!$F$15:$F$79),"Miscellaneous"))</f>
      </c>
      <c r="I1433">
        <f>IF(A1433="","",IFERROR(XLOOKUP(D1433,Setup!$E$15:$E$79,Setup!$G$15:$G$79),"Uncategorized"))</f>
      </c>
      <c r="J1433">
        <f>IF(A1433="","",IF(OR(H1433="Transfers",H1433="Income",D1433="Transfer",D1433="Category Pending",F1433="Pending"),"No","Yes"))</f>
      </c>
      <c r="K1433" s="4">
        <f>IF(A1433="","",TEXT(IF(DAY(A1433)&gt;=Setup!$B$9,DATE(YEAR(A1433),MONTH(A1433)+1,1),DATE(YEAR(A1433),MONTH(A1433),1)),"mmmm yyyy"))</f>
      </c>
      <c r="L1433" s="47">
        <f>IF(A1433="",0,IF(AND(J1433="Yes",E1433&lt;0),-E1433,0))</f>
      </c>
      <c r="M1433" s="47">
        <f>IF(A1433="",0,IF(AND(J1433="Yes",E1433&gt;0),E1433,0))</f>
      </c>
      <c r="N1433">
        <f>IF(A1433="","",IF(D1433="Category Pending","Needs categorization",IF(COUNTIFS($A$2:A1433,A1433,$B$2:B1433,B1433,$E$2:E1433,E1433)&gt;1,"Possible duplicate","")))</f>
      </c>
    </row>
    <row r="1434" spans="3:14" x14ac:dyDescent="0.3">
      <c r="A1434"/>
      <c r="C1434" s="16"/>
      <c r="G1434" s="5">
        <f>IF(A1434="","","Checking")</f>
      </c>
      <c r="H1434">
        <f>IF(A1434="","",IFERROR(XLOOKUP(D1434,Setup!$E$15:$E$79,Setup!$F$15:$F$79),"Miscellaneous"))</f>
      </c>
      <c r="I1434">
        <f>IF(A1434="","",IFERROR(XLOOKUP(D1434,Setup!$E$15:$E$79,Setup!$G$15:$G$79),"Uncategorized"))</f>
      </c>
      <c r="J1434">
        <f>IF(A1434="","",IF(OR(H1434="Transfers",H1434="Income",D1434="Transfer",D1434="Category Pending",F1434="Pending"),"No","Yes"))</f>
      </c>
      <c r="K1434" s="4">
        <f>IF(A1434="","",TEXT(IF(DAY(A1434)&gt;=Setup!$B$9,DATE(YEAR(A1434),MONTH(A1434)+1,1),DATE(YEAR(A1434),MONTH(A1434),1)),"mmmm yyyy"))</f>
      </c>
      <c r="L1434" s="47">
        <f>IF(A1434="",0,IF(AND(J1434="Yes",E1434&lt;0),-E1434,0))</f>
      </c>
      <c r="M1434" s="47">
        <f>IF(A1434="",0,IF(AND(J1434="Yes",E1434&gt;0),E1434,0))</f>
      </c>
      <c r="N1434">
        <f>IF(A1434="","",IF(D1434="Category Pending","Needs categorization",IF(COUNTIFS($A$2:A1434,A1434,$B$2:B1434,B1434,$E$2:E1434,E1434)&gt;1,"Possible duplicate","")))</f>
      </c>
    </row>
    <row r="1435" spans="3:14" x14ac:dyDescent="0.3">
      <c r="A1435"/>
      <c r="C1435" s="16"/>
      <c r="G1435" s="5">
        <f>IF(A1435="","","Checking")</f>
      </c>
      <c r="H1435">
        <f>IF(A1435="","",IFERROR(XLOOKUP(D1435,Setup!$E$15:$E$79,Setup!$F$15:$F$79),"Miscellaneous"))</f>
      </c>
      <c r="I1435">
        <f>IF(A1435="","",IFERROR(XLOOKUP(D1435,Setup!$E$15:$E$79,Setup!$G$15:$G$79),"Uncategorized"))</f>
      </c>
      <c r="J1435">
        <f>IF(A1435="","",IF(OR(H1435="Transfers",H1435="Income",D1435="Transfer",D1435="Category Pending",F1435="Pending"),"No","Yes"))</f>
      </c>
      <c r="K1435" s="4">
        <f>IF(A1435="","",TEXT(IF(DAY(A1435)&gt;=Setup!$B$9,DATE(YEAR(A1435),MONTH(A1435)+1,1),DATE(YEAR(A1435),MONTH(A1435),1)),"mmmm yyyy"))</f>
      </c>
      <c r="L1435" s="47">
        <f>IF(A1435="",0,IF(AND(J1435="Yes",E1435&lt;0),-E1435,0))</f>
      </c>
      <c r="M1435" s="47">
        <f>IF(A1435="",0,IF(AND(J1435="Yes",E1435&gt;0),E1435,0))</f>
      </c>
      <c r="N1435">
        <f>IF(A1435="","",IF(D1435="Category Pending","Needs categorization",IF(COUNTIFS($A$2:A1435,A1435,$B$2:B1435,B1435,$E$2:E1435,E1435)&gt;1,"Possible duplicate","")))</f>
      </c>
    </row>
    <row r="1436" spans="3:14" x14ac:dyDescent="0.3">
      <c r="A1436"/>
      <c r="C1436" s="16"/>
      <c r="G1436" s="5">
        <f>IF(A1436="","","Checking")</f>
      </c>
      <c r="H1436">
        <f>IF(A1436="","",IFERROR(XLOOKUP(D1436,Setup!$E$15:$E$79,Setup!$F$15:$F$79),"Miscellaneous"))</f>
      </c>
      <c r="I1436">
        <f>IF(A1436="","",IFERROR(XLOOKUP(D1436,Setup!$E$15:$E$79,Setup!$G$15:$G$79),"Uncategorized"))</f>
      </c>
      <c r="J1436">
        <f>IF(A1436="","",IF(OR(H1436="Transfers",H1436="Income",D1436="Transfer",D1436="Category Pending",F1436="Pending"),"No","Yes"))</f>
      </c>
      <c r="K1436" s="4">
        <f>IF(A1436="","",TEXT(IF(DAY(A1436)&gt;=Setup!$B$9,DATE(YEAR(A1436),MONTH(A1436)+1,1),DATE(YEAR(A1436),MONTH(A1436),1)),"mmmm yyyy"))</f>
      </c>
      <c r="L1436" s="47">
        <f>IF(A1436="",0,IF(AND(J1436="Yes",E1436&lt;0),-E1436,0))</f>
      </c>
      <c r="M1436" s="47">
        <f>IF(A1436="",0,IF(AND(J1436="Yes",E1436&gt;0),E1436,0))</f>
      </c>
      <c r="N1436">
        <f>IF(A1436="","",IF(D1436="Category Pending","Needs categorization",IF(COUNTIFS($A$2:A1436,A1436,$B$2:B1436,B1436,$E$2:E1436,E1436)&gt;1,"Possible duplicate","")))</f>
      </c>
    </row>
    <row r="1437" spans="3:14" x14ac:dyDescent="0.3">
      <c r="A1437"/>
      <c r="C1437" s="16"/>
      <c r="G1437" s="5">
        <f>IF(A1437="","","Checking")</f>
      </c>
      <c r="H1437">
        <f>IF(A1437="","",IFERROR(XLOOKUP(D1437,Setup!$E$15:$E$79,Setup!$F$15:$F$79),"Miscellaneous"))</f>
      </c>
      <c r="I1437">
        <f>IF(A1437="","",IFERROR(XLOOKUP(D1437,Setup!$E$15:$E$79,Setup!$G$15:$G$79),"Uncategorized"))</f>
      </c>
      <c r="J1437">
        <f>IF(A1437="","",IF(OR(H1437="Transfers",H1437="Income",D1437="Transfer",D1437="Category Pending",F1437="Pending"),"No","Yes"))</f>
      </c>
      <c r="K1437" s="4">
        <f>IF(A1437="","",TEXT(IF(DAY(A1437)&gt;=Setup!$B$9,DATE(YEAR(A1437),MONTH(A1437)+1,1),DATE(YEAR(A1437),MONTH(A1437),1)),"mmmm yyyy"))</f>
      </c>
      <c r="L1437" s="47">
        <f>IF(A1437="",0,IF(AND(J1437="Yes",E1437&lt;0),-E1437,0))</f>
      </c>
      <c r="M1437" s="47">
        <f>IF(A1437="",0,IF(AND(J1437="Yes",E1437&gt;0),E1437,0))</f>
      </c>
      <c r="N1437">
        <f>IF(A1437="","",IF(D1437="Category Pending","Needs categorization",IF(COUNTIFS($A$2:A1437,A1437,$B$2:B1437,B1437,$E$2:E1437,E1437)&gt;1,"Possible duplicate","")))</f>
      </c>
    </row>
    <row r="1438" spans="3:14" x14ac:dyDescent="0.3">
      <c r="A1438"/>
      <c r="C1438" s="16"/>
      <c r="G1438" s="5">
        <f>IF(A1438="","","Checking")</f>
      </c>
      <c r="H1438">
        <f>IF(A1438="","",IFERROR(XLOOKUP(D1438,Setup!$E$15:$E$79,Setup!$F$15:$F$79),"Miscellaneous"))</f>
      </c>
      <c r="I1438">
        <f>IF(A1438="","",IFERROR(XLOOKUP(D1438,Setup!$E$15:$E$79,Setup!$G$15:$G$79),"Uncategorized"))</f>
      </c>
      <c r="J1438">
        <f>IF(A1438="","",IF(OR(H1438="Transfers",H1438="Income",D1438="Transfer",D1438="Category Pending",F1438="Pending"),"No","Yes"))</f>
      </c>
      <c r="K1438" s="4">
        <f>IF(A1438="","",TEXT(IF(DAY(A1438)&gt;=Setup!$B$9,DATE(YEAR(A1438),MONTH(A1438)+1,1),DATE(YEAR(A1438),MONTH(A1438),1)),"mmmm yyyy"))</f>
      </c>
      <c r="L1438" s="47">
        <f>IF(A1438="",0,IF(AND(J1438="Yes",E1438&lt;0),-E1438,0))</f>
      </c>
      <c r="M1438" s="47">
        <f>IF(A1438="",0,IF(AND(J1438="Yes",E1438&gt;0),E1438,0))</f>
      </c>
      <c r="N1438">
        <f>IF(A1438="","",IF(D1438="Category Pending","Needs categorization",IF(COUNTIFS($A$2:A1438,A1438,$B$2:B1438,B1438,$E$2:E1438,E1438)&gt;1,"Possible duplicate","")))</f>
      </c>
    </row>
    <row r="1439" spans="3:14" x14ac:dyDescent="0.3">
      <c r="A1439"/>
      <c r="C1439" s="16"/>
      <c r="G1439" s="5">
        <f>IF(A1439="","","Checking")</f>
      </c>
      <c r="H1439">
        <f>IF(A1439="","",IFERROR(XLOOKUP(D1439,Setup!$E$15:$E$79,Setup!$F$15:$F$79),"Miscellaneous"))</f>
      </c>
      <c r="I1439">
        <f>IF(A1439="","",IFERROR(XLOOKUP(D1439,Setup!$E$15:$E$79,Setup!$G$15:$G$79),"Uncategorized"))</f>
      </c>
      <c r="J1439">
        <f>IF(A1439="","",IF(OR(H1439="Transfers",H1439="Income",D1439="Transfer",D1439="Category Pending",F1439="Pending"),"No","Yes"))</f>
      </c>
      <c r="K1439" s="4">
        <f>IF(A1439="","",TEXT(IF(DAY(A1439)&gt;=Setup!$B$9,DATE(YEAR(A1439),MONTH(A1439)+1,1),DATE(YEAR(A1439),MONTH(A1439),1)),"mmmm yyyy"))</f>
      </c>
      <c r="L1439" s="47">
        <f>IF(A1439="",0,IF(AND(J1439="Yes",E1439&lt;0),-E1439,0))</f>
      </c>
      <c r="M1439" s="47">
        <f>IF(A1439="",0,IF(AND(J1439="Yes",E1439&gt;0),E1439,0))</f>
      </c>
      <c r="N1439">
        <f>IF(A1439="","",IF(D1439="Category Pending","Needs categorization",IF(COUNTIFS($A$2:A1439,A1439,$B$2:B1439,B1439,$E$2:E1439,E1439)&gt;1,"Possible duplicate","")))</f>
      </c>
    </row>
    <row r="1440" spans="3:14" x14ac:dyDescent="0.3">
      <c r="A1440"/>
      <c r="C1440" s="16"/>
      <c r="G1440" s="5">
        <f>IF(A1440="","","Checking")</f>
      </c>
      <c r="H1440">
        <f>IF(A1440="","",IFERROR(XLOOKUP(D1440,Setup!$E$15:$E$79,Setup!$F$15:$F$79),"Miscellaneous"))</f>
      </c>
      <c r="I1440">
        <f>IF(A1440="","",IFERROR(XLOOKUP(D1440,Setup!$E$15:$E$79,Setup!$G$15:$G$79),"Uncategorized"))</f>
      </c>
      <c r="J1440">
        <f>IF(A1440="","",IF(OR(H1440="Transfers",H1440="Income",D1440="Transfer",D1440="Category Pending",F1440="Pending"),"No","Yes"))</f>
      </c>
      <c r="K1440" s="4">
        <f>IF(A1440="","",TEXT(IF(DAY(A1440)&gt;=Setup!$B$9,DATE(YEAR(A1440),MONTH(A1440)+1,1),DATE(YEAR(A1440),MONTH(A1440),1)),"mmmm yyyy"))</f>
      </c>
      <c r="L1440" s="47">
        <f>IF(A1440="",0,IF(AND(J1440="Yes",E1440&lt;0),-E1440,0))</f>
      </c>
      <c r="M1440" s="47">
        <f>IF(A1440="",0,IF(AND(J1440="Yes",E1440&gt;0),E1440,0))</f>
      </c>
      <c r="N1440">
        <f>IF(A1440="","",IF(D1440="Category Pending","Needs categorization",IF(COUNTIFS($A$2:A1440,A1440,$B$2:B1440,B1440,$E$2:E1440,E1440)&gt;1,"Possible duplicate","")))</f>
      </c>
    </row>
    <row r="1441" spans="3:14" x14ac:dyDescent="0.3">
      <c r="A1441"/>
      <c r="C1441" s="16"/>
      <c r="G1441" s="5">
        <f>IF(A1441="","","Checking")</f>
      </c>
      <c r="H1441">
        <f>IF(A1441="","",IFERROR(XLOOKUP(D1441,Setup!$E$15:$E$79,Setup!$F$15:$F$79),"Miscellaneous"))</f>
      </c>
      <c r="I1441">
        <f>IF(A1441="","",IFERROR(XLOOKUP(D1441,Setup!$E$15:$E$79,Setup!$G$15:$G$79),"Uncategorized"))</f>
      </c>
      <c r="J1441">
        <f>IF(A1441="","",IF(OR(H1441="Transfers",H1441="Income",D1441="Transfer",D1441="Category Pending",F1441="Pending"),"No","Yes"))</f>
      </c>
      <c r="K1441" s="4">
        <f>IF(A1441="","",TEXT(IF(DAY(A1441)&gt;=Setup!$B$9,DATE(YEAR(A1441),MONTH(A1441)+1,1),DATE(YEAR(A1441),MONTH(A1441),1)),"mmmm yyyy"))</f>
      </c>
      <c r="L1441" s="47">
        <f>IF(A1441="",0,IF(AND(J1441="Yes",E1441&lt;0),-E1441,0))</f>
      </c>
      <c r="M1441" s="47">
        <f>IF(A1441="",0,IF(AND(J1441="Yes",E1441&gt;0),E1441,0))</f>
      </c>
      <c r="N1441">
        <f>IF(A1441="","",IF(D1441="Category Pending","Needs categorization",IF(COUNTIFS($A$2:A1441,A1441,$B$2:B1441,B1441,$E$2:E1441,E1441)&gt;1,"Possible duplicate","")))</f>
      </c>
    </row>
    <row r="1442" spans="3:14" x14ac:dyDescent="0.3">
      <c r="A1442"/>
      <c r="C1442" s="16"/>
      <c r="G1442" s="5">
        <f>IF(A1442="","","Checking")</f>
      </c>
      <c r="H1442">
        <f>IF(A1442="","",IFERROR(XLOOKUP(D1442,Setup!$E$15:$E$79,Setup!$F$15:$F$79),"Miscellaneous"))</f>
      </c>
      <c r="I1442">
        <f>IF(A1442="","",IFERROR(XLOOKUP(D1442,Setup!$E$15:$E$79,Setup!$G$15:$G$79),"Uncategorized"))</f>
      </c>
      <c r="J1442">
        <f>IF(A1442="","",IF(OR(H1442="Transfers",H1442="Income",D1442="Transfer",D1442="Category Pending",F1442="Pending"),"No","Yes"))</f>
      </c>
      <c r="K1442" s="4">
        <f>IF(A1442="","",TEXT(IF(DAY(A1442)&gt;=Setup!$B$9,DATE(YEAR(A1442),MONTH(A1442)+1,1),DATE(YEAR(A1442),MONTH(A1442),1)),"mmmm yyyy"))</f>
      </c>
      <c r="L1442" s="47">
        <f>IF(A1442="",0,IF(AND(J1442="Yes",E1442&lt;0),-E1442,0))</f>
      </c>
      <c r="M1442" s="47">
        <f>IF(A1442="",0,IF(AND(J1442="Yes",E1442&gt;0),E1442,0))</f>
      </c>
      <c r="N1442">
        <f>IF(A1442="","",IF(D1442="Category Pending","Needs categorization",IF(COUNTIFS($A$2:A1442,A1442,$B$2:B1442,B1442,$E$2:E1442,E1442)&gt;1,"Possible duplicate","")))</f>
      </c>
    </row>
    <row r="1443" spans="3:14" x14ac:dyDescent="0.3">
      <c r="A1443"/>
      <c r="C1443" s="16"/>
      <c r="G1443" s="5">
        <f>IF(A1443="","","Checking")</f>
      </c>
      <c r="H1443">
        <f>IF(A1443="","",IFERROR(XLOOKUP(D1443,Setup!$E$15:$E$79,Setup!$F$15:$F$79),"Miscellaneous"))</f>
      </c>
      <c r="I1443">
        <f>IF(A1443="","",IFERROR(XLOOKUP(D1443,Setup!$E$15:$E$79,Setup!$G$15:$G$79),"Uncategorized"))</f>
      </c>
      <c r="J1443">
        <f>IF(A1443="","",IF(OR(H1443="Transfers",H1443="Income",D1443="Transfer",D1443="Category Pending",F1443="Pending"),"No","Yes"))</f>
      </c>
      <c r="K1443" s="4">
        <f>IF(A1443="","",TEXT(IF(DAY(A1443)&gt;=Setup!$B$9,DATE(YEAR(A1443),MONTH(A1443)+1,1),DATE(YEAR(A1443),MONTH(A1443),1)),"mmmm yyyy"))</f>
      </c>
      <c r="L1443" s="47">
        <f>IF(A1443="",0,IF(AND(J1443="Yes",E1443&lt;0),-E1443,0))</f>
      </c>
      <c r="M1443" s="47">
        <f>IF(A1443="",0,IF(AND(J1443="Yes",E1443&gt;0),E1443,0))</f>
      </c>
      <c r="N1443">
        <f>IF(A1443="","",IF(D1443="Category Pending","Needs categorization",IF(COUNTIFS($A$2:A1443,A1443,$B$2:B1443,B1443,$E$2:E1443,E1443)&gt;1,"Possible duplicate","")))</f>
      </c>
    </row>
    <row r="1444" spans="3:14" x14ac:dyDescent="0.3">
      <c r="A1444"/>
      <c r="C1444" s="16"/>
      <c r="G1444" s="5">
        <f>IF(A1444="","","Checking")</f>
      </c>
      <c r="H1444">
        <f>IF(A1444="","",IFERROR(XLOOKUP(D1444,Setup!$E$15:$E$79,Setup!$F$15:$F$79),"Miscellaneous"))</f>
      </c>
      <c r="I1444">
        <f>IF(A1444="","",IFERROR(XLOOKUP(D1444,Setup!$E$15:$E$79,Setup!$G$15:$G$79),"Uncategorized"))</f>
      </c>
      <c r="J1444">
        <f>IF(A1444="","",IF(OR(H1444="Transfers",H1444="Income",D1444="Transfer",D1444="Category Pending",F1444="Pending"),"No","Yes"))</f>
      </c>
      <c r="K1444" s="4">
        <f>IF(A1444="","",TEXT(IF(DAY(A1444)&gt;=Setup!$B$9,DATE(YEAR(A1444),MONTH(A1444)+1,1),DATE(YEAR(A1444),MONTH(A1444),1)),"mmmm yyyy"))</f>
      </c>
      <c r="L1444" s="47">
        <f>IF(A1444="",0,IF(AND(J1444="Yes",E1444&lt;0),-E1444,0))</f>
      </c>
      <c r="M1444" s="47">
        <f>IF(A1444="",0,IF(AND(J1444="Yes",E1444&gt;0),E1444,0))</f>
      </c>
      <c r="N1444">
        <f>IF(A1444="","",IF(D1444="Category Pending","Needs categorization",IF(COUNTIFS($A$2:A1444,A1444,$B$2:B1444,B1444,$E$2:E1444,E1444)&gt;1,"Possible duplicate","")))</f>
      </c>
    </row>
    <row r="1445" spans="3:14" x14ac:dyDescent="0.3">
      <c r="A1445"/>
      <c r="C1445" s="16"/>
      <c r="G1445" s="5">
        <f>IF(A1445="","","Checking")</f>
      </c>
      <c r="H1445">
        <f>IF(A1445="","",IFERROR(XLOOKUP(D1445,Setup!$E$15:$E$79,Setup!$F$15:$F$79),"Miscellaneous"))</f>
      </c>
      <c r="I1445">
        <f>IF(A1445="","",IFERROR(XLOOKUP(D1445,Setup!$E$15:$E$79,Setup!$G$15:$G$79),"Uncategorized"))</f>
      </c>
      <c r="J1445">
        <f>IF(A1445="","",IF(OR(H1445="Transfers",H1445="Income",D1445="Transfer",D1445="Category Pending",F1445="Pending"),"No","Yes"))</f>
      </c>
      <c r="K1445" s="4">
        <f>IF(A1445="","",TEXT(IF(DAY(A1445)&gt;=Setup!$B$9,DATE(YEAR(A1445),MONTH(A1445)+1,1),DATE(YEAR(A1445),MONTH(A1445),1)),"mmmm yyyy"))</f>
      </c>
      <c r="L1445" s="47">
        <f>IF(A1445="",0,IF(AND(J1445="Yes",E1445&lt;0),-E1445,0))</f>
      </c>
      <c r="M1445" s="47">
        <f>IF(A1445="",0,IF(AND(J1445="Yes",E1445&gt;0),E1445,0))</f>
      </c>
      <c r="N1445">
        <f>IF(A1445="","",IF(D1445="Category Pending","Needs categorization",IF(COUNTIFS($A$2:A1445,A1445,$B$2:B1445,B1445,$E$2:E1445,E1445)&gt;1,"Possible duplicate","")))</f>
      </c>
    </row>
    <row r="1446" spans="3:14" x14ac:dyDescent="0.3">
      <c r="A1446"/>
      <c r="C1446" s="16"/>
      <c r="G1446" s="5">
        <f>IF(A1446="","","Checking")</f>
      </c>
      <c r="H1446">
        <f>IF(A1446="","",IFERROR(XLOOKUP(D1446,Setup!$E$15:$E$79,Setup!$F$15:$F$79),"Miscellaneous"))</f>
      </c>
      <c r="I1446">
        <f>IF(A1446="","",IFERROR(XLOOKUP(D1446,Setup!$E$15:$E$79,Setup!$G$15:$G$79),"Uncategorized"))</f>
      </c>
      <c r="J1446">
        <f>IF(A1446="","",IF(OR(H1446="Transfers",H1446="Income",D1446="Transfer",D1446="Category Pending",F1446="Pending"),"No","Yes"))</f>
      </c>
      <c r="K1446" s="4">
        <f>IF(A1446="","",TEXT(IF(DAY(A1446)&gt;=Setup!$B$9,DATE(YEAR(A1446),MONTH(A1446)+1,1),DATE(YEAR(A1446),MONTH(A1446),1)),"mmmm yyyy"))</f>
      </c>
      <c r="L1446" s="47">
        <f>IF(A1446="",0,IF(AND(J1446="Yes",E1446&lt;0),-E1446,0))</f>
      </c>
      <c r="M1446" s="47">
        <f>IF(A1446="",0,IF(AND(J1446="Yes",E1446&gt;0),E1446,0))</f>
      </c>
      <c r="N1446">
        <f>IF(A1446="","",IF(D1446="Category Pending","Needs categorization",IF(COUNTIFS($A$2:A1446,A1446,$B$2:B1446,B1446,$E$2:E1446,E1446)&gt;1,"Possible duplicate","")))</f>
      </c>
    </row>
    <row r="1447" spans="3:14" x14ac:dyDescent="0.3">
      <c r="A1447"/>
      <c r="C1447" s="16"/>
      <c r="G1447" s="5">
        <f>IF(A1447="","","Checking")</f>
      </c>
      <c r="H1447">
        <f>IF(A1447="","",IFERROR(XLOOKUP(D1447,Setup!$E$15:$E$79,Setup!$F$15:$F$79),"Miscellaneous"))</f>
      </c>
      <c r="I1447">
        <f>IF(A1447="","",IFERROR(XLOOKUP(D1447,Setup!$E$15:$E$79,Setup!$G$15:$G$79),"Uncategorized"))</f>
      </c>
      <c r="J1447">
        <f>IF(A1447="","",IF(OR(H1447="Transfers",H1447="Income",D1447="Transfer",D1447="Category Pending",F1447="Pending"),"No","Yes"))</f>
      </c>
      <c r="K1447" s="4">
        <f>IF(A1447="","",TEXT(IF(DAY(A1447)&gt;=Setup!$B$9,DATE(YEAR(A1447),MONTH(A1447)+1,1),DATE(YEAR(A1447),MONTH(A1447),1)),"mmmm yyyy"))</f>
      </c>
      <c r="L1447" s="47">
        <f>IF(A1447="",0,IF(AND(J1447="Yes",E1447&lt;0),-E1447,0))</f>
      </c>
      <c r="M1447" s="47">
        <f>IF(A1447="",0,IF(AND(J1447="Yes",E1447&gt;0),E1447,0))</f>
      </c>
      <c r="N1447">
        <f>IF(A1447="","",IF(D1447="Category Pending","Needs categorization",IF(COUNTIFS($A$2:A1447,A1447,$B$2:B1447,B1447,$E$2:E1447,E1447)&gt;1,"Possible duplicate","")))</f>
      </c>
    </row>
    <row r="1448" spans="3:14" x14ac:dyDescent="0.3">
      <c r="A1448"/>
      <c r="C1448" s="16"/>
      <c r="G1448" s="5">
        <f>IF(A1448="","","Checking")</f>
      </c>
      <c r="H1448">
        <f>IF(A1448="","",IFERROR(XLOOKUP(D1448,Setup!$E$15:$E$79,Setup!$F$15:$F$79),"Miscellaneous"))</f>
      </c>
      <c r="I1448">
        <f>IF(A1448="","",IFERROR(XLOOKUP(D1448,Setup!$E$15:$E$79,Setup!$G$15:$G$79),"Uncategorized"))</f>
      </c>
      <c r="J1448">
        <f>IF(A1448="","",IF(OR(H1448="Transfers",H1448="Income",D1448="Transfer",D1448="Category Pending",F1448="Pending"),"No","Yes"))</f>
      </c>
      <c r="K1448" s="4">
        <f>IF(A1448="","",TEXT(IF(DAY(A1448)&gt;=Setup!$B$9,DATE(YEAR(A1448),MONTH(A1448)+1,1),DATE(YEAR(A1448),MONTH(A1448),1)),"mmmm yyyy"))</f>
      </c>
      <c r="L1448" s="47">
        <f>IF(A1448="",0,IF(AND(J1448="Yes",E1448&lt;0),-E1448,0))</f>
      </c>
      <c r="M1448" s="47">
        <f>IF(A1448="",0,IF(AND(J1448="Yes",E1448&gt;0),E1448,0))</f>
      </c>
      <c r="N1448">
        <f>IF(A1448="","",IF(D1448="Category Pending","Needs categorization",IF(COUNTIFS($A$2:A1448,A1448,$B$2:B1448,B1448,$E$2:E1448,E1448)&gt;1,"Possible duplicate","")))</f>
      </c>
    </row>
    <row r="1449" spans="3:14" x14ac:dyDescent="0.3">
      <c r="A1449"/>
      <c r="C1449" s="16"/>
      <c r="G1449" s="5">
        <f>IF(A1449="","","Checking")</f>
      </c>
      <c r="H1449">
        <f>IF(A1449="","",IFERROR(XLOOKUP(D1449,Setup!$E$15:$E$79,Setup!$F$15:$F$79),"Miscellaneous"))</f>
      </c>
      <c r="I1449">
        <f>IF(A1449="","",IFERROR(XLOOKUP(D1449,Setup!$E$15:$E$79,Setup!$G$15:$G$79),"Uncategorized"))</f>
      </c>
      <c r="J1449">
        <f>IF(A1449="","",IF(OR(H1449="Transfers",H1449="Income",D1449="Transfer",D1449="Category Pending",F1449="Pending"),"No","Yes"))</f>
      </c>
      <c r="K1449" s="4">
        <f>IF(A1449="","",TEXT(IF(DAY(A1449)&gt;=Setup!$B$9,DATE(YEAR(A1449),MONTH(A1449)+1,1),DATE(YEAR(A1449),MONTH(A1449),1)),"mmmm yyyy"))</f>
      </c>
      <c r="L1449" s="47">
        <f>IF(A1449="",0,IF(AND(J1449="Yes",E1449&lt;0),-E1449,0))</f>
      </c>
      <c r="M1449" s="47">
        <f>IF(A1449="",0,IF(AND(J1449="Yes",E1449&gt;0),E1449,0))</f>
      </c>
      <c r="N1449">
        <f>IF(A1449="","",IF(D1449="Category Pending","Needs categorization",IF(COUNTIFS($A$2:A1449,A1449,$B$2:B1449,B1449,$E$2:E1449,E1449)&gt;1,"Possible duplicate","")))</f>
      </c>
    </row>
    <row r="1450" spans="3:14" x14ac:dyDescent="0.3">
      <c r="A1450"/>
      <c r="C1450" s="16"/>
      <c r="G1450" s="5">
        <f>IF(A1450="","","Checking")</f>
      </c>
      <c r="H1450">
        <f>IF(A1450="","",IFERROR(XLOOKUP(D1450,Setup!$E$15:$E$79,Setup!$F$15:$F$79),"Miscellaneous"))</f>
      </c>
      <c r="I1450">
        <f>IF(A1450="","",IFERROR(XLOOKUP(D1450,Setup!$E$15:$E$79,Setup!$G$15:$G$79),"Uncategorized"))</f>
      </c>
      <c r="J1450">
        <f>IF(A1450="","",IF(OR(H1450="Transfers",H1450="Income",D1450="Transfer",D1450="Category Pending",F1450="Pending"),"No","Yes"))</f>
      </c>
      <c r="K1450" s="4">
        <f>IF(A1450="","",TEXT(IF(DAY(A1450)&gt;=Setup!$B$9,DATE(YEAR(A1450),MONTH(A1450)+1,1),DATE(YEAR(A1450),MONTH(A1450),1)),"mmmm yyyy"))</f>
      </c>
      <c r="L1450" s="47">
        <f>IF(A1450="",0,IF(AND(J1450="Yes",E1450&lt;0),-E1450,0))</f>
      </c>
      <c r="M1450" s="47">
        <f>IF(A1450="",0,IF(AND(J1450="Yes",E1450&gt;0),E1450,0))</f>
      </c>
      <c r="N1450">
        <f>IF(A1450="","",IF(D1450="Category Pending","Needs categorization",IF(COUNTIFS($A$2:A1450,A1450,$B$2:B1450,B1450,$E$2:E1450,E1450)&gt;1,"Possible duplicate","")))</f>
      </c>
    </row>
    <row r="1451" spans="3:14" x14ac:dyDescent="0.3">
      <c r="A1451"/>
      <c r="C1451" s="16"/>
      <c r="G1451" s="5">
        <f>IF(A1451="","","Checking")</f>
      </c>
      <c r="H1451">
        <f>IF(A1451="","",IFERROR(XLOOKUP(D1451,Setup!$E$15:$E$79,Setup!$F$15:$F$79),"Miscellaneous"))</f>
      </c>
      <c r="I1451">
        <f>IF(A1451="","",IFERROR(XLOOKUP(D1451,Setup!$E$15:$E$79,Setup!$G$15:$G$79),"Uncategorized"))</f>
      </c>
      <c r="J1451">
        <f>IF(A1451="","",IF(OR(H1451="Transfers",H1451="Income",D1451="Transfer",D1451="Category Pending",F1451="Pending"),"No","Yes"))</f>
      </c>
      <c r="K1451" s="4">
        <f>IF(A1451="","",TEXT(IF(DAY(A1451)&gt;=Setup!$B$9,DATE(YEAR(A1451),MONTH(A1451)+1,1),DATE(YEAR(A1451),MONTH(A1451),1)),"mmmm yyyy"))</f>
      </c>
      <c r="L1451" s="47">
        <f>IF(A1451="",0,IF(AND(J1451="Yes",E1451&lt;0),-E1451,0))</f>
      </c>
      <c r="M1451" s="47">
        <f>IF(A1451="",0,IF(AND(J1451="Yes",E1451&gt;0),E1451,0))</f>
      </c>
      <c r="N1451">
        <f>IF(A1451="","",IF(D1451="Category Pending","Needs categorization",IF(COUNTIFS($A$2:A1451,A1451,$B$2:B1451,B1451,$E$2:E1451,E1451)&gt;1,"Possible duplicate","")))</f>
      </c>
    </row>
    <row r="1452" spans="3:14" x14ac:dyDescent="0.3">
      <c r="A1452"/>
      <c r="C1452" s="16"/>
      <c r="G1452" s="5">
        <f>IF(A1452="","","Checking")</f>
      </c>
      <c r="H1452">
        <f>IF(A1452="","",IFERROR(XLOOKUP(D1452,Setup!$E$15:$E$79,Setup!$F$15:$F$79),"Miscellaneous"))</f>
      </c>
      <c r="I1452">
        <f>IF(A1452="","",IFERROR(XLOOKUP(D1452,Setup!$E$15:$E$79,Setup!$G$15:$G$79),"Uncategorized"))</f>
      </c>
      <c r="J1452">
        <f>IF(A1452="","",IF(OR(H1452="Transfers",H1452="Income",D1452="Transfer",D1452="Category Pending",F1452="Pending"),"No","Yes"))</f>
      </c>
      <c r="K1452" s="4">
        <f>IF(A1452="","",TEXT(IF(DAY(A1452)&gt;=Setup!$B$9,DATE(YEAR(A1452),MONTH(A1452)+1,1),DATE(YEAR(A1452),MONTH(A1452),1)),"mmmm yyyy"))</f>
      </c>
      <c r="L1452" s="47">
        <f>IF(A1452="",0,IF(AND(J1452="Yes",E1452&lt;0),-E1452,0))</f>
      </c>
      <c r="M1452" s="47">
        <f>IF(A1452="",0,IF(AND(J1452="Yes",E1452&gt;0),E1452,0))</f>
      </c>
      <c r="N1452">
        <f>IF(A1452="","",IF(D1452="Category Pending","Needs categorization",IF(COUNTIFS($A$2:A1452,A1452,$B$2:B1452,B1452,$E$2:E1452,E1452)&gt;1,"Possible duplicate","")))</f>
      </c>
    </row>
    <row r="1453" spans="3:14" x14ac:dyDescent="0.3">
      <c r="A1453"/>
      <c r="C1453" s="16"/>
      <c r="G1453" s="5">
        <f>IF(A1453="","","Checking")</f>
      </c>
      <c r="H1453">
        <f>IF(A1453="","",IFERROR(XLOOKUP(D1453,Setup!$E$15:$E$79,Setup!$F$15:$F$79),"Miscellaneous"))</f>
      </c>
      <c r="I1453">
        <f>IF(A1453="","",IFERROR(XLOOKUP(D1453,Setup!$E$15:$E$79,Setup!$G$15:$G$79),"Uncategorized"))</f>
      </c>
      <c r="J1453">
        <f>IF(A1453="","",IF(OR(H1453="Transfers",H1453="Income",D1453="Transfer",D1453="Category Pending",F1453="Pending"),"No","Yes"))</f>
      </c>
      <c r="K1453" s="4">
        <f>IF(A1453="","",TEXT(IF(DAY(A1453)&gt;=Setup!$B$9,DATE(YEAR(A1453),MONTH(A1453)+1,1),DATE(YEAR(A1453),MONTH(A1453),1)),"mmmm yyyy"))</f>
      </c>
      <c r="L1453" s="47">
        <f>IF(A1453="",0,IF(AND(J1453="Yes",E1453&lt;0),-E1453,0))</f>
      </c>
      <c r="M1453" s="47">
        <f>IF(A1453="",0,IF(AND(J1453="Yes",E1453&gt;0),E1453,0))</f>
      </c>
      <c r="N1453">
        <f>IF(A1453="","",IF(D1453="Category Pending","Needs categorization",IF(COUNTIFS($A$2:A1453,A1453,$B$2:B1453,B1453,$E$2:E1453,E1453)&gt;1,"Possible duplicate","")))</f>
      </c>
    </row>
    <row r="1454" spans="3:14" x14ac:dyDescent="0.3">
      <c r="A1454"/>
      <c r="C1454" s="16"/>
      <c r="G1454" s="5">
        <f>IF(A1454="","","Checking")</f>
      </c>
      <c r="H1454">
        <f>IF(A1454="","",IFERROR(XLOOKUP(D1454,Setup!$E$15:$E$79,Setup!$F$15:$F$79),"Miscellaneous"))</f>
      </c>
      <c r="I1454">
        <f>IF(A1454="","",IFERROR(XLOOKUP(D1454,Setup!$E$15:$E$79,Setup!$G$15:$G$79),"Uncategorized"))</f>
      </c>
      <c r="J1454">
        <f>IF(A1454="","",IF(OR(H1454="Transfers",H1454="Income",D1454="Transfer",D1454="Category Pending",F1454="Pending"),"No","Yes"))</f>
      </c>
      <c r="K1454" s="4">
        <f>IF(A1454="","",TEXT(IF(DAY(A1454)&gt;=Setup!$B$9,DATE(YEAR(A1454),MONTH(A1454)+1,1),DATE(YEAR(A1454),MONTH(A1454),1)),"mmmm yyyy"))</f>
      </c>
      <c r="L1454" s="47">
        <f>IF(A1454="",0,IF(AND(J1454="Yes",E1454&lt;0),-E1454,0))</f>
      </c>
      <c r="M1454" s="47">
        <f>IF(A1454="",0,IF(AND(J1454="Yes",E1454&gt;0),E1454,0))</f>
      </c>
      <c r="N1454">
        <f>IF(A1454="","",IF(D1454="Category Pending","Needs categorization",IF(COUNTIFS($A$2:A1454,A1454,$B$2:B1454,B1454,$E$2:E1454,E1454)&gt;1,"Possible duplicate","")))</f>
      </c>
    </row>
    <row r="1455" spans="3:14" x14ac:dyDescent="0.3">
      <c r="A1455"/>
      <c r="C1455" s="16"/>
      <c r="G1455" s="5">
        <f>IF(A1455="","","Checking")</f>
      </c>
      <c r="H1455">
        <f>IF(A1455="","",IFERROR(XLOOKUP(D1455,Setup!$E$15:$E$79,Setup!$F$15:$F$79),"Miscellaneous"))</f>
      </c>
      <c r="I1455">
        <f>IF(A1455="","",IFERROR(XLOOKUP(D1455,Setup!$E$15:$E$79,Setup!$G$15:$G$79),"Uncategorized"))</f>
      </c>
      <c r="J1455">
        <f>IF(A1455="","",IF(OR(H1455="Transfers",H1455="Income",D1455="Transfer",D1455="Category Pending",F1455="Pending"),"No","Yes"))</f>
      </c>
      <c r="K1455" s="4">
        <f>IF(A1455="","",TEXT(IF(DAY(A1455)&gt;=Setup!$B$9,DATE(YEAR(A1455),MONTH(A1455)+1,1),DATE(YEAR(A1455),MONTH(A1455),1)),"mmmm yyyy"))</f>
      </c>
      <c r="L1455" s="47">
        <f>IF(A1455="",0,IF(AND(J1455="Yes",E1455&lt;0),-E1455,0))</f>
      </c>
      <c r="M1455" s="47">
        <f>IF(A1455="",0,IF(AND(J1455="Yes",E1455&gt;0),E1455,0))</f>
      </c>
      <c r="N1455">
        <f>IF(A1455="","",IF(D1455="Category Pending","Needs categorization",IF(COUNTIFS($A$2:A1455,A1455,$B$2:B1455,B1455,$E$2:E1455,E1455)&gt;1,"Possible duplicate","")))</f>
      </c>
    </row>
    <row r="1456" spans="3:14" x14ac:dyDescent="0.3">
      <c r="A1456"/>
      <c r="C1456" s="16"/>
      <c r="G1456" s="5">
        <f>IF(A1456="","","Checking")</f>
      </c>
      <c r="H1456">
        <f>IF(A1456="","",IFERROR(XLOOKUP(D1456,Setup!$E$15:$E$79,Setup!$F$15:$F$79),"Miscellaneous"))</f>
      </c>
      <c r="I1456">
        <f>IF(A1456="","",IFERROR(XLOOKUP(D1456,Setup!$E$15:$E$79,Setup!$G$15:$G$79),"Uncategorized"))</f>
      </c>
      <c r="J1456">
        <f>IF(A1456="","",IF(OR(H1456="Transfers",H1456="Income",D1456="Transfer",D1456="Category Pending",F1456="Pending"),"No","Yes"))</f>
      </c>
      <c r="K1456" s="4">
        <f>IF(A1456="","",TEXT(IF(DAY(A1456)&gt;=Setup!$B$9,DATE(YEAR(A1456),MONTH(A1456)+1,1),DATE(YEAR(A1456),MONTH(A1456),1)),"mmmm yyyy"))</f>
      </c>
      <c r="L1456" s="47">
        <f>IF(A1456="",0,IF(AND(J1456="Yes",E1456&lt;0),-E1456,0))</f>
      </c>
      <c r="M1456" s="47">
        <f>IF(A1456="",0,IF(AND(J1456="Yes",E1456&gt;0),E1456,0))</f>
      </c>
      <c r="N1456">
        <f>IF(A1456="","",IF(D1456="Category Pending","Needs categorization",IF(COUNTIFS($A$2:A1456,A1456,$B$2:B1456,B1456,$E$2:E1456,E1456)&gt;1,"Possible duplicate","")))</f>
      </c>
    </row>
    <row r="1457" spans="3:14" x14ac:dyDescent="0.3">
      <c r="A1457"/>
      <c r="C1457" s="16"/>
      <c r="G1457" s="5">
        <f>IF(A1457="","","Checking")</f>
      </c>
      <c r="H1457">
        <f>IF(A1457="","",IFERROR(XLOOKUP(D1457,Setup!$E$15:$E$79,Setup!$F$15:$F$79),"Miscellaneous"))</f>
      </c>
      <c r="I1457">
        <f>IF(A1457="","",IFERROR(XLOOKUP(D1457,Setup!$E$15:$E$79,Setup!$G$15:$G$79),"Uncategorized"))</f>
      </c>
      <c r="J1457">
        <f>IF(A1457="","",IF(OR(H1457="Transfers",H1457="Income",D1457="Transfer",D1457="Category Pending",F1457="Pending"),"No","Yes"))</f>
      </c>
      <c r="K1457" s="4">
        <f>IF(A1457="","",TEXT(IF(DAY(A1457)&gt;=Setup!$B$9,DATE(YEAR(A1457),MONTH(A1457)+1,1),DATE(YEAR(A1457),MONTH(A1457),1)),"mmmm yyyy"))</f>
      </c>
      <c r="L1457" s="47">
        <f>IF(A1457="",0,IF(AND(J1457="Yes",E1457&lt;0),-E1457,0))</f>
      </c>
      <c r="M1457" s="47">
        <f>IF(A1457="",0,IF(AND(J1457="Yes",E1457&gt;0),E1457,0))</f>
      </c>
      <c r="N1457">
        <f>IF(A1457="","",IF(D1457="Category Pending","Needs categorization",IF(COUNTIFS($A$2:A1457,A1457,$B$2:B1457,B1457,$E$2:E1457,E1457)&gt;1,"Possible duplicate","")))</f>
      </c>
    </row>
    <row r="1458" spans="3:14" x14ac:dyDescent="0.3">
      <c r="A1458"/>
      <c r="C1458" s="16"/>
      <c r="G1458" s="5">
        <f>IF(A1458="","","Checking")</f>
      </c>
      <c r="H1458">
        <f>IF(A1458="","",IFERROR(XLOOKUP(D1458,Setup!$E$15:$E$79,Setup!$F$15:$F$79),"Miscellaneous"))</f>
      </c>
      <c r="I1458">
        <f>IF(A1458="","",IFERROR(XLOOKUP(D1458,Setup!$E$15:$E$79,Setup!$G$15:$G$79),"Uncategorized"))</f>
      </c>
      <c r="J1458">
        <f>IF(A1458="","",IF(OR(H1458="Transfers",H1458="Income",D1458="Transfer",D1458="Category Pending",F1458="Pending"),"No","Yes"))</f>
      </c>
      <c r="K1458" s="4">
        <f>IF(A1458="","",TEXT(IF(DAY(A1458)&gt;=Setup!$B$9,DATE(YEAR(A1458),MONTH(A1458)+1,1),DATE(YEAR(A1458),MONTH(A1458),1)),"mmmm yyyy"))</f>
      </c>
      <c r="L1458" s="47">
        <f>IF(A1458="",0,IF(AND(J1458="Yes",E1458&lt;0),-E1458,0))</f>
      </c>
      <c r="M1458" s="47">
        <f>IF(A1458="",0,IF(AND(J1458="Yes",E1458&gt;0),E1458,0))</f>
      </c>
      <c r="N1458">
        <f>IF(A1458="","",IF(D1458="Category Pending","Needs categorization",IF(COUNTIFS($A$2:A1458,A1458,$B$2:B1458,B1458,$E$2:E1458,E1458)&gt;1,"Possible duplicate","")))</f>
      </c>
    </row>
    <row r="1459" spans="3:14" x14ac:dyDescent="0.3">
      <c r="A1459"/>
      <c r="C1459" s="16"/>
      <c r="G1459" s="5">
        <f>IF(A1459="","","Checking")</f>
      </c>
      <c r="H1459">
        <f>IF(A1459="","",IFERROR(XLOOKUP(D1459,Setup!$E$15:$E$79,Setup!$F$15:$F$79),"Miscellaneous"))</f>
      </c>
      <c r="I1459">
        <f>IF(A1459="","",IFERROR(XLOOKUP(D1459,Setup!$E$15:$E$79,Setup!$G$15:$G$79),"Uncategorized"))</f>
      </c>
      <c r="J1459">
        <f>IF(A1459="","",IF(OR(H1459="Transfers",H1459="Income",D1459="Transfer",D1459="Category Pending",F1459="Pending"),"No","Yes"))</f>
      </c>
      <c r="K1459" s="4">
        <f>IF(A1459="","",TEXT(IF(DAY(A1459)&gt;=Setup!$B$9,DATE(YEAR(A1459),MONTH(A1459)+1,1),DATE(YEAR(A1459),MONTH(A1459),1)),"mmmm yyyy"))</f>
      </c>
      <c r="L1459" s="47">
        <f>IF(A1459="",0,IF(AND(J1459="Yes",E1459&lt;0),-E1459,0))</f>
      </c>
      <c r="M1459" s="47">
        <f>IF(A1459="",0,IF(AND(J1459="Yes",E1459&gt;0),E1459,0))</f>
      </c>
      <c r="N1459">
        <f>IF(A1459="","",IF(D1459="Category Pending","Needs categorization",IF(COUNTIFS($A$2:A1459,A1459,$B$2:B1459,B1459,$E$2:E1459,E1459)&gt;1,"Possible duplicate","")))</f>
      </c>
    </row>
    <row r="1460" spans="3:14" x14ac:dyDescent="0.3">
      <c r="A1460"/>
      <c r="C1460" s="16"/>
      <c r="G1460" s="5">
        <f>IF(A1460="","","Checking")</f>
      </c>
      <c r="H1460">
        <f>IF(A1460="","",IFERROR(XLOOKUP(D1460,Setup!$E$15:$E$79,Setup!$F$15:$F$79),"Miscellaneous"))</f>
      </c>
      <c r="I1460">
        <f>IF(A1460="","",IFERROR(XLOOKUP(D1460,Setup!$E$15:$E$79,Setup!$G$15:$G$79),"Uncategorized"))</f>
      </c>
      <c r="J1460">
        <f>IF(A1460="","",IF(OR(H1460="Transfers",H1460="Income",D1460="Transfer",D1460="Category Pending",F1460="Pending"),"No","Yes"))</f>
      </c>
      <c r="K1460" s="4">
        <f>IF(A1460="","",TEXT(IF(DAY(A1460)&gt;=Setup!$B$9,DATE(YEAR(A1460),MONTH(A1460)+1,1),DATE(YEAR(A1460),MONTH(A1460),1)),"mmmm yyyy"))</f>
      </c>
      <c r="L1460" s="47">
        <f>IF(A1460="",0,IF(AND(J1460="Yes",E1460&lt;0),-E1460,0))</f>
      </c>
      <c r="M1460" s="47">
        <f>IF(A1460="",0,IF(AND(J1460="Yes",E1460&gt;0),E1460,0))</f>
      </c>
      <c r="N1460">
        <f>IF(A1460="","",IF(D1460="Category Pending","Needs categorization",IF(COUNTIFS($A$2:A1460,A1460,$B$2:B1460,B1460,$E$2:E1460,E1460)&gt;1,"Possible duplicate","")))</f>
      </c>
    </row>
    <row r="1461" spans="3:14" x14ac:dyDescent="0.3">
      <c r="A1461"/>
      <c r="C1461" s="16"/>
      <c r="G1461" s="5">
        <f>IF(A1461="","","Checking")</f>
      </c>
      <c r="H1461">
        <f>IF(A1461="","",IFERROR(XLOOKUP(D1461,Setup!$E$15:$E$79,Setup!$F$15:$F$79),"Miscellaneous"))</f>
      </c>
      <c r="I1461">
        <f>IF(A1461="","",IFERROR(XLOOKUP(D1461,Setup!$E$15:$E$79,Setup!$G$15:$G$79),"Uncategorized"))</f>
      </c>
      <c r="J1461">
        <f>IF(A1461="","",IF(OR(H1461="Transfers",H1461="Income",D1461="Transfer",D1461="Category Pending",F1461="Pending"),"No","Yes"))</f>
      </c>
      <c r="K1461" s="4">
        <f>IF(A1461="","",TEXT(IF(DAY(A1461)&gt;=Setup!$B$9,DATE(YEAR(A1461),MONTH(A1461)+1,1),DATE(YEAR(A1461),MONTH(A1461),1)),"mmmm yyyy"))</f>
      </c>
      <c r="L1461" s="47">
        <f>IF(A1461="",0,IF(AND(J1461="Yes",E1461&lt;0),-E1461,0))</f>
      </c>
      <c r="M1461" s="47">
        <f>IF(A1461="",0,IF(AND(J1461="Yes",E1461&gt;0),E1461,0))</f>
      </c>
      <c r="N1461">
        <f>IF(A1461="","",IF(D1461="Category Pending","Needs categorization",IF(COUNTIFS($A$2:A1461,A1461,$B$2:B1461,B1461,$E$2:E1461,E1461)&gt;1,"Possible duplicate","")))</f>
      </c>
    </row>
    <row r="1462" spans="3:14" x14ac:dyDescent="0.3">
      <c r="A1462"/>
      <c r="C1462" s="16"/>
      <c r="G1462" s="5">
        <f>IF(A1462="","","Checking")</f>
      </c>
      <c r="H1462">
        <f>IF(A1462="","",IFERROR(XLOOKUP(D1462,Setup!$E$15:$E$79,Setup!$F$15:$F$79),"Miscellaneous"))</f>
      </c>
      <c r="I1462">
        <f>IF(A1462="","",IFERROR(XLOOKUP(D1462,Setup!$E$15:$E$79,Setup!$G$15:$G$79),"Uncategorized"))</f>
      </c>
      <c r="J1462">
        <f>IF(A1462="","",IF(OR(H1462="Transfers",H1462="Income",D1462="Transfer",D1462="Category Pending",F1462="Pending"),"No","Yes"))</f>
      </c>
      <c r="K1462" s="4">
        <f>IF(A1462="","",TEXT(IF(DAY(A1462)&gt;=Setup!$B$9,DATE(YEAR(A1462),MONTH(A1462)+1,1),DATE(YEAR(A1462),MONTH(A1462),1)),"mmmm yyyy"))</f>
      </c>
      <c r="L1462" s="47">
        <f>IF(A1462="",0,IF(AND(J1462="Yes",E1462&lt;0),-E1462,0))</f>
      </c>
      <c r="M1462" s="47">
        <f>IF(A1462="",0,IF(AND(J1462="Yes",E1462&gt;0),E1462,0))</f>
      </c>
      <c r="N1462">
        <f>IF(A1462="","",IF(D1462="Category Pending","Needs categorization",IF(COUNTIFS($A$2:A1462,A1462,$B$2:B1462,B1462,$E$2:E1462,E1462)&gt;1,"Possible duplicate","")))</f>
      </c>
    </row>
    <row r="1463" spans="3:14" x14ac:dyDescent="0.3">
      <c r="A1463"/>
      <c r="C1463" s="16"/>
      <c r="G1463" s="5">
        <f>IF(A1463="","","Checking")</f>
      </c>
      <c r="H1463">
        <f>IF(A1463="","",IFERROR(XLOOKUP(D1463,Setup!$E$15:$E$79,Setup!$F$15:$F$79),"Miscellaneous"))</f>
      </c>
      <c r="I1463">
        <f>IF(A1463="","",IFERROR(XLOOKUP(D1463,Setup!$E$15:$E$79,Setup!$G$15:$G$79),"Uncategorized"))</f>
      </c>
      <c r="J1463">
        <f>IF(A1463="","",IF(OR(H1463="Transfers",H1463="Income",D1463="Transfer",D1463="Category Pending",F1463="Pending"),"No","Yes"))</f>
      </c>
      <c r="K1463" s="4">
        <f>IF(A1463="","",TEXT(IF(DAY(A1463)&gt;=Setup!$B$9,DATE(YEAR(A1463),MONTH(A1463)+1,1),DATE(YEAR(A1463),MONTH(A1463),1)),"mmmm yyyy"))</f>
      </c>
      <c r="L1463" s="47">
        <f>IF(A1463="",0,IF(AND(J1463="Yes",E1463&lt;0),-E1463,0))</f>
      </c>
      <c r="M1463" s="47">
        <f>IF(A1463="",0,IF(AND(J1463="Yes",E1463&gt;0),E1463,0))</f>
      </c>
      <c r="N1463">
        <f>IF(A1463="","",IF(D1463="Category Pending","Needs categorization",IF(COUNTIFS($A$2:A1463,A1463,$B$2:B1463,B1463,$E$2:E1463,E1463)&gt;1,"Possible duplicate","")))</f>
      </c>
    </row>
    <row r="1464" spans="3:14" x14ac:dyDescent="0.3">
      <c r="A1464"/>
      <c r="C1464" s="16"/>
      <c r="G1464" s="5">
        <f>IF(A1464="","","Checking")</f>
      </c>
      <c r="H1464">
        <f>IF(A1464="","",IFERROR(XLOOKUP(D1464,Setup!$E$15:$E$79,Setup!$F$15:$F$79),"Miscellaneous"))</f>
      </c>
      <c r="I1464">
        <f>IF(A1464="","",IFERROR(XLOOKUP(D1464,Setup!$E$15:$E$79,Setup!$G$15:$G$79),"Uncategorized"))</f>
      </c>
      <c r="J1464">
        <f>IF(A1464="","",IF(OR(H1464="Transfers",H1464="Income",D1464="Transfer",D1464="Category Pending",F1464="Pending"),"No","Yes"))</f>
      </c>
      <c r="K1464" s="4">
        <f>IF(A1464="","",TEXT(IF(DAY(A1464)&gt;=Setup!$B$9,DATE(YEAR(A1464),MONTH(A1464)+1,1),DATE(YEAR(A1464),MONTH(A1464),1)),"mmmm yyyy"))</f>
      </c>
      <c r="L1464" s="47">
        <f>IF(A1464="",0,IF(AND(J1464="Yes",E1464&lt;0),-E1464,0))</f>
      </c>
      <c r="M1464" s="47">
        <f>IF(A1464="",0,IF(AND(J1464="Yes",E1464&gt;0),E1464,0))</f>
      </c>
      <c r="N1464">
        <f>IF(A1464="","",IF(D1464="Category Pending","Needs categorization",IF(COUNTIFS($A$2:A1464,A1464,$B$2:B1464,B1464,$E$2:E1464,E1464)&gt;1,"Possible duplicate","")))</f>
      </c>
    </row>
    <row r="1465" spans="3:14" x14ac:dyDescent="0.3">
      <c r="A1465"/>
      <c r="C1465" s="16"/>
      <c r="G1465" s="5">
        <f>IF(A1465="","","Checking")</f>
      </c>
      <c r="H1465">
        <f>IF(A1465="","",IFERROR(XLOOKUP(D1465,Setup!$E$15:$E$79,Setup!$F$15:$F$79),"Miscellaneous"))</f>
      </c>
      <c r="I1465">
        <f>IF(A1465="","",IFERROR(XLOOKUP(D1465,Setup!$E$15:$E$79,Setup!$G$15:$G$79),"Uncategorized"))</f>
      </c>
      <c r="J1465">
        <f>IF(A1465="","",IF(OR(H1465="Transfers",H1465="Income",D1465="Transfer",D1465="Category Pending",F1465="Pending"),"No","Yes"))</f>
      </c>
      <c r="K1465" s="4">
        <f>IF(A1465="","",TEXT(IF(DAY(A1465)&gt;=Setup!$B$9,DATE(YEAR(A1465),MONTH(A1465)+1,1),DATE(YEAR(A1465),MONTH(A1465),1)),"mmmm yyyy"))</f>
      </c>
      <c r="L1465" s="47">
        <f>IF(A1465="",0,IF(AND(J1465="Yes",E1465&lt;0),-E1465,0))</f>
      </c>
      <c r="M1465" s="47">
        <f>IF(A1465="",0,IF(AND(J1465="Yes",E1465&gt;0),E1465,0))</f>
      </c>
      <c r="N1465">
        <f>IF(A1465="","",IF(D1465="Category Pending","Needs categorization",IF(COUNTIFS($A$2:A1465,A1465,$B$2:B1465,B1465,$E$2:E1465,E1465)&gt;1,"Possible duplicate","")))</f>
      </c>
    </row>
    <row r="1466" spans="3:14" x14ac:dyDescent="0.3">
      <c r="A1466"/>
      <c r="C1466" s="16"/>
      <c r="G1466" s="5">
        <f>IF(A1466="","","Checking")</f>
      </c>
      <c r="H1466">
        <f>IF(A1466="","",IFERROR(XLOOKUP(D1466,Setup!$E$15:$E$79,Setup!$F$15:$F$79),"Miscellaneous"))</f>
      </c>
      <c r="I1466">
        <f>IF(A1466="","",IFERROR(XLOOKUP(D1466,Setup!$E$15:$E$79,Setup!$G$15:$G$79),"Uncategorized"))</f>
      </c>
      <c r="J1466">
        <f>IF(A1466="","",IF(OR(H1466="Transfers",H1466="Income",D1466="Transfer",D1466="Category Pending",F1466="Pending"),"No","Yes"))</f>
      </c>
      <c r="K1466" s="4">
        <f>IF(A1466="","",TEXT(IF(DAY(A1466)&gt;=Setup!$B$9,DATE(YEAR(A1466),MONTH(A1466)+1,1),DATE(YEAR(A1466),MONTH(A1466),1)),"mmmm yyyy"))</f>
      </c>
      <c r="L1466" s="47">
        <f>IF(A1466="",0,IF(AND(J1466="Yes",E1466&lt;0),-E1466,0))</f>
      </c>
      <c r="M1466" s="47">
        <f>IF(A1466="",0,IF(AND(J1466="Yes",E1466&gt;0),E1466,0))</f>
      </c>
      <c r="N1466">
        <f>IF(A1466="","",IF(D1466="Category Pending","Needs categorization",IF(COUNTIFS($A$2:A1466,A1466,$B$2:B1466,B1466,$E$2:E1466,E1466)&gt;1,"Possible duplicate","")))</f>
      </c>
    </row>
    <row r="1467" spans="3:14" x14ac:dyDescent="0.3">
      <c r="A1467"/>
      <c r="C1467" s="16"/>
      <c r="G1467" s="5">
        <f>IF(A1467="","","Checking")</f>
      </c>
      <c r="H1467">
        <f>IF(A1467="","",IFERROR(XLOOKUP(D1467,Setup!$E$15:$E$79,Setup!$F$15:$F$79),"Miscellaneous"))</f>
      </c>
      <c r="I1467">
        <f>IF(A1467="","",IFERROR(XLOOKUP(D1467,Setup!$E$15:$E$79,Setup!$G$15:$G$79),"Uncategorized"))</f>
      </c>
      <c r="J1467">
        <f>IF(A1467="","",IF(OR(H1467="Transfers",H1467="Income",D1467="Transfer",D1467="Category Pending",F1467="Pending"),"No","Yes"))</f>
      </c>
      <c r="K1467" s="4">
        <f>IF(A1467="","",TEXT(IF(DAY(A1467)&gt;=Setup!$B$9,DATE(YEAR(A1467),MONTH(A1467)+1,1),DATE(YEAR(A1467),MONTH(A1467),1)),"mmmm yyyy"))</f>
      </c>
      <c r="L1467" s="47">
        <f>IF(A1467="",0,IF(AND(J1467="Yes",E1467&lt;0),-E1467,0))</f>
      </c>
      <c r="M1467" s="47">
        <f>IF(A1467="",0,IF(AND(J1467="Yes",E1467&gt;0),E1467,0))</f>
      </c>
      <c r="N1467">
        <f>IF(A1467="","",IF(D1467="Category Pending","Needs categorization",IF(COUNTIFS($A$2:A1467,A1467,$B$2:B1467,B1467,$E$2:E1467,E1467)&gt;1,"Possible duplicate","")))</f>
      </c>
    </row>
    <row r="1468" spans="3:14" x14ac:dyDescent="0.3">
      <c r="A1468"/>
      <c r="C1468" s="16"/>
      <c r="G1468" s="5">
        <f>IF(A1468="","","Checking")</f>
      </c>
      <c r="H1468">
        <f>IF(A1468="","",IFERROR(XLOOKUP(D1468,Setup!$E$15:$E$79,Setup!$F$15:$F$79),"Miscellaneous"))</f>
      </c>
      <c r="I1468">
        <f>IF(A1468="","",IFERROR(XLOOKUP(D1468,Setup!$E$15:$E$79,Setup!$G$15:$G$79),"Uncategorized"))</f>
      </c>
      <c r="J1468">
        <f>IF(A1468="","",IF(OR(H1468="Transfers",H1468="Income",D1468="Transfer",D1468="Category Pending",F1468="Pending"),"No","Yes"))</f>
      </c>
      <c r="K1468" s="4">
        <f>IF(A1468="","",TEXT(IF(DAY(A1468)&gt;=Setup!$B$9,DATE(YEAR(A1468),MONTH(A1468)+1,1),DATE(YEAR(A1468),MONTH(A1468),1)),"mmmm yyyy"))</f>
      </c>
      <c r="L1468" s="47">
        <f>IF(A1468="",0,IF(AND(J1468="Yes",E1468&lt;0),-E1468,0))</f>
      </c>
      <c r="M1468" s="47">
        <f>IF(A1468="",0,IF(AND(J1468="Yes",E1468&gt;0),E1468,0))</f>
      </c>
      <c r="N1468">
        <f>IF(A1468="","",IF(D1468="Category Pending","Needs categorization",IF(COUNTIFS($A$2:A1468,A1468,$B$2:B1468,B1468,$E$2:E1468,E1468)&gt;1,"Possible duplicate","")))</f>
      </c>
    </row>
    <row r="1469" spans="3:14" x14ac:dyDescent="0.3">
      <c r="A1469"/>
      <c r="C1469" s="16"/>
      <c r="G1469" s="5">
        <f>IF(A1469="","","Checking")</f>
      </c>
      <c r="H1469">
        <f>IF(A1469="","",IFERROR(XLOOKUP(D1469,Setup!$E$15:$E$79,Setup!$F$15:$F$79),"Miscellaneous"))</f>
      </c>
      <c r="I1469">
        <f>IF(A1469="","",IFERROR(XLOOKUP(D1469,Setup!$E$15:$E$79,Setup!$G$15:$G$79),"Uncategorized"))</f>
      </c>
      <c r="J1469">
        <f>IF(A1469="","",IF(OR(H1469="Transfers",H1469="Income",D1469="Transfer",D1469="Category Pending",F1469="Pending"),"No","Yes"))</f>
      </c>
      <c r="K1469" s="4">
        <f>IF(A1469="","",TEXT(IF(DAY(A1469)&gt;=Setup!$B$9,DATE(YEAR(A1469),MONTH(A1469)+1,1),DATE(YEAR(A1469),MONTH(A1469),1)),"mmmm yyyy"))</f>
      </c>
      <c r="L1469" s="47">
        <f>IF(A1469="",0,IF(AND(J1469="Yes",E1469&lt;0),-E1469,0))</f>
      </c>
      <c r="M1469" s="47">
        <f>IF(A1469="",0,IF(AND(J1469="Yes",E1469&gt;0),E1469,0))</f>
      </c>
      <c r="N1469">
        <f>IF(A1469="","",IF(D1469="Category Pending","Needs categorization",IF(COUNTIFS($A$2:A1469,A1469,$B$2:B1469,B1469,$E$2:E1469,E1469)&gt;1,"Possible duplicate","")))</f>
      </c>
    </row>
    <row r="1470" spans="3:14" x14ac:dyDescent="0.3">
      <c r="A1470"/>
      <c r="C1470" s="16"/>
      <c r="G1470" s="5">
        <f>IF(A1470="","","Checking")</f>
      </c>
      <c r="H1470">
        <f>IF(A1470="","",IFERROR(XLOOKUP(D1470,Setup!$E$15:$E$79,Setup!$F$15:$F$79),"Miscellaneous"))</f>
      </c>
      <c r="I1470">
        <f>IF(A1470="","",IFERROR(XLOOKUP(D1470,Setup!$E$15:$E$79,Setup!$G$15:$G$79),"Uncategorized"))</f>
      </c>
      <c r="J1470">
        <f>IF(A1470="","",IF(OR(H1470="Transfers",H1470="Income",D1470="Transfer",D1470="Category Pending",F1470="Pending"),"No","Yes"))</f>
      </c>
      <c r="K1470" s="4">
        <f>IF(A1470="","",TEXT(IF(DAY(A1470)&gt;=Setup!$B$9,DATE(YEAR(A1470),MONTH(A1470)+1,1),DATE(YEAR(A1470),MONTH(A1470),1)),"mmmm yyyy"))</f>
      </c>
      <c r="L1470" s="47">
        <f>IF(A1470="",0,IF(AND(J1470="Yes",E1470&lt;0),-E1470,0))</f>
      </c>
      <c r="M1470" s="47">
        <f>IF(A1470="",0,IF(AND(J1470="Yes",E1470&gt;0),E1470,0))</f>
      </c>
      <c r="N1470">
        <f>IF(A1470="","",IF(D1470="Category Pending","Needs categorization",IF(COUNTIFS($A$2:A1470,A1470,$B$2:B1470,B1470,$E$2:E1470,E1470)&gt;1,"Possible duplicate","")))</f>
      </c>
    </row>
    <row r="1471" spans="3:14" x14ac:dyDescent="0.3">
      <c r="A1471"/>
      <c r="C1471" s="16"/>
      <c r="G1471" s="5">
        <f>IF(A1471="","","Checking")</f>
      </c>
      <c r="H1471">
        <f>IF(A1471="","",IFERROR(XLOOKUP(D1471,Setup!$E$15:$E$79,Setup!$F$15:$F$79),"Miscellaneous"))</f>
      </c>
      <c r="I1471">
        <f>IF(A1471="","",IFERROR(XLOOKUP(D1471,Setup!$E$15:$E$79,Setup!$G$15:$G$79),"Uncategorized"))</f>
      </c>
      <c r="J1471">
        <f>IF(A1471="","",IF(OR(H1471="Transfers",H1471="Income",D1471="Transfer",D1471="Category Pending",F1471="Pending"),"No","Yes"))</f>
      </c>
      <c r="K1471" s="4">
        <f>IF(A1471="","",TEXT(IF(DAY(A1471)&gt;=Setup!$B$9,DATE(YEAR(A1471),MONTH(A1471)+1,1),DATE(YEAR(A1471),MONTH(A1471),1)),"mmmm yyyy"))</f>
      </c>
      <c r="L1471" s="47">
        <f>IF(A1471="",0,IF(AND(J1471="Yes",E1471&lt;0),-E1471,0))</f>
      </c>
      <c r="M1471" s="47">
        <f>IF(A1471="",0,IF(AND(J1471="Yes",E1471&gt;0),E1471,0))</f>
      </c>
      <c r="N1471">
        <f>IF(A1471="","",IF(D1471="Category Pending","Needs categorization",IF(COUNTIFS($A$2:A1471,A1471,$B$2:B1471,B1471,$E$2:E1471,E1471)&gt;1,"Possible duplicate","")))</f>
      </c>
    </row>
    <row r="1472" spans="3:14" x14ac:dyDescent="0.3">
      <c r="A1472"/>
      <c r="C1472" s="16"/>
      <c r="G1472" s="5">
        <f>IF(A1472="","","Checking")</f>
      </c>
      <c r="H1472">
        <f>IF(A1472="","",IFERROR(XLOOKUP(D1472,Setup!$E$15:$E$79,Setup!$F$15:$F$79),"Miscellaneous"))</f>
      </c>
      <c r="I1472">
        <f>IF(A1472="","",IFERROR(XLOOKUP(D1472,Setup!$E$15:$E$79,Setup!$G$15:$G$79),"Uncategorized"))</f>
      </c>
      <c r="J1472">
        <f>IF(A1472="","",IF(OR(H1472="Transfers",H1472="Income",D1472="Transfer",D1472="Category Pending",F1472="Pending"),"No","Yes"))</f>
      </c>
      <c r="K1472" s="4">
        <f>IF(A1472="","",TEXT(IF(DAY(A1472)&gt;=Setup!$B$9,DATE(YEAR(A1472),MONTH(A1472)+1,1),DATE(YEAR(A1472),MONTH(A1472),1)),"mmmm yyyy"))</f>
      </c>
      <c r="L1472" s="47">
        <f>IF(A1472="",0,IF(AND(J1472="Yes",E1472&lt;0),-E1472,0))</f>
      </c>
      <c r="M1472" s="47">
        <f>IF(A1472="",0,IF(AND(J1472="Yes",E1472&gt;0),E1472,0))</f>
      </c>
      <c r="N1472">
        <f>IF(A1472="","",IF(D1472="Category Pending","Needs categorization",IF(COUNTIFS($A$2:A1472,A1472,$B$2:B1472,B1472,$E$2:E1472,E1472)&gt;1,"Possible duplicate","")))</f>
      </c>
    </row>
    <row r="1473" spans="3:14" x14ac:dyDescent="0.3">
      <c r="A1473"/>
      <c r="C1473" s="16"/>
      <c r="G1473" s="5">
        <f>IF(A1473="","","Checking")</f>
      </c>
      <c r="H1473">
        <f>IF(A1473="","",IFERROR(XLOOKUP(D1473,Setup!$E$15:$E$79,Setup!$F$15:$F$79),"Miscellaneous"))</f>
      </c>
      <c r="I1473">
        <f>IF(A1473="","",IFERROR(XLOOKUP(D1473,Setup!$E$15:$E$79,Setup!$G$15:$G$79),"Uncategorized"))</f>
      </c>
      <c r="J1473">
        <f>IF(A1473="","",IF(OR(H1473="Transfers",H1473="Income",D1473="Transfer",D1473="Category Pending",F1473="Pending"),"No","Yes"))</f>
      </c>
      <c r="K1473" s="4">
        <f>IF(A1473="","",TEXT(IF(DAY(A1473)&gt;=Setup!$B$9,DATE(YEAR(A1473),MONTH(A1473)+1,1),DATE(YEAR(A1473),MONTH(A1473),1)),"mmmm yyyy"))</f>
      </c>
      <c r="L1473" s="47">
        <f>IF(A1473="",0,IF(AND(J1473="Yes",E1473&lt;0),-E1473,0))</f>
      </c>
      <c r="M1473" s="47">
        <f>IF(A1473="",0,IF(AND(J1473="Yes",E1473&gt;0),E1473,0))</f>
      </c>
      <c r="N1473">
        <f>IF(A1473="","",IF(D1473="Category Pending","Needs categorization",IF(COUNTIFS($A$2:A1473,A1473,$B$2:B1473,B1473,$E$2:E1473,E1473)&gt;1,"Possible duplicate","")))</f>
      </c>
    </row>
    <row r="1474" spans="3:14" x14ac:dyDescent="0.3">
      <c r="A1474"/>
      <c r="C1474" s="16"/>
      <c r="G1474" s="5">
        <f>IF(A1474="","","Checking")</f>
      </c>
      <c r="H1474">
        <f>IF(A1474="","",IFERROR(XLOOKUP(D1474,Setup!$E$15:$E$79,Setup!$F$15:$F$79),"Miscellaneous"))</f>
      </c>
      <c r="I1474">
        <f>IF(A1474="","",IFERROR(XLOOKUP(D1474,Setup!$E$15:$E$79,Setup!$G$15:$G$79),"Uncategorized"))</f>
      </c>
      <c r="J1474">
        <f>IF(A1474="","",IF(OR(H1474="Transfers",H1474="Income",D1474="Transfer",D1474="Category Pending",F1474="Pending"),"No","Yes"))</f>
      </c>
      <c r="K1474" s="4">
        <f>IF(A1474="","",TEXT(IF(DAY(A1474)&gt;=Setup!$B$9,DATE(YEAR(A1474),MONTH(A1474)+1,1),DATE(YEAR(A1474),MONTH(A1474),1)),"mmmm yyyy"))</f>
      </c>
      <c r="L1474" s="47">
        <f>IF(A1474="",0,IF(AND(J1474="Yes",E1474&lt;0),-E1474,0))</f>
      </c>
      <c r="M1474" s="47">
        <f>IF(A1474="",0,IF(AND(J1474="Yes",E1474&gt;0),E1474,0))</f>
      </c>
      <c r="N1474">
        <f>IF(A1474="","",IF(D1474="Category Pending","Needs categorization",IF(COUNTIFS($A$2:A1474,A1474,$B$2:B1474,B1474,$E$2:E1474,E1474)&gt;1,"Possible duplicate","")))</f>
      </c>
    </row>
    <row r="1475" spans="3:14" x14ac:dyDescent="0.3">
      <c r="A1475"/>
      <c r="C1475" s="16"/>
      <c r="G1475" s="5">
        <f>IF(A1475="","","Checking")</f>
      </c>
      <c r="H1475">
        <f>IF(A1475="","",IFERROR(XLOOKUP(D1475,Setup!$E$15:$E$79,Setup!$F$15:$F$79),"Miscellaneous"))</f>
      </c>
      <c r="I1475">
        <f>IF(A1475="","",IFERROR(XLOOKUP(D1475,Setup!$E$15:$E$79,Setup!$G$15:$G$79),"Uncategorized"))</f>
      </c>
      <c r="J1475">
        <f>IF(A1475="","",IF(OR(H1475="Transfers",H1475="Income",D1475="Transfer",D1475="Category Pending",F1475="Pending"),"No","Yes"))</f>
      </c>
      <c r="K1475" s="4">
        <f>IF(A1475="","",TEXT(IF(DAY(A1475)&gt;=Setup!$B$9,DATE(YEAR(A1475),MONTH(A1475)+1,1),DATE(YEAR(A1475),MONTH(A1475),1)),"mmmm yyyy"))</f>
      </c>
      <c r="L1475" s="47">
        <f>IF(A1475="",0,IF(AND(J1475="Yes",E1475&lt;0),-E1475,0))</f>
      </c>
      <c r="M1475" s="47">
        <f>IF(A1475="",0,IF(AND(J1475="Yes",E1475&gt;0),E1475,0))</f>
      </c>
      <c r="N1475">
        <f>IF(A1475="","",IF(D1475="Category Pending","Needs categorization",IF(COUNTIFS($A$2:A1475,A1475,$B$2:B1475,B1475,$E$2:E1475,E1475)&gt;1,"Possible duplicate","")))</f>
      </c>
    </row>
    <row r="1476" spans="3:14" x14ac:dyDescent="0.3">
      <c r="A1476"/>
      <c r="C1476" s="16"/>
      <c r="G1476" s="5">
        <f>IF(A1476="","","Checking")</f>
      </c>
      <c r="H1476">
        <f>IF(A1476="","",IFERROR(XLOOKUP(D1476,Setup!$E$15:$E$79,Setup!$F$15:$F$79),"Miscellaneous"))</f>
      </c>
      <c r="I1476">
        <f>IF(A1476="","",IFERROR(XLOOKUP(D1476,Setup!$E$15:$E$79,Setup!$G$15:$G$79),"Uncategorized"))</f>
      </c>
      <c r="J1476">
        <f>IF(A1476="","",IF(OR(H1476="Transfers",H1476="Income",D1476="Transfer",D1476="Category Pending",F1476="Pending"),"No","Yes"))</f>
      </c>
      <c r="K1476" s="4">
        <f>IF(A1476="","",TEXT(IF(DAY(A1476)&gt;=Setup!$B$9,DATE(YEAR(A1476),MONTH(A1476)+1,1),DATE(YEAR(A1476),MONTH(A1476),1)),"mmmm yyyy"))</f>
      </c>
      <c r="L1476" s="47">
        <f>IF(A1476="",0,IF(AND(J1476="Yes",E1476&lt;0),-E1476,0))</f>
      </c>
      <c r="M1476" s="47">
        <f>IF(A1476="",0,IF(AND(J1476="Yes",E1476&gt;0),E1476,0))</f>
      </c>
      <c r="N1476">
        <f>IF(A1476="","",IF(D1476="Category Pending","Needs categorization",IF(COUNTIFS($A$2:A1476,A1476,$B$2:B1476,B1476,$E$2:E1476,E1476)&gt;1,"Possible duplicate","")))</f>
      </c>
    </row>
    <row r="1477" spans="3:14" x14ac:dyDescent="0.3">
      <c r="A1477"/>
      <c r="C1477" s="16"/>
      <c r="G1477" s="5">
        <f>IF(A1477="","","Checking")</f>
      </c>
      <c r="H1477">
        <f>IF(A1477="","",IFERROR(XLOOKUP(D1477,Setup!$E$15:$E$79,Setup!$F$15:$F$79),"Miscellaneous"))</f>
      </c>
      <c r="I1477">
        <f>IF(A1477="","",IFERROR(XLOOKUP(D1477,Setup!$E$15:$E$79,Setup!$G$15:$G$79),"Uncategorized"))</f>
      </c>
      <c r="J1477">
        <f>IF(A1477="","",IF(OR(H1477="Transfers",H1477="Income",D1477="Transfer",D1477="Category Pending",F1477="Pending"),"No","Yes"))</f>
      </c>
      <c r="K1477" s="4">
        <f>IF(A1477="","",TEXT(IF(DAY(A1477)&gt;=Setup!$B$9,DATE(YEAR(A1477),MONTH(A1477)+1,1),DATE(YEAR(A1477),MONTH(A1477),1)),"mmmm yyyy"))</f>
      </c>
      <c r="L1477" s="47">
        <f>IF(A1477="",0,IF(AND(J1477="Yes",E1477&lt;0),-E1477,0))</f>
      </c>
      <c r="M1477" s="47">
        <f>IF(A1477="",0,IF(AND(J1477="Yes",E1477&gt;0),E1477,0))</f>
      </c>
      <c r="N1477">
        <f>IF(A1477="","",IF(D1477="Category Pending","Needs categorization",IF(COUNTIFS($A$2:A1477,A1477,$B$2:B1477,B1477,$E$2:E1477,E1477)&gt;1,"Possible duplicate","")))</f>
      </c>
    </row>
    <row r="1478" spans="3:14" x14ac:dyDescent="0.3">
      <c r="A1478"/>
      <c r="C1478" s="16"/>
      <c r="G1478" s="5">
        <f>IF(A1478="","","Checking")</f>
      </c>
      <c r="H1478">
        <f>IF(A1478="","",IFERROR(XLOOKUP(D1478,Setup!$E$15:$E$79,Setup!$F$15:$F$79),"Miscellaneous"))</f>
      </c>
      <c r="I1478">
        <f>IF(A1478="","",IFERROR(XLOOKUP(D1478,Setup!$E$15:$E$79,Setup!$G$15:$G$79),"Uncategorized"))</f>
      </c>
      <c r="J1478">
        <f>IF(A1478="","",IF(OR(H1478="Transfers",H1478="Income",D1478="Transfer",D1478="Category Pending",F1478="Pending"),"No","Yes"))</f>
      </c>
      <c r="K1478" s="4">
        <f>IF(A1478="","",TEXT(IF(DAY(A1478)&gt;=Setup!$B$9,DATE(YEAR(A1478),MONTH(A1478)+1,1),DATE(YEAR(A1478),MONTH(A1478),1)),"mmmm yyyy"))</f>
      </c>
      <c r="L1478" s="47">
        <f>IF(A1478="",0,IF(AND(J1478="Yes",E1478&lt;0),-E1478,0))</f>
      </c>
      <c r="M1478" s="47">
        <f>IF(A1478="",0,IF(AND(J1478="Yes",E1478&gt;0),E1478,0))</f>
      </c>
      <c r="N1478">
        <f>IF(A1478="","",IF(D1478="Category Pending","Needs categorization",IF(COUNTIFS($A$2:A1478,A1478,$B$2:B1478,B1478,$E$2:E1478,E1478)&gt;1,"Possible duplicate","")))</f>
      </c>
    </row>
    <row r="1479" spans="3:14" x14ac:dyDescent="0.3">
      <c r="A1479"/>
      <c r="C1479" s="16"/>
      <c r="G1479" s="5">
        <f>IF(A1479="","","Checking")</f>
      </c>
      <c r="H1479">
        <f>IF(A1479="","",IFERROR(XLOOKUP(D1479,Setup!$E$15:$E$79,Setup!$F$15:$F$79),"Miscellaneous"))</f>
      </c>
      <c r="I1479">
        <f>IF(A1479="","",IFERROR(XLOOKUP(D1479,Setup!$E$15:$E$79,Setup!$G$15:$G$79),"Uncategorized"))</f>
      </c>
      <c r="J1479">
        <f>IF(A1479="","",IF(OR(H1479="Transfers",H1479="Income",D1479="Transfer",D1479="Category Pending",F1479="Pending"),"No","Yes"))</f>
      </c>
      <c r="K1479" s="4">
        <f>IF(A1479="","",TEXT(IF(DAY(A1479)&gt;=Setup!$B$9,DATE(YEAR(A1479),MONTH(A1479)+1,1),DATE(YEAR(A1479),MONTH(A1479),1)),"mmmm yyyy"))</f>
      </c>
      <c r="L1479" s="47">
        <f>IF(A1479="",0,IF(AND(J1479="Yes",E1479&lt;0),-E1479,0))</f>
      </c>
      <c r="M1479" s="47">
        <f>IF(A1479="",0,IF(AND(J1479="Yes",E1479&gt;0),E1479,0))</f>
      </c>
      <c r="N1479">
        <f>IF(A1479="","",IF(D1479="Category Pending","Needs categorization",IF(COUNTIFS($A$2:A1479,A1479,$B$2:B1479,B1479,$E$2:E1479,E1479)&gt;1,"Possible duplicate","")))</f>
      </c>
    </row>
    <row r="1480" spans="3:14" x14ac:dyDescent="0.3">
      <c r="A1480"/>
      <c r="C1480" s="16"/>
      <c r="G1480" s="5">
        <f>IF(A1480="","","Checking")</f>
      </c>
      <c r="H1480">
        <f>IF(A1480="","",IFERROR(XLOOKUP(D1480,Setup!$E$15:$E$79,Setup!$F$15:$F$79),"Miscellaneous"))</f>
      </c>
      <c r="I1480">
        <f>IF(A1480="","",IFERROR(XLOOKUP(D1480,Setup!$E$15:$E$79,Setup!$G$15:$G$79),"Uncategorized"))</f>
      </c>
      <c r="J1480">
        <f>IF(A1480="","",IF(OR(H1480="Transfers",H1480="Income",D1480="Transfer",D1480="Category Pending",F1480="Pending"),"No","Yes"))</f>
      </c>
      <c r="K1480" s="4">
        <f>IF(A1480="","",TEXT(IF(DAY(A1480)&gt;=Setup!$B$9,DATE(YEAR(A1480),MONTH(A1480)+1,1),DATE(YEAR(A1480),MONTH(A1480),1)),"mmmm yyyy"))</f>
      </c>
      <c r="L1480" s="47">
        <f>IF(A1480="",0,IF(AND(J1480="Yes",E1480&lt;0),-E1480,0))</f>
      </c>
      <c r="M1480" s="47">
        <f>IF(A1480="",0,IF(AND(J1480="Yes",E1480&gt;0),E1480,0))</f>
      </c>
      <c r="N1480">
        <f>IF(A1480="","",IF(D1480="Category Pending","Needs categorization",IF(COUNTIFS($A$2:A1480,A1480,$B$2:B1480,B1480,$E$2:E1480,E1480)&gt;1,"Possible duplicate","")))</f>
      </c>
    </row>
    <row r="1481" spans="3:14" x14ac:dyDescent="0.3">
      <c r="A1481"/>
      <c r="C1481" s="16"/>
      <c r="G1481" s="5">
        <f>IF(A1481="","","Checking")</f>
      </c>
      <c r="H1481">
        <f>IF(A1481="","",IFERROR(XLOOKUP(D1481,Setup!$E$15:$E$79,Setup!$F$15:$F$79),"Miscellaneous"))</f>
      </c>
      <c r="I1481">
        <f>IF(A1481="","",IFERROR(XLOOKUP(D1481,Setup!$E$15:$E$79,Setup!$G$15:$G$79),"Uncategorized"))</f>
      </c>
      <c r="J1481">
        <f>IF(A1481="","",IF(OR(H1481="Transfers",H1481="Income",D1481="Transfer",D1481="Category Pending",F1481="Pending"),"No","Yes"))</f>
      </c>
      <c r="K1481" s="4">
        <f>IF(A1481="","",TEXT(IF(DAY(A1481)&gt;=Setup!$B$9,DATE(YEAR(A1481),MONTH(A1481)+1,1),DATE(YEAR(A1481),MONTH(A1481),1)),"mmmm yyyy"))</f>
      </c>
      <c r="L1481" s="47">
        <f>IF(A1481="",0,IF(AND(J1481="Yes",E1481&lt;0),-E1481,0))</f>
      </c>
      <c r="M1481" s="47">
        <f>IF(A1481="",0,IF(AND(J1481="Yes",E1481&gt;0),E1481,0))</f>
      </c>
      <c r="N1481">
        <f>IF(A1481="","",IF(D1481="Category Pending","Needs categorization",IF(COUNTIFS($A$2:A1481,A1481,$B$2:B1481,B1481,$E$2:E1481,E1481)&gt;1,"Possible duplicate","")))</f>
      </c>
    </row>
    <row r="1482" spans="3:14" x14ac:dyDescent="0.3">
      <c r="A1482"/>
      <c r="C1482" s="16"/>
      <c r="G1482" s="5">
        <f>IF(A1482="","","Checking")</f>
      </c>
      <c r="H1482">
        <f>IF(A1482="","",IFERROR(XLOOKUP(D1482,Setup!$E$15:$E$79,Setup!$F$15:$F$79),"Miscellaneous"))</f>
      </c>
      <c r="I1482">
        <f>IF(A1482="","",IFERROR(XLOOKUP(D1482,Setup!$E$15:$E$79,Setup!$G$15:$G$79),"Uncategorized"))</f>
      </c>
      <c r="J1482">
        <f>IF(A1482="","",IF(OR(H1482="Transfers",H1482="Income",D1482="Transfer",D1482="Category Pending",F1482="Pending"),"No","Yes"))</f>
      </c>
      <c r="K1482" s="4">
        <f>IF(A1482="","",TEXT(IF(DAY(A1482)&gt;=Setup!$B$9,DATE(YEAR(A1482),MONTH(A1482)+1,1),DATE(YEAR(A1482),MONTH(A1482),1)),"mmmm yyyy"))</f>
      </c>
      <c r="L1482" s="47">
        <f>IF(A1482="",0,IF(AND(J1482="Yes",E1482&lt;0),-E1482,0))</f>
      </c>
      <c r="M1482" s="47">
        <f>IF(A1482="",0,IF(AND(J1482="Yes",E1482&gt;0),E1482,0))</f>
      </c>
      <c r="N1482">
        <f>IF(A1482="","",IF(D1482="Category Pending","Needs categorization",IF(COUNTIFS($A$2:A1482,A1482,$B$2:B1482,B1482,$E$2:E1482,E1482)&gt;1,"Possible duplicate","")))</f>
      </c>
    </row>
    <row r="1483" spans="3:14" x14ac:dyDescent="0.3">
      <c r="A1483"/>
      <c r="C1483" s="16"/>
      <c r="G1483" s="5">
        <f>IF(A1483="","","Checking")</f>
      </c>
      <c r="H1483">
        <f>IF(A1483="","",IFERROR(XLOOKUP(D1483,Setup!$E$15:$E$79,Setup!$F$15:$F$79),"Miscellaneous"))</f>
      </c>
      <c r="I1483">
        <f>IF(A1483="","",IFERROR(XLOOKUP(D1483,Setup!$E$15:$E$79,Setup!$G$15:$G$79),"Uncategorized"))</f>
      </c>
      <c r="J1483">
        <f>IF(A1483="","",IF(OR(H1483="Transfers",H1483="Income",D1483="Transfer",D1483="Category Pending",F1483="Pending"),"No","Yes"))</f>
      </c>
      <c r="K1483" s="4">
        <f>IF(A1483="","",TEXT(IF(DAY(A1483)&gt;=Setup!$B$9,DATE(YEAR(A1483),MONTH(A1483)+1,1),DATE(YEAR(A1483),MONTH(A1483),1)),"mmmm yyyy"))</f>
      </c>
      <c r="L1483" s="47">
        <f>IF(A1483="",0,IF(AND(J1483="Yes",E1483&lt;0),-E1483,0))</f>
      </c>
      <c r="M1483" s="47">
        <f>IF(A1483="",0,IF(AND(J1483="Yes",E1483&gt;0),E1483,0))</f>
      </c>
      <c r="N1483">
        <f>IF(A1483="","",IF(D1483="Category Pending","Needs categorization",IF(COUNTIFS($A$2:A1483,A1483,$B$2:B1483,B1483,$E$2:E1483,E1483)&gt;1,"Possible duplicate","")))</f>
      </c>
    </row>
    <row r="1484" spans="3:14" x14ac:dyDescent="0.3">
      <c r="A1484"/>
      <c r="C1484" s="16"/>
      <c r="G1484" s="5">
        <f>IF(A1484="","","Checking")</f>
      </c>
      <c r="H1484">
        <f>IF(A1484="","",IFERROR(XLOOKUP(D1484,Setup!$E$15:$E$79,Setup!$F$15:$F$79),"Miscellaneous"))</f>
      </c>
      <c r="I1484">
        <f>IF(A1484="","",IFERROR(XLOOKUP(D1484,Setup!$E$15:$E$79,Setup!$G$15:$G$79),"Uncategorized"))</f>
      </c>
      <c r="J1484">
        <f>IF(A1484="","",IF(OR(H1484="Transfers",H1484="Income",D1484="Transfer",D1484="Category Pending",F1484="Pending"),"No","Yes"))</f>
      </c>
      <c r="K1484" s="4">
        <f>IF(A1484="","",TEXT(IF(DAY(A1484)&gt;=Setup!$B$9,DATE(YEAR(A1484),MONTH(A1484)+1,1),DATE(YEAR(A1484),MONTH(A1484),1)),"mmmm yyyy"))</f>
      </c>
      <c r="L1484" s="47">
        <f>IF(A1484="",0,IF(AND(J1484="Yes",E1484&lt;0),-E1484,0))</f>
      </c>
      <c r="M1484" s="47">
        <f>IF(A1484="",0,IF(AND(J1484="Yes",E1484&gt;0),E1484,0))</f>
      </c>
      <c r="N1484">
        <f>IF(A1484="","",IF(D1484="Category Pending","Needs categorization",IF(COUNTIFS($A$2:A1484,A1484,$B$2:B1484,B1484,$E$2:E1484,E1484)&gt;1,"Possible duplicate","")))</f>
      </c>
    </row>
    <row r="1485" spans="3:14" x14ac:dyDescent="0.3">
      <c r="A1485"/>
      <c r="C1485" s="16"/>
      <c r="G1485" s="5">
        <f>IF(A1485="","","Checking")</f>
      </c>
      <c r="H1485">
        <f>IF(A1485="","",IFERROR(XLOOKUP(D1485,Setup!$E$15:$E$79,Setup!$F$15:$F$79),"Miscellaneous"))</f>
      </c>
      <c r="I1485">
        <f>IF(A1485="","",IFERROR(XLOOKUP(D1485,Setup!$E$15:$E$79,Setup!$G$15:$G$79),"Uncategorized"))</f>
      </c>
      <c r="J1485">
        <f>IF(A1485="","",IF(OR(H1485="Transfers",H1485="Income",D1485="Transfer",D1485="Category Pending",F1485="Pending"),"No","Yes"))</f>
      </c>
      <c r="K1485" s="4">
        <f>IF(A1485="","",TEXT(IF(DAY(A1485)&gt;=Setup!$B$9,DATE(YEAR(A1485),MONTH(A1485)+1,1),DATE(YEAR(A1485),MONTH(A1485),1)),"mmmm yyyy"))</f>
      </c>
      <c r="L1485" s="47">
        <f>IF(A1485="",0,IF(AND(J1485="Yes",E1485&lt;0),-E1485,0))</f>
      </c>
      <c r="M1485" s="47">
        <f>IF(A1485="",0,IF(AND(J1485="Yes",E1485&gt;0),E1485,0))</f>
      </c>
      <c r="N1485">
        <f>IF(A1485="","",IF(D1485="Category Pending","Needs categorization",IF(COUNTIFS($A$2:A1485,A1485,$B$2:B1485,B1485,$E$2:E1485,E1485)&gt;1,"Possible duplicate","")))</f>
      </c>
    </row>
    <row r="1486" spans="3:14" x14ac:dyDescent="0.3">
      <c r="A1486"/>
      <c r="C1486" s="16"/>
      <c r="G1486" s="5">
        <f>IF(A1486="","","Checking")</f>
      </c>
      <c r="H1486">
        <f>IF(A1486="","",IFERROR(XLOOKUP(D1486,Setup!$E$15:$E$79,Setup!$F$15:$F$79),"Miscellaneous"))</f>
      </c>
      <c r="I1486">
        <f>IF(A1486="","",IFERROR(XLOOKUP(D1486,Setup!$E$15:$E$79,Setup!$G$15:$G$79),"Uncategorized"))</f>
      </c>
      <c r="J1486">
        <f>IF(A1486="","",IF(OR(H1486="Transfers",H1486="Income",D1486="Transfer",D1486="Category Pending",F1486="Pending"),"No","Yes"))</f>
      </c>
      <c r="K1486" s="4">
        <f>IF(A1486="","",TEXT(IF(DAY(A1486)&gt;=Setup!$B$9,DATE(YEAR(A1486),MONTH(A1486)+1,1),DATE(YEAR(A1486),MONTH(A1486),1)),"mmmm yyyy"))</f>
      </c>
      <c r="L1486" s="47">
        <f>IF(A1486="",0,IF(AND(J1486="Yes",E1486&lt;0),-E1486,0))</f>
      </c>
      <c r="M1486" s="47">
        <f>IF(A1486="",0,IF(AND(J1486="Yes",E1486&gt;0),E1486,0))</f>
      </c>
      <c r="N1486">
        <f>IF(A1486="","",IF(D1486="Category Pending","Needs categorization",IF(COUNTIFS($A$2:A1486,A1486,$B$2:B1486,B1486,$E$2:E1486,E1486)&gt;1,"Possible duplicate","")))</f>
      </c>
    </row>
    <row r="1487" spans="3:14" x14ac:dyDescent="0.3">
      <c r="A1487"/>
      <c r="C1487" s="16"/>
      <c r="G1487" s="5">
        <f>IF(A1487="","","Checking")</f>
      </c>
      <c r="H1487">
        <f>IF(A1487="","",IFERROR(XLOOKUP(D1487,Setup!$E$15:$E$79,Setup!$F$15:$F$79),"Miscellaneous"))</f>
      </c>
      <c r="I1487">
        <f>IF(A1487="","",IFERROR(XLOOKUP(D1487,Setup!$E$15:$E$79,Setup!$G$15:$G$79),"Uncategorized"))</f>
      </c>
      <c r="J1487">
        <f>IF(A1487="","",IF(OR(H1487="Transfers",H1487="Income",D1487="Transfer",D1487="Category Pending",F1487="Pending"),"No","Yes"))</f>
      </c>
      <c r="K1487" s="4">
        <f>IF(A1487="","",TEXT(IF(DAY(A1487)&gt;=Setup!$B$9,DATE(YEAR(A1487),MONTH(A1487)+1,1),DATE(YEAR(A1487),MONTH(A1487),1)),"mmmm yyyy"))</f>
      </c>
      <c r="L1487" s="47">
        <f>IF(A1487="",0,IF(AND(J1487="Yes",E1487&lt;0),-E1487,0))</f>
      </c>
      <c r="M1487" s="47">
        <f>IF(A1487="",0,IF(AND(J1487="Yes",E1487&gt;0),E1487,0))</f>
      </c>
      <c r="N1487">
        <f>IF(A1487="","",IF(D1487="Category Pending","Needs categorization",IF(COUNTIFS($A$2:A1487,A1487,$B$2:B1487,B1487,$E$2:E1487,E1487)&gt;1,"Possible duplicate","")))</f>
      </c>
    </row>
    <row r="1488" spans="3:14" x14ac:dyDescent="0.3">
      <c r="A1488"/>
      <c r="C1488" s="16"/>
      <c r="G1488" s="5">
        <f>IF(A1488="","","Checking")</f>
      </c>
      <c r="H1488">
        <f>IF(A1488="","",IFERROR(XLOOKUP(D1488,Setup!$E$15:$E$79,Setup!$F$15:$F$79),"Miscellaneous"))</f>
      </c>
      <c r="I1488">
        <f>IF(A1488="","",IFERROR(XLOOKUP(D1488,Setup!$E$15:$E$79,Setup!$G$15:$G$79),"Uncategorized"))</f>
      </c>
      <c r="J1488">
        <f>IF(A1488="","",IF(OR(H1488="Transfers",H1488="Income",D1488="Transfer",D1488="Category Pending",F1488="Pending"),"No","Yes"))</f>
      </c>
      <c r="K1488" s="4">
        <f>IF(A1488="","",TEXT(IF(DAY(A1488)&gt;=Setup!$B$9,DATE(YEAR(A1488),MONTH(A1488)+1,1),DATE(YEAR(A1488),MONTH(A1488),1)),"mmmm yyyy"))</f>
      </c>
      <c r="L1488" s="47">
        <f>IF(A1488="",0,IF(AND(J1488="Yes",E1488&lt;0),-E1488,0))</f>
      </c>
      <c r="M1488" s="47">
        <f>IF(A1488="",0,IF(AND(J1488="Yes",E1488&gt;0),E1488,0))</f>
      </c>
      <c r="N1488">
        <f>IF(A1488="","",IF(D1488="Category Pending","Needs categorization",IF(COUNTIFS($A$2:A1488,A1488,$B$2:B1488,B1488,$E$2:E1488,E1488)&gt;1,"Possible duplicate","")))</f>
      </c>
    </row>
    <row r="1489" spans="3:14" x14ac:dyDescent="0.3">
      <c r="A1489"/>
      <c r="C1489" s="16"/>
      <c r="G1489" s="5">
        <f>IF(A1489="","","Checking")</f>
      </c>
      <c r="H1489">
        <f>IF(A1489="","",IFERROR(XLOOKUP(D1489,Setup!$E$15:$E$79,Setup!$F$15:$F$79),"Miscellaneous"))</f>
      </c>
      <c r="I1489">
        <f>IF(A1489="","",IFERROR(XLOOKUP(D1489,Setup!$E$15:$E$79,Setup!$G$15:$G$79),"Uncategorized"))</f>
      </c>
      <c r="J1489">
        <f>IF(A1489="","",IF(OR(H1489="Transfers",H1489="Income",D1489="Transfer",D1489="Category Pending",F1489="Pending"),"No","Yes"))</f>
      </c>
      <c r="K1489" s="4">
        <f>IF(A1489="","",TEXT(IF(DAY(A1489)&gt;=Setup!$B$9,DATE(YEAR(A1489),MONTH(A1489)+1,1),DATE(YEAR(A1489),MONTH(A1489),1)),"mmmm yyyy"))</f>
      </c>
      <c r="L1489" s="47">
        <f>IF(A1489="",0,IF(AND(J1489="Yes",E1489&lt;0),-E1489,0))</f>
      </c>
      <c r="M1489" s="47">
        <f>IF(A1489="",0,IF(AND(J1489="Yes",E1489&gt;0),E1489,0))</f>
      </c>
      <c r="N1489">
        <f>IF(A1489="","",IF(D1489="Category Pending","Needs categorization",IF(COUNTIFS($A$2:A1489,A1489,$B$2:B1489,B1489,$E$2:E1489,E1489)&gt;1,"Possible duplicate","")))</f>
      </c>
    </row>
    <row r="1490" spans="3:14" x14ac:dyDescent="0.3">
      <c r="A1490"/>
      <c r="C1490" s="16"/>
      <c r="G1490" s="5">
        <f>IF(A1490="","","Checking")</f>
      </c>
      <c r="H1490">
        <f>IF(A1490="","",IFERROR(XLOOKUP(D1490,Setup!$E$15:$E$79,Setup!$F$15:$F$79),"Miscellaneous"))</f>
      </c>
      <c r="I1490">
        <f>IF(A1490="","",IFERROR(XLOOKUP(D1490,Setup!$E$15:$E$79,Setup!$G$15:$G$79),"Uncategorized"))</f>
      </c>
      <c r="J1490">
        <f>IF(A1490="","",IF(OR(H1490="Transfers",H1490="Income",D1490="Transfer",D1490="Category Pending",F1490="Pending"),"No","Yes"))</f>
      </c>
      <c r="K1490" s="4">
        <f>IF(A1490="","",TEXT(IF(DAY(A1490)&gt;=Setup!$B$9,DATE(YEAR(A1490),MONTH(A1490)+1,1),DATE(YEAR(A1490),MONTH(A1490),1)),"mmmm yyyy"))</f>
      </c>
      <c r="L1490" s="47">
        <f>IF(A1490="",0,IF(AND(J1490="Yes",E1490&lt;0),-E1490,0))</f>
      </c>
      <c r="M1490" s="47">
        <f>IF(A1490="",0,IF(AND(J1490="Yes",E1490&gt;0),E1490,0))</f>
      </c>
      <c r="N1490">
        <f>IF(A1490="","",IF(D1490="Category Pending","Needs categorization",IF(COUNTIFS($A$2:A1490,A1490,$B$2:B1490,B1490,$E$2:E1490,E1490)&gt;1,"Possible duplicate","")))</f>
      </c>
    </row>
    <row r="1491" spans="3:14" x14ac:dyDescent="0.3">
      <c r="A1491"/>
      <c r="C1491" s="16"/>
      <c r="G1491" s="5">
        <f>IF(A1491="","","Checking")</f>
      </c>
      <c r="H1491">
        <f>IF(A1491="","",IFERROR(XLOOKUP(D1491,Setup!$E$15:$E$79,Setup!$F$15:$F$79),"Miscellaneous"))</f>
      </c>
      <c r="I1491">
        <f>IF(A1491="","",IFERROR(XLOOKUP(D1491,Setup!$E$15:$E$79,Setup!$G$15:$G$79),"Uncategorized"))</f>
      </c>
      <c r="J1491">
        <f>IF(A1491="","",IF(OR(H1491="Transfers",H1491="Income",D1491="Transfer",D1491="Category Pending",F1491="Pending"),"No","Yes"))</f>
      </c>
      <c r="K1491" s="4">
        <f>IF(A1491="","",TEXT(IF(DAY(A1491)&gt;=Setup!$B$9,DATE(YEAR(A1491),MONTH(A1491)+1,1),DATE(YEAR(A1491),MONTH(A1491),1)),"mmmm yyyy"))</f>
      </c>
      <c r="L1491" s="47">
        <f>IF(A1491="",0,IF(AND(J1491="Yes",E1491&lt;0),-E1491,0))</f>
      </c>
      <c r="M1491" s="47">
        <f>IF(A1491="",0,IF(AND(J1491="Yes",E1491&gt;0),E1491,0))</f>
      </c>
      <c r="N1491">
        <f>IF(A1491="","",IF(D1491="Category Pending","Needs categorization",IF(COUNTIFS($A$2:A1491,A1491,$B$2:B1491,B1491,$E$2:E1491,E1491)&gt;1,"Possible duplicate","")))</f>
      </c>
    </row>
    <row r="1492" spans="3:14" x14ac:dyDescent="0.3">
      <c r="A1492"/>
      <c r="C1492" s="16"/>
      <c r="G1492" s="5">
        <f>IF(A1492="","","Checking")</f>
      </c>
      <c r="H1492">
        <f>IF(A1492="","",IFERROR(XLOOKUP(D1492,Setup!$E$15:$E$79,Setup!$F$15:$F$79),"Miscellaneous"))</f>
      </c>
      <c r="I1492">
        <f>IF(A1492="","",IFERROR(XLOOKUP(D1492,Setup!$E$15:$E$79,Setup!$G$15:$G$79),"Uncategorized"))</f>
      </c>
      <c r="J1492">
        <f>IF(A1492="","",IF(OR(H1492="Transfers",H1492="Income",D1492="Transfer",D1492="Category Pending",F1492="Pending"),"No","Yes"))</f>
      </c>
      <c r="K1492" s="4">
        <f>IF(A1492="","",TEXT(IF(DAY(A1492)&gt;=Setup!$B$9,DATE(YEAR(A1492),MONTH(A1492)+1,1),DATE(YEAR(A1492),MONTH(A1492),1)),"mmmm yyyy"))</f>
      </c>
      <c r="L1492" s="47">
        <f>IF(A1492="",0,IF(AND(J1492="Yes",E1492&lt;0),-E1492,0))</f>
      </c>
      <c r="M1492" s="47">
        <f>IF(A1492="",0,IF(AND(J1492="Yes",E1492&gt;0),E1492,0))</f>
      </c>
      <c r="N1492">
        <f>IF(A1492="","",IF(D1492="Category Pending","Needs categorization",IF(COUNTIFS($A$2:A1492,A1492,$B$2:B1492,B1492,$E$2:E1492,E1492)&gt;1,"Possible duplicate","")))</f>
      </c>
    </row>
    <row r="1493" spans="3:14" x14ac:dyDescent="0.3">
      <c r="A1493"/>
      <c r="C1493" s="16"/>
      <c r="G1493" s="5">
        <f>IF(A1493="","","Checking")</f>
      </c>
      <c r="H1493">
        <f>IF(A1493="","",IFERROR(XLOOKUP(D1493,Setup!$E$15:$E$79,Setup!$F$15:$F$79),"Miscellaneous"))</f>
      </c>
      <c r="I1493">
        <f>IF(A1493="","",IFERROR(XLOOKUP(D1493,Setup!$E$15:$E$79,Setup!$G$15:$G$79),"Uncategorized"))</f>
      </c>
      <c r="J1493">
        <f>IF(A1493="","",IF(OR(H1493="Transfers",H1493="Income",D1493="Transfer",D1493="Category Pending",F1493="Pending"),"No","Yes"))</f>
      </c>
      <c r="K1493" s="4">
        <f>IF(A1493="","",TEXT(IF(DAY(A1493)&gt;=Setup!$B$9,DATE(YEAR(A1493),MONTH(A1493)+1,1),DATE(YEAR(A1493),MONTH(A1493),1)),"mmmm yyyy"))</f>
      </c>
      <c r="L1493" s="47">
        <f>IF(A1493="",0,IF(AND(J1493="Yes",E1493&lt;0),-E1493,0))</f>
      </c>
      <c r="M1493" s="47">
        <f>IF(A1493="",0,IF(AND(J1493="Yes",E1493&gt;0),E1493,0))</f>
      </c>
      <c r="N1493">
        <f>IF(A1493="","",IF(D1493="Category Pending","Needs categorization",IF(COUNTIFS($A$2:A1493,A1493,$B$2:B1493,B1493,$E$2:E1493,E1493)&gt;1,"Possible duplicate","")))</f>
      </c>
    </row>
    <row r="1494" spans="3:14" x14ac:dyDescent="0.3">
      <c r="A1494"/>
      <c r="C1494" s="16"/>
      <c r="G1494" s="5">
        <f>IF(A1494="","","Checking")</f>
      </c>
      <c r="H1494">
        <f>IF(A1494="","",IFERROR(XLOOKUP(D1494,Setup!$E$15:$E$79,Setup!$F$15:$F$79),"Miscellaneous"))</f>
      </c>
      <c r="I1494">
        <f>IF(A1494="","",IFERROR(XLOOKUP(D1494,Setup!$E$15:$E$79,Setup!$G$15:$G$79),"Uncategorized"))</f>
      </c>
      <c r="J1494">
        <f>IF(A1494="","",IF(OR(H1494="Transfers",H1494="Income",D1494="Transfer",D1494="Category Pending",F1494="Pending"),"No","Yes"))</f>
      </c>
      <c r="K1494" s="4">
        <f>IF(A1494="","",TEXT(IF(DAY(A1494)&gt;=Setup!$B$9,DATE(YEAR(A1494),MONTH(A1494)+1,1),DATE(YEAR(A1494),MONTH(A1494),1)),"mmmm yyyy"))</f>
      </c>
      <c r="L1494" s="47">
        <f>IF(A1494="",0,IF(AND(J1494="Yes",E1494&lt;0),-E1494,0))</f>
      </c>
      <c r="M1494" s="47">
        <f>IF(A1494="",0,IF(AND(J1494="Yes",E1494&gt;0),E1494,0))</f>
      </c>
      <c r="N1494">
        <f>IF(A1494="","",IF(D1494="Category Pending","Needs categorization",IF(COUNTIFS($A$2:A1494,A1494,$B$2:B1494,B1494,$E$2:E1494,E1494)&gt;1,"Possible duplicate","")))</f>
      </c>
    </row>
    <row r="1495" spans="3:14" x14ac:dyDescent="0.3">
      <c r="A1495"/>
      <c r="C1495" s="16"/>
      <c r="G1495" s="5">
        <f>IF(A1495="","","Checking")</f>
      </c>
      <c r="H1495">
        <f>IF(A1495="","",IFERROR(XLOOKUP(D1495,Setup!$E$15:$E$79,Setup!$F$15:$F$79),"Miscellaneous"))</f>
      </c>
      <c r="I1495">
        <f>IF(A1495="","",IFERROR(XLOOKUP(D1495,Setup!$E$15:$E$79,Setup!$G$15:$G$79),"Uncategorized"))</f>
      </c>
      <c r="J1495">
        <f>IF(A1495="","",IF(OR(H1495="Transfers",H1495="Income",D1495="Transfer",D1495="Category Pending",F1495="Pending"),"No","Yes"))</f>
      </c>
      <c r="K1495" s="4">
        <f>IF(A1495="","",TEXT(IF(DAY(A1495)&gt;=Setup!$B$9,DATE(YEAR(A1495),MONTH(A1495)+1,1),DATE(YEAR(A1495),MONTH(A1495),1)),"mmmm yyyy"))</f>
      </c>
      <c r="L1495" s="47">
        <f>IF(A1495="",0,IF(AND(J1495="Yes",E1495&lt;0),-E1495,0))</f>
      </c>
      <c r="M1495" s="47">
        <f>IF(A1495="",0,IF(AND(J1495="Yes",E1495&gt;0),E1495,0))</f>
      </c>
      <c r="N1495">
        <f>IF(A1495="","",IF(D1495="Category Pending","Needs categorization",IF(COUNTIFS($A$2:A1495,A1495,$B$2:B1495,B1495,$E$2:E1495,E1495)&gt;1,"Possible duplicate","")))</f>
      </c>
    </row>
    <row r="1496" spans="3:14" x14ac:dyDescent="0.3">
      <c r="A1496"/>
      <c r="C1496" s="16"/>
      <c r="G1496" s="5">
        <f>IF(A1496="","","Checking")</f>
      </c>
      <c r="H1496">
        <f>IF(A1496="","",IFERROR(XLOOKUP(D1496,Setup!$E$15:$E$79,Setup!$F$15:$F$79),"Miscellaneous"))</f>
      </c>
      <c r="I1496">
        <f>IF(A1496="","",IFERROR(XLOOKUP(D1496,Setup!$E$15:$E$79,Setup!$G$15:$G$79),"Uncategorized"))</f>
      </c>
      <c r="J1496">
        <f>IF(A1496="","",IF(OR(H1496="Transfers",H1496="Income",D1496="Transfer",D1496="Category Pending",F1496="Pending"),"No","Yes"))</f>
      </c>
      <c r="K1496" s="4">
        <f>IF(A1496="","",TEXT(IF(DAY(A1496)&gt;=Setup!$B$9,DATE(YEAR(A1496),MONTH(A1496)+1,1),DATE(YEAR(A1496),MONTH(A1496),1)),"mmmm yyyy"))</f>
      </c>
      <c r="L1496" s="47">
        <f>IF(A1496="",0,IF(AND(J1496="Yes",E1496&lt;0),-E1496,0))</f>
      </c>
      <c r="M1496" s="47">
        <f>IF(A1496="",0,IF(AND(J1496="Yes",E1496&gt;0),E1496,0))</f>
      </c>
      <c r="N1496">
        <f>IF(A1496="","",IF(D1496="Category Pending","Needs categorization",IF(COUNTIFS($A$2:A1496,A1496,$B$2:B1496,B1496,$E$2:E1496,E1496)&gt;1,"Possible duplicate","")))</f>
      </c>
    </row>
    <row r="1497" spans="3:14" x14ac:dyDescent="0.3">
      <c r="A1497"/>
      <c r="C1497" s="16"/>
      <c r="G1497" s="5">
        <f>IF(A1497="","","Checking")</f>
      </c>
      <c r="H1497">
        <f>IF(A1497="","",IFERROR(XLOOKUP(D1497,Setup!$E$15:$E$79,Setup!$F$15:$F$79),"Miscellaneous"))</f>
      </c>
      <c r="I1497">
        <f>IF(A1497="","",IFERROR(XLOOKUP(D1497,Setup!$E$15:$E$79,Setup!$G$15:$G$79),"Uncategorized"))</f>
      </c>
      <c r="J1497">
        <f>IF(A1497="","",IF(OR(H1497="Transfers",H1497="Income",D1497="Transfer",D1497="Category Pending",F1497="Pending"),"No","Yes"))</f>
      </c>
      <c r="K1497" s="4">
        <f>IF(A1497="","",TEXT(IF(DAY(A1497)&gt;=Setup!$B$9,DATE(YEAR(A1497),MONTH(A1497)+1,1),DATE(YEAR(A1497),MONTH(A1497),1)),"mmmm yyyy"))</f>
      </c>
      <c r="L1497" s="47">
        <f>IF(A1497="",0,IF(AND(J1497="Yes",E1497&lt;0),-E1497,0))</f>
      </c>
      <c r="M1497" s="47">
        <f>IF(A1497="",0,IF(AND(J1497="Yes",E1497&gt;0),E1497,0))</f>
      </c>
      <c r="N1497">
        <f>IF(A1497="","",IF(D1497="Category Pending","Needs categorization",IF(COUNTIFS($A$2:A1497,A1497,$B$2:B1497,B1497,$E$2:E1497,E1497)&gt;1,"Possible duplicate","")))</f>
      </c>
    </row>
    <row r="1498" spans="3:14" x14ac:dyDescent="0.3">
      <c r="A1498"/>
      <c r="C1498" s="16"/>
      <c r="G1498" s="5">
        <f>IF(A1498="","","Checking")</f>
      </c>
      <c r="H1498">
        <f>IF(A1498="","",IFERROR(XLOOKUP(D1498,Setup!$E$15:$E$79,Setup!$F$15:$F$79),"Miscellaneous"))</f>
      </c>
      <c r="I1498">
        <f>IF(A1498="","",IFERROR(XLOOKUP(D1498,Setup!$E$15:$E$79,Setup!$G$15:$G$79),"Uncategorized"))</f>
      </c>
      <c r="J1498">
        <f>IF(A1498="","",IF(OR(H1498="Transfers",H1498="Income",D1498="Transfer",D1498="Category Pending",F1498="Pending"),"No","Yes"))</f>
      </c>
      <c r="K1498" s="4">
        <f>IF(A1498="","",TEXT(IF(DAY(A1498)&gt;=Setup!$B$9,DATE(YEAR(A1498),MONTH(A1498)+1,1),DATE(YEAR(A1498),MONTH(A1498),1)),"mmmm yyyy"))</f>
      </c>
      <c r="L1498" s="47">
        <f>IF(A1498="",0,IF(AND(J1498="Yes",E1498&lt;0),-E1498,0))</f>
      </c>
      <c r="M1498" s="47">
        <f>IF(A1498="",0,IF(AND(J1498="Yes",E1498&gt;0),E1498,0))</f>
      </c>
      <c r="N1498">
        <f>IF(A1498="","",IF(D1498="Category Pending","Needs categorization",IF(COUNTIFS($A$2:A1498,A1498,$B$2:B1498,B1498,$E$2:E1498,E1498)&gt;1,"Possible duplicate","")))</f>
      </c>
    </row>
    <row r="1499" spans="3:14" x14ac:dyDescent="0.3">
      <c r="A1499"/>
      <c r="C1499" s="16"/>
      <c r="G1499" s="5">
        <f>IF(A1499="","","Checking")</f>
      </c>
      <c r="H1499">
        <f>IF(A1499="","",IFERROR(XLOOKUP(D1499,Setup!$E$15:$E$79,Setup!$F$15:$F$79),"Miscellaneous"))</f>
      </c>
      <c r="I1499">
        <f>IF(A1499="","",IFERROR(XLOOKUP(D1499,Setup!$E$15:$E$79,Setup!$G$15:$G$79),"Uncategorized"))</f>
      </c>
      <c r="J1499">
        <f>IF(A1499="","",IF(OR(H1499="Transfers",H1499="Income",D1499="Transfer",D1499="Category Pending",F1499="Pending"),"No","Yes"))</f>
      </c>
      <c r="K1499" s="4">
        <f>IF(A1499="","",TEXT(IF(DAY(A1499)&gt;=Setup!$B$9,DATE(YEAR(A1499),MONTH(A1499)+1,1),DATE(YEAR(A1499),MONTH(A1499),1)),"mmmm yyyy"))</f>
      </c>
      <c r="L1499" s="47">
        <f>IF(A1499="",0,IF(AND(J1499="Yes",E1499&lt;0),-E1499,0))</f>
      </c>
      <c r="M1499" s="47">
        <f>IF(A1499="",0,IF(AND(J1499="Yes",E1499&gt;0),E1499,0))</f>
      </c>
      <c r="N1499">
        <f>IF(A1499="","",IF(D1499="Category Pending","Needs categorization",IF(COUNTIFS($A$2:A1499,A1499,$B$2:B1499,B1499,$E$2:E1499,E1499)&gt;1,"Possible duplicate","")))</f>
      </c>
    </row>
    <row r="1500" spans="3:14" x14ac:dyDescent="0.3">
      <c r="A1500"/>
      <c r="C1500" s="16"/>
      <c r="G1500" s="5">
        <f>IF(A1500="","","Checking")</f>
      </c>
      <c r="H1500">
        <f>IF(A1500="","",IFERROR(XLOOKUP(D1500,Setup!$E$15:$E$79,Setup!$F$15:$F$79),"Miscellaneous"))</f>
      </c>
      <c r="I1500">
        <f>IF(A1500="","",IFERROR(XLOOKUP(D1500,Setup!$E$15:$E$79,Setup!$G$15:$G$79),"Uncategorized"))</f>
      </c>
      <c r="J1500">
        <f>IF(A1500="","",IF(OR(H1500="Transfers",H1500="Income",D1500="Transfer",D1500="Category Pending",F1500="Pending"),"No","Yes"))</f>
      </c>
      <c r="K1500" s="4">
        <f>IF(A1500="","",TEXT(IF(DAY(A1500)&gt;=Setup!$B$9,DATE(YEAR(A1500),MONTH(A1500)+1,1),DATE(YEAR(A1500),MONTH(A1500),1)),"mmmm yyyy"))</f>
      </c>
      <c r="L1500" s="47">
        <f>IF(A1500="",0,IF(AND(J1500="Yes",E1500&lt;0),-E1500,0))</f>
      </c>
      <c r="M1500" s="47">
        <f>IF(A1500="",0,IF(AND(J1500="Yes",E1500&gt;0),E1500,0))</f>
      </c>
      <c r="N1500">
        <f>IF(A1500="","",IF(D1500="Category Pending","Needs categorization",IF(COUNTIFS($A$2:A1500,A1500,$B$2:B1500,B1500,$E$2:E1500,E1500)&gt;1,"Possible duplicate","")))</f>
      </c>
    </row>
    <row r="1501" spans="3:14" x14ac:dyDescent="0.3">
      <c r="A1501"/>
      <c r="C1501" s="16"/>
      <c r="G1501" s="5">
        <f>IF(A1501="","","Checking")</f>
      </c>
      <c r="H1501">
        <f>IF(A1501="","",IFERROR(XLOOKUP(D1501,Setup!$E$15:$E$79,Setup!$F$15:$F$79),"Miscellaneous"))</f>
      </c>
      <c r="I1501">
        <f>IF(A1501="","",IFERROR(XLOOKUP(D1501,Setup!$E$15:$E$79,Setup!$G$15:$G$79),"Uncategorized"))</f>
      </c>
      <c r="J1501">
        <f>IF(A1501="","",IF(OR(H1501="Transfers",H1501="Income",D1501="Transfer",D1501="Category Pending",F1501="Pending"),"No","Yes"))</f>
      </c>
      <c r="K1501" s="4">
        <f>IF(A1501="","",TEXT(IF(DAY(A1501)&gt;=Setup!$B$9,DATE(YEAR(A1501),MONTH(A1501)+1,1),DATE(YEAR(A1501),MONTH(A1501),1)),"mmmm yyyy"))</f>
      </c>
      <c r="L1501" s="47">
        <f>IF(A1501="",0,IF(AND(J1501="Yes",E1501&lt;0),-E1501,0))</f>
      </c>
      <c r="M1501" s="47">
        <f>IF(A1501="",0,IF(AND(J1501="Yes",E1501&gt;0),E1501,0))</f>
      </c>
      <c r="N1501">
        <f>IF(A1501="","",IF(D1501="Category Pending","Needs categorization",IF(COUNTIFS($A$2:A1501,A1501,$B$2:B1501,B1501,$E$2:E1501,E1501)&gt;1,"Possible duplicate","")))</f>
      </c>
    </row>
    <row r="1502" spans="3:14" x14ac:dyDescent="0.3">
      <c r="A1502"/>
      <c r="C1502" s="16"/>
      <c r="G1502" s="5">
        <f>IF(A1502="","","Checking")</f>
      </c>
      <c r="H1502">
        <f>IF(A1502="","",IFERROR(XLOOKUP(D1502,Setup!$E$15:$E$79,Setup!$F$15:$F$79),"Miscellaneous"))</f>
      </c>
      <c r="I1502">
        <f>IF(A1502="","",IFERROR(XLOOKUP(D1502,Setup!$E$15:$E$79,Setup!$G$15:$G$79),"Uncategorized"))</f>
      </c>
      <c r="J1502">
        <f>IF(A1502="","",IF(OR(H1502="Transfers",H1502="Income",D1502="Transfer",D1502="Category Pending",F1502="Pending"),"No","Yes"))</f>
      </c>
      <c r="K1502" s="4">
        <f>IF(A1502="","",TEXT(IF(DAY(A1502)&gt;=Setup!$B$9,DATE(YEAR(A1502),MONTH(A1502)+1,1),DATE(YEAR(A1502),MONTH(A1502),1)),"mmmm yyyy"))</f>
      </c>
      <c r="L1502" s="47">
        <f>IF(A1502="",0,IF(AND(J1502="Yes",E1502&lt;0),-E1502,0))</f>
      </c>
      <c r="M1502" s="47">
        <f>IF(A1502="",0,IF(AND(J1502="Yes",E1502&gt;0),E1502,0))</f>
      </c>
      <c r="N1502">
        <f>IF(A1502="","",IF(D1502="Category Pending","Needs categorization",IF(COUNTIFS($A$2:A1502,A1502,$B$2:B1502,B1502,$E$2:E1502,E1502)&gt;1,"Possible duplicate","")))</f>
      </c>
    </row>
    <row r="1503" spans="3:14" x14ac:dyDescent="0.3">
      <c r="A1503"/>
      <c r="C1503" s="16"/>
      <c r="G1503" s="5">
        <f>IF(A1503="","","Checking")</f>
      </c>
      <c r="H1503">
        <f>IF(A1503="","",IFERROR(XLOOKUP(D1503,Setup!$E$15:$E$79,Setup!$F$15:$F$79),"Miscellaneous"))</f>
      </c>
      <c r="I1503">
        <f>IF(A1503="","",IFERROR(XLOOKUP(D1503,Setup!$E$15:$E$79,Setup!$G$15:$G$79),"Uncategorized"))</f>
      </c>
      <c r="J1503">
        <f>IF(A1503="","",IF(OR(H1503="Transfers",H1503="Income",D1503="Transfer",D1503="Category Pending",F1503="Pending"),"No","Yes"))</f>
      </c>
      <c r="K1503" s="4">
        <f>IF(A1503="","",TEXT(IF(DAY(A1503)&gt;=Setup!$B$9,DATE(YEAR(A1503),MONTH(A1503)+1,1),DATE(YEAR(A1503),MONTH(A1503),1)),"mmmm yyyy"))</f>
      </c>
      <c r="L1503" s="47">
        <f>IF(A1503="",0,IF(AND(J1503="Yes",E1503&lt;0),-E1503,0))</f>
      </c>
      <c r="M1503" s="47">
        <f>IF(A1503="",0,IF(AND(J1503="Yes",E1503&gt;0),E1503,0))</f>
      </c>
      <c r="N1503">
        <f>IF(A1503="","",IF(D1503="Category Pending","Needs categorization",IF(COUNTIFS($A$2:A1503,A1503,$B$2:B1503,B1503,$E$2:E1503,E1503)&gt;1,"Possible duplicate","")))</f>
      </c>
    </row>
    <row r="1504" spans="3:14" x14ac:dyDescent="0.3">
      <c r="A1504"/>
      <c r="C1504" s="16"/>
      <c r="G1504" s="5">
        <f>IF(A1504="","","Checking")</f>
      </c>
      <c r="H1504">
        <f>IF(A1504="","",IFERROR(XLOOKUP(D1504,Setup!$E$15:$E$79,Setup!$F$15:$F$79),"Miscellaneous"))</f>
      </c>
      <c r="I1504">
        <f>IF(A1504="","",IFERROR(XLOOKUP(D1504,Setup!$E$15:$E$79,Setup!$G$15:$G$79),"Uncategorized"))</f>
      </c>
      <c r="J1504">
        <f>IF(A1504="","",IF(OR(H1504="Transfers",H1504="Income",D1504="Transfer",D1504="Category Pending",F1504="Pending"),"No","Yes"))</f>
      </c>
      <c r="K1504" s="4">
        <f>IF(A1504="","",TEXT(IF(DAY(A1504)&gt;=Setup!$B$9,DATE(YEAR(A1504),MONTH(A1504)+1,1),DATE(YEAR(A1504),MONTH(A1504),1)),"mmmm yyyy"))</f>
      </c>
      <c r="L1504" s="47">
        <f>IF(A1504="",0,IF(AND(J1504="Yes",E1504&lt;0),-E1504,0))</f>
      </c>
      <c r="M1504" s="47">
        <f>IF(A1504="",0,IF(AND(J1504="Yes",E1504&gt;0),E1504,0))</f>
      </c>
      <c r="N1504">
        <f>IF(A1504="","",IF(D1504="Category Pending","Needs categorization",IF(COUNTIFS($A$2:A1504,A1504,$B$2:B1504,B1504,$E$2:E1504,E1504)&gt;1,"Possible duplicate","")))</f>
      </c>
    </row>
    <row r="1505" spans="3:14" x14ac:dyDescent="0.3">
      <c r="A1505"/>
      <c r="C1505" s="16"/>
      <c r="G1505" s="5">
        <f>IF(A1505="","","Checking")</f>
      </c>
      <c r="H1505">
        <f>IF(A1505="","",IFERROR(XLOOKUP(D1505,Setup!$E$15:$E$79,Setup!$F$15:$F$79),"Miscellaneous"))</f>
      </c>
      <c r="I1505">
        <f>IF(A1505="","",IFERROR(XLOOKUP(D1505,Setup!$E$15:$E$79,Setup!$G$15:$G$79),"Uncategorized"))</f>
      </c>
      <c r="J1505">
        <f>IF(A1505="","",IF(OR(H1505="Transfers",H1505="Income",D1505="Transfer",D1505="Category Pending",F1505="Pending"),"No","Yes"))</f>
      </c>
      <c r="K1505" s="4">
        <f>IF(A1505="","",TEXT(IF(DAY(A1505)&gt;=Setup!$B$9,DATE(YEAR(A1505),MONTH(A1505)+1,1),DATE(YEAR(A1505),MONTH(A1505),1)),"mmmm yyyy"))</f>
      </c>
      <c r="L1505" s="47">
        <f>IF(A1505="",0,IF(AND(J1505="Yes",E1505&lt;0),-E1505,0))</f>
      </c>
      <c r="M1505" s="47">
        <f>IF(A1505="",0,IF(AND(J1505="Yes",E1505&gt;0),E1505,0))</f>
      </c>
      <c r="N1505">
        <f>IF(A1505="","",IF(D1505="Category Pending","Needs categorization",IF(COUNTIFS($A$2:A1505,A1505,$B$2:B1505,B1505,$E$2:E1505,E1505)&gt;1,"Possible duplicate","")))</f>
      </c>
    </row>
    <row r="1506" spans="3:14" x14ac:dyDescent="0.3">
      <c r="A1506"/>
      <c r="C1506" s="16"/>
      <c r="G1506" s="5">
        <f>IF(A1506="","","Checking")</f>
      </c>
      <c r="H1506">
        <f>IF(A1506="","",IFERROR(XLOOKUP(D1506,Setup!$E$15:$E$79,Setup!$F$15:$F$79),"Miscellaneous"))</f>
      </c>
      <c r="I1506">
        <f>IF(A1506="","",IFERROR(XLOOKUP(D1506,Setup!$E$15:$E$79,Setup!$G$15:$G$79),"Uncategorized"))</f>
      </c>
      <c r="J1506">
        <f>IF(A1506="","",IF(OR(H1506="Transfers",H1506="Income",D1506="Transfer",D1506="Category Pending",F1506="Pending"),"No","Yes"))</f>
      </c>
      <c r="K1506" s="4">
        <f>IF(A1506="","",TEXT(IF(DAY(A1506)&gt;=Setup!$B$9,DATE(YEAR(A1506),MONTH(A1506)+1,1),DATE(YEAR(A1506),MONTH(A1506),1)),"mmmm yyyy"))</f>
      </c>
      <c r="L1506" s="47">
        <f>IF(A1506="",0,IF(AND(J1506="Yes",E1506&lt;0),-E1506,0))</f>
      </c>
      <c r="M1506" s="47">
        <f>IF(A1506="",0,IF(AND(J1506="Yes",E1506&gt;0),E1506,0))</f>
      </c>
      <c r="N1506">
        <f>IF(A1506="","",IF(D1506="Category Pending","Needs categorization",IF(COUNTIFS($A$2:A1506,A1506,$B$2:B1506,B1506,$E$2:E1506,E1506)&gt;1,"Possible duplicate","")))</f>
      </c>
    </row>
    <row r="1507" spans="3:14" x14ac:dyDescent="0.3">
      <c r="A1507"/>
      <c r="C1507" s="16"/>
      <c r="G1507" s="5">
        <f>IF(A1507="","","Checking")</f>
      </c>
      <c r="H1507">
        <f>IF(A1507="","",IFERROR(XLOOKUP(D1507,Setup!$E$15:$E$79,Setup!$F$15:$F$79),"Miscellaneous"))</f>
      </c>
      <c r="I1507">
        <f>IF(A1507="","",IFERROR(XLOOKUP(D1507,Setup!$E$15:$E$79,Setup!$G$15:$G$79),"Uncategorized"))</f>
      </c>
      <c r="J1507">
        <f>IF(A1507="","",IF(OR(H1507="Transfers",H1507="Income",D1507="Transfer",D1507="Category Pending",F1507="Pending"),"No","Yes"))</f>
      </c>
      <c r="K1507" s="4">
        <f>IF(A1507="","",TEXT(IF(DAY(A1507)&gt;=Setup!$B$9,DATE(YEAR(A1507),MONTH(A1507)+1,1),DATE(YEAR(A1507),MONTH(A1507),1)),"mmmm yyyy"))</f>
      </c>
      <c r="L1507" s="47">
        <f>IF(A1507="",0,IF(AND(J1507="Yes",E1507&lt;0),-E1507,0))</f>
      </c>
      <c r="M1507" s="47">
        <f>IF(A1507="",0,IF(AND(J1507="Yes",E1507&gt;0),E1507,0))</f>
      </c>
      <c r="N1507">
        <f>IF(A1507="","",IF(D1507="Category Pending","Needs categorization",IF(COUNTIFS($A$2:A1507,A1507,$B$2:B1507,B1507,$E$2:E1507,E1507)&gt;1,"Possible duplicate","")))</f>
      </c>
    </row>
    <row r="1508" spans="3:14" x14ac:dyDescent="0.3">
      <c r="A1508"/>
      <c r="C1508" s="16"/>
      <c r="G1508" s="5">
        <f>IF(A1508="","","Checking")</f>
      </c>
      <c r="H1508">
        <f>IF(A1508="","",IFERROR(XLOOKUP(D1508,Setup!$E$15:$E$79,Setup!$F$15:$F$79),"Miscellaneous"))</f>
      </c>
      <c r="I1508">
        <f>IF(A1508="","",IFERROR(XLOOKUP(D1508,Setup!$E$15:$E$79,Setup!$G$15:$G$79),"Uncategorized"))</f>
      </c>
      <c r="J1508">
        <f>IF(A1508="","",IF(OR(H1508="Transfers",H1508="Income",D1508="Transfer",D1508="Category Pending",F1508="Pending"),"No","Yes"))</f>
      </c>
      <c r="K1508" s="4">
        <f>IF(A1508="","",TEXT(IF(DAY(A1508)&gt;=Setup!$B$9,DATE(YEAR(A1508),MONTH(A1508)+1,1),DATE(YEAR(A1508),MONTH(A1508),1)),"mmmm yyyy"))</f>
      </c>
      <c r="L1508" s="47">
        <f>IF(A1508="",0,IF(AND(J1508="Yes",E1508&lt;0),-E1508,0))</f>
      </c>
      <c r="M1508" s="47">
        <f>IF(A1508="",0,IF(AND(J1508="Yes",E1508&gt;0),E1508,0))</f>
      </c>
      <c r="N1508">
        <f>IF(A1508="","",IF(D1508="Category Pending","Needs categorization",IF(COUNTIFS($A$2:A1508,A1508,$B$2:B1508,B1508,$E$2:E1508,E1508)&gt;1,"Possible duplicate","")))</f>
      </c>
    </row>
    <row r="1509" spans="3:14" x14ac:dyDescent="0.3">
      <c r="A1509"/>
      <c r="C1509" s="16"/>
      <c r="G1509" s="5">
        <f>IF(A1509="","","Checking")</f>
      </c>
      <c r="H1509">
        <f>IF(A1509="","",IFERROR(XLOOKUP(D1509,Setup!$E$15:$E$79,Setup!$F$15:$F$79),"Miscellaneous"))</f>
      </c>
      <c r="I1509">
        <f>IF(A1509="","",IFERROR(XLOOKUP(D1509,Setup!$E$15:$E$79,Setup!$G$15:$G$79),"Uncategorized"))</f>
      </c>
      <c r="J1509">
        <f>IF(A1509="","",IF(OR(H1509="Transfers",H1509="Income",D1509="Transfer",D1509="Category Pending",F1509="Pending"),"No","Yes"))</f>
      </c>
      <c r="K1509" s="4">
        <f>IF(A1509="","",TEXT(IF(DAY(A1509)&gt;=Setup!$B$9,DATE(YEAR(A1509),MONTH(A1509)+1,1),DATE(YEAR(A1509),MONTH(A1509),1)),"mmmm yyyy"))</f>
      </c>
      <c r="L1509" s="47">
        <f>IF(A1509="",0,IF(AND(J1509="Yes",E1509&lt;0),-E1509,0))</f>
      </c>
      <c r="M1509" s="47">
        <f>IF(A1509="",0,IF(AND(J1509="Yes",E1509&gt;0),E1509,0))</f>
      </c>
      <c r="N1509">
        <f>IF(A1509="","",IF(D1509="Category Pending","Needs categorization",IF(COUNTIFS($A$2:A1509,A1509,$B$2:B1509,B1509,$E$2:E1509,E1509)&gt;1,"Possible duplicate","")))</f>
      </c>
    </row>
    <row r="1510" spans="3:14" x14ac:dyDescent="0.3">
      <c r="A1510"/>
      <c r="C1510" s="16"/>
      <c r="G1510" s="5">
        <f>IF(A1510="","","Checking")</f>
      </c>
      <c r="H1510">
        <f>IF(A1510="","",IFERROR(XLOOKUP(D1510,Setup!$E$15:$E$79,Setup!$F$15:$F$79),"Miscellaneous"))</f>
      </c>
      <c r="I1510">
        <f>IF(A1510="","",IFERROR(XLOOKUP(D1510,Setup!$E$15:$E$79,Setup!$G$15:$G$79),"Uncategorized"))</f>
      </c>
      <c r="J1510">
        <f>IF(A1510="","",IF(OR(H1510="Transfers",H1510="Income",D1510="Transfer",D1510="Category Pending",F1510="Pending"),"No","Yes"))</f>
      </c>
      <c r="K1510" s="4">
        <f>IF(A1510="","",TEXT(IF(DAY(A1510)&gt;=Setup!$B$9,DATE(YEAR(A1510),MONTH(A1510)+1,1),DATE(YEAR(A1510),MONTH(A1510),1)),"mmmm yyyy"))</f>
      </c>
      <c r="L1510" s="47">
        <f>IF(A1510="",0,IF(AND(J1510="Yes",E1510&lt;0),-E1510,0))</f>
      </c>
      <c r="M1510" s="47">
        <f>IF(A1510="",0,IF(AND(J1510="Yes",E1510&gt;0),E1510,0))</f>
      </c>
      <c r="N1510">
        <f>IF(A1510="","",IF(D1510="Category Pending","Needs categorization",IF(COUNTIFS($A$2:A1510,A1510,$B$2:B1510,B1510,$E$2:E1510,E1510)&gt;1,"Possible duplicate","")))</f>
      </c>
    </row>
    <row r="1511" spans="3:14" x14ac:dyDescent="0.3">
      <c r="A1511"/>
      <c r="C1511" s="16"/>
      <c r="G1511" s="5">
        <f>IF(A1511="","","Checking")</f>
      </c>
      <c r="H1511">
        <f>IF(A1511="","",IFERROR(XLOOKUP(D1511,Setup!$E$15:$E$79,Setup!$F$15:$F$79),"Miscellaneous"))</f>
      </c>
      <c r="I1511">
        <f>IF(A1511="","",IFERROR(XLOOKUP(D1511,Setup!$E$15:$E$79,Setup!$G$15:$G$79),"Uncategorized"))</f>
      </c>
      <c r="J1511">
        <f>IF(A1511="","",IF(OR(H1511="Transfers",H1511="Income",D1511="Transfer",D1511="Category Pending",F1511="Pending"),"No","Yes"))</f>
      </c>
      <c r="K1511" s="4">
        <f>IF(A1511="","",TEXT(IF(DAY(A1511)&gt;=Setup!$B$9,DATE(YEAR(A1511),MONTH(A1511)+1,1),DATE(YEAR(A1511),MONTH(A1511),1)),"mmmm yyyy"))</f>
      </c>
      <c r="L1511" s="47">
        <f>IF(A1511="",0,IF(AND(J1511="Yes",E1511&lt;0),-E1511,0))</f>
      </c>
      <c r="M1511" s="47">
        <f>IF(A1511="",0,IF(AND(J1511="Yes",E1511&gt;0),E1511,0))</f>
      </c>
      <c r="N1511">
        <f>IF(A1511="","",IF(D1511="Category Pending","Needs categorization",IF(COUNTIFS($A$2:A1511,A1511,$B$2:B1511,B1511,$E$2:E1511,E1511)&gt;1,"Possible duplicate","")))</f>
      </c>
    </row>
    <row r="1512" spans="3:14" x14ac:dyDescent="0.3">
      <c r="A1512"/>
      <c r="C1512" s="16"/>
      <c r="G1512" s="5">
        <f>IF(A1512="","","Checking")</f>
      </c>
      <c r="H1512">
        <f>IF(A1512="","",IFERROR(XLOOKUP(D1512,Setup!$E$15:$E$79,Setup!$F$15:$F$79),"Miscellaneous"))</f>
      </c>
      <c r="I1512">
        <f>IF(A1512="","",IFERROR(XLOOKUP(D1512,Setup!$E$15:$E$79,Setup!$G$15:$G$79),"Uncategorized"))</f>
      </c>
      <c r="J1512">
        <f>IF(A1512="","",IF(OR(H1512="Transfers",H1512="Income",D1512="Transfer",D1512="Category Pending",F1512="Pending"),"No","Yes"))</f>
      </c>
      <c r="K1512" s="4">
        <f>IF(A1512="","",TEXT(IF(DAY(A1512)&gt;=Setup!$B$9,DATE(YEAR(A1512),MONTH(A1512)+1,1),DATE(YEAR(A1512),MONTH(A1512),1)),"mmmm yyyy"))</f>
      </c>
      <c r="L1512" s="47">
        <f>IF(A1512="",0,IF(AND(J1512="Yes",E1512&lt;0),-E1512,0))</f>
      </c>
      <c r="M1512" s="47">
        <f>IF(A1512="",0,IF(AND(J1512="Yes",E1512&gt;0),E1512,0))</f>
      </c>
      <c r="N1512">
        <f>IF(A1512="","",IF(D1512="Category Pending","Needs categorization",IF(COUNTIFS($A$2:A1512,A1512,$B$2:B1512,B1512,$E$2:E1512,E1512)&gt;1,"Possible duplicate","")))</f>
      </c>
    </row>
    <row r="1513" spans="3:14" x14ac:dyDescent="0.3">
      <c r="A1513"/>
      <c r="C1513" s="16"/>
      <c r="G1513" s="5">
        <f>IF(A1513="","","Checking")</f>
      </c>
      <c r="H1513">
        <f>IF(A1513="","",IFERROR(XLOOKUP(D1513,Setup!$E$15:$E$79,Setup!$F$15:$F$79),"Miscellaneous"))</f>
      </c>
      <c r="I1513">
        <f>IF(A1513="","",IFERROR(XLOOKUP(D1513,Setup!$E$15:$E$79,Setup!$G$15:$G$79),"Uncategorized"))</f>
      </c>
      <c r="J1513">
        <f>IF(A1513="","",IF(OR(H1513="Transfers",H1513="Income",D1513="Transfer",D1513="Category Pending",F1513="Pending"),"No","Yes"))</f>
      </c>
      <c r="K1513" s="4">
        <f>IF(A1513="","",TEXT(IF(DAY(A1513)&gt;=Setup!$B$9,DATE(YEAR(A1513),MONTH(A1513)+1,1),DATE(YEAR(A1513),MONTH(A1513),1)),"mmmm yyyy"))</f>
      </c>
      <c r="L1513" s="47">
        <f>IF(A1513="",0,IF(AND(J1513="Yes",E1513&lt;0),-E1513,0))</f>
      </c>
      <c r="M1513" s="47">
        <f>IF(A1513="",0,IF(AND(J1513="Yes",E1513&gt;0),E1513,0))</f>
      </c>
      <c r="N1513">
        <f>IF(A1513="","",IF(D1513="Category Pending","Needs categorization",IF(COUNTIFS($A$2:A1513,A1513,$B$2:B1513,B1513,$E$2:E1513,E1513)&gt;1,"Possible duplicate","")))</f>
      </c>
    </row>
    <row r="1514" spans="3:14" x14ac:dyDescent="0.3">
      <c r="A1514"/>
      <c r="C1514" s="16"/>
      <c r="G1514" s="5">
        <f>IF(A1514="","","Checking")</f>
      </c>
      <c r="H1514">
        <f>IF(A1514="","",IFERROR(XLOOKUP(D1514,Setup!$E$15:$E$79,Setup!$F$15:$F$79),"Miscellaneous"))</f>
      </c>
      <c r="I1514">
        <f>IF(A1514="","",IFERROR(XLOOKUP(D1514,Setup!$E$15:$E$79,Setup!$G$15:$G$79),"Uncategorized"))</f>
      </c>
      <c r="J1514">
        <f>IF(A1514="","",IF(OR(H1514="Transfers",H1514="Income",D1514="Transfer",D1514="Category Pending",F1514="Pending"),"No","Yes"))</f>
      </c>
      <c r="K1514" s="4">
        <f>IF(A1514="","",TEXT(IF(DAY(A1514)&gt;=Setup!$B$9,DATE(YEAR(A1514),MONTH(A1514)+1,1),DATE(YEAR(A1514),MONTH(A1514),1)),"mmmm yyyy"))</f>
      </c>
      <c r="L1514" s="47">
        <f>IF(A1514="",0,IF(AND(J1514="Yes",E1514&lt;0),-E1514,0))</f>
      </c>
      <c r="M1514" s="47">
        <f>IF(A1514="",0,IF(AND(J1514="Yes",E1514&gt;0),E1514,0))</f>
      </c>
      <c r="N1514">
        <f>IF(A1514="","",IF(D1514="Category Pending","Needs categorization",IF(COUNTIFS($A$2:A1514,A1514,$B$2:B1514,B1514,$E$2:E1514,E1514)&gt;1,"Possible duplicate","")))</f>
      </c>
    </row>
    <row r="1515" spans="3:14" x14ac:dyDescent="0.3">
      <c r="A1515"/>
      <c r="C1515" s="16"/>
      <c r="G1515" s="5">
        <f>IF(A1515="","","Checking")</f>
      </c>
      <c r="H1515">
        <f>IF(A1515="","",IFERROR(XLOOKUP(D1515,Setup!$E$15:$E$79,Setup!$F$15:$F$79),"Miscellaneous"))</f>
      </c>
      <c r="I1515">
        <f>IF(A1515="","",IFERROR(XLOOKUP(D1515,Setup!$E$15:$E$79,Setup!$G$15:$G$79),"Uncategorized"))</f>
      </c>
      <c r="J1515">
        <f>IF(A1515="","",IF(OR(H1515="Transfers",H1515="Income",D1515="Transfer",D1515="Category Pending",F1515="Pending"),"No","Yes"))</f>
      </c>
      <c r="K1515" s="4">
        <f>IF(A1515="","",TEXT(IF(DAY(A1515)&gt;=Setup!$B$9,DATE(YEAR(A1515),MONTH(A1515)+1,1),DATE(YEAR(A1515),MONTH(A1515),1)),"mmmm yyyy"))</f>
      </c>
      <c r="L1515" s="47">
        <f>IF(A1515="",0,IF(AND(J1515="Yes",E1515&lt;0),-E1515,0))</f>
      </c>
      <c r="M1515" s="47">
        <f>IF(A1515="",0,IF(AND(J1515="Yes",E1515&gt;0),E1515,0))</f>
      </c>
      <c r="N1515">
        <f>IF(A1515="","",IF(D1515="Category Pending","Needs categorization",IF(COUNTIFS($A$2:A1515,A1515,$B$2:B1515,B1515,$E$2:E1515,E1515)&gt;1,"Possible duplicate","")))</f>
      </c>
    </row>
    <row r="1516" spans="3:14" x14ac:dyDescent="0.3">
      <c r="A1516"/>
      <c r="C1516" s="16"/>
      <c r="G1516" s="5">
        <f>IF(A1516="","","Checking")</f>
      </c>
      <c r="H1516">
        <f>IF(A1516="","",IFERROR(XLOOKUP(D1516,Setup!$E$15:$E$79,Setup!$F$15:$F$79),"Miscellaneous"))</f>
      </c>
      <c r="I1516">
        <f>IF(A1516="","",IFERROR(XLOOKUP(D1516,Setup!$E$15:$E$79,Setup!$G$15:$G$79),"Uncategorized"))</f>
      </c>
      <c r="J1516">
        <f>IF(A1516="","",IF(OR(H1516="Transfers",H1516="Income",D1516="Transfer",D1516="Category Pending",F1516="Pending"),"No","Yes"))</f>
      </c>
      <c r="K1516" s="4">
        <f>IF(A1516="","",TEXT(IF(DAY(A1516)&gt;=Setup!$B$9,DATE(YEAR(A1516),MONTH(A1516)+1,1),DATE(YEAR(A1516),MONTH(A1516),1)),"mmmm yyyy"))</f>
      </c>
      <c r="L1516" s="47">
        <f>IF(A1516="",0,IF(AND(J1516="Yes",E1516&lt;0),-E1516,0))</f>
      </c>
      <c r="M1516" s="47">
        <f>IF(A1516="",0,IF(AND(J1516="Yes",E1516&gt;0),E1516,0))</f>
      </c>
      <c r="N1516">
        <f>IF(A1516="","",IF(D1516="Category Pending","Needs categorization",IF(COUNTIFS($A$2:A1516,A1516,$B$2:B1516,B1516,$E$2:E1516,E1516)&gt;1,"Possible duplicate","")))</f>
      </c>
    </row>
    <row r="1517" spans="3:14" x14ac:dyDescent="0.3">
      <c r="A1517"/>
      <c r="C1517" s="16"/>
      <c r="G1517" s="5">
        <f>IF(A1517="","","Checking")</f>
      </c>
      <c r="H1517">
        <f>IF(A1517="","",IFERROR(XLOOKUP(D1517,Setup!$E$15:$E$79,Setup!$F$15:$F$79),"Miscellaneous"))</f>
      </c>
      <c r="I1517">
        <f>IF(A1517="","",IFERROR(XLOOKUP(D1517,Setup!$E$15:$E$79,Setup!$G$15:$G$79),"Uncategorized"))</f>
      </c>
      <c r="J1517">
        <f>IF(A1517="","",IF(OR(H1517="Transfers",H1517="Income",D1517="Transfer",D1517="Category Pending",F1517="Pending"),"No","Yes"))</f>
      </c>
      <c r="K1517" s="4">
        <f>IF(A1517="","",TEXT(IF(DAY(A1517)&gt;=Setup!$B$9,DATE(YEAR(A1517),MONTH(A1517)+1,1),DATE(YEAR(A1517),MONTH(A1517),1)),"mmmm yyyy"))</f>
      </c>
      <c r="L1517" s="47">
        <f>IF(A1517="",0,IF(AND(J1517="Yes",E1517&lt;0),-E1517,0))</f>
      </c>
      <c r="M1517" s="47">
        <f>IF(A1517="",0,IF(AND(J1517="Yes",E1517&gt;0),E1517,0))</f>
      </c>
      <c r="N1517">
        <f>IF(A1517="","",IF(D1517="Category Pending","Needs categorization",IF(COUNTIFS($A$2:A1517,A1517,$B$2:B1517,B1517,$E$2:E1517,E1517)&gt;1,"Possible duplicate","")))</f>
      </c>
    </row>
    <row r="1518" spans="3:14" x14ac:dyDescent="0.3">
      <c r="A1518"/>
      <c r="C1518" s="16"/>
      <c r="G1518" s="5">
        <f>IF(A1518="","","Checking")</f>
      </c>
      <c r="H1518">
        <f>IF(A1518="","",IFERROR(XLOOKUP(D1518,Setup!$E$15:$E$79,Setup!$F$15:$F$79),"Miscellaneous"))</f>
      </c>
      <c r="I1518">
        <f>IF(A1518="","",IFERROR(XLOOKUP(D1518,Setup!$E$15:$E$79,Setup!$G$15:$G$79),"Uncategorized"))</f>
      </c>
      <c r="J1518">
        <f>IF(A1518="","",IF(OR(H1518="Transfers",H1518="Income",D1518="Transfer",D1518="Category Pending",F1518="Pending"),"No","Yes"))</f>
      </c>
      <c r="K1518" s="4">
        <f>IF(A1518="","",TEXT(IF(DAY(A1518)&gt;=Setup!$B$9,DATE(YEAR(A1518),MONTH(A1518)+1,1),DATE(YEAR(A1518),MONTH(A1518),1)),"mmmm yyyy"))</f>
      </c>
      <c r="L1518" s="47">
        <f>IF(A1518="",0,IF(AND(J1518="Yes",E1518&lt;0),-E1518,0))</f>
      </c>
      <c r="M1518" s="47">
        <f>IF(A1518="",0,IF(AND(J1518="Yes",E1518&gt;0),E1518,0))</f>
      </c>
      <c r="N1518">
        <f>IF(A1518="","",IF(D1518="Category Pending","Needs categorization",IF(COUNTIFS($A$2:A1518,A1518,$B$2:B1518,B1518,$E$2:E1518,E1518)&gt;1,"Possible duplicate","")))</f>
      </c>
    </row>
    <row r="1519" spans="3:14" x14ac:dyDescent="0.3">
      <c r="A1519"/>
      <c r="C1519" s="16"/>
      <c r="G1519" s="5">
        <f>IF(A1519="","","Checking")</f>
      </c>
      <c r="H1519">
        <f>IF(A1519="","",IFERROR(XLOOKUP(D1519,Setup!$E$15:$E$79,Setup!$F$15:$F$79),"Miscellaneous"))</f>
      </c>
      <c r="I1519">
        <f>IF(A1519="","",IFERROR(XLOOKUP(D1519,Setup!$E$15:$E$79,Setup!$G$15:$G$79),"Uncategorized"))</f>
      </c>
      <c r="J1519">
        <f>IF(A1519="","",IF(OR(H1519="Transfers",H1519="Income",D1519="Transfer",D1519="Category Pending",F1519="Pending"),"No","Yes"))</f>
      </c>
      <c r="K1519" s="4">
        <f>IF(A1519="","",TEXT(IF(DAY(A1519)&gt;=Setup!$B$9,DATE(YEAR(A1519),MONTH(A1519)+1,1),DATE(YEAR(A1519),MONTH(A1519),1)),"mmmm yyyy"))</f>
      </c>
      <c r="L1519" s="47">
        <f>IF(A1519="",0,IF(AND(J1519="Yes",E1519&lt;0),-E1519,0))</f>
      </c>
      <c r="M1519" s="47">
        <f>IF(A1519="",0,IF(AND(J1519="Yes",E1519&gt;0),E1519,0))</f>
      </c>
      <c r="N1519">
        <f>IF(A1519="","",IF(D1519="Category Pending","Needs categorization",IF(COUNTIFS($A$2:A1519,A1519,$B$2:B1519,B1519,$E$2:E1519,E1519)&gt;1,"Possible duplicate","")))</f>
      </c>
    </row>
    <row r="1520" spans="3:14" x14ac:dyDescent="0.3">
      <c r="A1520"/>
      <c r="C1520" s="16"/>
      <c r="G1520" s="5">
        <f>IF(A1520="","","Checking")</f>
      </c>
      <c r="H1520">
        <f>IF(A1520="","",IFERROR(XLOOKUP(D1520,Setup!$E$15:$E$79,Setup!$F$15:$F$79),"Miscellaneous"))</f>
      </c>
      <c r="I1520">
        <f>IF(A1520="","",IFERROR(XLOOKUP(D1520,Setup!$E$15:$E$79,Setup!$G$15:$G$79),"Uncategorized"))</f>
      </c>
      <c r="J1520">
        <f>IF(A1520="","",IF(OR(H1520="Transfers",H1520="Income",D1520="Transfer",D1520="Category Pending",F1520="Pending"),"No","Yes"))</f>
      </c>
      <c r="K1520" s="4">
        <f>IF(A1520="","",TEXT(IF(DAY(A1520)&gt;=Setup!$B$9,DATE(YEAR(A1520),MONTH(A1520)+1,1),DATE(YEAR(A1520),MONTH(A1520),1)),"mmmm yyyy"))</f>
      </c>
      <c r="L1520" s="47">
        <f>IF(A1520="",0,IF(AND(J1520="Yes",E1520&lt;0),-E1520,0))</f>
      </c>
      <c r="M1520" s="47">
        <f>IF(A1520="",0,IF(AND(J1520="Yes",E1520&gt;0),E1520,0))</f>
      </c>
      <c r="N1520">
        <f>IF(A1520="","",IF(D1520="Category Pending","Needs categorization",IF(COUNTIFS($A$2:A1520,A1520,$B$2:B1520,B1520,$E$2:E1520,E1520)&gt;1,"Possible duplicate","")))</f>
      </c>
    </row>
    <row r="1521" spans="3:14" x14ac:dyDescent="0.3">
      <c r="A1521"/>
      <c r="C1521" s="16"/>
      <c r="G1521" s="5">
        <f>IF(A1521="","","Checking")</f>
      </c>
      <c r="H1521">
        <f>IF(A1521="","",IFERROR(XLOOKUP(D1521,Setup!$E$15:$E$79,Setup!$F$15:$F$79),"Miscellaneous"))</f>
      </c>
      <c r="I1521">
        <f>IF(A1521="","",IFERROR(XLOOKUP(D1521,Setup!$E$15:$E$79,Setup!$G$15:$G$79),"Uncategorized"))</f>
      </c>
      <c r="J1521">
        <f>IF(A1521="","",IF(OR(H1521="Transfers",H1521="Income",D1521="Transfer",D1521="Category Pending",F1521="Pending"),"No","Yes"))</f>
      </c>
      <c r="K1521" s="4">
        <f>IF(A1521="","",TEXT(IF(DAY(A1521)&gt;=Setup!$B$9,DATE(YEAR(A1521),MONTH(A1521)+1,1),DATE(YEAR(A1521),MONTH(A1521),1)),"mmmm yyyy"))</f>
      </c>
      <c r="L1521" s="47">
        <f>IF(A1521="",0,IF(AND(J1521="Yes",E1521&lt;0),-E1521,0))</f>
      </c>
      <c r="M1521" s="47">
        <f>IF(A1521="",0,IF(AND(J1521="Yes",E1521&gt;0),E1521,0))</f>
      </c>
      <c r="N1521">
        <f>IF(A1521="","",IF(D1521="Category Pending","Needs categorization",IF(COUNTIFS($A$2:A1521,A1521,$B$2:B1521,B1521,$E$2:E1521,E1521)&gt;1,"Possible duplicate","")))</f>
      </c>
    </row>
    <row r="1522" spans="3:14" x14ac:dyDescent="0.3">
      <c r="A1522"/>
      <c r="C1522" s="16"/>
      <c r="G1522" s="5">
        <f>IF(A1522="","","Checking")</f>
      </c>
      <c r="H1522">
        <f>IF(A1522="","",IFERROR(XLOOKUP(D1522,Setup!$E$15:$E$79,Setup!$F$15:$F$79),"Miscellaneous"))</f>
      </c>
      <c r="I1522">
        <f>IF(A1522="","",IFERROR(XLOOKUP(D1522,Setup!$E$15:$E$79,Setup!$G$15:$G$79),"Uncategorized"))</f>
      </c>
      <c r="J1522">
        <f>IF(A1522="","",IF(OR(H1522="Transfers",H1522="Income",D1522="Transfer",D1522="Category Pending",F1522="Pending"),"No","Yes"))</f>
      </c>
      <c r="K1522" s="4">
        <f>IF(A1522="","",TEXT(IF(DAY(A1522)&gt;=Setup!$B$9,DATE(YEAR(A1522),MONTH(A1522)+1,1),DATE(YEAR(A1522),MONTH(A1522),1)),"mmmm yyyy"))</f>
      </c>
      <c r="L1522" s="47">
        <f>IF(A1522="",0,IF(AND(J1522="Yes",E1522&lt;0),-E1522,0))</f>
      </c>
      <c r="M1522" s="47">
        <f>IF(A1522="",0,IF(AND(J1522="Yes",E1522&gt;0),E1522,0))</f>
      </c>
      <c r="N1522">
        <f>IF(A1522="","",IF(D1522="Category Pending","Needs categorization",IF(COUNTIFS($A$2:A1522,A1522,$B$2:B1522,B1522,$E$2:E1522,E1522)&gt;1,"Possible duplicate","")))</f>
      </c>
    </row>
    <row r="1523" spans="3:14" x14ac:dyDescent="0.3">
      <c r="A1523"/>
      <c r="C1523" s="16"/>
      <c r="G1523" s="5">
        <f>IF(A1523="","","Checking")</f>
      </c>
      <c r="H1523">
        <f>IF(A1523="","",IFERROR(XLOOKUP(D1523,Setup!$E$15:$E$79,Setup!$F$15:$F$79),"Miscellaneous"))</f>
      </c>
      <c r="I1523">
        <f>IF(A1523="","",IFERROR(XLOOKUP(D1523,Setup!$E$15:$E$79,Setup!$G$15:$G$79),"Uncategorized"))</f>
      </c>
      <c r="J1523">
        <f>IF(A1523="","",IF(OR(H1523="Transfers",H1523="Income",D1523="Transfer",D1523="Category Pending",F1523="Pending"),"No","Yes"))</f>
      </c>
      <c r="K1523" s="4">
        <f>IF(A1523="","",TEXT(IF(DAY(A1523)&gt;=Setup!$B$9,DATE(YEAR(A1523),MONTH(A1523)+1,1),DATE(YEAR(A1523),MONTH(A1523),1)),"mmmm yyyy"))</f>
      </c>
      <c r="L1523" s="47">
        <f>IF(A1523="",0,IF(AND(J1523="Yes",E1523&lt;0),-E1523,0))</f>
      </c>
      <c r="M1523" s="47">
        <f>IF(A1523="",0,IF(AND(J1523="Yes",E1523&gt;0),E1523,0))</f>
      </c>
      <c r="N1523">
        <f>IF(A1523="","",IF(D1523="Category Pending","Needs categorization",IF(COUNTIFS($A$2:A1523,A1523,$B$2:B1523,B1523,$E$2:E1523,E1523)&gt;1,"Possible duplicate","")))</f>
      </c>
    </row>
    <row r="1524" spans="3:14" x14ac:dyDescent="0.3">
      <c r="A1524"/>
      <c r="C1524" s="16"/>
      <c r="G1524" s="5">
        <f>IF(A1524="","","Checking")</f>
      </c>
      <c r="H1524">
        <f>IF(A1524="","",IFERROR(XLOOKUP(D1524,Setup!$E$15:$E$79,Setup!$F$15:$F$79),"Miscellaneous"))</f>
      </c>
      <c r="I1524">
        <f>IF(A1524="","",IFERROR(XLOOKUP(D1524,Setup!$E$15:$E$79,Setup!$G$15:$G$79),"Uncategorized"))</f>
      </c>
      <c r="J1524">
        <f>IF(A1524="","",IF(OR(H1524="Transfers",H1524="Income",D1524="Transfer",D1524="Category Pending",F1524="Pending"),"No","Yes"))</f>
      </c>
      <c r="K1524" s="4">
        <f>IF(A1524="","",TEXT(IF(DAY(A1524)&gt;=Setup!$B$9,DATE(YEAR(A1524),MONTH(A1524)+1,1),DATE(YEAR(A1524),MONTH(A1524),1)),"mmmm yyyy"))</f>
      </c>
      <c r="L1524" s="47">
        <f>IF(A1524="",0,IF(AND(J1524="Yes",E1524&lt;0),-E1524,0))</f>
      </c>
      <c r="M1524" s="47">
        <f>IF(A1524="",0,IF(AND(J1524="Yes",E1524&gt;0),E1524,0))</f>
      </c>
      <c r="N1524">
        <f>IF(A1524="","",IF(D1524="Category Pending","Needs categorization",IF(COUNTIFS($A$2:A1524,A1524,$B$2:B1524,B1524,$E$2:E1524,E1524)&gt;1,"Possible duplicate","")))</f>
      </c>
    </row>
    <row r="1525" spans="3:14" x14ac:dyDescent="0.3">
      <c r="A1525"/>
      <c r="C1525" s="16"/>
      <c r="G1525" s="5">
        <f>IF(A1525="","","Checking")</f>
      </c>
      <c r="H1525">
        <f>IF(A1525="","",IFERROR(XLOOKUP(D1525,Setup!$E$15:$E$79,Setup!$F$15:$F$79),"Miscellaneous"))</f>
      </c>
      <c r="I1525">
        <f>IF(A1525="","",IFERROR(XLOOKUP(D1525,Setup!$E$15:$E$79,Setup!$G$15:$G$79),"Uncategorized"))</f>
      </c>
      <c r="J1525">
        <f>IF(A1525="","",IF(OR(H1525="Transfers",H1525="Income",D1525="Transfer",D1525="Category Pending",F1525="Pending"),"No","Yes"))</f>
      </c>
      <c r="K1525" s="4">
        <f>IF(A1525="","",TEXT(IF(DAY(A1525)&gt;=Setup!$B$9,DATE(YEAR(A1525),MONTH(A1525)+1,1),DATE(YEAR(A1525),MONTH(A1525),1)),"mmmm yyyy"))</f>
      </c>
      <c r="L1525" s="47">
        <f>IF(A1525="",0,IF(AND(J1525="Yes",E1525&lt;0),-E1525,0))</f>
      </c>
      <c r="M1525" s="47">
        <f>IF(A1525="",0,IF(AND(J1525="Yes",E1525&gt;0),E1525,0))</f>
      </c>
      <c r="N1525">
        <f>IF(A1525="","",IF(D1525="Category Pending","Needs categorization",IF(COUNTIFS($A$2:A1525,A1525,$B$2:B1525,B1525,$E$2:E1525,E1525)&gt;1,"Possible duplicate","")))</f>
      </c>
    </row>
    <row r="1526" spans="3:14" x14ac:dyDescent="0.3">
      <c r="A1526"/>
      <c r="C1526" s="16"/>
      <c r="G1526" s="5">
        <f>IF(A1526="","","Checking")</f>
      </c>
      <c r="H1526">
        <f>IF(A1526="","",IFERROR(XLOOKUP(D1526,Setup!$E$15:$E$79,Setup!$F$15:$F$79),"Miscellaneous"))</f>
      </c>
      <c r="I1526">
        <f>IF(A1526="","",IFERROR(XLOOKUP(D1526,Setup!$E$15:$E$79,Setup!$G$15:$G$79),"Uncategorized"))</f>
      </c>
      <c r="J1526">
        <f>IF(A1526="","",IF(OR(H1526="Transfers",H1526="Income",D1526="Transfer",D1526="Category Pending",F1526="Pending"),"No","Yes"))</f>
      </c>
      <c r="K1526" s="4">
        <f>IF(A1526="","",TEXT(IF(DAY(A1526)&gt;=Setup!$B$9,DATE(YEAR(A1526),MONTH(A1526)+1,1),DATE(YEAR(A1526),MONTH(A1526),1)),"mmmm yyyy"))</f>
      </c>
      <c r="L1526" s="47">
        <f>IF(A1526="",0,IF(AND(J1526="Yes",E1526&lt;0),-E1526,0))</f>
      </c>
      <c r="M1526" s="47">
        <f>IF(A1526="",0,IF(AND(J1526="Yes",E1526&gt;0),E1526,0))</f>
      </c>
      <c r="N1526">
        <f>IF(A1526="","",IF(D1526="Category Pending","Needs categorization",IF(COUNTIFS($A$2:A1526,A1526,$B$2:B1526,B1526,$E$2:E1526,E1526)&gt;1,"Possible duplicate","")))</f>
      </c>
    </row>
    <row r="1527" spans="3:14" x14ac:dyDescent="0.3">
      <c r="A1527"/>
      <c r="C1527" s="16"/>
      <c r="G1527" s="5">
        <f>IF(A1527="","","Checking")</f>
      </c>
      <c r="H1527">
        <f>IF(A1527="","",IFERROR(XLOOKUP(D1527,Setup!$E$15:$E$79,Setup!$F$15:$F$79),"Miscellaneous"))</f>
      </c>
      <c r="I1527">
        <f>IF(A1527="","",IFERROR(XLOOKUP(D1527,Setup!$E$15:$E$79,Setup!$G$15:$G$79),"Uncategorized"))</f>
      </c>
      <c r="J1527">
        <f>IF(A1527="","",IF(OR(H1527="Transfers",H1527="Income",D1527="Transfer",D1527="Category Pending",F1527="Pending"),"No","Yes"))</f>
      </c>
      <c r="K1527" s="4">
        <f>IF(A1527="","",TEXT(IF(DAY(A1527)&gt;=Setup!$B$9,DATE(YEAR(A1527),MONTH(A1527)+1,1),DATE(YEAR(A1527),MONTH(A1527),1)),"mmmm yyyy"))</f>
      </c>
      <c r="L1527" s="47">
        <f>IF(A1527="",0,IF(AND(J1527="Yes",E1527&lt;0),-E1527,0))</f>
      </c>
      <c r="M1527" s="47">
        <f>IF(A1527="",0,IF(AND(J1527="Yes",E1527&gt;0),E1527,0))</f>
      </c>
      <c r="N1527">
        <f>IF(A1527="","",IF(D1527="Category Pending","Needs categorization",IF(COUNTIFS($A$2:A1527,A1527,$B$2:B1527,B1527,$E$2:E1527,E1527)&gt;1,"Possible duplicate","")))</f>
      </c>
    </row>
    <row r="1528" spans="3:14" x14ac:dyDescent="0.3">
      <c r="A1528"/>
      <c r="C1528" s="16"/>
      <c r="G1528" s="5">
        <f>IF(A1528="","","Checking")</f>
      </c>
      <c r="H1528">
        <f>IF(A1528="","",IFERROR(XLOOKUP(D1528,Setup!$E$15:$E$79,Setup!$F$15:$F$79),"Miscellaneous"))</f>
      </c>
      <c r="I1528">
        <f>IF(A1528="","",IFERROR(XLOOKUP(D1528,Setup!$E$15:$E$79,Setup!$G$15:$G$79),"Uncategorized"))</f>
      </c>
      <c r="J1528">
        <f>IF(A1528="","",IF(OR(H1528="Transfers",H1528="Income",D1528="Transfer",D1528="Category Pending",F1528="Pending"),"No","Yes"))</f>
      </c>
      <c r="K1528" s="4">
        <f>IF(A1528="","",TEXT(IF(DAY(A1528)&gt;=Setup!$B$9,DATE(YEAR(A1528),MONTH(A1528)+1,1),DATE(YEAR(A1528),MONTH(A1528),1)),"mmmm yyyy"))</f>
      </c>
      <c r="L1528" s="47">
        <f>IF(A1528="",0,IF(AND(J1528="Yes",E1528&lt;0),-E1528,0))</f>
      </c>
      <c r="M1528" s="47">
        <f>IF(A1528="",0,IF(AND(J1528="Yes",E1528&gt;0),E1528,0))</f>
      </c>
      <c r="N1528">
        <f>IF(A1528="","",IF(D1528="Category Pending","Needs categorization",IF(COUNTIFS($A$2:A1528,A1528,$B$2:B1528,B1528,$E$2:E1528,E1528)&gt;1,"Possible duplicate","")))</f>
      </c>
    </row>
    <row r="1529" spans="3:14" x14ac:dyDescent="0.3">
      <c r="A1529"/>
      <c r="C1529" s="16"/>
      <c r="G1529" s="5">
        <f>IF(A1529="","","Checking")</f>
      </c>
      <c r="H1529">
        <f>IF(A1529="","",IFERROR(XLOOKUP(D1529,Setup!$E$15:$E$79,Setup!$F$15:$F$79),"Miscellaneous"))</f>
      </c>
      <c r="I1529">
        <f>IF(A1529="","",IFERROR(XLOOKUP(D1529,Setup!$E$15:$E$79,Setup!$G$15:$G$79),"Uncategorized"))</f>
      </c>
      <c r="J1529">
        <f>IF(A1529="","",IF(OR(H1529="Transfers",H1529="Income",D1529="Transfer",D1529="Category Pending",F1529="Pending"),"No","Yes"))</f>
      </c>
      <c r="K1529" s="4">
        <f>IF(A1529="","",TEXT(IF(DAY(A1529)&gt;=Setup!$B$9,DATE(YEAR(A1529),MONTH(A1529)+1,1),DATE(YEAR(A1529),MONTH(A1529),1)),"mmmm yyyy"))</f>
      </c>
      <c r="L1529" s="47">
        <f>IF(A1529="",0,IF(AND(J1529="Yes",E1529&lt;0),-E1529,0))</f>
      </c>
      <c r="M1529" s="47">
        <f>IF(A1529="",0,IF(AND(J1529="Yes",E1529&gt;0),E1529,0))</f>
      </c>
      <c r="N1529">
        <f>IF(A1529="","",IF(D1529="Category Pending","Needs categorization",IF(COUNTIFS($A$2:A1529,A1529,$B$2:B1529,B1529,$E$2:E1529,E1529)&gt;1,"Possible duplicate","")))</f>
      </c>
    </row>
    <row r="1530" spans="3:14" x14ac:dyDescent="0.3">
      <c r="A1530"/>
      <c r="C1530" s="16"/>
      <c r="G1530" s="5">
        <f>IF(A1530="","","Checking")</f>
      </c>
      <c r="H1530">
        <f>IF(A1530="","",IFERROR(XLOOKUP(D1530,Setup!$E$15:$E$79,Setup!$F$15:$F$79),"Miscellaneous"))</f>
      </c>
      <c r="I1530">
        <f>IF(A1530="","",IFERROR(XLOOKUP(D1530,Setup!$E$15:$E$79,Setup!$G$15:$G$79),"Uncategorized"))</f>
      </c>
      <c r="J1530">
        <f>IF(A1530="","",IF(OR(H1530="Transfers",H1530="Income",D1530="Transfer",D1530="Category Pending",F1530="Pending"),"No","Yes"))</f>
      </c>
      <c r="K1530" s="4">
        <f>IF(A1530="","",TEXT(IF(DAY(A1530)&gt;=Setup!$B$9,DATE(YEAR(A1530),MONTH(A1530)+1,1),DATE(YEAR(A1530),MONTH(A1530),1)),"mmmm yyyy"))</f>
      </c>
      <c r="L1530" s="47">
        <f>IF(A1530="",0,IF(AND(J1530="Yes",E1530&lt;0),-E1530,0))</f>
      </c>
      <c r="M1530" s="47">
        <f>IF(A1530="",0,IF(AND(J1530="Yes",E1530&gt;0),E1530,0))</f>
      </c>
      <c r="N1530">
        <f>IF(A1530="","",IF(D1530="Category Pending","Needs categorization",IF(COUNTIFS($A$2:A1530,A1530,$B$2:B1530,B1530,$E$2:E1530,E1530)&gt;1,"Possible duplicate","")))</f>
      </c>
    </row>
    <row r="1531" spans="3:14" x14ac:dyDescent="0.3">
      <c r="A1531"/>
      <c r="C1531" s="16"/>
      <c r="G1531" s="5">
        <f>IF(A1531="","","Checking")</f>
      </c>
      <c r="H1531">
        <f>IF(A1531="","",IFERROR(XLOOKUP(D1531,Setup!$E$15:$E$79,Setup!$F$15:$F$79),"Miscellaneous"))</f>
      </c>
      <c r="I1531">
        <f>IF(A1531="","",IFERROR(XLOOKUP(D1531,Setup!$E$15:$E$79,Setup!$G$15:$G$79),"Uncategorized"))</f>
      </c>
      <c r="J1531">
        <f>IF(A1531="","",IF(OR(H1531="Transfers",H1531="Income",D1531="Transfer",D1531="Category Pending",F1531="Pending"),"No","Yes"))</f>
      </c>
      <c r="K1531" s="4">
        <f>IF(A1531="","",TEXT(IF(DAY(A1531)&gt;=Setup!$B$9,DATE(YEAR(A1531),MONTH(A1531)+1,1),DATE(YEAR(A1531),MONTH(A1531),1)),"mmmm yyyy"))</f>
      </c>
      <c r="L1531" s="47">
        <f>IF(A1531="",0,IF(AND(J1531="Yes",E1531&lt;0),-E1531,0))</f>
      </c>
      <c r="M1531" s="47">
        <f>IF(A1531="",0,IF(AND(J1531="Yes",E1531&gt;0),E1531,0))</f>
      </c>
      <c r="N1531">
        <f>IF(A1531="","",IF(D1531="Category Pending","Needs categorization",IF(COUNTIFS($A$2:A1531,A1531,$B$2:B1531,B1531,$E$2:E1531,E1531)&gt;1,"Possible duplicate","")))</f>
      </c>
    </row>
    <row r="1532" spans="3:14" x14ac:dyDescent="0.3">
      <c r="A1532"/>
      <c r="C1532" s="16"/>
      <c r="G1532" s="5">
        <f>IF(A1532="","","Checking")</f>
      </c>
      <c r="H1532">
        <f>IF(A1532="","",IFERROR(XLOOKUP(D1532,Setup!$E$15:$E$79,Setup!$F$15:$F$79),"Miscellaneous"))</f>
      </c>
      <c r="I1532">
        <f>IF(A1532="","",IFERROR(XLOOKUP(D1532,Setup!$E$15:$E$79,Setup!$G$15:$G$79),"Uncategorized"))</f>
      </c>
      <c r="J1532">
        <f>IF(A1532="","",IF(OR(H1532="Transfers",H1532="Income",D1532="Transfer",D1532="Category Pending",F1532="Pending"),"No","Yes"))</f>
      </c>
      <c r="K1532" s="4">
        <f>IF(A1532="","",TEXT(IF(DAY(A1532)&gt;=Setup!$B$9,DATE(YEAR(A1532),MONTH(A1532)+1,1),DATE(YEAR(A1532),MONTH(A1532),1)),"mmmm yyyy"))</f>
      </c>
      <c r="L1532" s="47">
        <f>IF(A1532="",0,IF(AND(J1532="Yes",E1532&lt;0),-E1532,0))</f>
      </c>
      <c r="M1532" s="47">
        <f>IF(A1532="",0,IF(AND(J1532="Yes",E1532&gt;0),E1532,0))</f>
      </c>
      <c r="N1532">
        <f>IF(A1532="","",IF(D1532="Category Pending","Needs categorization",IF(COUNTIFS($A$2:A1532,A1532,$B$2:B1532,B1532,$E$2:E1532,E1532)&gt;1,"Possible duplicate","")))</f>
      </c>
    </row>
    <row r="1533" spans="3:14" x14ac:dyDescent="0.3">
      <c r="A1533"/>
      <c r="C1533" s="16"/>
      <c r="G1533" s="5">
        <f>IF(A1533="","","Checking")</f>
      </c>
      <c r="H1533">
        <f>IF(A1533="","",IFERROR(XLOOKUP(D1533,Setup!$E$15:$E$79,Setup!$F$15:$F$79),"Miscellaneous"))</f>
      </c>
      <c r="I1533">
        <f>IF(A1533="","",IFERROR(XLOOKUP(D1533,Setup!$E$15:$E$79,Setup!$G$15:$G$79),"Uncategorized"))</f>
      </c>
      <c r="J1533">
        <f>IF(A1533="","",IF(OR(H1533="Transfers",H1533="Income",D1533="Transfer",D1533="Category Pending",F1533="Pending"),"No","Yes"))</f>
      </c>
      <c r="K1533" s="4">
        <f>IF(A1533="","",TEXT(IF(DAY(A1533)&gt;=Setup!$B$9,DATE(YEAR(A1533),MONTH(A1533)+1,1),DATE(YEAR(A1533),MONTH(A1533),1)),"mmmm yyyy"))</f>
      </c>
      <c r="L1533" s="47">
        <f>IF(A1533="",0,IF(AND(J1533="Yes",E1533&lt;0),-E1533,0))</f>
      </c>
      <c r="M1533" s="47">
        <f>IF(A1533="",0,IF(AND(J1533="Yes",E1533&gt;0),E1533,0))</f>
      </c>
      <c r="N1533">
        <f>IF(A1533="","",IF(D1533="Category Pending","Needs categorization",IF(COUNTIFS($A$2:A1533,A1533,$B$2:B1533,B1533,$E$2:E1533,E1533)&gt;1,"Possible duplicate","")))</f>
      </c>
    </row>
    <row r="1534" spans="3:14" x14ac:dyDescent="0.3">
      <c r="A1534"/>
      <c r="C1534" s="16"/>
      <c r="G1534" s="5">
        <f>IF(A1534="","","Checking")</f>
      </c>
      <c r="H1534">
        <f>IF(A1534="","",IFERROR(XLOOKUP(D1534,Setup!$E$15:$E$79,Setup!$F$15:$F$79),"Miscellaneous"))</f>
      </c>
      <c r="I1534">
        <f>IF(A1534="","",IFERROR(XLOOKUP(D1534,Setup!$E$15:$E$79,Setup!$G$15:$G$79),"Uncategorized"))</f>
      </c>
      <c r="J1534">
        <f>IF(A1534="","",IF(OR(H1534="Transfers",H1534="Income",D1534="Transfer",D1534="Category Pending",F1534="Pending"),"No","Yes"))</f>
      </c>
      <c r="K1534" s="4">
        <f>IF(A1534="","",TEXT(IF(DAY(A1534)&gt;=Setup!$B$9,DATE(YEAR(A1534),MONTH(A1534)+1,1),DATE(YEAR(A1534),MONTH(A1534),1)),"mmmm yyyy"))</f>
      </c>
      <c r="L1534" s="47">
        <f>IF(A1534="",0,IF(AND(J1534="Yes",E1534&lt;0),-E1534,0))</f>
      </c>
      <c r="M1534" s="47">
        <f>IF(A1534="",0,IF(AND(J1534="Yes",E1534&gt;0),E1534,0))</f>
      </c>
      <c r="N1534">
        <f>IF(A1534="","",IF(D1534="Category Pending","Needs categorization",IF(COUNTIFS($A$2:A1534,A1534,$B$2:B1534,B1534,$E$2:E1534,E1534)&gt;1,"Possible duplicate","")))</f>
      </c>
    </row>
    <row r="1535" spans="3:14" x14ac:dyDescent="0.3">
      <c r="A1535"/>
      <c r="C1535" s="16"/>
      <c r="G1535" s="5">
        <f>IF(A1535="","","Checking")</f>
      </c>
      <c r="H1535">
        <f>IF(A1535="","",IFERROR(XLOOKUP(D1535,Setup!$E$15:$E$79,Setup!$F$15:$F$79),"Miscellaneous"))</f>
      </c>
      <c r="I1535">
        <f>IF(A1535="","",IFERROR(XLOOKUP(D1535,Setup!$E$15:$E$79,Setup!$G$15:$G$79),"Uncategorized"))</f>
      </c>
      <c r="J1535">
        <f>IF(A1535="","",IF(OR(H1535="Transfers",H1535="Income",D1535="Transfer",D1535="Category Pending",F1535="Pending"),"No","Yes"))</f>
      </c>
      <c r="K1535" s="4">
        <f>IF(A1535="","",TEXT(IF(DAY(A1535)&gt;=Setup!$B$9,DATE(YEAR(A1535),MONTH(A1535)+1,1),DATE(YEAR(A1535),MONTH(A1535),1)),"mmmm yyyy"))</f>
      </c>
      <c r="L1535" s="47">
        <f>IF(A1535="",0,IF(AND(J1535="Yes",E1535&lt;0),-E1535,0))</f>
      </c>
      <c r="M1535" s="47">
        <f>IF(A1535="",0,IF(AND(J1535="Yes",E1535&gt;0),E1535,0))</f>
      </c>
      <c r="N1535">
        <f>IF(A1535="","",IF(D1535="Category Pending","Needs categorization",IF(COUNTIFS($A$2:A1535,A1535,$B$2:B1535,B1535,$E$2:E1535,E1535)&gt;1,"Possible duplicate","")))</f>
      </c>
    </row>
    <row r="1536" spans="3:14" x14ac:dyDescent="0.3">
      <c r="A1536"/>
      <c r="C1536" s="16"/>
      <c r="G1536" s="5">
        <f>IF(A1536="","","Checking")</f>
      </c>
      <c r="H1536">
        <f>IF(A1536="","",IFERROR(XLOOKUP(D1536,Setup!$E$15:$E$79,Setup!$F$15:$F$79),"Miscellaneous"))</f>
      </c>
      <c r="I1536">
        <f>IF(A1536="","",IFERROR(XLOOKUP(D1536,Setup!$E$15:$E$79,Setup!$G$15:$G$79),"Uncategorized"))</f>
      </c>
      <c r="J1536">
        <f>IF(A1536="","",IF(OR(H1536="Transfers",H1536="Income",D1536="Transfer",D1536="Category Pending",F1536="Pending"),"No","Yes"))</f>
      </c>
      <c r="K1536" s="4">
        <f>IF(A1536="","",TEXT(IF(DAY(A1536)&gt;=Setup!$B$9,DATE(YEAR(A1536),MONTH(A1536)+1,1),DATE(YEAR(A1536),MONTH(A1536),1)),"mmmm yyyy"))</f>
      </c>
      <c r="L1536" s="47">
        <f>IF(A1536="",0,IF(AND(J1536="Yes",E1536&lt;0),-E1536,0))</f>
      </c>
      <c r="M1536" s="47">
        <f>IF(A1536="",0,IF(AND(J1536="Yes",E1536&gt;0),E1536,0))</f>
      </c>
      <c r="N1536">
        <f>IF(A1536="","",IF(D1536="Category Pending","Needs categorization",IF(COUNTIFS($A$2:A1536,A1536,$B$2:B1536,B1536,$E$2:E1536,E1536)&gt;1,"Possible duplicate","")))</f>
      </c>
    </row>
    <row r="1537" spans="3:14" x14ac:dyDescent="0.3">
      <c r="A1537"/>
      <c r="C1537" s="16"/>
      <c r="G1537" s="5">
        <f>IF(A1537="","","Checking")</f>
      </c>
      <c r="H1537">
        <f>IF(A1537="","",IFERROR(XLOOKUP(D1537,Setup!$E$15:$E$79,Setup!$F$15:$F$79),"Miscellaneous"))</f>
      </c>
      <c r="I1537">
        <f>IF(A1537="","",IFERROR(XLOOKUP(D1537,Setup!$E$15:$E$79,Setup!$G$15:$G$79),"Uncategorized"))</f>
      </c>
      <c r="J1537">
        <f>IF(A1537="","",IF(OR(H1537="Transfers",H1537="Income",D1537="Transfer",D1537="Category Pending",F1537="Pending"),"No","Yes"))</f>
      </c>
      <c r="K1537" s="4">
        <f>IF(A1537="","",TEXT(IF(DAY(A1537)&gt;=Setup!$B$9,DATE(YEAR(A1537),MONTH(A1537)+1,1),DATE(YEAR(A1537),MONTH(A1537),1)),"mmmm yyyy"))</f>
      </c>
      <c r="L1537" s="47">
        <f>IF(A1537="",0,IF(AND(J1537="Yes",E1537&lt;0),-E1537,0))</f>
      </c>
      <c r="M1537" s="47">
        <f>IF(A1537="",0,IF(AND(J1537="Yes",E1537&gt;0),E1537,0))</f>
      </c>
      <c r="N1537">
        <f>IF(A1537="","",IF(D1537="Category Pending","Needs categorization",IF(COUNTIFS($A$2:A1537,A1537,$B$2:B1537,B1537,$E$2:E1537,E1537)&gt;1,"Possible duplicate","")))</f>
      </c>
    </row>
    <row r="1538" spans="3:14" x14ac:dyDescent="0.3">
      <c r="A1538"/>
      <c r="C1538" s="16"/>
      <c r="G1538" s="5">
        <f>IF(A1538="","","Checking")</f>
      </c>
      <c r="H1538">
        <f>IF(A1538="","",IFERROR(XLOOKUP(D1538,Setup!$E$15:$E$79,Setup!$F$15:$F$79),"Miscellaneous"))</f>
      </c>
      <c r="I1538">
        <f>IF(A1538="","",IFERROR(XLOOKUP(D1538,Setup!$E$15:$E$79,Setup!$G$15:$G$79),"Uncategorized"))</f>
      </c>
      <c r="J1538">
        <f>IF(A1538="","",IF(OR(H1538="Transfers",H1538="Income",D1538="Transfer",D1538="Category Pending",F1538="Pending"),"No","Yes"))</f>
      </c>
      <c r="K1538" s="4">
        <f>IF(A1538="","",TEXT(IF(DAY(A1538)&gt;=Setup!$B$9,DATE(YEAR(A1538),MONTH(A1538)+1,1),DATE(YEAR(A1538),MONTH(A1538),1)),"mmmm yyyy"))</f>
      </c>
      <c r="L1538" s="47">
        <f>IF(A1538="",0,IF(AND(J1538="Yes",E1538&lt;0),-E1538,0))</f>
      </c>
      <c r="M1538" s="47">
        <f>IF(A1538="",0,IF(AND(J1538="Yes",E1538&gt;0),E1538,0))</f>
      </c>
      <c r="N1538">
        <f>IF(A1538="","",IF(D1538="Category Pending","Needs categorization",IF(COUNTIFS($A$2:A1538,A1538,$B$2:B1538,B1538,$E$2:E1538,E1538)&gt;1,"Possible duplicate","")))</f>
      </c>
    </row>
    <row r="1539" spans="3:14" x14ac:dyDescent="0.3">
      <c r="A1539"/>
      <c r="C1539" s="16"/>
      <c r="G1539" s="5">
        <f>IF(A1539="","","Checking")</f>
      </c>
      <c r="H1539">
        <f>IF(A1539="","",IFERROR(XLOOKUP(D1539,Setup!$E$15:$E$79,Setup!$F$15:$F$79),"Miscellaneous"))</f>
      </c>
      <c r="I1539">
        <f>IF(A1539="","",IFERROR(XLOOKUP(D1539,Setup!$E$15:$E$79,Setup!$G$15:$G$79),"Uncategorized"))</f>
      </c>
      <c r="J1539">
        <f>IF(A1539="","",IF(OR(H1539="Transfers",H1539="Income",D1539="Transfer",D1539="Category Pending",F1539="Pending"),"No","Yes"))</f>
      </c>
      <c r="K1539" s="4">
        <f>IF(A1539="","",TEXT(IF(DAY(A1539)&gt;=Setup!$B$9,DATE(YEAR(A1539),MONTH(A1539)+1,1),DATE(YEAR(A1539),MONTH(A1539),1)),"mmmm yyyy"))</f>
      </c>
      <c r="L1539" s="47">
        <f>IF(A1539="",0,IF(AND(J1539="Yes",E1539&lt;0),-E1539,0))</f>
      </c>
      <c r="M1539" s="47">
        <f>IF(A1539="",0,IF(AND(J1539="Yes",E1539&gt;0),E1539,0))</f>
      </c>
      <c r="N1539">
        <f>IF(A1539="","",IF(D1539="Category Pending","Needs categorization",IF(COUNTIFS($A$2:A1539,A1539,$B$2:B1539,B1539,$E$2:E1539,E1539)&gt;1,"Possible duplicate","")))</f>
      </c>
    </row>
    <row r="1540" spans="3:14" x14ac:dyDescent="0.3">
      <c r="A1540"/>
      <c r="C1540" s="16"/>
      <c r="G1540" s="5">
        <f>IF(A1540="","","Checking")</f>
      </c>
      <c r="H1540">
        <f>IF(A1540="","",IFERROR(XLOOKUP(D1540,Setup!$E$15:$E$79,Setup!$F$15:$F$79),"Miscellaneous"))</f>
      </c>
      <c r="I1540">
        <f>IF(A1540="","",IFERROR(XLOOKUP(D1540,Setup!$E$15:$E$79,Setup!$G$15:$G$79),"Uncategorized"))</f>
      </c>
      <c r="J1540">
        <f>IF(A1540="","",IF(OR(H1540="Transfers",H1540="Income",D1540="Transfer",D1540="Category Pending",F1540="Pending"),"No","Yes"))</f>
      </c>
      <c r="K1540" s="4">
        <f>IF(A1540="","",TEXT(IF(DAY(A1540)&gt;=Setup!$B$9,DATE(YEAR(A1540),MONTH(A1540)+1,1),DATE(YEAR(A1540),MONTH(A1540),1)),"mmmm yyyy"))</f>
      </c>
      <c r="L1540" s="47">
        <f>IF(A1540="",0,IF(AND(J1540="Yes",E1540&lt;0),-E1540,0))</f>
      </c>
      <c r="M1540" s="47">
        <f>IF(A1540="",0,IF(AND(J1540="Yes",E1540&gt;0),E1540,0))</f>
      </c>
      <c r="N1540">
        <f>IF(A1540="","",IF(D1540="Category Pending","Needs categorization",IF(COUNTIFS($A$2:A1540,A1540,$B$2:B1540,B1540,$E$2:E1540,E1540)&gt;1,"Possible duplicate","")))</f>
      </c>
    </row>
    <row r="1541" spans="3:14" x14ac:dyDescent="0.3">
      <c r="A1541"/>
      <c r="C1541" s="16"/>
      <c r="G1541" s="5">
        <f>IF(A1541="","","Checking")</f>
      </c>
      <c r="H1541">
        <f>IF(A1541="","",IFERROR(XLOOKUP(D1541,Setup!$E$15:$E$79,Setup!$F$15:$F$79),"Miscellaneous"))</f>
      </c>
      <c r="I1541">
        <f>IF(A1541="","",IFERROR(XLOOKUP(D1541,Setup!$E$15:$E$79,Setup!$G$15:$G$79),"Uncategorized"))</f>
      </c>
      <c r="J1541">
        <f>IF(A1541="","",IF(OR(H1541="Transfers",H1541="Income",D1541="Transfer",D1541="Category Pending",F1541="Pending"),"No","Yes"))</f>
      </c>
      <c r="K1541" s="4">
        <f>IF(A1541="","",TEXT(IF(DAY(A1541)&gt;=Setup!$B$9,DATE(YEAR(A1541),MONTH(A1541)+1,1),DATE(YEAR(A1541),MONTH(A1541),1)),"mmmm yyyy"))</f>
      </c>
      <c r="L1541" s="47">
        <f>IF(A1541="",0,IF(AND(J1541="Yes",E1541&lt;0),-E1541,0))</f>
      </c>
      <c r="M1541" s="47">
        <f>IF(A1541="",0,IF(AND(J1541="Yes",E1541&gt;0),E1541,0))</f>
      </c>
      <c r="N1541">
        <f>IF(A1541="","",IF(D1541="Category Pending","Needs categorization",IF(COUNTIFS($A$2:A1541,A1541,$B$2:B1541,B1541,$E$2:E1541,E1541)&gt;1,"Possible duplicate","")))</f>
      </c>
    </row>
    <row r="1542" spans="3:14" x14ac:dyDescent="0.3">
      <c r="A1542"/>
      <c r="C1542" s="16"/>
      <c r="G1542" s="5">
        <f>IF(A1542="","","Checking")</f>
      </c>
      <c r="H1542">
        <f>IF(A1542="","",IFERROR(XLOOKUP(D1542,Setup!$E$15:$E$79,Setup!$F$15:$F$79),"Miscellaneous"))</f>
      </c>
      <c r="I1542">
        <f>IF(A1542="","",IFERROR(XLOOKUP(D1542,Setup!$E$15:$E$79,Setup!$G$15:$G$79),"Uncategorized"))</f>
      </c>
      <c r="J1542">
        <f>IF(A1542="","",IF(OR(H1542="Transfers",H1542="Income",D1542="Transfer",D1542="Category Pending",F1542="Pending"),"No","Yes"))</f>
      </c>
      <c r="K1542" s="4">
        <f>IF(A1542="","",TEXT(IF(DAY(A1542)&gt;=Setup!$B$9,DATE(YEAR(A1542),MONTH(A1542)+1,1),DATE(YEAR(A1542),MONTH(A1542),1)),"mmmm yyyy"))</f>
      </c>
      <c r="L1542" s="47">
        <f>IF(A1542="",0,IF(AND(J1542="Yes",E1542&lt;0),-E1542,0))</f>
      </c>
      <c r="M1542" s="47">
        <f>IF(A1542="",0,IF(AND(J1542="Yes",E1542&gt;0),E1542,0))</f>
      </c>
      <c r="N1542">
        <f>IF(A1542="","",IF(D1542="Category Pending","Needs categorization",IF(COUNTIFS($A$2:A1542,A1542,$B$2:B1542,B1542,$E$2:E1542,E1542)&gt;1,"Possible duplicate","")))</f>
      </c>
    </row>
    <row r="1543" spans="3:14" x14ac:dyDescent="0.3">
      <c r="A1543"/>
      <c r="C1543" s="16"/>
      <c r="G1543" s="5">
        <f>IF(A1543="","","Checking")</f>
      </c>
      <c r="H1543">
        <f>IF(A1543="","",IFERROR(XLOOKUP(D1543,Setup!$E$15:$E$79,Setup!$F$15:$F$79),"Miscellaneous"))</f>
      </c>
      <c r="I1543">
        <f>IF(A1543="","",IFERROR(XLOOKUP(D1543,Setup!$E$15:$E$79,Setup!$G$15:$G$79),"Uncategorized"))</f>
      </c>
      <c r="J1543">
        <f>IF(A1543="","",IF(OR(H1543="Transfers",H1543="Income",D1543="Transfer",D1543="Category Pending",F1543="Pending"),"No","Yes"))</f>
      </c>
      <c r="K1543" s="4">
        <f>IF(A1543="","",TEXT(IF(DAY(A1543)&gt;=Setup!$B$9,DATE(YEAR(A1543),MONTH(A1543)+1,1),DATE(YEAR(A1543),MONTH(A1543),1)),"mmmm yyyy"))</f>
      </c>
      <c r="L1543" s="47">
        <f>IF(A1543="",0,IF(AND(J1543="Yes",E1543&lt;0),-E1543,0))</f>
      </c>
      <c r="M1543" s="47">
        <f>IF(A1543="",0,IF(AND(J1543="Yes",E1543&gt;0),E1543,0))</f>
      </c>
      <c r="N1543">
        <f>IF(A1543="","",IF(D1543="Category Pending","Needs categorization",IF(COUNTIFS($A$2:A1543,A1543,$B$2:B1543,B1543,$E$2:E1543,E1543)&gt;1,"Possible duplicate","")))</f>
      </c>
    </row>
    <row r="1544" spans="3:14" x14ac:dyDescent="0.3">
      <c r="A1544"/>
      <c r="C1544" s="16"/>
      <c r="G1544" s="5">
        <f>IF(A1544="","","Checking")</f>
      </c>
      <c r="H1544">
        <f>IF(A1544="","",IFERROR(XLOOKUP(D1544,Setup!$E$15:$E$79,Setup!$F$15:$F$79),"Miscellaneous"))</f>
      </c>
      <c r="I1544">
        <f>IF(A1544="","",IFERROR(XLOOKUP(D1544,Setup!$E$15:$E$79,Setup!$G$15:$G$79),"Uncategorized"))</f>
      </c>
      <c r="J1544">
        <f>IF(A1544="","",IF(OR(H1544="Transfers",H1544="Income",D1544="Transfer",D1544="Category Pending",F1544="Pending"),"No","Yes"))</f>
      </c>
      <c r="K1544" s="4">
        <f>IF(A1544="","",TEXT(IF(DAY(A1544)&gt;=Setup!$B$9,DATE(YEAR(A1544),MONTH(A1544)+1,1),DATE(YEAR(A1544),MONTH(A1544),1)),"mmmm yyyy"))</f>
      </c>
      <c r="L1544" s="47">
        <f>IF(A1544="",0,IF(AND(J1544="Yes",E1544&lt;0),-E1544,0))</f>
      </c>
      <c r="M1544" s="47">
        <f>IF(A1544="",0,IF(AND(J1544="Yes",E1544&gt;0),E1544,0))</f>
      </c>
      <c r="N1544">
        <f>IF(A1544="","",IF(D1544="Category Pending","Needs categorization",IF(COUNTIFS($A$2:A1544,A1544,$B$2:B1544,B1544,$E$2:E1544,E1544)&gt;1,"Possible duplicate","")))</f>
      </c>
    </row>
    <row r="1545" spans="3:14" x14ac:dyDescent="0.3">
      <c r="A1545"/>
      <c r="C1545" s="16"/>
      <c r="G1545" s="5">
        <f>IF(A1545="","","Checking")</f>
      </c>
      <c r="H1545">
        <f>IF(A1545="","",IFERROR(XLOOKUP(D1545,Setup!$E$15:$E$79,Setup!$F$15:$F$79),"Miscellaneous"))</f>
      </c>
      <c r="I1545">
        <f>IF(A1545="","",IFERROR(XLOOKUP(D1545,Setup!$E$15:$E$79,Setup!$G$15:$G$79),"Uncategorized"))</f>
      </c>
      <c r="J1545">
        <f>IF(A1545="","",IF(OR(H1545="Transfers",H1545="Income",D1545="Transfer",D1545="Category Pending",F1545="Pending"),"No","Yes"))</f>
      </c>
      <c r="K1545" s="4">
        <f>IF(A1545="","",TEXT(IF(DAY(A1545)&gt;=Setup!$B$9,DATE(YEAR(A1545),MONTH(A1545)+1,1),DATE(YEAR(A1545),MONTH(A1545),1)),"mmmm yyyy"))</f>
      </c>
      <c r="L1545" s="47">
        <f>IF(A1545="",0,IF(AND(J1545="Yes",E1545&lt;0),-E1545,0))</f>
      </c>
      <c r="M1545" s="47">
        <f>IF(A1545="",0,IF(AND(J1545="Yes",E1545&gt;0),E1545,0))</f>
      </c>
      <c r="N1545">
        <f>IF(A1545="","",IF(D1545="Category Pending","Needs categorization",IF(COUNTIFS($A$2:A1545,A1545,$B$2:B1545,B1545,$E$2:E1545,E1545)&gt;1,"Possible duplicate","")))</f>
      </c>
    </row>
    <row r="1546" spans="3:14" x14ac:dyDescent="0.3">
      <c r="A1546"/>
      <c r="C1546" s="16"/>
      <c r="G1546" s="5">
        <f>IF(A1546="","","Checking")</f>
      </c>
      <c r="H1546">
        <f>IF(A1546="","",IFERROR(XLOOKUP(D1546,Setup!$E$15:$E$79,Setup!$F$15:$F$79),"Miscellaneous"))</f>
      </c>
      <c r="I1546">
        <f>IF(A1546="","",IFERROR(XLOOKUP(D1546,Setup!$E$15:$E$79,Setup!$G$15:$G$79),"Uncategorized"))</f>
      </c>
      <c r="J1546">
        <f>IF(A1546="","",IF(OR(H1546="Transfers",H1546="Income",D1546="Transfer",D1546="Category Pending",F1546="Pending"),"No","Yes"))</f>
      </c>
      <c r="K1546" s="4">
        <f>IF(A1546="","",TEXT(IF(DAY(A1546)&gt;=Setup!$B$9,DATE(YEAR(A1546),MONTH(A1546)+1,1),DATE(YEAR(A1546),MONTH(A1546),1)),"mmmm yyyy"))</f>
      </c>
      <c r="L1546" s="47">
        <f>IF(A1546="",0,IF(AND(J1546="Yes",E1546&lt;0),-E1546,0))</f>
      </c>
      <c r="M1546" s="47">
        <f>IF(A1546="",0,IF(AND(J1546="Yes",E1546&gt;0),E1546,0))</f>
      </c>
      <c r="N1546">
        <f>IF(A1546="","",IF(D1546="Category Pending","Needs categorization",IF(COUNTIFS($A$2:A1546,A1546,$B$2:B1546,B1546,$E$2:E1546,E1546)&gt;1,"Possible duplicate","")))</f>
      </c>
    </row>
    <row r="1547" spans="3:14" x14ac:dyDescent="0.3">
      <c r="A1547"/>
      <c r="C1547" s="16"/>
      <c r="G1547" s="5">
        <f>IF(A1547="","","Checking")</f>
      </c>
      <c r="H1547">
        <f>IF(A1547="","",IFERROR(XLOOKUP(D1547,Setup!$E$15:$E$79,Setup!$F$15:$F$79),"Miscellaneous"))</f>
      </c>
      <c r="I1547">
        <f>IF(A1547="","",IFERROR(XLOOKUP(D1547,Setup!$E$15:$E$79,Setup!$G$15:$G$79),"Uncategorized"))</f>
      </c>
      <c r="J1547">
        <f>IF(A1547="","",IF(OR(H1547="Transfers",H1547="Income",D1547="Transfer",D1547="Category Pending",F1547="Pending"),"No","Yes"))</f>
      </c>
      <c r="K1547" s="4">
        <f>IF(A1547="","",TEXT(IF(DAY(A1547)&gt;=Setup!$B$9,DATE(YEAR(A1547),MONTH(A1547)+1,1),DATE(YEAR(A1547),MONTH(A1547),1)),"mmmm yyyy"))</f>
      </c>
      <c r="L1547" s="47">
        <f>IF(A1547="",0,IF(AND(J1547="Yes",E1547&lt;0),-E1547,0))</f>
      </c>
      <c r="M1547" s="47">
        <f>IF(A1547="",0,IF(AND(J1547="Yes",E1547&gt;0),E1547,0))</f>
      </c>
      <c r="N1547">
        <f>IF(A1547="","",IF(D1547="Category Pending","Needs categorization",IF(COUNTIFS($A$2:A1547,A1547,$B$2:B1547,B1547,$E$2:E1547,E1547)&gt;1,"Possible duplicate","")))</f>
      </c>
    </row>
    <row r="1548" spans="3:14" x14ac:dyDescent="0.3">
      <c r="A1548"/>
      <c r="C1548" s="16"/>
      <c r="G1548" s="5">
        <f>IF(A1548="","","Checking")</f>
      </c>
      <c r="H1548">
        <f>IF(A1548="","",IFERROR(XLOOKUP(D1548,Setup!$E$15:$E$79,Setup!$F$15:$F$79),"Miscellaneous"))</f>
      </c>
      <c r="I1548">
        <f>IF(A1548="","",IFERROR(XLOOKUP(D1548,Setup!$E$15:$E$79,Setup!$G$15:$G$79),"Uncategorized"))</f>
      </c>
      <c r="J1548">
        <f>IF(A1548="","",IF(OR(H1548="Transfers",H1548="Income",D1548="Transfer",D1548="Category Pending",F1548="Pending"),"No","Yes"))</f>
      </c>
      <c r="K1548" s="4">
        <f>IF(A1548="","",TEXT(IF(DAY(A1548)&gt;=Setup!$B$9,DATE(YEAR(A1548),MONTH(A1548)+1,1),DATE(YEAR(A1548),MONTH(A1548),1)),"mmmm yyyy"))</f>
      </c>
      <c r="L1548" s="47">
        <f>IF(A1548="",0,IF(AND(J1548="Yes",E1548&lt;0),-E1548,0))</f>
      </c>
      <c r="M1548" s="47">
        <f>IF(A1548="",0,IF(AND(J1548="Yes",E1548&gt;0),E1548,0))</f>
      </c>
      <c r="N1548">
        <f>IF(A1548="","",IF(D1548="Category Pending","Needs categorization",IF(COUNTIFS($A$2:A1548,A1548,$B$2:B1548,B1548,$E$2:E1548,E1548)&gt;1,"Possible duplicate","")))</f>
      </c>
    </row>
    <row r="1549" spans="3:14" x14ac:dyDescent="0.3">
      <c r="A1549"/>
      <c r="C1549" s="16"/>
      <c r="G1549" s="5">
        <f>IF(A1549="","","Checking")</f>
      </c>
      <c r="H1549">
        <f>IF(A1549="","",IFERROR(XLOOKUP(D1549,Setup!$E$15:$E$79,Setup!$F$15:$F$79),"Miscellaneous"))</f>
      </c>
      <c r="I1549">
        <f>IF(A1549="","",IFERROR(XLOOKUP(D1549,Setup!$E$15:$E$79,Setup!$G$15:$G$79),"Uncategorized"))</f>
      </c>
      <c r="J1549">
        <f>IF(A1549="","",IF(OR(H1549="Transfers",H1549="Income",D1549="Transfer",D1549="Category Pending",F1549="Pending"),"No","Yes"))</f>
      </c>
      <c r="K1549" s="4">
        <f>IF(A1549="","",TEXT(IF(DAY(A1549)&gt;=Setup!$B$9,DATE(YEAR(A1549),MONTH(A1549)+1,1),DATE(YEAR(A1549),MONTH(A1549),1)),"mmmm yyyy"))</f>
      </c>
      <c r="L1549" s="47">
        <f>IF(A1549="",0,IF(AND(J1549="Yes",E1549&lt;0),-E1549,0))</f>
      </c>
      <c r="M1549" s="47">
        <f>IF(A1549="",0,IF(AND(J1549="Yes",E1549&gt;0),E1549,0))</f>
      </c>
      <c r="N1549">
        <f>IF(A1549="","",IF(D1549="Category Pending","Needs categorization",IF(COUNTIFS($A$2:A1549,A1549,$B$2:B1549,B1549,$E$2:E1549,E1549)&gt;1,"Possible duplicate","")))</f>
      </c>
    </row>
    <row r="1550" spans="3:14" x14ac:dyDescent="0.3">
      <c r="A1550"/>
      <c r="C1550" s="16"/>
      <c r="G1550" s="5">
        <f>IF(A1550="","","Checking")</f>
      </c>
      <c r="H1550">
        <f>IF(A1550="","",IFERROR(XLOOKUP(D1550,Setup!$E$15:$E$79,Setup!$F$15:$F$79),"Miscellaneous"))</f>
      </c>
      <c r="I1550">
        <f>IF(A1550="","",IFERROR(XLOOKUP(D1550,Setup!$E$15:$E$79,Setup!$G$15:$G$79),"Uncategorized"))</f>
      </c>
      <c r="J1550">
        <f>IF(A1550="","",IF(OR(H1550="Transfers",H1550="Income",D1550="Transfer",D1550="Category Pending",F1550="Pending"),"No","Yes"))</f>
      </c>
      <c r="K1550" s="4">
        <f>IF(A1550="","",TEXT(IF(DAY(A1550)&gt;=Setup!$B$9,DATE(YEAR(A1550),MONTH(A1550)+1,1),DATE(YEAR(A1550),MONTH(A1550),1)),"mmmm yyyy"))</f>
      </c>
      <c r="L1550" s="47">
        <f>IF(A1550="",0,IF(AND(J1550="Yes",E1550&lt;0),-E1550,0))</f>
      </c>
      <c r="M1550" s="47">
        <f>IF(A1550="",0,IF(AND(J1550="Yes",E1550&gt;0),E1550,0))</f>
      </c>
      <c r="N1550">
        <f>IF(A1550="","",IF(D1550="Category Pending","Needs categorization",IF(COUNTIFS($A$2:A1550,A1550,$B$2:B1550,B1550,$E$2:E1550,E1550)&gt;1,"Possible duplicate","")))</f>
      </c>
    </row>
    <row r="1551" spans="3:14" x14ac:dyDescent="0.3">
      <c r="A1551"/>
      <c r="C1551" s="16"/>
      <c r="G1551" s="5">
        <f>IF(A1551="","","Checking")</f>
      </c>
      <c r="H1551">
        <f>IF(A1551="","",IFERROR(XLOOKUP(D1551,Setup!$E$15:$E$79,Setup!$F$15:$F$79),"Miscellaneous"))</f>
      </c>
      <c r="I1551">
        <f>IF(A1551="","",IFERROR(XLOOKUP(D1551,Setup!$E$15:$E$79,Setup!$G$15:$G$79),"Uncategorized"))</f>
      </c>
      <c r="J1551">
        <f>IF(A1551="","",IF(OR(H1551="Transfers",H1551="Income",D1551="Transfer",D1551="Category Pending",F1551="Pending"),"No","Yes"))</f>
      </c>
      <c r="K1551" s="4">
        <f>IF(A1551="","",TEXT(IF(DAY(A1551)&gt;=Setup!$B$9,DATE(YEAR(A1551),MONTH(A1551)+1,1),DATE(YEAR(A1551),MONTH(A1551),1)),"mmmm yyyy"))</f>
      </c>
      <c r="L1551" s="47">
        <f>IF(A1551="",0,IF(AND(J1551="Yes",E1551&lt;0),-E1551,0))</f>
      </c>
      <c r="M1551" s="47">
        <f>IF(A1551="",0,IF(AND(J1551="Yes",E1551&gt;0),E1551,0))</f>
      </c>
      <c r="N1551">
        <f>IF(A1551="","",IF(D1551="Category Pending","Needs categorization",IF(COUNTIFS($A$2:A1551,A1551,$B$2:B1551,B1551,$E$2:E1551,E1551)&gt;1,"Possible duplicate","")))</f>
      </c>
    </row>
    <row r="1552" spans="3:14" x14ac:dyDescent="0.3">
      <c r="A1552"/>
      <c r="C1552" s="16"/>
      <c r="G1552" s="5">
        <f>IF(A1552="","","Checking")</f>
      </c>
      <c r="H1552">
        <f>IF(A1552="","",IFERROR(XLOOKUP(D1552,Setup!$E$15:$E$79,Setup!$F$15:$F$79),"Miscellaneous"))</f>
      </c>
      <c r="I1552">
        <f>IF(A1552="","",IFERROR(XLOOKUP(D1552,Setup!$E$15:$E$79,Setup!$G$15:$G$79),"Uncategorized"))</f>
      </c>
      <c r="J1552">
        <f>IF(A1552="","",IF(OR(H1552="Transfers",H1552="Income",D1552="Transfer",D1552="Category Pending",F1552="Pending"),"No","Yes"))</f>
      </c>
      <c r="K1552" s="4">
        <f>IF(A1552="","",TEXT(IF(DAY(A1552)&gt;=Setup!$B$9,DATE(YEAR(A1552),MONTH(A1552)+1,1),DATE(YEAR(A1552),MONTH(A1552),1)),"mmmm yyyy"))</f>
      </c>
      <c r="L1552" s="47">
        <f>IF(A1552="",0,IF(AND(J1552="Yes",E1552&lt;0),-E1552,0))</f>
      </c>
      <c r="M1552" s="47">
        <f>IF(A1552="",0,IF(AND(J1552="Yes",E1552&gt;0),E1552,0))</f>
      </c>
      <c r="N1552">
        <f>IF(A1552="","",IF(D1552="Category Pending","Needs categorization",IF(COUNTIFS($A$2:A1552,A1552,$B$2:B1552,B1552,$E$2:E1552,E1552)&gt;1,"Possible duplicate","")))</f>
      </c>
    </row>
    <row r="1553" spans="3:14" x14ac:dyDescent="0.3">
      <c r="A1553"/>
      <c r="C1553" s="16"/>
      <c r="G1553" s="5">
        <f>IF(A1553="","","Checking")</f>
      </c>
      <c r="H1553">
        <f>IF(A1553="","",IFERROR(XLOOKUP(D1553,Setup!$E$15:$E$79,Setup!$F$15:$F$79),"Miscellaneous"))</f>
      </c>
      <c r="I1553">
        <f>IF(A1553="","",IFERROR(XLOOKUP(D1553,Setup!$E$15:$E$79,Setup!$G$15:$G$79),"Uncategorized"))</f>
      </c>
      <c r="J1553">
        <f>IF(A1553="","",IF(OR(H1553="Transfers",H1553="Income",D1553="Transfer",D1553="Category Pending",F1553="Pending"),"No","Yes"))</f>
      </c>
      <c r="K1553" s="4">
        <f>IF(A1553="","",TEXT(IF(DAY(A1553)&gt;=Setup!$B$9,DATE(YEAR(A1553),MONTH(A1553)+1,1),DATE(YEAR(A1553),MONTH(A1553),1)),"mmmm yyyy"))</f>
      </c>
      <c r="L1553" s="47">
        <f>IF(A1553="",0,IF(AND(J1553="Yes",E1553&lt;0),-E1553,0))</f>
      </c>
      <c r="M1553" s="47">
        <f>IF(A1553="",0,IF(AND(J1553="Yes",E1553&gt;0),E1553,0))</f>
      </c>
      <c r="N1553">
        <f>IF(A1553="","",IF(D1553="Category Pending","Needs categorization",IF(COUNTIFS($A$2:A1553,A1553,$B$2:B1553,B1553,$E$2:E1553,E1553)&gt;1,"Possible duplicate","")))</f>
      </c>
    </row>
    <row r="1554" spans="3:14" x14ac:dyDescent="0.3">
      <c r="A1554"/>
      <c r="C1554" s="16"/>
      <c r="G1554" s="5">
        <f>IF(A1554="","","Checking")</f>
      </c>
      <c r="H1554">
        <f>IF(A1554="","",IFERROR(XLOOKUP(D1554,Setup!$E$15:$E$79,Setup!$F$15:$F$79),"Miscellaneous"))</f>
      </c>
      <c r="I1554">
        <f>IF(A1554="","",IFERROR(XLOOKUP(D1554,Setup!$E$15:$E$79,Setup!$G$15:$G$79),"Uncategorized"))</f>
      </c>
      <c r="J1554">
        <f>IF(A1554="","",IF(OR(H1554="Transfers",H1554="Income",D1554="Transfer",D1554="Category Pending",F1554="Pending"),"No","Yes"))</f>
      </c>
      <c r="K1554" s="4">
        <f>IF(A1554="","",TEXT(IF(DAY(A1554)&gt;=Setup!$B$9,DATE(YEAR(A1554),MONTH(A1554)+1,1),DATE(YEAR(A1554),MONTH(A1554),1)),"mmmm yyyy"))</f>
      </c>
      <c r="L1554" s="47">
        <f>IF(A1554="",0,IF(AND(J1554="Yes",E1554&lt;0),-E1554,0))</f>
      </c>
      <c r="M1554" s="47">
        <f>IF(A1554="",0,IF(AND(J1554="Yes",E1554&gt;0),E1554,0))</f>
      </c>
      <c r="N1554">
        <f>IF(A1554="","",IF(D1554="Category Pending","Needs categorization",IF(COUNTIFS($A$2:A1554,A1554,$B$2:B1554,B1554,$E$2:E1554,E1554)&gt;1,"Possible duplicate","")))</f>
      </c>
    </row>
    <row r="1555" spans="3:14" x14ac:dyDescent="0.3">
      <c r="A1555"/>
      <c r="C1555" s="16"/>
      <c r="G1555" s="5">
        <f>IF(A1555="","","Checking")</f>
      </c>
      <c r="H1555">
        <f>IF(A1555="","",IFERROR(XLOOKUP(D1555,Setup!$E$15:$E$79,Setup!$F$15:$F$79),"Miscellaneous"))</f>
      </c>
      <c r="I1555">
        <f>IF(A1555="","",IFERROR(XLOOKUP(D1555,Setup!$E$15:$E$79,Setup!$G$15:$G$79),"Uncategorized"))</f>
      </c>
      <c r="J1555">
        <f>IF(A1555="","",IF(OR(H1555="Transfers",H1555="Income",D1555="Transfer",D1555="Category Pending",F1555="Pending"),"No","Yes"))</f>
      </c>
      <c r="K1555" s="4">
        <f>IF(A1555="","",TEXT(IF(DAY(A1555)&gt;=Setup!$B$9,DATE(YEAR(A1555),MONTH(A1555)+1,1),DATE(YEAR(A1555),MONTH(A1555),1)),"mmmm yyyy"))</f>
      </c>
      <c r="L1555" s="47">
        <f>IF(A1555="",0,IF(AND(J1555="Yes",E1555&lt;0),-E1555,0))</f>
      </c>
      <c r="M1555" s="47">
        <f>IF(A1555="",0,IF(AND(J1555="Yes",E1555&gt;0),E1555,0))</f>
      </c>
      <c r="N1555">
        <f>IF(A1555="","",IF(D1555="Category Pending","Needs categorization",IF(COUNTIFS($A$2:A1555,A1555,$B$2:B1555,B1555,$E$2:E1555,E1555)&gt;1,"Possible duplicate","")))</f>
      </c>
    </row>
    <row r="1556" spans="3:14" x14ac:dyDescent="0.3">
      <c r="A1556"/>
      <c r="C1556" s="16"/>
      <c r="G1556" s="5">
        <f>IF(A1556="","","Checking")</f>
      </c>
      <c r="H1556">
        <f>IF(A1556="","",IFERROR(XLOOKUP(D1556,Setup!$E$15:$E$79,Setup!$F$15:$F$79),"Miscellaneous"))</f>
      </c>
      <c r="I1556">
        <f>IF(A1556="","",IFERROR(XLOOKUP(D1556,Setup!$E$15:$E$79,Setup!$G$15:$G$79),"Uncategorized"))</f>
      </c>
      <c r="J1556">
        <f>IF(A1556="","",IF(OR(H1556="Transfers",H1556="Income",D1556="Transfer",D1556="Category Pending",F1556="Pending"),"No","Yes"))</f>
      </c>
      <c r="K1556" s="4">
        <f>IF(A1556="","",TEXT(IF(DAY(A1556)&gt;=Setup!$B$9,DATE(YEAR(A1556),MONTH(A1556)+1,1),DATE(YEAR(A1556),MONTH(A1556),1)),"mmmm yyyy"))</f>
      </c>
      <c r="L1556" s="47">
        <f>IF(A1556="",0,IF(AND(J1556="Yes",E1556&lt;0),-E1556,0))</f>
      </c>
      <c r="M1556" s="47">
        <f>IF(A1556="",0,IF(AND(J1556="Yes",E1556&gt;0),E1556,0))</f>
      </c>
      <c r="N1556">
        <f>IF(A1556="","",IF(D1556="Category Pending","Needs categorization",IF(COUNTIFS($A$2:A1556,A1556,$B$2:B1556,B1556,$E$2:E1556,E1556)&gt;1,"Possible duplicate","")))</f>
      </c>
    </row>
    <row r="1557" spans="3:14" x14ac:dyDescent="0.3">
      <c r="A1557"/>
      <c r="C1557" s="16"/>
      <c r="G1557" s="5">
        <f>IF(A1557="","","Checking")</f>
      </c>
      <c r="H1557">
        <f>IF(A1557="","",IFERROR(XLOOKUP(D1557,Setup!$E$15:$E$79,Setup!$F$15:$F$79),"Miscellaneous"))</f>
      </c>
      <c r="I1557">
        <f>IF(A1557="","",IFERROR(XLOOKUP(D1557,Setup!$E$15:$E$79,Setup!$G$15:$G$79),"Uncategorized"))</f>
      </c>
      <c r="J1557">
        <f>IF(A1557="","",IF(OR(H1557="Transfers",H1557="Income",D1557="Transfer",D1557="Category Pending",F1557="Pending"),"No","Yes"))</f>
      </c>
      <c r="K1557" s="4">
        <f>IF(A1557="","",TEXT(IF(DAY(A1557)&gt;=Setup!$B$9,DATE(YEAR(A1557),MONTH(A1557)+1,1),DATE(YEAR(A1557),MONTH(A1557),1)),"mmmm yyyy"))</f>
      </c>
      <c r="L1557" s="47">
        <f>IF(A1557="",0,IF(AND(J1557="Yes",E1557&lt;0),-E1557,0))</f>
      </c>
      <c r="M1557" s="47">
        <f>IF(A1557="",0,IF(AND(J1557="Yes",E1557&gt;0),E1557,0))</f>
      </c>
      <c r="N1557">
        <f>IF(A1557="","",IF(D1557="Category Pending","Needs categorization",IF(COUNTIFS($A$2:A1557,A1557,$B$2:B1557,B1557,$E$2:E1557,E1557)&gt;1,"Possible duplicate","")))</f>
      </c>
    </row>
    <row r="1558" spans="3:14" x14ac:dyDescent="0.3">
      <c r="A1558"/>
      <c r="C1558" s="16"/>
      <c r="G1558" s="5">
        <f>IF(A1558="","","Checking")</f>
      </c>
      <c r="H1558">
        <f>IF(A1558="","",IFERROR(XLOOKUP(D1558,Setup!$E$15:$E$79,Setup!$F$15:$F$79),"Miscellaneous"))</f>
      </c>
      <c r="I1558">
        <f>IF(A1558="","",IFERROR(XLOOKUP(D1558,Setup!$E$15:$E$79,Setup!$G$15:$G$79),"Uncategorized"))</f>
      </c>
      <c r="J1558">
        <f>IF(A1558="","",IF(OR(H1558="Transfers",H1558="Income",D1558="Transfer",D1558="Category Pending",F1558="Pending"),"No","Yes"))</f>
      </c>
      <c r="K1558" s="4">
        <f>IF(A1558="","",TEXT(IF(DAY(A1558)&gt;=Setup!$B$9,DATE(YEAR(A1558),MONTH(A1558)+1,1),DATE(YEAR(A1558),MONTH(A1558),1)),"mmmm yyyy"))</f>
      </c>
      <c r="L1558" s="47">
        <f>IF(A1558="",0,IF(AND(J1558="Yes",E1558&lt;0),-E1558,0))</f>
      </c>
      <c r="M1558" s="47">
        <f>IF(A1558="",0,IF(AND(J1558="Yes",E1558&gt;0),E1558,0))</f>
      </c>
      <c r="N1558">
        <f>IF(A1558="","",IF(D1558="Category Pending","Needs categorization",IF(COUNTIFS($A$2:A1558,A1558,$B$2:B1558,B1558,$E$2:E1558,E1558)&gt;1,"Possible duplicate","")))</f>
      </c>
    </row>
    <row r="1559" spans="3:14" x14ac:dyDescent="0.3">
      <c r="A1559"/>
      <c r="C1559" s="16"/>
      <c r="G1559" s="5">
        <f>IF(A1559="","","Checking")</f>
      </c>
      <c r="H1559">
        <f>IF(A1559="","",IFERROR(XLOOKUP(D1559,Setup!$E$15:$E$79,Setup!$F$15:$F$79),"Miscellaneous"))</f>
      </c>
      <c r="I1559">
        <f>IF(A1559="","",IFERROR(XLOOKUP(D1559,Setup!$E$15:$E$79,Setup!$G$15:$G$79),"Uncategorized"))</f>
      </c>
      <c r="J1559">
        <f>IF(A1559="","",IF(OR(H1559="Transfers",H1559="Income",D1559="Transfer",D1559="Category Pending",F1559="Pending"),"No","Yes"))</f>
      </c>
      <c r="K1559" s="4">
        <f>IF(A1559="","",TEXT(IF(DAY(A1559)&gt;=Setup!$B$9,DATE(YEAR(A1559),MONTH(A1559)+1,1),DATE(YEAR(A1559),MONTH(A1559),1)),"mmmm yyyy"))</f>
      </c>
      <c r="L1559" s="47">
        <f>IF(A1559="",0,IF(AND(J1559="Yes",E1559&lt;0),-E1559,0))</f>
      </c>
      <c r="M1559" s="47">
        <f>IF(A1559="",0,IF(AND(J1559="Yes",E1559&gt;0),E1559,0))</f>
      </c>
      <c r="N1559">
        <f>IF(A1559="","",IF(D1559="Category Pending","Needs categorization",IF(COUNTIFS($A$2:A1559,A1559,$B$2:B1559,B1559,$E$2:E1559,E1559)&gt;1,"Possible duplicate","")))</f>
      </c>
    </row>
    <row r="1560" spans="3:14" x14ac:dyDescent="0.3">
      <c r="A1560"/>
      <c r="C1560" s="16"/>
      <c r="G1560" s="5">
        <f>IF(A1560="","","Checking")</f>
      </c>
      <c r="H1560">
        <f>IF(A1560="","",IFERROR(XLOOKUP(D1560,Setup!$E$15:$E$79,Setup!$F$15:$F$79),"Miscellaneous"))</f>
      </c>
      <c r="I1560">
        <f>IF(A1560="","",IFERROR(XLOOKUP(D1560,Setup!$E$15:$E$79,Setup!$G$15:$G$79),"Uncategorized"))</f>
      </c>
      <c r="J1560">
        <f>IF(A1560="","",IF(OR(H1560="Transfers",H1560="Income",D1560="Transfer",D1560="Category Pending",F1560="Pending"),"No","Yes"))</f>
      </c>
      <c r="K1560" s="4">
        <f>IF(A1560="","",TEXT(IF(DAY(A1560)&gt;=Setup!$B$9,DATE(YEAR(A1560),MONTH(A1560)+1,1),DATE(YEAR(A1560),MONTH(A1560),1)),"mmmm yyyy"))</f>
      </c>
      <c r="L1560" s="47">
        <f>IF(A1560="",0,IF(AND(J1560="Yes",E1560&lt;0),-E1560,0))</f>
      </c>
      <c r="M1560" s="47">
        <f>IF(A1560="",0,IF(AND(J1560="Yes",E1560&gt;0),E1560,0))</f>
      </c>
      <c r="N1560">
        <f>IF(A1560="","",IF(D1560="Category Pending","Needs categorization",IF(COUNTIFS($A$2:A1560,A1560,$B$2:B1560,B1560,$E$2:E1560,E1560)&gt;1,"Possible duplicate","")))</f>
      </c>
    </row>
    <row r="1561" spans="3:14" x14ac:dyDescent="0.3">
      <c r="A1561"/>
      <c r="C1561" s="16"/>
      <c r="G1561" s="5">
        <f>IF(A1561="","","Checking")</f>
      </c>
      <c r="H1561">
        <f>IF(A1561="","",IFERROR(XLOOKUP(D1561,Setup!$E$15:$E$79,Setup!$F$15:$F$79),"Miscellaneous"))</f>
      </c>
      <c r="I1561">
        <f>IF(A1561="","",IFERROR(XLOOKUP(D1561,Setup!$E$15:$E$79,Setup!$G$15:$G$79),"Uncategorized"))</f>
      </c>
      <c r="J1561">
        <f>IF(A1561="","",IF(OR(H1561="Transfers",H1561="Income",D1561="Transfer",D1561="Category Pending",F1561="Pending"),"No","Yes"))</f>
      </c>
      <c r="K1561" s="4">
        <f>IF(A1561="","",TEXT(IF(DAY(A1561)&gt;=Setup!$B$9,DATE(YEAR(A1561),MONTH(A1561)+1,1),DATE(YEAR(A1561),MONTH(A1561),1)),"mmmm yyyy"))</f>
      </c>
      <c r="L1561" s="47">
        <f>IF(A1561="",0,IF(AND(J1561="Yes",E1561&lt;0),-E1561,0))</f>
      </c>
      <c r="M1561" s="47">
        <f>IF(A1561="",0,IF(AND(J1561="Yes",E1561&gt;0),E1561,0))</f>
      </c>
      <c r="N1561">
        <f>IF(A1561="","",IF(D1561="Category Pending","Needs categorization",IF(COUNTIFS($A$2:A1561,A1561,$B$2:B1561,B1561,$E$2:E1561,E1561)&gt;1,"Possible duplicate","")))</f>
      </c>
    </row>
    <row r="1562" spans="3:14" x14ac:dyDescent="0.3">
      <c r="A1562"/>
      <c r="C1562" s="16"/>
      <c r="G1562" s="5">
        <f>IF(A1562="","","Checking")</f>
      </c>
      <c r="H1562">
        <f>IF(A1562="","",IFERROR(XLOOKUP(D1562,Setup!$E$15:$E$79,Setup!$F$15:$F$79),"Miscellaneous"))</f>
      </c>
      <c r="I1562">
        <f>IF(A1562="","",IFERROR(XLOOKUP(D1562,Setup!$E$15:$E$79,Setup!$G$15:$G$79),"Uncategorized"))</f>
      </c>
      <c r="J1562">
        <f>IF(A1562="","",IF(OR(H1562="Transfers",H1562="Income",D1562="Transfer",D1562="Category Pending",F1562="Pending"),"No","Yes"))</f>
      </c>
      <c r="K1562" s="4">
        <f>IF(A1562="","",TEXT(IF(DAY(A1562)&gt;=Setup!$B$9,DATE(YEAR(A1562),MONTH(A1562)+1,1),DATE(YEAR(A1562),MONTH(A1562),1)),"mmmm yyyy"))</f>
      </c>
      <c r="L1562" s="47">
        <f>IF(A1562="",0,IF(AND(J1562="Yes",E1562&lt;0),-E1562,0))</f>
      </c>
      <c r="M1562" s="47">
        <f>IF(A1562="",0,IF(AND(J1562="Yes",E1562&gt;0),E1562,0))</f>
      </c>
      <c r="N1562">
        <f>IF(A1562="","",IF(D1562="Category Pending","Needs categorization",IF(COUNTIFS($A$2:A1562,A1562,$B$2:B1562,B1562,$E$2:E1562,E1562)&gt;1,"Possible duplicate","")))</f>
      </c>
    </row>
    <row r="1563" spans="3:14" x14ac:dyDescent="0.3">
      <c r="A1563"/>
      <c r="C1563" s="16"/>
      <c r="G1563" s="5">
        <f>IF(A1563="","","Checking")</f>
      </c>
      <c r="H1563">
        <f>IF(A1563="","",IFERROR(XLOOKUP(D1563,Setup!$E$15:$E$79,Setup!$F$15:$F$79),"Miscellaneous"))</f>
      </c>
      <c r="I1563">
        <f>IF(A1563="","",IFERROR(XLOOKUP(D1563,Setup!$E$15:$E$79,Setup!$G$15:$G$79),"Uncategorized"))</f>
      </c>
      <c r="J1563">
        <f>IF(A1563="","",IF(OR(H1563="Transfers",H1563="Income",D1563="Transfer",D1563="Category Pending",F1563="Pending"),"No","Yes"))</f>
      </c>
      <c r="K1563" s="4">
        <f>IF(A1563="","",TEXT(IF(DAY(A1563)&gt;=Setup!$B$9,DATE(YEAR(A1563),MONTH(A1563)+1,1),DATE(YEAR(A1563),MONTH(A1563),1)),"mmmm yyyy"))</f>
      </c>
      <c r="L1563" s="47">
        <f>IF(A1563="",0,IF(AND(J1563="Yes",E1563&lt;0),-E1563,0))</f>
      </c>
      <c r="M1563" s="47">
        <f>IF(A1563="",0,IF(AND(J1563="Yes",E1563&gt;0),E1563,0))</f>
      </c>
      <c r="N1563">
        <f>IF(A1563="","",IF(D1563="Category Pending","Needs categorization",IF(COUNTIFS($A$2:A1563,A1563,$B$2:B1563,B1563,$E$2:E1563,E1563)&gt;1,"Possible duplicate","")))</f>
      </c>
    </row>
    <row r="1564" spans="3:14" x14ac:dyDescent="0.3">
      <c r="A1564"/>
      <c r="C1564" s="16"/>
      <c r="G1564" s="5">
        <f>IF(A1564="","","Checking")</f>
      </c>
      <c r="H1564">
        <f>IF(A1564="","",IFERROR(XLOOKUP(D1564,Setup!$E$15:$E$79,Setup!$F$15:$F$79),"Miscellaneous"))</f>
      </c>
      <c r="I1564">
        <f>IF(A1564="","",IFERROR(XLOOKUP(D1564,Setup!$E$15:$E$79,Setup!$G$15:$G$79),"Uncategorized"))</f>
      </c>
      <c r="J1564">
        <f>IF(A1564="","",IF(OR(H1564="Transfers",H1564="Income",D1564="Transfer",D1564="Category Pending",F1564="Pending"),"No","Yes"))</f>
      </c>
      <c r="K1564" s="4">
        <f>IF(A1564="","",TEXT(IF(DAY(A1564)&gt;=Setup!$B$9,DATE(YEAR(A1564),MONTH(A1564)+1,1),DATE(YEAR(A1564),MONTH(A1564),1)),"mmmm yyyy"))</f>
      </c>
      <c r="L1564" s="47">
        <f>IF(A1564="",0,IF(AND(J1564="Yes",E1564&lt;0),-E1564,0))</f>
      </c>
      <c r="M1564" s="47">
        <f>IF(A1564="",0,IF(AND(J1564="Yes",E1564&gt;0),E1564,0))</f>
      </c>
      <c r="N1564">
        <f>IF(A1564="","",IF(D1564="Category Pending","Needs categorization",IF(COUNTIFS($A$2:A1564,A1564,$B$2:B1564,B1564,$E$2:E1564,E1564)&gt;1,"Possible duplicate","")))</f>
      </c>
    </row>
    <row r="1565" spans="3:14" x14ac:dyDescent="0.3">
      <c r="A1565"/>
      <c r="C1565" s="16"/>
      <c r="G1565" s="5">
        <f>IF(A1565="","","Checking")</f>
      </c>
      <c r="H1565">
        <f>IF(A1565="","",IFERROR(XLOOKUP(D1565,Setup!$E$15:$E$79,Setup!$F$15:$F$79),"Miscellaneous"))</f>
      </c>
      <c r="I1565">
        <f>IF(A1565="","",IFERROR(XLOOKUP(D1565,Setup!$E$15:$E$79,Setup!$G$15:$G$79),"Uncategorized"))</f>
      </c>
      <c r="J1565">
        <f>IF(A1565="","",IF(OR(H1565="Transfers",H1565="Income",D1565="Transfer",D1565="Category Pending",F1565="Pending"),"No","Yes"))</f>
      </c>
      <c r="K1565" s="4">
        <f>IF(A1565="","",TEXT(IF(DAY(A1565)&gt;=Setup!$B$9,DATE(YEAR(A1565),MONTH(A1565)+1,1),DATE(YEAR(A1565),MONTH(A1565),1)),"mmmm yyyy"))</f>
      </c>
      <c r="L1565" s="47">
        <f>IF(A1565="",0,IF(AND(J1565="Yes",E1565&lt;0),-E1565,0))</f>
      </c>
      <c r="M1565" s="47">
        <f>IF(A1565="",0,IF(AND(J1565="Yes",E1565&gt;0),E1565,0))</f>
      </c>
      <c r="N1565">
        <f>IF(A1565="","",IF(D1565="Category Pending","Needs categorization",IF(COUNTIFS($A$2:A1565,A1565,$B$2:B1565,B1565,$E$2:E1565,E1565)&gt;1,"Possible duplicate","")))</f>
      </c>
    </row>
    <row r="1566" spans="3:14" x14ac:dyDescent="0.3">
      <c r="A1566"/>
      <c r="C1566" s="16"/>
      <c r="G1566" s="5">
        <f>IF(A1566="","","Checking")</f>
      </c>
      <c r="H1566">
        <f>IF(A1566="","",IFERROR(XLOOKUP(D1566,Setup!$E$15:$E$79,Setup!$F$15:$F$79),"Miscellaneous"))</f>
      </c>
      <c r="I1566">
        <f>IF(A1566="","",IFERROR(XLOOKUP(D1566,Setup!$E$15:$E$79,Setup!$G$15:$G$79),"Uncategorized"))</f>
      </c>
      <c r="J1566">
        <f>IF(A1566="","",IF(OR(H1566="Transfers",H1566="Income",D1566="Transfer",D1566="Category Pending",F1566="Pending"),"No","Yes"))</f>
      </c>
      <c r="K1566" s="4">
        <f>IF(A1566="","",TEXT(IF(DAY(A1566)&gt;=Setup!$B$9,DATE(YEAR(A1566),MONTH(A1566)+1,1),DATE(YEAR(A1566),MONTH(A1566),1)),"mmmm yyyy"))</f>
      </c>
      <c r="L1566" s="47">
        <f>IF(A1566="",0,IF(AND(J1566="Yes",E1566&lt;0),-E1566,0))</f>
      </c>
      <c r="M1566" s="47">
        <f>IF(A1566="",0,IF(AND(J1566="Yes",E1566&gt;0),E1566,0))</f>
      </c>
      <c r="N1566">
        <f>IF(A1566="","",IF(D1566="Category Pending","Needs categorization",IF(COUNTIFS($A$2:A1566,A1566,$B$2:B1566,B1566,$E$2:E1566,E1566)&gt;1,"Possible duplicate","")))</f>
      </c>
    </row>
    <row r="1567" spans="3:14" x14ac:dyDescent="0.3">
      <c r="A1567"/>
      <c r="C1567" s="16"/>
      <c r="G1567" s="5">
        <f>IF(A1567="","","Checking")</f>
      </c>
      <c r="H1567">
        <f>IF(A1567="","",IFERROR(XLOOKUP(D1567,Setup!$E$15:$E$79,Setup!$F$15:$F$79),"Miscellaneous"))</f>
      </c>
      <c r="I1567">
        <f>IF(A1567="","",IFERROR(XLOOKUP(D1567,Setup!$E$15:$E$79,Setup!$G$15:$G$79),"Uncategorized"))</f>
      </c>
      <c r="J1567">
        <f>IF(A1567="","",IF(OR(H1567="Transfers",H1567="Income",D1567="Transfer",D1567="Category Pending",F1567="Pending"),"No","Yes"))</f>
      </c>
      <c r="K1567" s="4">
        <f>IF(A1567="","",TEXT(IF(DAY(A1567)&gt;=Setup!$B$9,DATE(YEAR(A1567),MONTH(A1567)+1,1),DATE(YEAR(A1567),MONTH(A1567),1)),"mmmm yyyy"))</f>
      </c>
      <c r="L1567" s="47">
        <f>IF(A1567="",0,IF(AND(J1567="Yes",E1567&lt;0),-E1567,0))</f>
      </c>
      <c r="M1567" s="47">
        <f>IF(A1567="",0,IF(AND(J1567="Yes",E1567&gt;0),E1567,0))</f>
      </c>
      <c r="N1567">
        <f>IF(A1567="","",IF(D1567="Category Pending","Needs categorization",IF(COUNTIFS($A$2:A1567,A1567,$B$2:B1567,B1567,$E$2:E1567,E1567)&gt;1,"Possible duplicate","")))</f>
      </c>
    </row>
    <row r="1568" spans="3:14" x14ac:dyDescent="0.3">
      <c r="A1568"/>
      <c r="C1568" s="16"/>
      <c r="G1568" s="5">
        <f>IF(A1568="","","Checking")</f>
      </c>
      <c r="H1568">
        <f>IF(A1568="","",IFERROR(XLOOKUP(D1568,Setup!$E$15:$E$79,Setup!$F$15:$F$79),"Miscellaneous"))</f>
      </c>
      <c r="I1568">
        <f>IF(A1568="","",IFERROR(XLOOKUP(D1568,Setup!$E$15:$E$79,Setup!$G$15:$G$79),"Uncategorized"))</f>
      </c>
      <c r="J1568">
        <f>IF(A1568="","",IF(OR(H1568="Transfers",H1568="Income",D1568="Transfer",D1568="Category Pending",F1568="Pending"),"No","Yes"))</f>
      </c>
      <c r="K1568" s="4">
        <f>IF(A1568="","",TEXT(IF(DAY(A1568)&gt;=Setup!$B$9,DATE(YEAR(A1568),MONTH(A1568)+1,1),DATE(YEAR(A1568),MONTH(A1568),1)),"mmmm yyyy"))</f>
      </c>
      <c r="L1568" s="47">
        <f>IF(A1568="",0,IF(AND(J1568="Yes",E1568&lt;0),-E1568,0))</f>
      </c>
      <c r="M1568" s="47">
        <f>IF(A1568="",0,IF(AND(J1568="Yes",E1568&gt;0),E1568,0))</f>
      </c>
      <c r="N1568">
        <f>IF(A1568="","",IF(D1568="Category Pending","Needs categorization",IF(COUNTIFS($A$2:A1568,A1568,$B$2:B1568,B1568,$E$2:E1568,E1568)&gt;1,"Possible duplicate","")))</f>
      </c>
    </row>
    <row r="1569" spans="3:14" x14ac:dyDescent="0.3">
      <c r="A1569"/>
      <c r="C1569" s="16"/>
      <c r="G1569" s="5">
        <f>IF(A1569="","","Checking")</f>
      </c>
      <c r="H1569">
        <f>IF(A1569="","",IFERROR(XLOOKUP(D1569,Setup!$E$15:$E$79,Setup!$F$15:$F$79),"Miscellaneous"))</f>
      </c>
      <c r="I1569">
        <f>IF(A1569="","",IFERROR(XLOOKUP(D1569,Setup!$E$15:$E$79,Setup!$G$15:$G$79),"Uncategorized"))</f>
      </c>
      <c r="J1569">
        <f>IF(A1569="","",IF(OR(H1569="Transfers",H1569="Income",D1569="Transfer",D1569="Category Pending",F1569="Pending"),"No","Yes"))</f>
      </c>
      <c r="K1569" s="4">
        <f>IF(A1569="","",TEXT(IF(DAY(A1569)&gt;=Setup!$B$9,DATE(YEAR(A1569),MONTH(A1569)+1,1),DATE(YEAR(A1569),MONTH(A1569),1)),"mmmm yyyy"))</f>
      </c>
      <c r="L1569" s="47">
        <f>IF(A1569="",0,IF(AND(J1569="Yes",E1569&lt;0),-E1569,0))</f>
      </c>
      <c r="M1569" s="47">
        <f>IF(A1569="",0,IF(AND(J1569="Yes",E1569&gt;0),E1569,0))</f>
      </c>
      <c r="N1569">
        <f>IF(A1569="","",IF(D1569="Category Pending","Needs categorization",IF(COUNTIFS($A$2:A1569,A1569,$B$2:B1569,B1569,$E$2:E1569,E1569)&gt;1,"Possible duplicate","")))</f>
      </c>
    </row>
    <row r="1570" spans="3:14" x14ac:dyDescent="0.3">
      <c r="A1570"/>
      <c r="C1570" s="16"/>
      <c r="G1570" s="5">
        <f>IF(A1570="","","Checking")</f>
      </c>
      <c r="H1570">
        <f>IF(A1570="","",IFERROR(XLOOKUP(D1570,Setup!$E$15:$E$79,Setup!$F$15:$F$79),"Miscellaneous"))</f>
      </c>
      <c r="I1570">
        <f>IF(A1570="","",IFERROR(XLOOKUP(D1570,Setup!$E$15:$E$79,Setup!$G$15:$G$79),"Uncategorized"))</f>
      </c>
      <c r="J1570">
        <f>IF(A1570="","",IF(OR(H1570="Transfers",H1570="Income",D1570="Transfer",D1570="Category Pending",F1570="Pending"),"No","Yes"))</f>
      </c>
      <c r="K1570" s="4">
        <f>IF(A1570="","",TEXT(IF(DAY(A1570)&gt;=Setup!$B$9,DATE(YEAR(A1570),MONTH(A1570)+1,1),DATE(YEAR(A1570),MONTH(A1570),1)),"mmmm yyyy"))</f>
      </c>
      <c r="L1570" s="47">
        <f>IF(A1570="",0,IF(AND(J1570="Yes",E1570&lt;0),-E1570,0))</f>
      </c>
      <c r="M1570" s="47">
        <f>IF(A1570="",0,IF(AND(J1570="Yes",E1570&gt;0),E1570,0))</f>
      </c>
      <c r="N1570">
        <f>IF(A1570="","",IF(D1570="Category Pending","Needs categorization",IF(COUNTIFS($A$2:A1570,A1570,$B$2:B1570,B1570,$E$2:E1570,E1570)&gt;1,"Possible duplicate","")))</f>
      </c>
    </row>
    <row r="1571" spans="3:14" x14ac:dyDescent="0.3">
      <c r="A1571"/>
      <c r="C1571" s="16"/>
      <c r="G1571" s="5">
        <f>IF(A1571="","","Checking")</f>
      </c>
      <c r="H1571">
        <f>IF(A1571="","",IFERROR(XLOOKUP(D1571,Setup!$E$15:$E$79,Setup!$F$15:$F$79),"Miscellaneous"))</f>
      </c>
      <c r="I1571">
        <f>IF(A1571="","",IFERROR(XLOOKUP(D1571,Setup!$E$15:$E$79,Setup!$G$15:$G$79),"Uncategorized"))</f>
      </c>
      <c r="J1571">
        <f>IF(A1571="","",IF(OR(H1571="Transfers",H1571="Income",D1571="Transfer",D1571="Category Pending",F1571="Pending"),"No","Yes"))</f>
      </c>
      <c r="K1571" s="4">
        <f>IF(A1571="","",TEXT(IF(DAY(A1571)&gt;=Setup!$B$9,DATE(YEAR(A1571),MONTH(A1571)+1,1),DATE(YEAR(A1571),MONTH(A1571),1)),"mmmm yyyy"))</f>
      </c>
      <c r="L1571" s="47">
        <f>IF(A1571="",0,IF(AND(J1571="Yes",E1571&lt;0),-E1571,0))</f>
      </c>
      <c r="M1571" s="47">
        <f>IF(A1571="",0,IF(AND(J1571="Yes",E1571&gt;0),E1571,0))</f>
      </c>
      <c r="N1571">
        <f>IF(A1571="","",IF(D1571="Category Pending","Needs categorization",IF(COUNTIFS($A$2:A1571,A1571,$B$2:B1571,B1571,$E$2:E1571,E1571)&gt;1,"Possible duplicate","")))</f>
      </c>
    </row>
    <row r="1572" spans="3:14" x14ac:dyDescent="0.3">
      <c r="A1572"/>
      <c r="C1572" s="16"/>
      <c r="G1572" s="5">
        <f>IF(A1572="","","Checking")</f>
      </c>
      <c r="H1572">
        <f>IF(A1572="","",IFERROR(XLOOKUP(D1572,Setup!$E$15:$E$79,Setup!$F$15:$F$79),"Miscellaneous"))</f>
      </c>
      <c r="I1572">
        <f>IF(A1572="","",IFERROR(XLOOKUP(D1572,Setup!$E$15:$E$79,Setup!$G$15:$G$79),"Uncategorized"))</f>
      </c>
      <c r="J1572">
        <f>IF(A1572="","",IF(OR(H1572="Transfers",H1572="Income",D1572="Transfer",D1572="Category Pending",F1572="Pending"),"No","Yes"))</f>
      </c>
      <c r="K1572" s="4">
        <f>IF(A1572="","",TEXT(IF(DAY(A1572)&gt;=Setup!$B$9,DATE(YEAR(A1572),MONTH(A1572)+1,1),DATE(YEAR(A1572),MONTH(A1572),1)),"mmmm yyyy"))</f>
      </c>
      <c r="L1572" s="47">
        <f>IF(A1572="",0,IF(AND(J1572="Yes",E1572&lt;0),-E1572,0))</f>
      </c>
      <c r="M1572" s="47">
        <f>IF(A1572="",0,IF(AND(J1572="Yes",E1572&gt;0),E1572,0))</f>
      </c>
      <c r="N1572">
        <f>IF(A1572="","",IF(D1572="Category Pending","Needs categorization",IF(COUNTIFS($A$2:A1572,A1572,$B$2:B1572,B1572,$E$2:E1572,E1572)&gt;1,"Possible duplicate","")))</f>
      </c>
    </row>
    <row r="1573" spans="3:14" x14ac:dyDescent="0.3">
      <c r="A1573"/>
      <c r="C1573" s="16"/>
      <c r="G1573" s="5">
        <f>IF(A1573="","","Checking")</f>
      </c>
      <c r="H1573">
        <f>IF(A1573="","",IFERROR(XLOOKUP(D1573,Setup!$E$15:$E$79,Setup!$F$15:$F$79),"Miscellaneous"))</f>
      </c>
      <c r="I1573">
        <f>IF(A1573="","",IFERROR(XLOOKUP(D1573,Setup!$E$15:$E$79,Setup!$G$15:$G$79),"Uncategorized"))</f>
      </c>
      <c r="J1573">
        <f>IF(A1573="","",IF(OR(H1573="Transfers",H1573="Income",D1573="Transfer",D1573="Category Pending",F1573="Pending"),"No","Yes"))</f>
      </c>
      <c r="K1573" s="4">
        <f>IF(A1573="","",TEXT(IF(DAY(A1573)&gt;=Setup!$B$9,DATE(YEAR(A1573),MONTH(A1573)+1,1),DATE(YEAR(A1573),MONTH(A1573),1)),"mmmm yyyy"))</f>
      </c>
      <c r="L1573" s="47">
        <f>IF(A1573="",0,IF(AND(J1573="Yes",E1573&lt;0),-E1573,0))</f>
      </c>
      <c r="M1573" s="47">
        <f>IF(A1573="",0,IF(AND(J1573="Yes",E1573&gt;0),E1573,0))</f>
      </c>
      <c r="N1573">
        <f>IF(A1573="","",IF(D1573="Category Pending","Needs categorization",IF(COUNTIFS($A$2:A1573,A1573,$B$2:B1573,B1573,$E$2:E1573,E1573)&gt;1,"Possible duplicate","")))</f>
      </c>
    </row>
    <row r="1574" spans="3:14" x14ac:dyDescent="0.3">
      <c r="A1574"/>
      <c r="C1574" s="16"/>
      <c r="G1574" s="5">
        <f>IF(A1574="","","Checking")</f>
      </c>
      <c r="H1574">
        <f>IF(A1574="","",IFERROR(XLOOKUP(D1574,Setup!$E$15:$E$79,Setup!$F$15:$F$79),"Miscellaneous"))</f>
      </c>
      <c r="I1574">
        <f>IF(A1574="","",IFERROR(XLOOKUP(D1574,Setup!$E$15:$E$79,Setup!$G$15:$G$79),"Uncategorized"))</f>
      </c>
      <c r="J1574">
        <f>IF(A1574="","",IF(OR(H1574="Transfers",H1574="Income",D1574="Transfer",D1574="Category Pending",F1574="Pending"),"No","Yes"))</f>
      </c>
      <c r="K1574" s="4">
        <f>IF(A1574="","",TEXT(IF(DAY(A1574)&gt;=Setup!$B$9,DATE(YEAR(A1574),MONTH(A1574)+1,1),DATE(YEAR(A1574),MONTH(A1574),1)),"mmmm yyyy"))</f>
      </c>
      <c r="L1574" s="47">
        <f>IF(A1574="",0,IF(AND(J1574="Yes",E1574&lt;0),-E1574,0))</f>
      </c>
      <c r="M1574" s="47">
        <f>IF(A1574="",0,IF(AND(J1574="Yes",E1574&gt;0),E1574,0))</f>
      </c>
      <c r="N1574">
        <f>IF(A1574="","",IF(D1574="Category Pending","Needs categorization",IF(COUNTIFS($A$2:A1574,A1574,$B$2:B1574,B1574,$E$2:E1574,E1574)&gt;1,"Possible duplicate","")))</f>
      </c>
    </row>
    <row r="1575" spans="3:14" x14ac:dyDescent="0.3">
      <c r="A1575"/>
      <c r="C1575" s="16"/>
      <c r="G1575" s="5">
        <f>IF(A1575="","","Checking")</f>
      </c>
      <c r="H1575">
        <f>IF(A1575="","",IFERROR(XLOOKUP(D1575,Setup!$E$15:$E$79,Setup!$F$15:$F$79),"Miscellaneous"))</f>
      </c>
      <c r="I1575">
        <f>IF(A1575="","",IFERROR(XLOOKUP(D1575,Setup!$E$15:$E$79,Setup!$G$15:$G$79),"Uncategorized"))</f>
      </c>
      <c r="J1575">
        <f>IF(A1575="","",IF(OR(H1575="Transfers",H1575="Income",D1575="Transfer",D1575="Category Pending",F1575="Pending"),"No","Yes"))</f>
      </c>
      <c r="K1575" s="4">
        <f>IF(A1575="","",TEXT(IF(DAY(A1575)&gt;=Setup!$B$9,DATE(YEAR(A1575),MONTH(A1575)+1,1),DATE(YEAR(A1575),MONTH(A1575),1)),"mmmm yyyy"))</f>
      </c>
      <c r="L1575" s="47">
        <f>IF(A1575="",0,IF(AND(J1575="Yes",E1575&lt;0),-E1575,0))</f>
      </c>
      <c r="M1575" s="47">
        <f>IF(A1575="",0,IF(AND(J1575="Yes",E1575&gt;0),E1575,0))</f>
      </c>
      <c r="N1575">
        <f>IF(A1575="","",IF(D1575="Category Pending","Needs categorization",IF(COUNTIFS($A$2:A1575,A1575,$B$2:B1575,B1575,$E$2:E1575,E1575)&gt;1,"Possible duplicate","")))</f>
      </c>
    </row>
    <row r="1576" spans="3:14" x14ac:dyDescent="0.3">
      <c r="A1576"/>
      <c r="C1576" s="16"/>
      <c r="G1576" s="5">
        <f>IF(A1576="","","Checking")</f>
      </c>
      <c r="H1576">
        <f>IF(A1576="","",IFERROR(XLOOKUP(D1576,Setup!$E$15:$E$79,Setup!$F$15:$F$79),"Miscellaneous"))</f>
      </c>
      <c r="I1576">
        <f>IF(A1576="","",IFERROR(XLOOKUP(D1576,Setup!$E$15:$E$79,Setup!$G$15:$G$79),"Uncategorized"))</f>
      </c>
      <c r="J1576">
        <f>IF(A1576="","",IF(OR(H1576="Transfers",H1576="Income",D1576="Transfer",D1576="Category Pending",F1576="Pending"),"No","Yes"))</f>
      </c>
      <c r="K1576" s="4">
        <f>IF(A1576="","",TEXT(IF(DAY(A1576)&gt;=Setup!$B$9,DATE(YEAR(A1576),MONTH(A1576)+1,1),DATE(YEAR(A1576),MONTH(A1576),1)),"mmmm yyyy"))</f>
      </c>
      <c r="L1576" s="47">
        <f>IF(A1576="",0,IF(AND(J1576="Yes",E1576&lt;0),-E1576,0))</f>
      </c>
      <c r="M1576" s="47">
        <f>IF(A1576="",0,IF(AND(J1576="Yes",E1576&gt;0),E1576,0))</f>
      </c>
      <c r="N1576">
        <f>IF(A1576="","",IF(D1576="Category Pending","Needs categorization",IF(COUNTIFS($A$2:A1576,A1576,$B$2:B1576,B1576,$E$2:E1576,E1576)&gt;1,"Possible duplicate","")))</f>
      </c>
    </row>
    <row r="1577" spans="3:14" x14ac:dyDescent="0.3">
      <c r="A1577"/>
      <c r="C1577" s="16"/>
      <c r="G1577" s="5">
        <f>IF(A1577="","","Checking")</f>
      </c>
      <c r="H1577">
        <f>IF(A1577="","",IFERROR(XLOOKUP(D1577,Setup!$E$15:$E$79,Setup!$F$15:$F$79),"Miscellaneous"))</f>
      </c>
      <c r="I1577">
        <f>IF(A1577="","",IFERROR(XLOOKUP(D1577,Setup!$E$15:$E$79,Setup!$G$15:$G$79),"Uncategorized"))</f>
      </c>
      <c r="J1577">
        <f>IF(A1577="","",IF(OR(H1577="Transfers",H1577="Income",D1577="Transfer",D1577="Category Pending",F1577="Pending"),"No","Yes"))</f>
      </c>
      <c r="K1577" s="4">
        <f>IF(A1577="","",TEXT(IF(DAY(A1577)&gt;=Setup!$B$9,DATE(YEAR(A1577),MONTH(A1577)+1,1),DATE(YEAR(A1577),MONTH(A1577),1)),"mmmm yyyy"))</f>
      </c>
      <c r="L1577" s="47">
        <f>IF(A1577="",0,IF(AND(J1577="Yes",E1577&lt;0),-E1577,0))</f>
      </c>
      <c r="M1577" s="47">
        <f>IF(A1577="",0,IF(AND(J1577="Yes",E1577&gt;0),E1577,0))</f>
      </c>
      <c r="N1577">
        <f>IF(A1577="","",IF(D1577="Category Pending","Needs categorization",IF(COUNTIFS($A$2:A1577,A1577,$B$2:B1577,B1577,$E$2:E1577,E1577)&gt;1,"Possible duplicate","")))</f>
      </c>
    </row>
    <row r="1578" spans="3:14" x14ac:dyDescent="0.3">
      <c r="A1578"/>
      <c r="C1578" s="16"/>
      <c r="G1578" s="5">
        <f>IF(A1578="","","Checking")</f>
      </c>
      <c r="H1578">
        <f>IF(A1578="","",IFERROR(XLOOKUP(D1578,Setup!$E$15:$E$79,Setup!$F$15:$F$79),"Miscellaneous"))</f>
      </c>
      <c r="I1578">
        <f>IF(A1578="","",IFERROR(XLOOKUP(D1578,Setup!$E$15:$E$79,Setup!$G$15:$G$79),"Uncategorized"))</f>
      </c>
      <c r="J1578">
        <f>IF(A1578="","",IF(OR(H1578="Transfers",H1578="Income",D1578="Transfer",D1578="Category Pending",F1578="Pending"),"No","Yes"))</f>
      </c>
      <c r="K1578" s="4">
        <f>IF(A1578="","",TEXT(IF(DAY(A1578)&gt;=Setup!$B$9,DATE(YEAR(A1578),MONTH(A1578)+1,1),DATE(YEAR(A1578),MONTH(A1578),1)),"mmmm yyyy"))</f>
      </c>
      <c r="L1578" s="47">
        <f>IF(A1578="",0,IF(AND(J1578="Yes",E1578&lt;0),-E1578,0))</f>
      </c>
      <c r="M1578" s="47">
        <f>IF(A1578="",0,IF(AND(J1578="Yes",E1578&gt;0),E1578,0))</f>
      </c>
      <c r="N1578">
        <f>IF(A1578="","",IF(D1578="Category Pending","Needs categorization",IF(COUNTIFS($A$2:A1578,A1578,$B$2:B1578,B1578,$E$2:E1578,E1578)&gt;1,"Possible duplicate","")))</f>
      </c>
    </row>
    <row r="1579" spans="3:14" x14ac:dyDescent="0.3">
      <c r="A1579"/>
      <c r="C1579" s="16"/>
      <c r="G1579" s="5">
        <f>IF(A1579="","","Checking")</f>
      </c>
      <c r="H1579">
        <f>IF(A1579="","",IFERROR(XLOOKUP(D1579,Setup!$E$15:$E$79,Setup!$F$15:$F$79),"Miscellaneous"))</f>
      </c>
      <c r="I1579">
        <f>IF(A1579="","",IFERROR(XLOOKUP(D1579,Setup!$E$15:$E$79,Setup!$G$15:$G$79),"Uncategorized"))</f>
      </c>
      <c r="J1579">
        <f>IF(A1579="","",IF(OR(H1579="Transfers",H1579="Income",D1579="Transfer",D1579="Category Pending",F1579="Pending"),"No","Yes"))</f>
      </c>
      <c r="K1579" s="4">
        <f>IF(A1579="","",TEXT(IF(DAY(A1579)&gt;=Setup!$B$9,DATE(YEAR(A1579),MONTH(A1579)+1,1),DATE(YEAR(A1579),MONTH(A1579),1)),"mmmm yyyy"))</f>
      </c>
      <c r="L1579" s="47">
        <f>IF(A1579="",0,IF(AND(J1579="Yes",E1579&lt;0),-E1579,0))</f>
      </c>
      <c r="M1579" s="47">
        <f>IF(A1579="",0,IF(AND(J1579="Yes",E1579&gt;0),E1579,0))</f>
      </c>
      <c r="N1579">
        <f>IF(A1579="","",IF(D1579="Category Pending","Needs categorization",IF(COUNTIFS($A$2:A1579,A1579,$B$2:B1579,B1579,$E$2:E1579,E1579)&gt;1,"Possible duplicate","")))</f>
      </c>
    </row>
    <row r="1580" spans="3:14" x14ac:dyDescent="0.3">
      <c r="A1580"/>
      <c r="C1580" s="16"/>
      <c r="G1580" s="5">
        <f>IF(A1580="","","Checking")</f>
      </c>
      <c r="H1580">
        <f>IF(A1580="","",IFERROR(XLOOKUP(D1580,Setup!$E$15:$E$79,Setup!$F$15:$F$79),"Miscellaneous"))</f>
      </c>
      <c r="I1580">
        <f>IF(A1580="","",IFERROR(XLOOKUP(D1580,Setup!$E$15:$E$79,Setup!$G$15:$G$79),"Uncategorized"))</f>
      </c>
      <c r="J1580">
        <f>IF(A1580="","",IF(OR(H1580="Transfers",H1580="Income",D1580="Transfer",D1580="Category Pending",F1580="Pending"),"No","Yes"))</f>
      </c>
      <c r="K1580" s="4">
        <f>IF(A1580="","",TEXT(IF(DAY(A1580)&gt;=Setup!$B$9,DATE(YEAR(A1580),MONTH(A1580)+1,1),DATE(YEAR(A1580),MONTH(A1580),1)),"mmmm yyyy"))</f>
      </c>
      <c r="L1580" s="47">
        <f>IF(A1580="",0,IF(AND(J1580="Yes",E1580&lt;0),-E1580,0))</f>
      </c>
      <c r="M1580" s="47">
        <f>IF(A1580="",0,IF(AND(J1580="Yes",E1580&gt;0),E1580,0))</f>
      </c>
      <c r="N1580">
        <f>IF(A1580="","",IF(D1580="Category Pending","Needs categorization",IF(COUNTIFS($A$2:A1580,A1580,$B$2:B1580,B1580,$E$2:E1580,E1580)&gt;1,"Possible duplicate","")))</f>
      </c>
    </row>
    <row r="1581" spans="3:14" x14ac:dyDescent="0.3">
      <c r="A1581"/>
      <c r="C1581" s="16"/>
      <c r="G1581" s="5">
        <f>IF(A1581="","","Checking")</f>
      </c>
      <c r="H1581">
        <f>IF(A1581="","",IFERROR(XLOOKUP(D1581,Setup!$E$15:$E$79,Setup!$F$15:$F$79),"Miscellaneous"))</f>
      </c>
      <c r="I1581">
        <f>IF(A1581="","",IFERROR(XLOOKUP(D1581,Setup!$E$15:$E$79,Setup!$G$15:$G$79),"Uncategorized"))</f>
      </c>
      <c r="J1581">
        <f>IF(A1581="","",IF(OR(H1581="Transfers",H1581="Income",D1581="Transfer",D1581="Category Pending",F1581="Pending"),"No","Yes"))</f>
      </c>
      <c r="K1581" s="4">
        <f>IF(A1581="","",TEXT(IF(DAY(A1581)&gt;=Setup!$B$9,DATE(YEAR(A1581),MONTH(A1581)+1,1),DATE(YEAR(A1581),MONTH(A1581),1)),"mmmm yyyy"))</f>
      </c>
      <c r="L1581" s="47">
        <f>IF(A1581="",0,IF(AND(J1581="Yes",E1581&lt;0),-E1581,0))</f>
      </c>
      <c r="M1581" s="47">
        <f>IF(A1581="",0,IF(AND(J1581="Yes",E1581&gt;0),E1581,0))</f>
      </c>
      <c r="N1581">
        <f>IF(A1581="","",IF(D1581="Category Pending","Needs categorization",IF(COUNTIFS($A$2:A1581,A1581,$B$2:B1581,B1581,$E$2:E1581,E1581)&gt;1,"Possible duplicate","")))</f>
      </c>
    </row>
    <row r="1582" spans="3:14" x14ac:dyDescent="0.3">
      <c r="A1582"/>
      <c r="C1582" s="16"/>
      <c r="G1582" s="5">
        <f>IF(A1582="","","Checking")</f>
      </c>
      <c r="H1582">
        <f>IF(A1582="","",IFERROR(XLOOKUP(D1582,Setup!$E$15:$E$79,Setup!$F$15:$F$79),"Miscellaneous"))</f>
      </c>
      <c r="I1582">
        <f>IF(A1582="","",IFERROR(XLOOKUP(D1582,Setup!$E$15:$E$79,Setup!$G$15:$G$79),"Uncategorized"))</f>
      </c>
      <c r="J1582">
        <f>IF(A1582="","",IF(OR(H1582="Transfers",H1582="Income",D1582="Transfer",D1582="Category Pending",F1582="Pending"),"No","Yes"))</f>
      </c>
      <c r="K1582" s="4">
        <f>IF(A1582="","",TEXT(IF(DAY(A1582)&gt;=Setup!$B$9,DATE(YEAR(A1582),MONTH(A1582)+1,1),DATE(YEAR(A1582),MONTH(A1582),1)),"mmmm yyyy"))</f>
      </c>
      <c r="L1582" s="47">
        <f>IF(A1582="",0,IF(AND(J1582="Yes",E1582&lt;0),-E1582,0))</f>
      </c>
      <c r="M1582" s="47">
        <f>IF(A1582="",0,IF(AND(J1582="Yes",E1582&gt;0),E1582,0))</f>
      </c>
      <c r="N1582">
        <f>IF(A1582="","",IF(D1582="Category Pending","Needs categorization",IF(COUNTIFS($A$2:A1582,A1582,$B$2:B1582,B1582,$E$2:E1582,E1582)&gt;1,"Possible duplicate","")))</f>
      </c>
    </row>
    <row r="1583" spans="3:14" x14ac:dyDescent="0.3">
      <c r="A1583"/>
      <c r="C1583" s="16"/>
      <c r="G1583" s="5">
        <f>IF(A1583="","","Checking")</f>
      </c>
      <c r="H1583">
        <f>IF(A1583="","",IFERROR(XLOOKUP(D1583,Setup!$E$15:$E$79,Setup!$F$15:$F$79),"Miscellaneous"))</f>
      </c>
      <c r="I1583">
        <f>IF(A1583="","",IFERROR(XLOOKUP(D1583,Setup!$E$15:$E$79,Setup!$G$15:$G$79),"Uncategorized"))</f>
      </c>
      <c r="J1583">
        <f>IF(A1583="","",IF(OR(H1583="Transfers",H1583="Income",D1583="Transfer",D1583="Category Pending",F1583="Pending"),"No","Yes"))</f>
      </c>
      <c r="K1583" s="4">
        <f>IF(A1583="","",TEXT(IF(DAY(A1583)&gt;=Setup!$B$9,DATE(YEAR(A1583),MONTH(A1583)+1,1),DATE(YEAR(A1583),MONTH(A1583),1)),"mmmm yyyy"))</f>
      </c>
      <c r="L1583" s="47">
        <f>IF(A1583="",0,IF(AND(J1583="Yes",E1583&lt;0),-E1583,0))</f>
      </c>
      <c r="M1583" s="47">
        <f>IF(A1583="",0,IF(AND(J1583="Yes",E1583&gt;0),E1583,0))</f>
      </c>
      <c r="N1583">
        <f>IF(A1583="","",IF(D1583="Category Pending","Needs categorization",IF(COUNTIFS($A$2:A1583,A1583,$B$2:B1583,B1583,$E$2:E1583,E1583)&gt;1,"Possible duplicate","")))</f>
      </c>
    </row>
    <row r="1584" spans="3:14" x14ac:dyDescent="0.3">
      <c r="A1584"/>
      <c r="C1584" s="16"/>
      <c r="G1584" s="5">
        <f>IF(A1584="","","Checking")</f>
      </c>
      <c r="H1584">
        <f>IF(A1584="","",IFERROR(XLOOKUP(D1584,Setup!$E$15:$E$79,Setup!$F$15:$F$79),"Miscellaneous"))</f>
      </c>
      <c r="I1584">
        <f>IF(A1584="","",IFERROR(XLOOKUP(D1584,Setup!$E$15:$E$79,Setup!$G$15:$G$79),"Uncategorized"))</f>
      </c>
      <c r="J1584">
        <f>IF(A1584="","",IF(OR(H1584="Transfers",H1584="Income",D1584="Transfer",D1584="Category Pending",F1584="Pending"),"No","Yes"))</f>
      </c>
      <c r="K1584" s="4">
        <f>IF(A1584="","",TEXT(IF(DAY(A1584)&gt;=Setup!$B$9,DATE(YEAR(A1584),MONTH(A1584)+1,1),DATE(YEAR(A1584),MONTH(A1584),1)),"mmmm yyyy"))</f>
      </c>
      <c r="L1584" s="47">
        <f>IF(A1584="",0,IF(AND(J1584="Yes",E1584&lt;0),-E1584,0))</f>
      </c>
      <c r="M1584" s="47">
        <f>IF(A1584="",0,IF(AND(J1584="Yes",E1584&gt;0),E1584,0))</f>
      </c>
      <c r="N1584">
        <f>IF(A1584="","",IF(D1584="Category Pending","Needs categorization",IF(COUNTIFS($A$2:A1584,A1584,$B$2:B1584,B1584,$E$2:E1584,E1584)&gt;1,"Possible duplicate","")))</f>
      </c>
    </row>
    <row r="1585" spans="3:14" x14ac:dyDescent="0.3">
      <c r="A1585"/>
      <c r="C1585" s="16"/>
      <c r="G1585" s="5">
        <f>IF(A1585="","","Checking")</f>
      </c>
      <c r="H1585">
        <f>IF(A1585="","",IFERROR(XLOOKUP(D1585,Setup!$E$15:$E$79,Setup!$F$15:$F$79),"Miscellaneous"))</f>
      </c>
      <c r="I1585">
        <f>IF(A1585="","",IFERROR(XLOOKUP(D1585,Setup!$E$15:$E$79,Setup!$G$15:$G$79),"Uncategorized"))</f>
      </c>
      <c r="J1585">
        <f>IF(A1585="","",IF(OR(H1585="Transfers",H1585="Income",D1585="Transfer",D1585="Category Pending",F1585="Pending"),"No","Yes"))</f>
      </c>
      <c r="K1585" s="4">
        <f>IF(A1585="","",TEXT(IF(DAY(A1585)&gt;=Setup!$B$9,DATE(YEAR(A1585),MONTH(A1585)+1,1),DATE(YEAR(A1585),MONTH(A1585),1)),"mmmm yyyy"))</f>
      </c>
      <c r="L1585" s="47">
        <f>IF(A1585="",0,IF(AND(J1585="Yes",E1585&lt;0),-E1585,0))</f>
      </c>
      <c r="M1585" s="47">
        <f>IF(A1585="",0,IF(AND(J1585="Yes",E1585&gt;0),E1585,0))</f>
      </c>
      <c r="N1585">
        <f>IF(A1585="","",IF(D1585="Category Pending","Needs categorization",IF(COUNTIFS($A$2:A1585,A1585,$B$2:B1585,B1585,$E$2:E1585,E1585)&gt;1,"Possible duplicate","")))</f>
      </c>
    </row>
    <row r="1586" spans="3:14" x14ac:dyDescent="0.3">
      <c r="A1586"/>
      <c r="C1586" s="16"/>
      <c r="G1586" s="5">
        <f>IF(A1586="","","Checking")</f>
      </c>
      <c r="H1586">
        <f>IF(A1586="","",IFERROR(XLOOKUP(D1586,Setup!$E$15:$E$79,Setup!$F$15:$F$79),"Miscellaneous"))</f>
      </c>
      <c r="I1586">
        <f>IF(A1586="","",IFERROR(XLOOKUP(D1586,Setup!$E$15:$E$79,Setup!$G$15:$G$79),"Uncategorized"))</f>
      </c>
      <c r="J1586">
        <f>IF(A1586="","",IF(OR(H1586="Transfers",H1586="Income",D1586="Transfer",D1586="Category Pending",F1586="Pending"),"No","Yes"))</f>
      </c>
      <c r="K1586" s="4">
        <f>IF(A1586="","",TEXT(IF(DAY(A1586)&gt;=Setup!$B$9,DATE(YEAR(A1586),MONTH(A1586)+1,1),DATE(YEAR(A1586),MONTH(A1586),1)),"mmmm yyyy"))</f>
      </c>
      <c r="L1586" s="47">
        <f>IF(A1586="",0,IF(AND(J1586="Yes",E1586&lt;0),-E1586,0))</f>
      </c>
      <c r="M1586" s="47">
        <f>IF(A1586="",0,IF(AND(J1586="Yes",E1586&gt;0),E1586,0))</f>
      </c>
      <c r="N1586">
        <f>IF(A1586="","",IF(D1586="Category Pending","Needs categorization",IF(COUNTIFS($A$2:A1586,A1586,$B$2:B1586,B1586,$E$2:E1586,E1586)&gt;1,"Possible duplicate","")))</f>
      </c>
    </row>
    <row r="1587" spans="3:14" x14ac:dyDescent="0.3">
      <c r="A1587"/>
      <c r="C1587" s="16"/>
      <c r="G1587" s="5">
        <f>IF(A1587="","","Checking")</f>
      </c>
      <c r="H1587">
        <f>IF(A1587="","",IFERROR(XLOOKUP(D1587,Setup!$E$15:$E$79,Setup!$F$15:$F$79),"Miscellaneous"))</f>
      </c>
      <c r="I1587">
        <f>IF(A1587="","",IFERROR(XLOOKUP(D1587,Setup!$E$15:$E$79,Setup!$G$15:$G$79),"Uncategorized"))</f>
      </c>
      <c r="J1587">
        <f>IF(A1587="","",IF(OR(H1587="Transfers",H1587="Income",D1587="Transfer",D1587="Category Pending",F1587="Pending"),"No","Yes"))</f>
      </c>
      <c r="K1587" s="4">
        <f>IF(A1587="","",TEXT(IF(DAY(A1587)&gt;=Setup!$B$9,DATE(YEAR(A1587),MONTH(A1587)+1,1),DATE(YEAR(A1587),MONTH(A1587),1)),"mmmm yyyy"))</f>
      </c>
      <c r="L1587" s="47">
        <f>IF(A1587="",0,IF(AND(J1587="Yes",E1587&lt;0),-E1587,0))</f>
      </c>
      <c r="M1587" s="47">
        <f>IF(A1587="",0,IF(AND(J1587="Yes",E1587&gt;0),E1587,0))</f>
      </c>
      <c r="N1587">
        <f>IF(A1587="","",IF(D1587="Category Pending","Needs categorization",IF(COUNTIFS($A$2:A1587,A1587,$B$2:B1587,B1587,$E$2:E1587,E1587)&gt;1,"Possible duplicate","")))</f>
      </c>
    </row>
    <row r="1588" spans="3:14" x14ac:dyDescent="0.3">
      <c r="A1588"/>
      <c r="C1588" s="16"/>
      <c r="G1588" s="5">
        <f>IF(A1588="","","Checking")</f>
      </c>
      <c r="H1588">
        <f>IF(A1588="","",IFERROR(XLOOKUP(D1588,Setup!$E$15:$E$79,Setup!$F$15:$F$79),"Miscellaneous"))</f>
      </c>
      <c r="I1588">
        <f>IF(A1588="","",IFERROR(XLOOKUP(D1588,Setup!$E$15:$E$79,Setup!$G$15:$G$79),"Uncategorized"))</f>
      </c>
      <c r="J1588">
        <f>IF(A1588="","",IF(OR(H1588="Transfers",H1588="Income",D1588="Transfer",D1588="Category Pending",F1588="Pending"),"No","Yes"))</f>
      </c>
      <c r="K1588" s="4">
        <f>IF(A1588="","",TEXT(IF(DAY(A1588)&gt;=Setup!$B$9,DATE(YEAR(A1588),MONTH(A1588)+1,1),DATE(YEAR(A1588),MONTH(A1588),1)),"mmmm yyyy"))</f>
      </c>
      <c r="L1588" s="47">
        <f>IF(A1588="",0,IF(AND(J1588="Yes",E1588&lt;0),-E1588,0))</f>
      </c>
      <c r="M1588" s="47">
        <f>IF(A1588="",0,IF(AND(J1588="Yes",E1588&gt;0),E1588,0))</f>
      </c>
      <c r="N1588">
        <f>IF(A1588="","",IF(D1588="Category Pending","Needs categorization",IF(COUNTIFS($A$2:A1588,A1588,$B$2:B1588,B1588,$E$2:E1588,E1588)&gt;1,"Possible duplicate","")))</f>
      </c>
    </row>
    <row r="1589" spans="3:14" x14ac:dyDescent="0.3">
      <c r="A1589"/>
      <c r="C1589" s="16"/>
      <c r="G1589" s="5">
        <f>IF(A1589="","","Checking")</f>
      </c>
      <c r="H1589">
        <f>IF(A1589="","",IFERROR(XLOOKUP(D1589,Setup!$E$15:$E$79,Setup!$F$15:$F$79),"Miscellaneous"))</f>
      </c>
      <c r="I1589">
        <f>IF(A1589="","",IFERROR(XLOOKUP(D1589,Setup!$E$15:$E$79,Setup!$G$15:$G$79),"Uncategorized"))</f>
      </c>
      <c r="J1589">
        <f>IF(A1589="","",IF(OR(H1589="Transfers",H1589="Income",D1589="Transfer",D1589="Category Pending",F1589="Pending"),"No","Yes"))</f>
      </c>
      <c r="K1589" s="4">
        <f>IF(A1589="","",TEXT(IF(DAY(A1589)&gt;=Setup!$B$9,DATE(YEAR(A1589),MONTH(A1589)+1,1),DATE(YEAR(A1589),MONTH(A1589),1)),"mmmm yyyy"))</f>
      </c>
      <c r="L1589" s="47">
        <f>IF(A1589="",0,IF(AND(J1589="Yes",E1589&lt;0),-E1589,0))</f>
      </c>
      <c r="M1589" s="47">
        <f>IF(A1589="",0,IF(AND(J1589="Yes",E1589&gt;0),E1589,0))</f>
      </c>
      <c r="N1589">
        <f>IF(A1589="","",IF(D1589="Category Pending","Needs categorization",IF(COUNTIFS($A$2:A1589,A1589,$B$2:B1589,B1589,$E$2:E1589,E1589)&gt;1,"Possible duplicate","")))</f>
      </c>
    </row>
    <row r="1590" spans="3:14" x14ac:dyDescent="0.3">
      <c r="A1590"/>
      <c r="C1590" s="16"/>
      <c r="G1590" s="5">
        <f>IF(A1590="","","Checking")</f>
      </c>
      <c r="H1590">
        <f>IF(A1590="","",IFERROR(XLOOKUP(D1590,Setup!$E$15:$E$79,Setup!$F$15:$F$79),"Miscellaneous"))</f>
      </c>
      <c r="I1590">
        <f>IF(A1590="","",IFERROR(XLOOKUP(D1590,Setup!$E$15:$E$79,Setup!$G$15:$G$79),"Uncategorized"))</f>
      </c>
      <c r="J1590">
        <f>IF(A1590="","",IF(OR(H1590="Transfers",H1590="Income",D1590="Transfer",D1590="Category Pending",F1590="Pending"),"No","Yes"))</f>
      </c>
      <c r="K1590" s="4">
        <f>IF(A1590="","",TEXT(IF(DAY(A1590)&gt;=Setup!$B$9,DATE(YEAR(A1590),MONTH(A1590)+1,1),DATE(YEAR(A1590),MONTH(A1590),1)),"mmmm yyyy"))</f>
      </c>
      <c r="L1590" s="47">
        <f>IF(A1590="",0,IF(AND(J1590="Yes",E1590&lt;0),-E1590,0))</f>
      </c>
      <c r="M1590" s="47">
        <f>IF(A1590="",0,IF(AND(J1590="Yes",E1590&gt;0),E1590,0))</f>
      </c>
      <c r="N1590">
        <f>IF(A1590="","",IF(D1590="Category Pending","Needs categorization",IF(COUNTIFS($A$2:A1590,A1590,$B$2:B1590,B1590,$E$2:E1590,E1590)&gt;1,"Possible duplicate","")))</f>
      </c>
    </row>
    <row r="1591" spans="3:14" x14ac:dyDescent="0.3">
      <c r="A1591"/>
      <c r="C1591" s="16"/>
      <c r="G1591" s="5">
        <f>IF(A1591="","","Checking")</f>
      </c>
      <c r="H1591">
        <f>IF(A1591="","",IFERROR(XLOOKUP(D1591,Setup!$E$15:$E$79,Setup!$F$15:$F$79),"Miscellaneous"))</f>
      </c>
      <c r="I1591">
        <f>IF(A1591="","",IFERROR(XLOOKUP(D1591,Setup!$E$15:$E$79,Setup!$G$15:$G$79),"Uncategorized"))</f>
      </c>
      <c r="J1591">
        <f>IF(A1591="","",IF(OR(H1591="Transfers",H1591="Income",D1591="Transfer",D1591="Category Pending",F1591="Pending"),"No","Yes"))</f>
      </c>
      <c r="K1591" s="4">
        <f>IF(A1591="","",TEXT(IF(DAY(A1591)&gt;=Setup!$B$9,DATE(YEAR(A1591),MONTH(A1591)+1,1),DATE(YEAR(A1591),MONTH(A1591),1)),"mmmm yyyy"))</f>
      </c>
      <c r="L1591" s="47">
        <f>IF(A1591="",0,IF(AND(J1591="Yes",E1591&lt;0),-E1591,0))</f>
      </c>
      <c r="M1591" s="47">
        <f>IF(A1591="",0,IF(AND(J1591="Yes",E1591&gt;0),E1591,0))</f>
      </c>
      <c r="N1591">
        <f>IF(A1591="","",IF(D1591="Category Pending","Needs categorization",IF(COUNTIFS($A$2:A1591,A1591,$B$2:B1591,B1591,$E$2:E1591,E1591)&gt;1,"Possible duplicate","")))</f>
      </c>
    </row>
    <row r="1592" spans="3:14" x14ac:dyDescent="0.3">
      <c r="A1592"/>
      <c r="C1592" s="16"/>
      <c r="G1592" s="5">
        <f>IF(A1592="","","Checking")</f>
      </c>
      <c r="H1592">
        <f>IF(A1592="","",IFERROR(XLOOKUP(D1592,Setup!$E$15:$E$79,Setup!$F$15:$F$79),"Miscellaneous"))</f>
      </c>
      <c r="I1592">
        <f>IF(A1592="","",IFERROR(XLOOKUP(D1592,Setup!$E$15:$E$79,Setup!$G$15:$G$79),"Uncategorized"))</f>
      </c>
      <c r="J1592">
        <f>IF(A1592="","",IF(OR(H1592="Transfers",H1592="Income",D1592="Transfer",D1592="Category Pending",F1592="Pending"),"No","Yes"))</f>
      </c>
      <c r="K1592" s="4">
        <f>IF(A1592="","",TEXT(IF(DAY(A1592)&gt;=Setup!$B$9,DATE(YEAR(A1592),MONTH(A1592)+1,1),DATE(YEAR(A1592),MONTH(A1592),1)),"mmmm yyyy"))</f>
      </c>
      <c r="L1592" s="47">
        <f>IF(A1592="",0,IF(AND(J1592="Yes",E1592&lt;0),-E1592,0))</f>
      </c>
      <c r="M1592" s="47">
        <f>IF(A1592="",0,IF(AND(J1592="Yes",E1592&gt;0),E1592,0))</f>
      </c>
      <c r="N1592">
        <f>IF(A1592="","",IF(D1592="Category Pending","Needs categorization",IF(COUNTIFS($A$2:A1592,A1592,$B$2:B1592,B1592,$E$2:E1592,E1592)&gt;1,"Possible duplicate","")))</f>
      </c>
    </row>
    <row r="1593" spans="3:14" x14ac:dyDescent="0.3">
      <c r="A1593"/>
      <c r="C1593" s="16"/>
      <c r="G1593" s="5">
        <f>IF(A1593="","","Checking")</f>
      </c>
      <c r="H1593">
        <f>IF(A1593="","",IFERROR(XLOOKUP(D1593,Setup!$E$15:$E$79,Setup!$F$15:$F$79),"Miscellaneous"))</f>
      </c>
      <c r="I1593">
        <f>IF(A1593="","",IFERROR(XLOOKUP(D1593,Setup!$E$15:$E$79,Setup!$G$15:$G$79),"Uncategorized"))</f>
      </c>
      <c r="J1593">
        <f>IF(A1593="","",IF(OR(H1593="Transfers",H1593="Income",D1593="Transfer",D1593="Category Pending",F1593="Pending"),"No","Yes"))</f>
      </c>
      <c r="K1593" s="4">
        <f>IF(A1593="","",TEXT(IF(DAY(A1593)&gt;=Setup!$B$9,DATE(YEAR(A1593),MONTH(A1593)+1,1),DATE(YEAR(A1593),MONTH(A1593),1)),"mmmm yyyy"))</f>
      </c>
      <c r="L1593" s="47">
        <f>IF(A1593="",0,IF(AND(J1593="Yes",E1593&lt;0),-E1593,0))</f>
      </c>
      <c r="M1593" s="47">
        <f>IF(A1593="",0,IF(AND(J1593="Yes",E1593&gt;0),E1593,0))</f>
      </c>
      <c r="N1593">
        <f>IF(A1593="","",IF(D1593="Category Pending","Needs categorization",IF(COUNTIFS($A$2:A1593,A1593,$B$2:B1593,B1593,$E$2:E1593,E1593)&gt;1,"Possible duplicate","")))</f>
      </c>
    </row>
    <row r="1594" spans="3:14" x14ac:dyDescent="0.3">
      <c r="A1594"/>
      <c r="C1594" s="16"/>
      <c r="G1594" s="5">
        <f>IF(A1594="","","Checking")</f>
      </c>
      <c r="H1594">
        <f>IF(A1594="","",IFERROR(XLOOKUP(D1594,Setup!$E$15:$E$79,Setup!$F$15:$F$79),"Miscellaneous"))</f>
      </c>
      <c r="I1594">
        <f>IF(A1594="","",IFERROR(XLOOKUP(D1594,Setup!$E$15:$E$79,Setup!$G$15:$G$79),"Uncategorized"))</f>
      </c>
      <c r="J1594">
        <f>IF(A1594="","",IF(OR(H1594="Transfers",H1594="Income",D1594="Transfer",D1594="Category Pending",F1594="Pending"),"No","Yes"))</f>
      </c>
      <c r="K1594" s="4">
        <f>IF(A1594="","",TEXT(IF(DAY(A1594)&gt;=Setup!$B$9,DATE(YEAR(A1594),MONTH(A1594)+1,1),DATE(YEAR(A1594),MONTH(A1594),1)),"mmmm yyyy"))</f>
      </c>
      <c r="L1594" s="47">
        <f>IF(A1594="",0,IF(AND(J1594="Yes",E1594&lt;0),-E1594,0))</f>
      </c>
      <c r="M1594" s="47">
        <f>IF(A1594="",0,IF(AND(J1594="Yes",E1594&gt;0),E1594,0))</f>
      </c>
      <c r="N1594">
        <f>IF(A1594="","",IF(D1594="Category Pending","Needs categorization",IF(COUNTIFS($A$2:A1594,A1594,$B$2:B1594,B1594,$E$2:E1594,E1594)&gt;1,"Possible duplicate","")))</f>
      </c>
    </row>
    <row r="1595" spans="3:14" x14ac:dyDescent="0.3">
      <c r="A1595"/>
      <c r="C1595" s="16"/>
      <c r="G1595" s="5">
        <f>IF(A1595="","","Checking")</f>
      </c>
      <c r="H1595">
        <f>IF(A1595="","",IFERROR(XLOOKUP(D1595,Setup!$E$15:$E$79,Setup!$F$15:$F$79),"Miscellaneous"))</f>
      </c>
      <c r="I1595">
        <f>IF(A1595="","",IFERROR(XLOOKUP(D1595,Setup!$E$15:$E$79,Setup!$G$15:$G$79),"Uncategorized"))</f>
      </c>
      <c r="J1595">
        <f>IF(A1595="","",IF(OR(H1595="Transfers",H1595="Income",D1595="Transfer",D1595="Category Pending",F1595="Pending"),"No","Yes"))</f>
      </c>
      <c r="K1595" s="4">
        <f>IF(A1595="","",TEXT(IF(DAY(A1595)&gt;=Setup!$B$9,DATE(YEAR(A1595),MONTH(A1595)+1,1),DATE(YEAR(A1595),MONTH(A1595),1)),"mmmm yyyy"))</f>
      </c>
      <c r="L1595" s="47">
        <f>IF(A1595="",0,IF(AND(J1595="Yes",E1595&lt;0),-E1595,0))</f>
      </c>
      <c r="M1595" s="47">
        <f>IF(A1595="",0,IF(AND(J1595="Yes",E1595&gt;0),E1595,0))</f>
      </c>
      <c r="N1595">
        <f>IF(A1595="","",IF(D1595="Category Pending","Needs categorization",IF(COUNTIFS($A$2:A1595,A1595,$B$2:B1595,B1595,$E$2:E1595,E1595)&gt;1,"Possible duplicate","")))</f>
      </c>
    </row>
    <row r="1596" spans="3:14" x14ac:dyDescent="0.3">
      <c r="A1596"/>
      <c r="C1596" s="16"/>
      <c r="G1596" s="5">
        <f>IF(A1596="","","Checking")</f>
      </c>
      <c r="H1596">
        <f>IF(A1596="","",IFERROR(XLOOKUP(D1596,Setup!$E$15:$E$79,Setup!$F$15:$F$79),"Miscellaneous"))</f>
      </c>
      <c r="I1596">
        <f>IF(A1596="","",IFERROR(XLOOKUP(D1596,Setup!$E$15:$E$79,Setup!$G$15:$G$79),"Uncategorized"))</f>
      </c>
      <c r="J1596">
        <f>IF(A1596="","",IF(OR(H1596="Transfers",H1596="Income",D1596="Transfer",D1596="Category Pending",F1596="Pending"),"No","Yes"))</f>
      </c>
      <c r="K1596" s="4">
        <f>IF(A1596="","",TEXT(IF(DAY(A1596)&gt;=Setup!$B$9,DATE(YEAR(A1596),MONTH(A1596)+1,1),DATE(YEAR(A1596),MONTH(A1596),1)),"mmmm yyyy"))</f>
      </c>
      <c r="L1596" s="47">
        <f>IF(A1596="",0,IF(AND(J1596="Yes",E1596&lt;0),-E1596,0))</f>
      </c>
      <c r="M1596" s="47">
        <f>IF(A1596="",0,IF(AND(J1596="Yes",E1596&gt;0),E1596,0))</f>
      </c>
      <c r="N1596">
        <f>IF(A1596="","",IF(D1596="Category Pending","Needs categorization",IF(COUNTIFS($A$2:A1596,A1596,$B$2:B1596,B1596,$E$2:E1596,E1596)&gt;1,"Possible duplicate","")))</f>
      </c>
    </row>
    <row r="1597" spans="3:14" x14ac:dyDescent="0.3">
      <c r="A1597"/>
      <c r="C1597" s="16"/>
      <c r="G1597" s="5">
        <f>IF(A1597="","","Checking")</f>
      </c>
      <c r="H1597">
        <f>IF(A1597="","",IFERROR(XLOOKUP(D1597,Setup!$E$15:$E$79,Setup!$F$15:$F$79),"Miscellaneous"))</f>
      </c>
      <c r="I1597">
        <f>IF(A1597="","",IFERROR(XLOOKUP(D1597,Setup!$E$15:$E$79,Setup!$G$15:$G$79),"Uncategorized"))</f>
      </c>
      <c r="J1597">
        <f>IF(A1597="","",IF(OR(H1597="Transfers",H1597="Income",D1597="Transfer",D1597="Category Pending",F1597="Pending"),"No","Yes"))</f>
      </c>
      <c r="K1597" s="4">
        <f>IF(A1597="","",TEXT(IF(DAY(A1597)&gt;=Setup!$B$9,DATE(YEAR(A1597),MONTH(A1597)+1,1),DATE(YEAR(A1597),MONTH(A1597),1)),"mmmm yyyy"))</f>
      </c>
      <c r="L1597" s="47">
        <f>IF(A1597="",0,IF(AND(J1597="Yes",E1597&lt;0),-E1597,0))</f>
      </c>
      <c r="M1597" s="47">
        <f>IF(A1597="",0,IF(AND(J1597="Yes",E1597&gt;0),E1597,0))</f>
      </c>
      <c r="N1597">
        <f>IF(A1597="","",IF(D1597="Category Pending","Needs categorization",IF(COUNTIFS($A$2:A1597,A1597,$B$2:B1597,B1597,$E$2:E1597,E1597)&gt;1,"Possible duplicate","")))</f>
      </c>
    </row>
    <row r="1598" spans="3:14" x14ac:dyDescent="0.3">
      <c r="A1598"/>
      <c r="C1598" s="16"/>
      <c r="G1598" s="5">
        <f>IF(A1598="","","Checking")</f>
      </c>
      <c r="H1598">
        <f>IF(A1598="","",IFERROR(XLOOKUP(D1598,Setup!$E$15:$E$79,Setup!$F$15:$F$79),"Miscellaneous"))</f>
      </c>
      <c r="I1598">
        <f>IF(A1598="","",IFERROR(XLOOKUP(D1598,Setup!$E$15:$E$79,Setup!$G$15:$G$79),"Uncategorized"))</f>
      </c>
      <c r="J1598">
        <f>IF(A1598="","",IF(OR(H1598="Transfers",H1598="Income",D1598="Transfer",D1598="Category Pending",F1598="Pending"),"No","Yes"))</f>
      </c>
      <c r="K1598" s="4">
        <f>IF(A1598="","",TEXT(IF(DAY(A1598)&gt;=Setup!$B$9,DATE(YEAR(A1598),MONTH(A1598)+1,1),DATE(YEAR(A1598),MONTH(A1598),1)),"mmmm yyyy"))</f>
      </c>
      <c r="L1598" s="47">
        <f>IF(A1598="",0,IF(AND(J1598="Yes",E1598&lt;0),-E1598,0))</f>
      </c>
      <c r="M1598" s="47">
        <f>IF(A1598="",0,IF(AND(J1598="Yes",E1598&gt;0),E1598,0))</f>
      </c>
      <c r="N1598">
        <f>IF(A1598="","",IF(D1598="Category Pending","Needs categorization",IF(COUNTIFS($A$2:A1598,A1598,$B$2:B1598,B1598,$E$2:E1598,E1598)&gt;1,"Possible duplicate","")))</f>
      </c>
    </row>
    <row r="1599" spans="3:14" x14ac:dyDescent="0.3">
      <c r="A1599"/>
      <c r="C1599" s="16"/>
      <c r="G1599" s="5">
        <f>IF(A1599="","","Checking")</f>
      </c>
      <c r="H1599">
        <f>IF(A1599="","",IFERROR(XLOOKUP(D1599,Setup!$E$15:$E$79,Setup!$F$15:$F$79),"Miscellaneous"))</f>
      </c>
      <c r="I1599">
        <f>IF(A1599="","",IFERROR(XLOOKUP(D1599,Setup!$E$15:$E$79,Setup!$G$15:$G$79),"Uncategorized"))</f>
      </c>
      <c r="J1599">
        <f>IF(A1599="","",IF(OR(H1599="Transfers",H1599="Income",D1599="Transfer",D1599="Category Pending",F1599="Pending"),"No","Yes"))</f>
      </c>
      <c r="K1599" s="4">
        <f>IF(A1599="","",TEXT(IF(DAY(A1599)&gt;=Setup!$B$9,DATE(YEAR(A1599),MONTH(A1599)+1,1),DATE(YEAR(A1599),MONTH(A1599),1)),"mmmm yyyy"))</f>
      </c>
      <c r="L1599" s="47">
        <f>IF(A1599="",0,IF(AND(J1599="Yes",E1599&lt;0),-E1599,0))</f>
      </c>
      <c r="M1599" s="47">
        <f>IF(A1599="",0,IF(AND(J1599="Yes",E1599&gt;0),E1599,0))</f>
      </c>
      <c r="N1599">
        <f>IF(A1599="","",IF(D1599="Category Pending","Needs categorization",IF(COUNTIFS($A$2:A1599,A1599,$B$2:B1599,B1599,$E$2:E1599,E1599)&gt;1,"Possible duplicate","")))</f>
      </c>
    </row>
    <row r="1600" spans="3:14" x14ac:dyDescent="0.3">
      <c r="A1600"/>
      <c r="C1600" s="16"/>
      <c r="G1600" s="5">
        <f>IF(A1600="","","Checking")</f>
      </c>
      <c r="H1600">
        <f>IF(A1600="","",IFERROR(XLOOKUP(D1600,Setup!$E$15:$E$79,Setup!$F$15:$F$79),"Miscellaneous"))</f>
      </c>
      <c r="I1600">
        <f>IF(A1600="","",IFERROR(XLOOKUP(D1600,Setup!$E$15:$E$79,Setup!$G$15:$G$79),"Uncategorized"))</f>
      </c>
      <c r="J1600">
        <f>IF(A1600="","",IF(OR(H1600="Transfers",H1600="Income",D1600="Transfer",D1600="Category Pending",F1600="Pending"),"No","Yes"))</f>
      </c>
      <c r="K1600" s="4">
        <f>IF(A1600="","",TEXT(IF(DAY(A1600)&gt;=Setup!$B$9,DATE(YEAR(A1600),MONTH(A1600)+1,1),DATE(YEAR(A1600),MONTH(A1600),1)),"mmmm yyyy"))</f>
      </c>
      <c r="L1600" s="47">
        <f>IF(A1600="",0,IF(AND(J1600="Yes",E1600&lt;0),-E1600,0))</f>
      </c>
      <c r="M1600" s="47">
        <f>IF(A1600="",0,IF(AND(J1600="Yes",E1600&gt;0),E1600,0))</f>
      </c>
      <c r="N1600">
        <f>IF(A1600="","",IF(D1600="Category Pending","Needs categorization",IF(COUNTIFS($A$2:A1600,A1600,$B$2:B1600,B1600,$E$2:E1600,E1600)&gt;1,"Possible duplicate","")))</f>
      </c>
    </row>
    <row r="1601" spans="3:14" x14ac:dyDescent="0.3">
      <c r="A1601"/>
      <c r="C1601" s="16"/>
      <c r="G1601" s="5">
        <f>IF(A1601="","","Checking")</f>
      </c>
      <c r="H1601">
        <f>IF(A1601="","",IFERROR(XLOOKUP(D1601,Setup!$E$15:$E$79,Setup!$F$15:$F$79),"Miscellaneous"))</f>
      </c>
      <c r="I1601">
        <f>IF(A1601="","",IFERROR(XLOOKUP(D1601,Setup!$E$15:$E$79,Setup!$G$15:$G$79),"Uncategorized"))</f>
      </c>
      <c r="J1601">
        <f>IF(A1601="","",IF(OR(H1601="Transfers",H1601="Income",D1601="Transfer",D1601="Category Pending",F1601="Pending"),"No","Yes"))</f>
      </c>
      <c r="K1601" s="4">
        <f>IF(A1601="","",TEXT(IF(DAY(A1601)&gt;=Setup!$B$9,DATE(YEAR(A1601),MONTH(A1601)+1,1),DATE(YEAR(A1601),MONTH(A1601),1)),"mmmm yyyy"))</f>
      </c>
      <c r="L1601" s="47">
        <f>IF(A1601="",0,IF(AND(J1601="Yes",E1601&lt;0),-E1601,0))</f>
      </c>
      <c r="M1601" s="47">
        <f>IF(A1601="",0,IF(AND(J1601="Yes",E1601&gt;0),E1601,0))</f>
      </c>
      <c r="N1601">
        <f>IF(A1601="","",IF(D1601="Category Pending","Needs categorization",IF(COUNTIFS($A$2:A1601,A1601,$B$2:B1601,B1601,$E$2:E1601,E1601)&gt;1,"Possible duplicate","")))</f>
      </c>
    </row>
    <row r="1602" spans="3:14" x14ac:dyDescent="0.3">
      <c r="A1602"/>
      <c r="C1602" s="16"/>
      <c r="G1602" s="5">
        <f>IF(A1602="","","Checking")</f>
      </c>
      <c r="H1602">
        <f>IF(A1602="","",IFERROR(XLOOKUP(D1602,Setup!$E$15:$E$79,Setup!$F$15:$F$79),"Miscellaneous"))</f>
      </c>
      <c r="I1602">
        <f>IF(A1602="","",IFERROR(XLOOKUP(D1602,Setup!$E$15:$E$79,Setup!$G$15:$G$79),"Uncategorized"))</f>
      </c>
      <c r="J1602">
        <f>IF(A1602="","",IF(OR(H1602="Transfers",H1602="Income",D1602="Transfer",D1602="Category Pending",F1602="Pending"),"No","Yes"))</f>
      </c>
      <c r="K1602" s="4">
        <f>IF(A1602="","",TEXT(IF(DAY(A1602)&gt;=Setup!$B$9,DATE(YEAR(A1602),MONTH(A1602)+1,1),DATE(YEAR(A1602),MONTH(A1602),1)),"mmmm yyyy"))</f>
      </c>
      <c r="L1602" s="47">
        <f>IF(A1602="",0,IF(AND(J1602="Yes",E1602&lt;0),-E1602,0))</f>
      </c>
      <c r="M1602" s="47">
        <f>IF(A1602="",0,IF(AND(J1602="Yes",E1602&gt;0),E1602,0))</f>
      </c>
      <c r="N1602">
        <f>IF(A1602="","",IF(D1602="Category Pending","Needs categorization",IF(COUNTIFS($A$2:A1602,A1602,$B$2:B1602,B1602,$E$2:E1602,E1602)&gt;1,"Possible duplicate","")))</f>
      </c>
    </row>
    <row r="1603" spans="3:14" x14ac:dyDescent="0.3">
      <c r="A1603"/>
      <c r="C1603" s="16"/>
      <c r="G1603" s="5">
        <f>IF(A1603="","","Checking")</f>
      </c>
      <c r="H1603">
        <f>IF(A1603="","",IFERROR(XLOOKUP(D1603,Setup!$E$15:$E$79,Setup!$F$15:$F$79),"Miscellaneous"))</f>
      </c>
      <c r="I1603">
        <f>IF(A1603="","",IFERROR(XLOOKUP(D1603,Setup!$E$15:$E$79,Setup!$G$15:$G$79),"Uncategorized"))</f>
      </c>
      <c r="J1603">
        <f>IF(A1603="","",IF(OR(H1603="Transfers",H1603="Income",D1603="Transfer",D1603="Category Pending",F1603="Pending"),"No","Yes"))</f>
      </c>
      <c r="K1603" s="4">
        <f>IF(A1603="","",TEXT(IF(DAY(A1603)&gt;=Setup!$B$9,DATE(YEAR(A1603),MONTH(A1603)+1,1),DATE(YEAR(A1603),MONTH(A1603),1)),"mmmm yyyy"))</f>
      </c>
      <c r="L1603" s="47">
        <f>IF(A1603="",0,IF(AND(J1603="Yes",E1603&lt;0),-E1603,0))</f>
      </c>
      <c r="M1603" s="47">
        <f>IF(A1603="",0,IF(AND(J1603="Yes",E1603&gt;0),E1603,0))</f>
      </c>
      <c r="N1603">
        <f>IF(A1603="","",IF(D1603="Category Pending","Needs categorization",IF(COUNTIFS($A$2:A1603,A1603,$B$2:B1603,B1603,$E$2:E1603,E1603)&gt;1,"Possible duplicate","")))</f>
      </c>
    </row>
    <row r="1604" spans="3:14" x14ac:dyDescent="0.3">
      <c r="A1604"/>
      <c r="C1604" s="16"/>
      <c r="G1604" s="5">
        <f>IF(A1604="","","Checking")</f>
      </c>
      <c r="H1604">
        <f>IF(A1604="","",IFERROR(XLOOKUP(D1604,Setup!$E$15:$E$79,Setup!$F$15:$F$79),"Miscellaneous"))</f>
      </c>
      <c r="I1604">
        <f>IF(A1604="","",IFERROR(XLOOKUP(D1604,Setup!$E$15:$E$79,Setup!$G$15:$G$79),"Uncategorized"))</f>
      </c>
      <c r="J1604">
        <f>IF(A1604="","",IF(OR(H1604="Transfers",H1604="Income",D1604="Transfer",D1604="Category Pending",F1604="Pending"),"No","Yes"))</f>
      </c>
      <c r="K1604" s="4">
        <f>IF(A1604="","",TEXT(IF(DAY(A1604)&gt;=Setup!$B$9,DATE(YEAR(A1604),MONTH(A1604)+1,1),DATE(YEAR(A1604),MONTH(A1604),1)),"mmmm yyyy"))</f>
      </c>
      <c r="L1604" s="47">
        <f>IF(A1604="",0,IF(AND(J1604="Yes",E1604&lt;0),-E1604,0))</f>
      </c>
      <c r="M1604" s="47">
        <f>IF(A1604="",0,IF(AND(J1604="Yes",E1604&gt;0),E1604,0))</f>
      </c>
      <c r="N1604">
        <f>IF(A1604="","",IF(D1604="Category Pending","Needs categorization",IF(COUNTIFS($A$2:A1604,A1604,$B$2:B1604,B1604,$E$2:E1604,E1604)&gt;1,"Possible duplicate","")))</f>
      </c>
    </row>
    <row r="1605" spans="3:14" x14ac:dyDescent="0.3">
      <c r="A1605"/>
      <c r="C1605" s="16"/>
      <c r="G1605" s="5">
        <f>IF(A1605="","","Checking")</f>
      </c>
      <c r="H1605">
        <f>IF(A1605="","",IFERROR(XLOOKUP(D1605,Setup!$E$15:$E$79,Setup!$F$15:$F$79),"Miscellaneous"))</f>
      </c>
      <c r="I1605">
        <f>IF(A1605="","",IFERROR(XLOOKUP(D1605,Setup!$E$15:$E$79,Setup!$G$15:$G$79),"Uncategorized"))</f>
      </c>
      <c r="J1605">
        <f>IF(A1605="","",IF(OR(H1605="Transfers",H1605="Income",D1605="Transfer",D1605="Category Pending",F1605="Pending"),"No","Yes"))</f>
      </c>
      <c r="K1605" s="4">
        <f>IF(A1605="","",TEXT(IF(DAY(A1605)&gt;=Setup!$B$9,DATE(YEAR(A1605),MONTH(A1605)+1,1),DATE(YEAR(A1605),MONTH(A1605),1)),"mmmm yyyy"))</f>
      </c>
      <c r="L1605" s="47">
        <f>IF(A1605="",0,IF(AND(J1605="Yes",E1605&lt;0),-E1605,0))</f>
      </c>
      <c r="M1605" s="47">
        <f>IF(A1605="",0,IF(AND(J1605="Yes",E1605&gt;0),E1605,0))</f>
      </c>
      <c r="N1605">
        <f>IF(A1605="","",IF(D1605="Category Pending","Needs categorization",IF(COUNTIFS($A$2:A1605,A1605,$B$2:B1605,B1605,$E$2:E1605,E1605)&gt;1,"Possible duplicate","")))</f>
      </c>
    </row>
    <row r="1606" spans="3:14" x14ac:dyDescent="0.3">
      <c r="A1606"/>
      <c r="C1606" s="16"/>
      <c r="G1606" s="5">
        <f>IF(A1606="","","Checking")</f>
      </c>
      <c r="H1606">
        <f>IF(A1606="","",IFERROR(XLOOKUP(D1606,Setup!$E$15:$E$79,Setup!$F$15:$F$79),"Miscellaneous"))</f>
      </c>
      <c r="I1606">
        <f>IF(A1606="","",IFERROR(XLOOKUP(D1606,Setup!$E$15:$E$79,Setup!$G$15:$G$79),"Uncategorized"))</f>
      </c>
      <c r="J1606">
        <f>IF(A1606="","",IF(OR(H1606="Transfers",H1606="Income",D1606="Transfer",D1606="Category Pending",F1606="Pending"),"No","Yes"))</f>
      </c>
      <c r="K1606" s="4">
        <f>IF(A1606="","",TEXT(IF(DAY(A1606)&gt;=Setup!$B$9,DATE(YEAR(A1606),MONTH(A1606)+1,1),DATE(YEAR(A1606),MONTH(A1606),1)),"mmmm yyyy"))</f>
      </c>
      <c r="L1606" s="47">
        <f>IF(A1606="",0,IF(AND(J1606="Yes",E1606&lt;0),-E1606,0))</f>
      </c>
      <c r="M1606" s="47">
        <f>IF(A1606="",0,IF(AND(J1606="Yes",E1606&gt;0),E1606,0))</f>
      </c>
      <c r="N1606">
        <f>IF(A1606="","",IF(D1606="Category Pending","Needs categorization",IF(COUNTIFS($A$2:A1606,A1606,$B$2:B1606,B1606,$E$2:E1606,E1606)&gt;1,"Possible duplicate","")))</f>
      </c>
    </row>
    <row r="1607" spans="3:14" x14ac:dyDescent="0.3">
      <c r="A1607"/>
      <c r="C1607" s="16"/>
      <c r="G1607" s="5">
        <f>IF(A1607="","","Checking")</f>
      </c>
      <c r="H1607">
        <f>IF(A1607="","",IFERROR(XLOOKUP(D1607,Setup!$E$15:$E$79,Setup!$F$15:$F$79),"Miscellaneous"))</f>
      </c>
      <c r="I1607">
        <f>IF(A1607="","",IFERROR(XLOOKUP(D1607,Setup!$E$15:$E$79,Setup!$G$15:$G$79),"Uncategorized"))</f>
      </c>
      <c r="J1607">
        <f>IF(A1607="","",IF(OR(H1607="Transfers",H1607="Income",D1607="Transfer",D1607="Category Pending",F1607="Pending"),"No","Yes"))</f>
      </c>
      <c r="K1607" s="4">
        <f>IF(A1607="","",TEXT(IF(DAY(A1607)&gt;=Setup!$B$9,DATE(YEAR(A1607),MONTH(A1607)+1,1),DATE(YEAR(A1607),MONTH(A1607),1)),"mmmm yyyy"))</f>
      </c>
      <c r="L1607" s="47">
        <f>IF(A1607="",0,IF(AND(J1607="Yes",E1607&lt;0),-E1607,0))</f>
      </c>
      <c r="M1607" s="47">
        <f>IF(A1607="",0,IF(AND(J1607="Yes",E1607&gt;0),E1607,0))</f>
      </c>
      <c r="N1607">
        <f>IF(A1607="","",IF(D1607="Category Pending","Needs categorization",IF(COUNTIFS($A$2:A1607,A1607,$B$2:B1607,B1607,$E$2:E1607,E1607)&gt;1,"Possible duplicate","")))</f>
      </c>
    </row>
    <row r="1608" spans="3:14" x14ac:dyDescent="0.3">
      <c r="A1608"/>
      <c r="C1608" s="16"/>
      <c r="G1608" s="5">
        <f>IF(A1608="","","Checking")</f>
      </c>
      <c r="H1608">
        <f>IF(A1608="","",IFERROR(XLOOKUP(D1608,Setup!$E$15:$E$79,Setup!$F$15:$F$79),"Miscellaneous"))</f>
      </c>
      <c r="I1608">
        <f>IF(A1608="","",IFERROR(XLOOKUP(D1608,Setup!$E$15:$E$79,Setup!$G$15:$G$79),"Uncategorized"))</f>
      </c>
      <c r="J1608">
        <f>IF(A1608="","",IF(OR(H1608="Transfers",H1608="Income",D1608="Transfer",D1608="Category Pending",F1608="Pending"),"No","Yes"))</f>
      </c>
      <c r="K1608" s="4">
        <f>IF(A1608="","",TEXT(IF(DAY(A1608)&gt;=Setup!$B$9,DATE(YEAR(A1608),MONTH(A1608)+1,1),DATE(YEAR(A1608),MONTH(A1608),1)),"mmmm yyyy"))</f>
      </c>
      <c r="L1608" s="47">
        <f>IF(A1608="",0,IF(AND(J1608="Yes",E1608&lt;0),-E1608,0))</f>
      </c>
      <c r="M1608" s="47">
        <f>IF(A1608="",0,IF(AND(J1608="Yes",E1608&gt;0),E1608,0))</f>
      </c>
      <c r="N1608">
        <f>IF(A1608="","",IF(D1608="Category Pending","Needs categorization",IF(COUNTIFS($A$2:A1608,A1608,$B$2:B1608,B1608,$E$2:E1608,E1608)&gt;1,"Possible duplicate","")))</f>
      </c>
    </row>
    <row r="1609" spans="3:14" x14ac:dyDescent="0.3">
      <c r="A1609"/>
      <c r="C1609" s="16"/>
      <c r="G1609" s="5">
        <f>IF(A1609="","","Checking")</f>
      </c>
      <c r="H1609">
        <f>IF(A1609="","",IFERROR(XLOOKUP(D1609,Setup!$E$15:$E$79,Setup!$F$15:$F$79),"Miscellaneous"))</f>
      </c>
      <c r="I1609">
        <f>IF(A1609="","",IFERROR(XLOOKUP(D1609,Setup!$E$15:$E$79,Setup!$G$15:$G$79),"Uncategorized"))</f>
      </c>
      <c r="J1609">
        <f>IF(A1609="","",IF(OR(H1609="Transfers",H1609="Income",D1609="Transfer",D1609="Category Pending",F1609="Pending"),"No","Yes"))</f>
      </c>
      <c r="K1609" s="4">
        <f>IF(A1609="","",TEXT(IF(DAY(A1609)&gt;=Setup!$B$9,DATE(YEAR(A1609),MONTH(A1609)+1,1),DATE(YEAR(A1609),MONTH(A1609),1)),"mmmm yyyy"))</f>
      </c>
      <c r="L1609" s="47">
        <f>IF(A1609="",0,IF(AND(J1609="Yes",E1609&lt;0),-E1609,0))</f>
      </c>
      <c r="M1609" s="47">
        <f>IF(A1609="",0,IF(AND(J1609="Yes",E1609&gt;0),E1609,0))</f>
      </c>
      <c r="N1609">
        <f>IF(A1609="","",IF(D1609="Category Pending","Needs categorization",IF(COUNTIFS($A$2:A1609,A1609,$B$2:B1609,B1609,$E$2:E1609,E1609)&gt;1,"Possible duplicate","")))</f>
      </c>
    </row>
    <row r="1610" spans="3:14" x14ac:dyDescent="0.3">
      <c r="A1610"/>
      <c r="C1610" s="16"/>
      <c r="G1610" s="5">
        <f>IF(A1610="","","Checking")</f>
      </c>
      <c r="H1610">
        <f>IF(A1610="","",IFERROR(XLOOKUP(D1610,Setup!$E$15:$E$79,Setup!$F$15:$F$79),"Miscellaneous"))</f>
      </c>
      <c r="I1610">
        <f>IF(A1610="","",IFERROR(XLOOKUP(D1610,Setup!$E$15:$E$79,Setup!$G$15:$G$79),"Uncategorized"))</f>
      </c>
      <c r="J1610">
        <f>IF(A1610="","",IF(OR(H1610="Transfers",H1610="Income",D1610="Transfer",D1610="Category Pending",F1610="Pending"),"No","Yes"))</f>
      </c>
      <c r="K1610" s="4">
        <f>IF(A1610="","",TEXT(IF(DAY(A1610)&gt;=Setup!$B$9,DATE(YEAR(A1610),MONTH(A1610)+1,1),DATE(YEAR(A1610),MONTH(A1610),1)),"mmmm yyyy"))</f>
      </c>
      <c r="L1610" s="47">
        <f>IF(A1610="",0,IF(AND(J1610="Yes",E1610&lt;0),-E1610,0))</f>
      </c>
      <c r="M1610" s="47">
        <f>IF(A1610="",0,IF(AND(J1610="Yes",E1610&gt;0),E1610,0))</f>
      </c>
      <c r="N1610">
        <f>IF(A1610="","",IF(D1610="Category Pending","Needs categorization",IF(COUNTIFS($A$2:A1610,A1610,$B$2:B1610,B1610,$E$2:E1610,E1610)&gt;1,"Possible duplicate","")))</f>
      </c>
    </row>
    <row r="1611" spans="3:14" x14ac:dyDescent="0.3">
      <c r="A1611"/>
      <c r="C1611" s="16"/>
      <c r="G1611" s="5">
        <f>IF(A1611="","","Checking")</f>
      </c>
      <c r="H1611">
        <f>IF(A1611="","",IFERROR(XLOOKUP(D1611,Setup!$E$15:$E$79,Setup!$F$15:$F$79),"Miscellaneous"))</f>
      </c>
      <c r="I1611">
        <f>IF(A1611="","",IFERROR(XLOOKUP(D1611,Setup!$E$15:$E$79,Setup!$G$15:$G$79),"Uncategorized"))</f>
      </c>
      <c r="J1611">
        <f>IF(A1611="","",IF(OR(H1611="Transfers",H1611="Income",D1611="Transfer",D1611="Category Pending",F1611="Pending"),"No","Yes"))</f>
      </c>
      <c r="K1611" s="4">
        <f>IF(A1611="","",TEXT(IF(DAY(A1611)&gt;=Setup!$B$9,DATE(YEAR(A1611),MONTH(A1611)+1,1),DATE(YEAR(A1611),MONTH(A1611),1)),"mmmm yyyy"))</f>
      </c>
      <c r="L1611" s="47">
        <f>IF(A1611="",0,IF(AND(J1611="Yes",E1611&lt;0),-E1611,0))</f>
      </c>
      <c r="M1611" s="47">
        <f>IF(A1611="",0,IF(AND(J1611="Yes",E1611&gt;0),E1611,0))</f>
      </c>
      <c r="N1611">
        <f>IF(A1611="","",IF(D1611="Category Pending","Needs categorization",IF(COUNTIFS($A$2:A1611,A1611,$B$2:B1611,B1611,$E$2:E1611,E1611)&gt;1,"Possible duplicate","")))</f>
      </c>
    </row>
    <row r="1612" spans="3:14" x14ac:dyDescent="0.3">
      <c r="A1612"/>
      <c r="C1612" s="16"/>
      <c r="G1612" s="5">
        <f>IF(A1612="","","Checking")</f>
      </c>
      <c r="H1612">
        <f>IF(A1612="","",IFERROR(XLOOKUP(D1612,Setup!$E$15:$E$79,Setup!$F$15:$F$79),"Miscellaneous"))</f>
      </c>
      <c r="I1612">
        <f>IF(A1612="","",IFERROR(XLOOKUP(D1612,Setup!$E$15:$E$79,Setup!$G$15:$G$79),"Uncategorized"))</f>
      </c>
      <c r="J1612">
        <f>IF(A1612="","",IF(OR(H1612="Transfers",H1612="Income",D1612="Transfer",D1612="Category Pending",F1612="Pending"),"No","Yes"))</f>
      </c>
      <c r="K1612" s="4">
        <f>IF(A1612="","",TEXT(IF(DAY(A1612)&gt;=Setup!$B$9,DATE(YEAR(A1612),MONTH(A1612)+1,1),DATE(YEAR(A1612),MONTH(A1612),1)),"mmmm yyyy"))</f>
      </c>
      <c r="L1612" s="47">
        <f>IF(A1612="",0,IF(AND(J1612="Yes",E1612&lt;0),-E1612,0))</f>
      </c>
      <c r="M1612" s="47">
        <f>IF(A1612="",0,IF(AND(J1612="Yes",E1612&gt;0),E1612,0))</f>
      </c>
      <c r="N1612">
        <f>IF(A1612="","",IF(D1612="Category Pending","Needs categorization",IF(COUNTIFS($A$2:A1612,A1612,$B$2:B1612,B1612,$E$2:E1612,E1612)&gt;1,"Possible duplicate","")))</f>
      </c>
    </row>
    <row r="1613" spans="3:14" x14ac:dyDescent="0.3">
      <c r="A1613"/>
      <c r="C1613" s="16"/>
      <c r="G1613" s="5">
        <f>IF(A1613="","","Checking")</f>
      </c>
      <c r="H1613">
        <f>IF(A1613="","",IFERROR(XLOOKUP(D1613,Setup!$E$15:$E$79,Setup!$F$15:$F$79),"Miscellaneous"))</f>
      </c>
      <c r="I1613">
        <f>IF(A1613="","",IFERROR(XLOOKUP(D1613,Setup!$E$15:$E$79,Setup!$G$15:$G$79),"Uncategorized"))</f>
      </c>
      <c r="J1613">
        <f>IF(A1613="","",IF(OR(H1613="Transfers",H1613="Income",D1613="Transfer",D1613="Category Pending",F1613="Pending"),"No","Yes"))</f>
      </c>
      <c r="K1613" s="4">
        <f>IF(A1613="","",TEXT(IF(DAY(A1613)&gt;=Setup!$B$9,DATE(YEAR(A1613),MONTH(A1613)+1,1),DATE(YEAR(A1613),MONTH(A1613),1)),"mmmm yyyy"))</f>
      </c>
      <c r="L1613" s="47">
        <f>IF(A1613="",0,IF(AND(J1613="Yes",E1613&lt;0),-E1613,0))</f>
      </c>
      <c r="M1613" s="47">
        <f>IF(A1613="",0,IF(AND(J1613="Yes",E1613&gt;0),E1613,0))</f>
      </c>
      <c r="N1613">
        <f>IF(A1613="","",IF(D1613="Category Pending","Needs categorization",IF(COUNTIFS($A$2:A1613,A1613,$B$2:B1613,B1613,$E$2:E1613,E1613)&gt;1,"Possible duplicate","")))</f>
      </c>
    </row>
    <row r="1614" spans="3:14" x14ac:dyDescent="0.3">
      <c r="A1614"/>
      <c r="C1614" s="16"/>
      <c r="G1614" s="5">
        <f>IF(A1614="","","Checking")</f>
      </c>
      <c r="H1614">
        <f>IF(A1614="","",IFERROR(XLOOKUP(D1614,Setup!$E$15:$E$79,Setup!$F$15:$F$79),"Miscellaneous"))</f>
      </c>
      <c r="I1614">
        <f>IF(A1614="","",IFERROR(XLOOKUP(D1614,Setup!$E$15:$E$79,Setup!$G$15:$G$79),"Uncategorized"))</f>
      </c>
      <c r="J1614">
        <f>IF(A1614="","",IF(OR(H1614="Transfers",H1614="Income",D1614="Transfer",D1614="Category Pending",F1614="Pending"),"No","Yes"))</f>
      </c>
      <c r="K1614" s="4">
        <f>IF(A1614="","",TEXT(IF(DAY(A1614)&gt;=Setup!$B$9,DATE(YEAR(A1614),MONTH(A1614)+1,1),DATE(YEAR(A1614),MONTH(A1614),1)),"mmmm yyyy"))</f>
      </c>
      <c r="L1614" s="47">
        <f>IF(A1614="",0,IF(AND(J1614="Yes",E1614&lt;0),-E1614,0))</f>
      </c>
      <c r="M1614" s="47">
        <f>IF(A1614="",0,IF(AND(J1614="Yes",E1614&gt;0),E1614,0))</f>
      </c>
      <c r="N1614">
        <f>IF(A1614="","",IF(D1614="Category Pending","Needs categorization",IF(COUNTIFS($A$2:A1614,A1614,$B$2:B1614,B1614,$E$2:E1614,E1614)&gt;1,"Possible duplicate","")))</f>
      </c>
    </row>
    <row r="1615" spans="3:14" x14ac:dyDescent="0.3">
      <c r="A1615"/>
      <c r="C1615" s="16"/>
      <c r="G1615" s="5">
        <f>IF(A1615="","","Checking")</f>
      </c>
      <c r="H1615">
        <f>IF(A1615="","",IFERROR(XLOOKUP(D1615,Setup!$E$15:$E$79,Setup!$F$15:$F$79),"Miscellaneous"))</f>
      </c>
      <c r="I1615">
        <f>IF(A1615="","",IFERROR(XLOOKUP(D1615,Setup!$E$15:$E$79,Setup!$G$15:$G$79),"Uncategorized"))</f>
      </c>
      <c r="J1615">
        <f>IF(A1615="","",IF(OR(H1615="Transfers",H1615="Income",D1615="Transfer",D1615="Category Pending",F1615="Pending"),"No","Yes"))</f>
      </c>
      <c r="K1615" s="4">
        <f>IF(A1615="","",TEXT(IF(DAY(A1615)&gt;=Setup!$B$9,DATE(YEAR(A1615),MONTH(A1615)+1,1),DATE(YEAR(A1615),MONTH(A1615),1)),"mmmm yyyy"))</f>
      </c>
      <c r="L1615" s="47">
        <f>IF(A1615="",0,IF(AND(J1615="Yes",E1615&lt;0),-E1615,0))</f>
      </c>
      <c r="M1615" s="47">
        <f>IF(A1615="",0,IF(AND(J1615="Yes",E1615&gt;0),E1615,0))</f>
      </c>
      <c r="N1615">
        <f>IF(A1615="","",IF(D1615="Category Pending","Needs categorization",IF(COUNTIFS($A$2:A1615,A1615,$B$2:B1615,B1615,$E$2:E1615,E1615)&gt;1,"Possible duplicate","")))</f>
      </c>
    </row>
    <row r="1616" spans="3:14" x14ac:dyDescent="0.3">
      <c r="A1616"/>
      <c r="C1616" s="16"/>
      <c r="G1616" s="5">
        <f>IF(A1616="","","Checking")</f>
      </c>
      <c r="H1616">
        <f>IF(A1616="","",IFERROR(XLOOKUP(D1616,Setup!$E$15:$E$79,Setup!$F$15:$F$79),"Miscellaneous"))</f>
      </c>
      <c r="I1616">
        <f>IF(A1616="","",IFERROR(XLOOKUP(D1616,Setup!$E$15:$E$79,Setup!$G$15:$G$79),"Uncategorized"))</f>
      </c>
      <c r="J1616">
        <f>IF(A1616="","",IF(OR(H1616="Transfers",H1616="Income",D1616="Transfer",D1616="Category Pending",F1616="Pending"),"No","Yes"))</f>
      </c>
      <c r="K1616" s="4">
        <f>IF(A1616="","",TEXT(IF(DAY(A1616)&gt;=Setup!$B$9,DATE(YEAR(A1616),MONTH(A1616)+1,1),DATE(YEAR(A1616),MONTH(A1616),1)),"mmmm yyyy"))</f>
      </c>
      <c r="L1616" s="47">
        <f>IF(A1616="",0,IF(AND(J1616="Yes",E1616&lt;0),-E1616,0))</f>
      </c>
      <c r="M1616" s="47">
        <f>IF(A1616="",0,IF(AND(J1616="Yes",E1616&gt;0),E1616,0))</f>
      </c>
      <c r="N1616">
        <f>IF(A1616="","",IF(D1616="Category Pending","Needs categorization",IF(COUNTIFS($A$2:A1616,A1616,$B$2:B1616,B1616,$E$2:E1616,E1616)&gt;1,"Possible duplicate","")))</f>
      </c>
    </row>
    <row r="1617" spans="3:14" x14ac:dyDescent="0.3">
      <c r="A1617"/>
      <c r="C1617" s="16"/>
      <c r="G1617" s="5">
        <f>IF(A1617="","","Checking")</f>
      </c>
      <c r="H1617">
        <f>IF(A1617="","",IFERROR(XLOOKUP(D1617,Setup!$E$15:$E$79,Setup!$F$15:$F$79),"Miscellaneous"))</f>
      </c>
      <c r="I1617">
        <f>IF(A1617="","",IFERROR(XLOOKUP(D1617,Setup!$E$15:$E$79,Setup!$G$15:$G$79),"Uncategorized"))</f>
      </c>
      <c r="J1617">
        <f>IF(A1617="","",IF(OR(H1617="Transfers",H1617="Income",D1617="Transfer",D1617="Category Pending",F1617="Pending"),"No","Yes"))</f>
      </c>
      <c r="K1617" s="4">
        <f>IF(A1617="","",TEXT(IF(DAY(A1617)&gt;=Setup!$B$9,DATE(YEAR(A1617),MONTH(A1617)+1,1),DATE(YEAR(A1617),MONTH(A1617),1)),"mmmm yyyy"))</f>
      </c>
      <c r="L1617" s="47">
        <f>IF(A1617="",0,IF(AND(J1617="Yes",E1617&lt;0),-E1617,0))</f>
      </c>
      <c r="M1617" s="47">
        <f>IF(A1617="",0,IF(AND(J1617="Yes",E1617&gt;0),E1617,0))</f>
      </c>
      <c r="N1617">
        <f>IF(A1617="","",IF(D1617="Category Pending","Needs categorization",IF(COUNTIFS($A$2:A1617,A1617,$B$2:B1617,B1617,$E$2:E1617,E1617)&gt;1,"Possible duplicate","")))</f>
      </c>
    </row>
    <row r="1618" spans="3:14" x14ac:dyDescent="0.3">
      <c r="A1618"/>
      <c r="C1618" s="16"/>
      <c r="G1618" s="5">
        <f>IF(A1618="","","Checking")</f>
      </c>
      <c r="H1618">
        <f>IF(A1618="","",IFERROR(XLOOKUP(D1618,Setup!$E$15:$E$79,Setup!$F$15:$F$79),"Miscellaneous"))</f>
      </c>
      <c r="I1618">
        <f>IF(A1618="","",IFERROR(XLOOKUP(D1618,Setup!$E$15:$E$79,Setup!$G$15:$G$79),"Uncategorized"))</f>
      </c>
      <c r="J1618">
        <f>IF(A1618="","",IF(OR(H1618="Transfers",H1618="Income",D1618="Transfer",D1618="Category Pending",F1618="Pending"),"No","Yes"))</f>
      </c>
      <c r="K1618" s="4">
        <f>IF(A1618="","",TEXT(IF(DAY(A1618)&gt;=Setup!$B$9,DATE(YEAR(A1618),MONTH(A1618)+1,1),DATE(YEAR(A1618),MONTH(A1618),1)),"mmmm yyyy"))</f>
      </c>
      <c r="L1618" s="47">
        <f>IF(A1618="",0,IF(AND(J1618="Yes",E1618&lt;0),-E1618,0))</f>
      </c>
      <c r="M1618" s="47">
        <f>IF(A1618="",0,IF(AND(J1618="Yes",E1618&gt;0),E1618,0))</f>
      </c>
      <c r="N1618">
        <f>IF(A1618="","",IF(D1618="Category Pending","Needs categorization",IF(COUNTIFS($A$2:A1618,A1618,$B$2:B1618,B1618,$E$2:E1618,E1618)&gt;1,"Possible duplicate","")))</f>
      </c>
    </row>
    <row r="1619" spans="3:14" x14ac:dyDescent="0.3">
      <c r="A1619"/>
      <c r="C1619" s="16"/>
      <c r="G1619" s="5">
        <f>IF(A1619="","","Checking")</f>
      </c>
      <c r="H1619">
        <f>IF(A1619="","",IFERROR(XLOOKUP(D1619,Setup!$E$15:$E$79,Setup!$F$15:$F$79),"Miscellaneous"))</f>
      </c>
      <c r="I1619">
        <f>IF(A1619="","",IFERROR(XLOOKUP(D1619,Setup!$E$15:$E$79,Setup!$G$15:$G$79),"Uncategorized"))</f>
      </c>
      <c r="J1619">
        <f>IF(A1619="","",IF(OR(H1619="Transfers",H1619="Income",D1619="Transfer",D1619="Category Pending",F1619="Pending"),"No","Yes"))</f>
      </c>
      <c r="K1619" s="4">
        <f>IF(A1619="","",TEXT(IF(DAY(A1619)&gt;=Setup!$B$9,DATE(YEAR(A1619),MONTH(A1619)+1,1),DATE(YEAR(A1619),MONTH(A1619),1)),"mmmm yyyy"))</f>
      </c>
      <c r="L1619" s="47">
        <f>IF(A1619="",0,IF(AND(J1619="Yes",E1619&lt;0),-E1619,0))</f>
      </c>
      <c r="M1619" s="47">
        <f>IF(A1619="",0,IF(AND(J1619="Yes",E1619&gt;0),E1619,0))</f>
      </c>
      <c r="N1619">
        <f>IF(A1619="","",IF(D1619="Category Pending","Needs categorization",IF(COUNTIFS($A$2:A1619,A1619,$B$2:B1619,B1619,$E$2:E1619,E1619)&gt;1,"Possible duplicate","")))</f>
      </c>
    </row>
    <row r="1620" spans="3:14" x14ac:dyDescent="0.3">
      <c r="A1620"/>
      <c r="C1620" s="16"/>
      <c r="G1620" s="5">
        <f>IF(A1620="","","Checking")</f>
      </c>
      <c r="H1620">
        <f>IF(A1620="","",IFERROR(XLOOKUP(D1620,Setup!$E$15:$E$79,Setup!$F$15:$F$79),"Miscellaneous"))</f>
      </c>
      <c r="I1620">
        <f>IF(A1620="","",IFERROR(XLOOKUP(D1620,Setup!$E$15:$E$79,Setup!$G$15:$G$79),"Uncategorized"))</f>
      </c>
      <c r="J1620">
        <f>IF(A1620="","",IF(OR(H1620="Transfers",H1620="Income",D1620="Transfer",D1620="Category Pending",F1620="Pending"),"No","Yes"))</f>
      </c>
      <c r="K1620" s="4">
        <f>IF(A1620="","",TEXT(IF(DAY(A1620)&gt;=Setup!$B$9,DATE(YEAR(A1620),MONTH(A1620)+1,1),DATE(YEAR(A1620),MONTH(A1620),1)),"mmmm yyyy"))</f>
      </c>
      <c r="L1620" s="47">
        <f>IF(A1620="",0,IF(AND(J1620="Yes",E1620&lt;0),-E1620,0))</f>
      </c>
      <c r="M1620" s="47">
        <f>IF(A1620="",0,IF(AND(J1620="Yes",E1620&gt;0),E1620,0))</f>
      </c>
      <c r="N1620">
        <f>IF(A1620="","",IF(D1620="Category Pending","Needs categorization",IF(COUNTIFS($A$2:A1620,A1620,$B$2:B1620,B1620,$E$2:E1620,E1620)&gt;1,"Possible duplicate","")))</f>
      </c>
    </row>
    <row r="1621" spans="3:14" x14ac:dyDescent="0.3">
      <c r="A1621"/>
      <c r="C1621" s="16"/>
      <c r="G1621" s="5">
        <f>IF(A1621="","","Checking")</f>
      </c>
      <c r="H1621">
        <f>IF(A1621="","",IFERROR(XLOOKUP(D1621,Setup!$E$15:$E$79,Setup!$F$15:$F$79),"Miscellaneous"))</f>
      </c>
      <c r="I1621">
        <f>IF(A1621="","",IFERROR(XLOOKUP(D1621,Setup!$E$15:$E$79,Setup!$G$15:$G$79),"Uncategorized"))</f>
      </c>
      <c r="J1621">
        <f>IF(A1621="","",IF(OR(H1621="Transfers",H1621="Income",D1621="Transfer",D1621="Category Pending",F1621="Pending"),"No","Yes"))</f>
      </c>
      <c r="K1621" s="4">
        <f>IF(A1621="","",TEXT(IF(DAY(A1621)&gt;=Setup!$B$9,DATE(YEAR(A1621),MONTH(A1621)+1,1),DATE(YEAR(A1621),MONTH(A1621),1)),"mmmm yyyy"))</f>
      </c>
      <c r="L1621" s="47">
        <f>IF(A1621="",0,IF(AND(J1621="Yes",E1621&lt;0),-E1621,0))</f>
      </c>
      <c r="M1621" s="47">
        <f>IF(A1621="",0,IF(AND(J1621="Yes",E1621&gt;0),E1621,0))</f>
      </c>
      <c r="N1621">
        <f>IF(A1621="","",IF(D1621="Category Pending","Needs categorization",IF(COUNTIFS($A$2:A1621,A1621,$B$2:B1621,B1621,$E$2:E1621,E1621)&gt;1,"Possible duplicate","")))</f>
      </c>
    </row>
    <row r="1622" spans="3:14" x14ac:dyDescent="0.3">
      <c r="A1622"/>
      <c r="C1622" s="16"/>
      <c r="G1622" s="5">
        <f>IF(A1622="","","Checking")</f>
      </c>
      <c r="H1622">
        <f>IF(A1622="","",IFERROR(XLOOKUP(D1622,Setup!$E$15:$E$79,Setup!$F$15:$F$79),"Miscellaneous"))</f>
      </c>
      <c r="I1622">
        <f>IF(A1622="","",IFERROR(XLOOKUP(D1622,Setup!$E$15:$E$79,Setup!$G$15:$G$79),"Uncategorized"))</f>
      </c>
      <c r="J1622">
        <f>IF(A1622="","",IF(OR(H1622="Transfers",H1622="Income",D1622="Transfer",D1622="Category Pending",F1622="Pending"),"No","Yes"))</f>
      </c>
      <c r="K1622" s="4">
        <f>IF(A1622="","",TEXT(IF(DAY(A1622)&gt;=Setup!$B$9,DATE(YEAR(A1622),MONTH(A1622)+1,1),DATE(YEAR(A1622),MONTH(A1622),1)),"mmmm yyyy"))</f>
      </c>
      <c r="L1622" s="47">
        <f>IF(A1622="",0,IF(AND(J1622="Yes",E1622&lt;0),-E1622,0))</f>
      </c>
      <c r="M1622" s="47">
        <f>IF(A1622="",0,IF(AND(J1622="Yes",E1622&gt;0),E1622,0))</f>
      </c>
      <c r="N1622">
        <f>IF(A1622="","",IF(D1622="Category Pending","Needs categorization",IF(COUNTIFS($A$2:A1622,A1622,$B$2:B1622,B1622,$E$2:E1622,E1622)&gt;1,"Possible duplicate","")))</f>
      </c>
    </row>
    <row r="1623" spans="3:14" x14ac:dyDescent="0.3">
      <c r="A1623"/>
      <c r="C1623" s="16"/>
      <c r="G1623" s="5">
        <f>IF(A1623="","","Checking")</f>
      </c>
      <c r="H1623">
        <f>IF(A1623="","",IFERROR(XLOOKUP(D1623,Setup!$E$15:$E$79,Setup!$F$15:$F$79),"Miscellaneous"))</f>
      </c>
      <c r="I1623">
        <f>IF(A1623="","",IFERROR(XLOOKUP(D1623,Setup!$E$15:$E$79,Setup!$G$15:$G$79),"Uncategorized"))</f>
      </c>
      <c r="J1623">
        <f>IF(A1623="","",IF(OR(H1623="Transfers",H1623="Income",D1623="Transfer",D1623="Category Pending",F1623="Pending"),"No","Yes"))</f>
      </c>
      <c r="K1623" s="4">
        <f>IF(A1623="","",TEXT(IF(DAY(A1623)&gt;=Setup!$B$9,DATE(YEAR(A1623),MONTH(A1623)+1,1),DATE(YEAR(A1623),MONTH(A1623),1)),"mmmm yyyy"))</f>
      </c>
      <c r="L1623" s="47">
        <f>IF(A1623="",0,IF(AND(J1623="Yes",E1623&lt;0),-E1623,0))</f>
      </c>
      <c r="M1623" s="47">
        <f>IF(A1623="",0,IF(AND(J1623="Yes",E1623&gt;0),E1623,0))</f>
      </c>
      <c r="N1623">
        <f>IF(A1623="","",IF(D1623="Category Pending","Needs categorization",IF(COUNTIFS($A$2:A1623,A1623,$B$2:B1623,B1623,$E$2:E1623,E1623)&gt;1,"Possible duplicate","")))</f>
      </c>
    </row>
    <row r="1624" spans="3:14" x14ac:dyDescent="0.3">
      <c r="A1624"/>
      <c r="C1624" s="16"/>
      <c r="G1624" s="5">
        <f>IF(A1624="","","Checking")</f>
      </c>
      <c r="H1624">
        <f>IF(A1624="","",IFERROR(XLOOKUP(D1624,Setup!$E$15:$E$79,Setup!$F$15:$F$79),"Miscellaneous"))</f>
      </c>
      <c r="I1624">
        <f>IF(A1624="","",IFERROR(XLOOKUP(D1624,Setup!$E$15:$E$79,Setup!$G$15:$G$79),"Uncategorized"))</f>
      </c>
      <c r="J1624">
        <f>IF(A1624="","",IF(OR(H1624="Transfers",H1624="Income",D1624="Transfer",D1624="Category Pending",F1624="Pending"),"No","Yes"))</f>
      </c>
      <c r="K1624" s="4">
        <f>IF(A1624="","",TEXT(IF(DAY(A1624)&gt;=Setup!$B$9,DATE(YEAR(A1624),MONTH(A1624)+1,1),DATE(YEAR(A1624),MONTH(A1624),1)),"mmmm yyyy"))</f>
      </c>
      <c r="L1624" s="47">
        <f>IF(A1624="",0,IF(AND(J1624="Yes",E1624&lt;0),-E1624,0))</f>
      </c>
      <c r="M1624" s="47">
        <f>IF(A1624="",0,IF(AND(J1624="Yes",E1624&gt;0),E1624,0))</f>
      </c>
      <c r="N1624">
        <f>IF(A1624="","",IF(D1624="Category Pending","Needs categorization",IF(COUNTIFS($A$2:A1624,A1624,$B$2:B1624,B1624,$E$2:E1624,E1624)&gt;1,"Possible duplicate","")))</f>
      </c>
    </row>
    <row r="1625" spans="3:14" x14ac:dyDescent="0.3">
      <c r="A1625"/>
      <c r="C1625" s="16"/>
      <c r="G1625" s="5">
        <f>IF(A1625="","","Checking")</f>
      </c>
      <c r="H1625">
        <f>IF(A1625="","",IFERROR(XLOOKUP(D1625,Setup!$E$15:$E$79,Setup!$F$15:$F$79),"Miscellaneous"))</f>
      </c>
      <c r="I1625">
        <f>IF(A1625="","",IFERROR(XLOOKUP(D1625,Setup!$E$15:$E$79,Setup!$G$15:$G$79),"Uncategorized"))</f>
      </c>
      <c r="J1625">
        <f>IF(A1625="","",IF(OR(H1625="Transfers",H1625="Income",D1625="Transfer",D1625="Category Pending",F1625="Pending"),"No","Yes"))</f>
      </c>
      <c r="K1625" s="4">
        <f>IF(A1625="","",TEXT(IF(DAY(A1625)&gt;=Setup!$B$9,DATE(YEAR(A1625),MONTH(A1625)+1,1),DATE(YEAR(A1625),MONTH(A1625),1)),"mmmm yyyy"))</f>
      </c>
      <c r="L1625" s="47">
        <f>IF(A1625="",0,IF(AND(J1625="Yes",E1625&lt;0),-E1625,0))</f>
      </c>
      <c r="M1625" s="47">
        <f>IF(A1625="",0,IF(AND(J1625="Yes",E1625&gt;0),E1625,0))</f>
      </c>
      <c r="N1625">
        <f>IF(A1625="","",IF(D1625="Category Pending","Needs categorization",IF(COUNTIFS($A$2:A1625,A1625,$B$2:B1625,B1625,$E$2:E1625,E1625)&gt;1,"Possible duplicate","")))</f>
      </c>
    </row>
    <row r="1626" spans="3:14" x14ac:dyDescent="0.3">
      <c r="A1626"/>
      <c r="C1626" s="16"/>
      <c r="G1626" s="5">
        <f>IF(A1626="","","Checking")</f>
      </c>
      <c r="H1626">
        <f>IF(A1626="","",IFERROR(XLOOKUP(D1626,Setup!$E$15:$E$79,Setup!$F$15:$F$79),"Miscellaneous"))</f>
      </c>
      <c r="I1626">
        <f>IF(A1626="","",IFERROR(XLOOKUP(D1626,Setup!$E$15:$E$79,Setup!$G$15:$G$79),"Uncategorized"))</f>
      </c>
      <c r="J1626">
        <f>IF(A1626="","",IF(OR(H1626="Transfers",H1626="Income",D1626="Transfer",D1626="Category Pending",F1626="Pending"),"No","Yes"))</f>
      </c>
      <c r="K1626" s="4">
        <f>IF(A1626="","",TEXT(IF(DAY(A1626)&gt;=Setup!$B$9,DATE(YEAR(A1626),MONTH(A1626)+1,1),DATE(YEAR(A1626),MONTH(A1626),1)),"mmmm yyyy"))</f>
      </c>
      <c r="L1626" s="47">
        <f>IF(A1626="",0,IF(AND(J1626="Yes",E1626&lt;0),-E1626,0))</f>
      </c>
      <c r="M1626" s="47">
        <f>IF(A1626="",0,IF(AND(J1626="Yes",E1626&gt;0),E1626,0))</f>
      </c>
      <c r="N1626">
        <f>IF(A1626="","",IF(D1626="Category Pending","Needs categorization",IF(COUNTIFS($A$2:A1626,A1626,$B$2:B1626,B1626,$E$2:E1626,E1626)&gt;1,"Possible duplicate","")))</f>
      </c>
    </row>
    <row r="1627" spans="3:14" x14ac:dyDescent="0.3">
      <c r="A1627"/>
      <c r="C1627" s="16"/>
      <c r="G1627" s="5">
        <f>IF(A1627="","","Checking")</f>
      </c>
      <c r="H1627">
        <f>IF(A1627="","",IFERROR(XLOOKUP(D1627,Setup!$E$15:$E$79,Setup!$F$15:$F$79),"Miscellaneous"))</f>
      </c>
      <c r="I1627">
        <f>IF(A1627="","",IFERROR(XLOOKUP(D1627,Setup!$E$15:$E$79,Setup!$G$15:$G$79),"Uncategorized"))</f>
      </c>
      <c r="J1627">
        <f>IF(A1627="","",IF(OR(H1627="Transfers",H1627="Income",D1627="Transfer",D1627="Category Pending",F1627="Pending"),"No","Yes"))</f>
      </c>
      <c r="K1627" s="4">
        <f>IF(A1627="","",TEXT(IF(DAY(A1627)&gt;=Setup!$B$9,DATE(YEAR(A1627),MONTH(A1627)+1,1),DATE(YEAR(A1627),MONTH(A1627),1)),"mmmm yyyy"))</f>
      </c>
      <c r="L1627" s="47">
        <f>IF(A1627="",0,IF(AND(J1627="Yes",E1627&lt;0),-E1627,0))</f>
      </c>
      <c r="M1627" s="47">
        <f>IF(A1627="",0,IF(AND(J1627="Yes",E1627&gt;0),E1627,0))</f>
      </c>
      <c r="N1627">
        <f>IF(A1627="","",IF(D1627="Category Pending","Needs categorization",IF(COUNTIFS($A$2:A1627,A1627,$B$2:B1627,B1627,$E$2:E1627,E1627)&gt;1,"Possible duplicate","")))</f>
      </c>
    </row>
    <row r="1628" spans="3:14" x14ac:dyDescent="0.3">
      <c r="A1628"/>
      <c r="C1628" s="16"/>
      <c r="G1628" s="5">
        <f>IF(A1628="","","Checking")</f>
      </c>
      <c r="H1628">
        <f>IF(A1628="","",IFERROR(XLOOKUP(D1628,Setup!$E$15:$E$79,Setup!$F$15:$F$79),"Miscellaneous"))</f>
      </c>
      <c r="I1628">
        <f>IF(A1628="","",IFERROR(XLOOKUP(D1628,Setup!$E$15:$E$79,Setup!$G$15:$G$79),"Uncategorized"))</f>
      </c>
      <c r="J1628">
        <f>IF(A1628="","",IF(OR(H1628="Transfers",H1628="Income",D1628="Transfer",D1628="Category Pending",F1628="Pending"),"No","Yes"))</f>
      </c>
      <c r="K1628" s="4">
        <f>IF(A1628="","",TEXT(IF(DAY(A1628)&gt;=Setup!$B$9,DATE(YEAR(A1628),MONTH(A1628)+1,1),DATE(YEAR(A1628),MONTH(A1628),1)),"mmmm yyyy"))</f>
      </c>
      <c r="L1628" s="47">
        <f>IF(A1628="",0,IF(AND(J1628="Yes",E1628&lt;0),-E1628,0))</f>
      </c>
      <c r="M1628" s="47">
        <f>IF(A1628="",0,IF(AND(J1628="Yes",E1628&gt;0),E1628,0))</f>
      </c>
      <c r="N1628">
        <f>IF(A1628="","",IF(D1628="Category Pending","Needs categorization",IF(COUNTIFS($A$2:A1628,A1628,$B$2:B1628,B1628,$E$2:E1628,E1628)&gt;1,"Possible duplicate","")))</f>
      </c>
    </row>
    <row r="1629" spans="3:14" x14ac:dyDescent="0.3">
      <c r="A1629"/>
      <c r="C1629" s="16"/>
      <c r="G1629" s="5">
        <f>IF(A1629="","","Checking")</f>
      </c>
      <c r="H1629">
        <f>IF(A1629="","",IFERROR(XLOOKUP(D1629,Setup!$E$15:$E$79,Setup!$F$15:$F$79),"Miscellaneous"))</f>
      </c>
      <c r="I1629">
        <f>IF(A1629="","",IFERROR(XLOOKUP(D1629,Setup!$E$15:$E$79,Setup!$G$15:$G$79),"Uncategorized"))</f>
      </c>
      <c r="J1629">
        <f>IF(A1629="","",IF(OR(H1629="Transfers",H1629="Income",D1629="Transfer",D1629="Category Pending",F1629="Pending"),"No","Yes"))</f>
      </c>
      <c r="K1629" s="4">
        <f>IF(A1629="","",TEXT(IF(DAY(A1629)&gt;=Setup!$B$9,DATE(YEAR(A1629),MONTH(A1629)+1,1),DATE(YEAR(A1629),MONTH(A1629),1)),"mmmm yyyy"))</f>
      </c>
      <c r="L1629" s="47">
        <f>IF(A1629="",0,IF(AND(J1629="Yes",E1629&lt;0),-E1629,0))</f>
      </c>
      <c r="M1629" s="47">
        <f>IF(A1629="",0,IF(AND(J1629="Yes",E1629&gt;0),E1629,0))</f>
      </c>
      <c r="N1629">
        <f>IF(A1629="","",IF(D1629="Category Pending","Needs categorization",IF(COUNTIFS($A$2:A1629,A1629,$B$2:B1629,B1629,$E$2:E1629,E1629)&gt;1,"Possible duplicate","")))</f>
      </c>
    </row>
    <row r="1630" spans="3:14" x14ac:dyDescent="0.3">
      <c r="A1630"/>
      <c r="C1630" s="16"/>
      <c r="G1630" s="5">
        <f>IF(A1630="","","Checking")</f>
      </c>
      <c r="H1630">
        <f>IF(A1630="","",IFERROR(XLOOKUP(D1630,Setup!$E$15:$E$79,Setup!$F$15:$F$79),"Miscellaneous"))</f>
      </c>
      <c r="I1630">
        <f>IF(A1630="","",IFERROR(XLOOKUP(D1630,Setup!$E$15:$E$79,Setup!$G$15:$G$79),"Uncategorized"))</f>
      </c>
      <c r="J1630">
        <f>IF(A1630="","",IF(OR(H1630="Transfers",H1630="Income",D1630="Transfer",D1630="Category Pending",F1630="Pending"),"No","Yes"))</f>
      </c>
      <c r="K1630" s="4">
        <f>IF(A1630="","",TEXT(IF(DAY(A1630)&gt;=Setup!$B$9,DATE(YEAR(A1630),MONTH(A1630)+1,1),DATE(YEAR(A1630),MONTH(A1630),1)),"mmmm yyyy"))</f>
      </c>
      <c r="L1630" s="47">
        <f>IF(A1630="",0,IF(AND(J1630="Yes",E1630&lt;0),-E1630,0))</f>
      </c>
      <c r="M1630" s="47">
        <f>IF(A1630="",0,IF(AND(J1630="Yes",E1630&gt;0),E1630,0))</f>
      </c>
      <c r="N1630">
        <f>IF(A1630="","",IF(D1630="Category Pending","Needs categorization",IF(COUNTIFS($A$2:A1630,A1630,$B$2:B1630,B1630,$E$2:E1630,E1630)&gt;1,"Possible duplicate","")))</f>
      </c>
    </row>
    <row r="1631" spans="3:14" x14ac:dyDescent="0.3">
      <c r="A1631"/>
      <c r="C1631" s="16"/>
      <c r="G1631" s="5">
        <f>IF(A1631="","","Checking")</f>
      </c>
      <c r="H1631">
        <f>IF(A1631="","",IFERROR(XLOOKUP(D1631,Setup!$E$15:$E$79,Setup!$F$15:$F$79),"Miscellaneous"))</f>
      </c>
      <c r="I1631">
        <f>IF(A1631="","",IFERROR(XLOOKUP(D1631,Setup!$E$15:$E$79,Setup!$G$15:$G$79),"Uncategorized"))</f>
      </c>
      <c r="J1631">
        <f>IF(A1631="","",IF(OR(H1631="Transfers",H1631="Income",D1631="Transfer",D1631="Category Pending",F1631="Pending"),"No","Yes"))</f>
      </c>
      <c r="K1631" s="4">
        <f>IF(A1631="","",TEXT(IF(DAY(A1631)&gt;=Setup!$B$9,DATE(YEAR(A1631),MONTH(A1631)+1,1),DATE(YEAR(A1631),MONTH(A1631),1)),"mmmm yyyy"))</f>
      </c>
      <c r="L1631" s="47">
        <f>IF(A1631="",0,IF(AND(J1631="Yes",E1631&lt;0),-E1631,0))</f>
      </c>
      <c r="M1631" s="47">
        <f>IF(A1631="",0,IF(AND(J1631="Yes",E1631&gt;0),E1631,0))</f>
      </c>
      <c r="N1631">
        <f>IF(A1631="","",IF(D1631="Category Pending","Needs categorization",IF(COUNTIFS($A$2:A1631,A1631,$B$2:B1631,B1631,$E$2:E1631,E1631)&gt;1,"Possible duplicate","")))</f>
      </c>
    </row>
    <row r="1632" spans="3:14" x14ac:dyDescent="0.3">
      <c r="A1632"/>
      <c r="C1632" s="16"/>
      <c r="G1632" s="5">
        <f>IF(A1632="","","Checking")</f>
      </c>
      <c r="H1632">
        <f>IF(A1632="","",IFERROR(XLOOKUP(D1632,Setup!$E$15:$E$79,Setup!$F$15:$F$79),"Miscellaneous"))</f>
      </c>
      <c r="I1632">
        <f>IF(A1632="","",IFERROR(XLOOKUP(D1632,Setup!$E$15:$E$79,Setup!$G$15:$G$79),"Uncategorized"))</f>
      </c>
      <c r="J1632">
        <f>IF(A1632="","",IF(OR(H1632="Transfers",H1632="Income",D1632="Transfer",D1632="Category Pending",F1632="Pending"),"No","Yes"))</f>
      </c>
      <c r="K1632" s="4">
        <f>IF(A1632="","",TEXT(IF(DAY(A1632)&gt;=Setup!$B$9,DATE(YEAR(A1632),MONTH(A1632)+1,1),DATE(YEAR(A1632),MONTH(A1632),1)),"mmmm yyyy"))</f>
      </c>
      <c r="L1632" s="47">
        <f>IF(A1632="",0,IF(AND(J1632="Yes",E1632&lt;0),-E1632,0))</f>
      </c>
      <c r="M1632" s="47">
        <f>IF(A1632="",0,IF(AND(J1632="Yes",E1632&gt;0),E1632,0))</f>
      </c>
      <c r="N1632">
        <f>IF(A1632="","",IF(D1632="Category Pending","Needs categorization",IF(COUNTIFS($A$2:A1632,A1632,$B$2:B1632,B1632,$E$2:E1632,E1632)&gt;1,"Possible duplicate","")))</f>
      </c>
    </row>
    <row r="1633" spans="3:14" x14ac:dyDescent="0.3">
      <c r="A1633"/>
      <c r="C1633" s="16"/>
      <c r="G1633" s="5">
        <f>IF(A1633="","","Checking")</f>
      </c>
      <c r="H1633">
        <f>IF(A1633="","",IFERROR(XLOOKUP(D1633,Setup!$E$15:$E$79,Setup!$F$15:$F$79),"Miscellaneous"))</f>
      </c>
      <c r="I1633">
        <f>IF(A1633="","",IFERROR(XLOOKUP(D1633,Setup!$E$15:$E$79,Setup!$G$15:$G$79),"Uncategorized"))</f>
      </c>
      <c r="J1633">
        <f>IF(A1633="","",IF(OR(H1633="Transfers",H1633="Income",D1633="Transfer",D1633="Category Pending",F1633="Pending"),"No","Yes"))</f>
      </c>
      <c r="K1633" s="4">
        <f>IF(A1633="","",TEXT(IF(DAY(A1633)&gt;=Setup!$B$9,DATE(YEAR(A1633),MONTH(A1633)+1,1),DATE(YEAR(A1633),MONTH(A1633),1)),"mmmm yyyy"))</f>
      </c>
      <c r="L1633" s="47">
        <f>IF(A1633="",0,IF(AND(J1633="Yes",E1633&lt;0),-E1633,0))</f>
      </c>
      <c r="M1633" s="47">
        <f>IF(A1633="",0,IF(AND(J1633="Yes",E1633&gt;0),E1633,0))</f>
      </c>
      <c r="N1633">
        <f>IF(A1633="","",IF(D1633="Category Pending","Needs categorization",IF(COUNTIFS($A$2:A1633,A1633,$B$2:B1633,B1633,$E$2:E1633,E1633)&gt;1,"Possible duplicate","")))</f>
      </c>
    </row>
    <row r="1634" spans="3:14" x14ac:dyDescent="0.3">
      <c r="A1634"/>
      <c r="C1634" s="16"/>
      <c r="G1634" s="5">
        <f>IF(A1634="","","Checking")</f>
      </c>
      <c r="H1634">
        <f>IF(A1634="","",IFERROR(XLOOKUP(D1634,Setup!$E$15:$E$79,Setup!$F$15:$F$79),"Miscellaneous"))</f>
      </c>
      <c r="I1634">
        <f>IF(A1634="","",IFERROR(XLOOKUP(D1634,Setup!$E$15:$E$79,Setup!$G$15:$G$79),"Uncategorized"))</f>
      </c>
      <c r="J1634">
        <f>IF(A1634="","",IF(OR(H1634="Transfers",H1634="Income",D1634="Transfer",D1634="Category Pending",F1634="Pending"),"No","Yes"))</f>
      </c>
      <c r="K1634" s="4">
        <f>IF(A1634="","",TEXT(IF(DAY(A1634)&gt;=Setup!$B$9,DATE(YEAR(A1634),MONTH(A1634)+1,1),DATE(YEAR(A1634),MONTH(A1634),1)),"mmmm yyyy"))</f>
      </c>
      <c r="L1634" s="47">
        <f>IF(A1634="",0,IF(AND(J1634="Yes",E1634&lt;0),-E1634,0))</f>
      </c>
      <c r="M1634" s="47">
        <f>IF(A1634="",0,IF(AND(J1634="Yes",E1634&gt;0),E1634,0))</f>
      </c>
      <c r="N1634">
        <f>IF(A1634="","",IF(D1634="Category Pending","Needs categorization",IF(COUNTIFS($A$2:A1634,A1634,$B$2:B1634,B1634,$E$2:E1634,E1634)&gt;1,"Possible duplicate","")))</f>
      </c>
    </row>
    <row r="1635" spans="3:14" x14ac:dyDescent="0.3">
      <c r="A1635"/>
      <c r="C1635" s="16"/>
      <c r="G1635" s="5">
        <f>IF(A1635="","","Checking")</f>
      </c>
      <c r="H1635">
        <f>IF(A1635="","",IFERROR(XLOOKUP(D1635,Setup!$E$15:$E$79,Setup!$F$15:$F$79),"Miscellaneous"))</f>
      </c>
      <c r="I1635">
        <f>IF(A1635="","",IFERROR(XLOOKUP(D1635,Setup!$E$15:$E$79,Setup!$G$15:$G$79),"Uncategorized"))</f>
      </c>
      <c r="J1635">
        <f>IF(A1635="","",IF(OR(H1635="Transfers",H1635="Income",D1635="Transfer",D1635="Category Pending",F1635="Pending"),"No","Yes"))</f>
      </c>
      <c r="K1635" s="4">
        <f>IF(A1635="","",TEXT(IF(DAY(A1635)&gt;=Setup!$B$9,DATE(YEAR(A1635),MONTH(A1635)+1,1),DATE(YEAR(A1635),MONTH(A1635),1)),"mmmm yyyy"))</f>
      </c>
      <c r="L1635" s="47">
        <f>IF(A1635="",0,IF(AND(J1635="Yes",E1635&lt;0),-E1635,0))</f>
      </c>
      <c r="M1635" s="47">
        <f>IF(A1635="",0,IF(AND(J1635="Yes",E1635&gt;0),E1635,0))</f>
      </c>
      <c r="N1635">
        <f>IF(A1635="","",IF(D1635="Category Pending","Needs categorization",IF(COUNTIFS($A$2:A1635,A1635,$B$2:B1635,B1635,$E$2:E1635,E1635)&gt;1,"Possible duplicate","")))</f>
      </c>
    </row>
    <row r="1636" spans="3:14" x14ac:dyDescent="0.3">
      <c r="A1636"/>
      <c r="C1636" s="16"/>
      <c r="G1636" s="5">
        <f>IF(A1636="","","Checking")</f>
      </c>
      <c r="H1636">
        <f>IF(A1636="","",IFERROR(XLOOKUP(D1636,Setup!$E$15:$E$79,Setup!$F$15:$F$79),"Miscellaneous"))</f>
      </c>
      <c r="I1636">
        <f>IF(A1636="","",IFERROR(XLOOKUP(D1636,Setup!$E$15:$E$79,Setup!$G$15:$G$79),"Uncategorized"))</f>
      </c>
      <c r="J1636">
        <f>IF(A1636="","",IF(OR(H1636="Transfers",H1636="Income",D1636="Transfer",D1636="Category Pending",F1636="Pending"),"No","Yes"))</f>
      </c>
      <c r="K1636" s="4">
        <f>IF(A1636="","",TEXT(IF(DAY(A1636)&gt;=Setup!$B$9,DATE(YEAR(A1636),MONTH(A1636)+1,1),DATE(YEAR(A1636),MONTH(A1636),1)),"mmmm yyyy"))</f>
      </c>
      <c r="L1636" s="47">
        <f>IF(A1636="",0,IF(AND(J1636="Yes",E1636&lt;0),-E1636,0))</f>
      </c>
      <c r="M1636" s="47">
        <f>IF(A1636="",0,IF(AND(J1636="Yes",E1636&gt;0),E1636,0))</f>
      </c>
      <c r="N1636">
        <f>IF(A1636="","",IF(D1636="Category Pending","Needs categorization",IF(COUNTIFS($A$2:A1636,A1636,$B$2:B1636,B1636,$E$2:E1636,E1636)&gt;1,"Possible duplicate","")))</f>
      </c>
    </row>
    <row r="1637" spans="3:14" x14ac:dyDescent="0.3">
      <c r="A1637"/>
      <c r="C1637" s="16"/>
      <c r="G1637" s="5">
        <f>IF(A1637="","","Checking")</f>
      </c>
      <c r="H1637">
        <f>IF(A1637="","",IFERROR(XLOOKUP(D1637,Setup!$E$15:$E$79,Setup!$F$15:$F$79),"Miscellaneous"))</f>
      </c>
      <c r="I1637">
        <f>IF(A1637="","",IFERROR(XLOOKUP(D1637,Setup!$E$15:$E$79,Setup!$G$15:$G$79),"Uncategorized"))</f>
      </c>
      <c r="J1637">
        <f>IF(A1637="","",IF(OR(H1637="Transfers",H1637="Income",D1637="Transfer",D1637="Category Pending",F1637="Pending"),"No","Yes"))</f>
      </c>
      <c r="K1637" s="4">
        <f>IF(A1637="","",TEXT(IF(DAY(A1637)&gt;=Setup!$B$9,DATE(YEAR(A1637),MONTH(A1637)+1,1),DATE(YEAR(A1637),MONTH(A1637),1)),"mmmm yyyy"))</f>
      </c>
      <c r="L1637" s="47">
        <f>IF(A1637="",0,IF(AND(J1637="Yes",E1637&lt;0),-E1637,0))</f>
      </c>
      <c r="M1637" s="47">
        <f>IF(A1637="",0,IF(AND(J1637="Yes",E1637&gt;0),E1637,0))</f>
      </c>
      <c r="N1637">
        <f>IF(A1637="","",IF(D1637="Category Pending","Needs categorization",IF(COUNTIFS($A$2:A1637,A1637,$B$2:B1637,B1637,$E$2:E1637,E1637)&gt;1,"Possible duplicate","")))</f>
      </c>
    </row>
    <row r="1638" spans="3:14" x14ac:dyDescent="0.3">
      <c r="A1638"/>
      <c r="C1638" s="16"/>
      <c r="G1638" s="5">
        <f>IF(A1638="","","Checking")</f>
      </c>
      <c r="H1638">
        <f>IF(A1638="","",IFERROR(XLOOKUP(D1638,Setup!$E$15:$E$79,Setup!$F$15:$F$79),"Miscellaneous"))</f>
      </c>
      <c r="I1638">
        <f>IF(A1638="","",IFERROR(XLOOKUP(D1638,Setup!$E$15:$E$79,Setup!$G$15:$G$79),"Uncategorized"))</f>
      </c>
      <c r="J1638">
        <f>IF(A1638="","",IF(OR(H1638="Transfers",H1638="Income",D1638="Transfer",D1638="Category Pending",F1638="Pending"),"No","Yes"))</f>
      </c>
      <c r="K1638" s="4">
        <f>IF(A1638="","",TEXT(IF(DAY(A1638)&gt;=Setup!$B$9,DATE(YEAR(A1638),MONTH(A1638)+1,1),DATE(YEAR(A1638),MONTH(A1638),1)),"mmmm yyyy"))</f>
      </c>
      <c r="L1638" s="47">
        <f>IF(A1638="",0,IF(AND(J1638="Yes",E1638&lt;0),-E1638,0))</f>
      </c>
      <c r="M1638" s="47">
        <f>IF(A1638="",0,IF(AND(J1638="Yes",E1638&gt;0),E1638,0))</f>
      </c>
      <c r="N1638">
        <f>IF(A1638="","",IF(D1638="Category Pending","Needs categorization",IF(COUNTIFS($A$2:A1638,A1638,$B$2:B1638,B1638,$E$2:E1638,E1638)&gt;1,"Possible duplicate","")))</f>
      </c>
    </row>
    <row r="1639" spans="3:14" x14ac:dyDescent="0.3">
      <c r="A1639"/>
      <c r="C1639" s="16"/>
      <c r="G1639" s="5">
        <f>IF(A1639="","","Checking")</f>
      </c>
      <c r="H1639">
        <f>IF(A1639="","",IFERROR(XLOOKUP(D1639,Setup!$E$15:$E$79,Setup!$F$15:$F$79),"Miscellaneous"))</f>
      </c>
      <c r="I1639">
        <f>IF(A1639="","",IFERROR(XLOOKUP(D1639,Setup!$E$15:$E$79,Setup!$G$15:$G$79),"Uncategorized"))</f>
      </c>
      <c r="J1639">
        <f>IF(A1639="","",IF(OR(H1639="Transfers",H1639="Income",D1639="Transfer",D1639="Category Pending",F1639="Pending"),"No","Yes"))</f>
      </c>
      <c r="K1639" s="4">
        <f>IF(A1639="","",TEXT(IF(DAY(A1639)&gt;=Setup!$B$9,DATE(YEAR(A1639),MONTH(A1639)+1,1),DATE(YEAR(A1639),MONTH(A1639),1)),"mmmm yyyy"))</f>
      </c>
      <c r="L1639" s="47">
        <f>IF(A1639="",0,IF(AND(J1639="Yes",E1639&lt;0),-E1639,0))</f>
      </c>
      <c r="M1639" s="47">
        <f>IF(A1639="",0,IF(AND(J1639="Yes",E1639&gt;0),E1639,0))</f>
      </c>
      <c r="N1639">
        <f>IF(A1639="","",IF(D1639="Category Pending","Needs categorization",IF(COUNTIFS($A$2:A1639,A1639,$B$2:B1639,B1639,$E$2:E1639,E1639)&gt;1,"Possible duplicate","")))</f>
      </c>
    </row>
    <row r="1640" spans="3:14" x14ac:dyDescent="0.3">
      <c r="A1640"/>
      <c r="C1640" s="16"/>
      <c r="G1640" s="5">
        <f>IF(A1640="","","Checking")</f>
      </c>
      <c r="H1640">
        <f>IF(A1640="","",IFERROR(XLOOKUP(D1640,Setup!$E$15:$E$79,Setup!$F$15:$F$79),"Miscellaneous"))</f>
      </c>
      <c r="I1640">
        <f>IF(A1640="","",IFERROR(XLOOKUP(D1640,Setup!$E$15:$E$79,Setup!$G$15:$G$79),"Uncategorized"))</f>
      </c>
      <c r="J1640">
        <f>IF(A1640="","",IF(OR(H1640="Transfers",H1640="Income",D1640="Transfer",D1640="Category Pending",F1640="Pending"),"No","Yes"))</f>
      </c>
      <c r="K1640" s="4">
        <f>IF(A1640="","",TEXT(IF(DAY(A1640)&gt;=Setup!$B$9,DATE(YEAR(A1640),MONTH(A1640)+1,1),DATE(YEAR(A1640),MONTH(A1640),1)),"mmmm yyyy"))</f>
      </c>
      <c r="L1640" s="47">
        <f>IF(A1640="",0,IF(AND(J1640="Yes",E1640&lt;0),-E1640,0))</f>
      </c>
      <c r="M1640" s="47">
        <f>IF(A1640="",0,IF(AND(J1640="Yes",E1640&gt;0),E1640,0))</f>
      </c>
      <c r="N1640">
        <f>IF(A1640="","",IF(D1640="Category Pending","Needs categorization",IF(COUNTIFS($A$2:A1640,A1640,$B$2:B1640,B1640,$E$2:E1640,E1640)&gt;1,"Possible duplicate","")))</f>
      </c>
    </row>
    <row r="1641" spans="3:14" x14ac:dyDescent="0.3">
      <c r="A1641"/>
      <c r="C1641" s="16"/>
      <c r="G1641" s="5">
        <f>IF(A1641="","","Checking")</f>
      </c>
      <c r="H1641">
        <f>IF(A1641="","",IFERROR(XLOOKUP(D1641,Setup!$E$15:$E$79,Setup!$F$15:$F$79),"Miscellaneous"))</f>
      </c>
      <c r="I1641">
        <f>IF(A1641="","",IFERROR(XLOOKUP(D1641,Setup!$E$15:$E$79,Setup!$G$15:$G$79),"Uncategorized"))</f>
      </c>
      <c r="J1641">
        <f>IF(A1641="","",IF(OR(H1641="Transfers",H1641="Income",D1641="Transfer",D1641="Category Pending",F1641="Pending"),"No","Yes"))</f>
      </c>
      <c r="K1641" s="4">
        <f>IF(A1641="","",TEXT(IF(DAY(A1641)&gt;=Setup!$B$9,DATE(YEAR(A1641),MONTH(A1641)+1,1),DATE(YEAR(A1641),MONTH(A1641),1)),"mmmm yyyy"))</f>
      </c>
      <c r="L1641" s="47">
        <f>IF(A1641="",0,IF(AND(J1641="Yes",E1641&lt;0),-E1641,0))</f>
      </c>
      <c r="M1641" s="47">
        <f>IF(A1641="",0,IF(AND(J1641="Yes",E1641&gt;0),E1641,0))</f>
      </c>
      <c r="N1641">
        <f>IF(A1641="","",IF(D1641="Category Pending","Needs categorization",IF(COUNTIFS($A$2:A1641,A1641,$B$2:B1641,B1641,$E$2:E1641,E1641)&gt;1,"Possible duplicate","")))</f>
      </c>
    </row>
    <row r="1642" spans="3:14" x14ac:dyDescent="0.3">
      <c r="A1642"/>
      <c r="C1642" s="16"/>
      <c r="G1642" s="5">
        <f>IF(A1642="","","Checking")</f>
      </c>
      <c r="H1642">
        <f>IF(A1642="","",IFERROR(XLOOKUP(D1642,Setup!$E$15:$E$79,Setup!$F$15:$F$79),"Miscellaneous"))</f>
      </c>
      <c r="I1642">
        <f>IF(A1642="","",IFERROR(XLOOKUP(D1642,Setup!$E$15:$E$79,Setup!$G$15:$G$79),"Uncategorized"))</f>
      </c>
      <c r="J1642">
        <f>IF(A1642="","",IF(OR(H1642="Transfers",H1642="Income",D1642="Transfer",D1642="Category Pending",F1642="Pending"),"No","Yes"))</f>
      </c>
      <c r="K1642" s="4">
        <f>IF(A1642="","",TEXT(IF(DAY(A1642)&gt;=Setup!$B$9,DATE(YEAR(A1642),MONTH(A1642)+1,1),DATE(YEAR(A1642),MONTH(A1642),1)),"mmmm yyyy"))</f>
      </c>
      <c r="L1642" s="47">
        <f>IF(A1642="",0,IF(AND(J1642="Yes",E1642&lt;0),-E1642,0))</f>
      </c>
      <c r="M1642" s="47">
        <f>IF(A1642="",0,IF(AND(J1642="Yes",E1642&gt;0),E1642,0))</f>
      </c>
      <c r="N1642">
        <f>IF(A1642="","",IF(D1642="Category Pending","Needs categorization",IF(COUNTIFS($A$2:A1642,A1642,$B$2:B1642,B1642,$E$2:E1642,E1642)&gt;1,"Possible duplicate","")))</f>
      </c>
    </row>
    <row r="1643" spans="3:14" x14ac:dyDescent="0.3">
      <c r="A1643"/>
      <c r="C1643" s="16"/>
      <c r="G1643" s="5">
        <f>IF(A1643="","","Checking")</f>
      </c>
      <c r="H1643">
        <f>IF(A1643="","",IFERROR(XLOOKUP(D1643,Setup!$E$15:$E$79,Setup!$F$15:$F$79),"Miscellaneous"))</f>
      </c>
      <c r="I1643">
        <f>IF(A1643="","",IFERROR(XLOOKUP(D1643,Setup!$E$15:$E$79,Setup!$G$15:$G$79),"Uncategorized"))</f>
      </c>
      <c r="J1643">
        <f>IF(A1643="","",IF(OR(H1643="Transfers",H1643="Income",D1643="Transfer",D1643="Category Pending",F1643="Pending"),"No","Yes"))</f>
      </c>
      <c r="K1643" s="4">
        <f>IF(A1643="","",TEXT(IF(DAY(A1643)&gt;=Setup!$B$9,DATE(YEAR(A1643),MONTH(A1643)+1,1),DATE(YEAR(A1643),MONTH(A1643),1)),"mmmm yyyy"))</f>
      </c>
      <c r="L1643" s="47">
        <f>IF(A1643="",0,IF(AND(J1643="Yes",E1643&lt;0),-E1643,0))</f>
      </c>
      <c r="M1643" s="47">
        <f>IF(A1643="",0,IF(AND(J1643="Yes",E1643&gt;0),E1643,0))</f>
      </c>
      <c r="N1643">
        <f>IF(A1643="","",IF(D1643="Category Pending","Needs categorization",IF(COUNTIFS($A$2:A1643,A1643,$B$2:B1643,B1643,$E$2:E1643,E1643)&gt;1,"Possible duplicate","")))</f>
      </c>
    </row>
    <row r="1644" spans="3:14" x14ac:dyDescent="0.3">
      <c r="A1644"/>
      <c r="C1644" s="16"/>
      <c r="G1644" s="5">
        <f>IF(A1644="","","Checking")</f>
      </c>
      <c r="H1644">
        <f>IF(A1644="","",IFERROR(XLOOKUP(D1644,Setup!$E$15:$E$79,Setup!$F$15:$F$79),"Miscellaneous"))</f>
      </c>
      <c r="I1644">
        <f>IF(A1644="","",IFERROR(XLOOKUP(D1644,Setup!$E$15:$E$79,Setup!$G$15:$G$79),"Uncategorized"))</f>
      </c>
      <c r="J1644">
        <f>IF(A1644="","",IF(OR(H1644="Transfers",H1644="Income",D1644="Transfer",D1644="Category Pending",F1644="Pending"),"No","Yes"))</f>
      </c>
      <c r="K1644" s="4">
        <f>IF(A1644="","",TEXT(IF(DAY(A1644)&gt;=Setup!$B$9,DATE(YEAR(A1644),MONTH(A1644)+1,1),DATE(YEAR(A1644),MONTH(A1644),1)),"mmmm yyyy"))</f>
      </c>
      <c r="L1644" s="47">
        <f>IF(A1644="",0,IF(AND(J1644="Yes",E1644&lt;0),-E1644,0))</f>
      </c>
      <c r="M1644" s="47">
        <f>IF(A1644="",0,IF(AND(J1644="Yes",E1644&gt;0),E1644,0))</f>
      </c>
      <c r="N1644">
        <f>IF(A1644="","",IF(D1644="Category Pending","Needs categorization",IF(COUNTIFS($A$2:A1644,A1644,$B$2:B1644,B1644,$E$2:E1644,E1644)&gt;1,"Possible duplicate","")))</f>
      </c>
    </row>
    <row r="1645" spans="3:14" x14ac:dyDescent="0.3">
      <c r="A1645"/>
      <c r="C1645" s="16"/>
      <c r="G1645" s="5">
        <f>IF(A1645="","","Checking")</f>
      </c>
      <c r="H1645">
        <f>IF(A1645="","",IFERROR(XLOOKUP(D1645,Setup!$E$15:$E$79,Setup!$F$15:$F$79),"Miscellaneous"))</f>
      </c>
      <c r="I1645">
        <f>IF(A1645="","",IFERROR(XLOOKUP(D1645,Setup!$E$15:$E$79,Setup!$G$15:$G$79),"Uncategorized"))</f>
      </c>
      <c r="J1645">
        <f>IF(A1645="","",IF(OR(H1645="Transfers",H1645="Income",D1645="Transfer",D1645="Category Pending",F1645="Pending"),"No","Yes"))</f>
      </c>
      <c r="K1645" s="4">
        <f>IF(A1645="","",TEXT(IF(DAY(A1645)&gt;=Setup!$B$9,DATE(YEAR(A1645),MONTH(A1645)+1,1),DATE(YEAR(A1645),MONTH(A1645),1)),"mmmm yyyy"))</f>
      </c>
      <c r="L1645" s="47">
        <f>IF(A1645="",0,IF(AND(J1645="Yes",E1645&lt;0),-E1645,0))</f>
      </c>
      <c r="M1645" s="47">
        <f>IF(A1645="",0,IF(AND(J1645="Yes",E1645&gt;0),E1645,0))</f>
      </c>
      <c r="N1645">
        <f>IF(A1645="","",IF(D1645="Category Pending","Needs categorization",IF(COUNTIFS($A$2:A1645,A1645,$B$2:B1645,B1645,$E$2:E1645,E1645)&gt;1,"Possible duplicate","")))</f>
      </c>
    </row>
    <row r="1646" spans="3:14" x14ac:dyDescent="0.3">
      <c r="A1646"/>
      <c r="C1646" s="16"/>
      <c r="G1646" s="5">
        <f>IF(A1646="","","Checking")</f>
      </c>
      <c r="H1646">
        <f>IF(A1646="","",IFERROR(XLOOKUP(D1646,Setup!$E$15:$E$79,Setup!$F$15:$F$79),"Miscellaneous"))</f>
      </c>
      <c r="I1646">
        <f>IF(A1646="","",IFERROR(XLOOKUP(D1646,Setup!$E$15:$E$79,Setup!$G$15:$G$79),"Uncategorized"))</f>
      </c>
      <c r="J1646">
        <f>IF(A1646="","",IF(OR(H1646="Transfers",H1646="Income",D1646="Transfer",D1646="Category Pending",F1646="Pending"),"No","Yes"))</f>
      </c>
      <c r="K1646" s="4">
        <f>IF(A1646="","",TEXT(IF(DAY(A1646)&gt;=Setup!$B$9,DATE(YEAR(A1646),MONTH(A1646)+1,1),DATE(YEAR(A1646),MONTH(A1646),1)),"mmmm yyyy"))</f>
      </c>
      <c r="L1646" s="47">
        <f>IF(A1646="",0,IF(AND(J1646="Yes",E1646&lt;0),-E1646,0))</f>
      </c>
      <c r="M1646" s="47">
        <f>IF(A1646="",0,IF(AND(J1646="Yes",E1646&gt;0),E1646,0))</f>
      </c>
      <c r="N1646">
        <f>IF(A1646="","",IF(D1646="Category Pending","Needs categorization",IF(COUNTIFS($A$2:A1646,A1646,$B$2:B1646,B1646,$E$2:E1646,E1646)&gt;1,"Possible duplicate","")))</f>
      </c>
    </row>
    <row r="1647" spans="3:14" x14ac:dyDescent="0.3">
      <c r="A1647"/>
      <c r="C1647" s="16"/>
      <c r="G1647" s="5">
        <f>IF(A1647="","","Checking")</f>
      </c>
      <c r="H1647">
        <f>IF(A1647="","",IFERROR(XLOOKUP(D1647,Setup!$E$15:$E$79,Setup!$F$15:$F$79),"Miscellaneous"))</f>
      </c>
      <c r="I1647">
        <f>IF(A1647="","",IFERROR(XLOOKUP(D1647,Setup!$E$15:$E$79,Setup!$G$15:$G$79),"Uncategorized"))</f>
      </c>
      <c r="J1647">
        <f>IF(A1647="","",IF(OR(H1647="Transfers",H1647="Income",D1647="Transfer",D1647="Category Pending",F1647="Pending"),"No","Yes"))</f>
      </c>
      <c r="K1647" s="4">
        <f>IF(A1647="","",TEXT(IF(DAY(A1647)&gt;=Setup!$B$9,DATE(YEAR(A1647),MONTH(A1647)+1,1),DATE(YEAR(A1647),MONTH(A1647),1)),"mmmm yyyy"))</f>
      </c>
      <c r="L1647" s="47">
        <f>IF(A1647="",0,IF(AND(J1647="Yes",E1647&lt;0),-E1647,0))</f>
      </c>
      <c r="M1647" s="47">
        <f>IF(A1647="",0,IF(AND(J1647="Yes",E1647&gt;0),E1647,0))</f>
      </c>
      <c r="N1647">
        <f>IF(A1647="","",IF(D1647="Category Pending","Needs categorization",IF(COUNTIFS($A$2:A1647,A1647,$B$2:B1647,B1647,$E$2:E1647,E1647)&gt;1,"Possible duplicate","")))</f>
      </c>
    </row>
    <row r="1648" spans="3:14" x14ac:dyDescent="0.3">
      <c r="A1648"/>
      <c r="C1648" s="16"/>
      <c r="G1648" s="5">
        <f>IF(A1648="","","Checking")</f>
      </c>
      <c r="H1648">
        <f>IF(A1648="","",IFERROR(XLOOKUP(D1648,Setup!$E$15:$E$79,Setup!$F$15:$F$79),"Miscellaneous"))</f>
      </c>
      <c r="I1648">
        <f>IF(A1648="","",IFERROR(XLOOKUP(D1648,Setup!$E$15:$E$79,Setup!$G$15:$G$79),"Uncategorized"))</f>
      </c>
      <c r="J1648">
        <f>IF(A1648="","",IF(OR(H1648="Transfers",H1648="Income",D1648="Transfer",D1648="Category Pending",F1648="Pending"),"No","Yes"))</f>
      </c>
      <c r="K1648" s="4">
        <f>IF(A1648="","",TEXT(IF(DAY(A1648)&gt;=Setup!$B$9,DATE(YEAR(A1648),MONTH(A1648)+1,1),DATE(YEAR(A1648),MONTH(A1648),1)),"mmmm yyyy"))</f>
      </c>
      <c r="L1648" s="47">
        <f>IF(A1648="",0,IF(AND(J1648="Yes",E1648&lt;0),-E1648,0))</f>
      </c>
      <c r="M1648" s="47">
        <f>IF(A1648="",0,IF(AND(J1648="Yes",E1648&gt;0),E1648,0))</f>
      </c>
      <c r="N1648">
        <f>IF(A1648="","",IF(D1648="Category Pending","Needs categorization",IF(COUNTIFS($A$2:A1648,A1648,$B$2:B1648,B1648,$E$2:E1648,E1648)&gt;1,"Possible duplicate","")))</f>
      </c>
    </row>
    <row r="1649" spans="3:14" x14ac:dyDescent="0.3">
      <c r="A1649"/>
      <c r="C1649" s="16"/>
      <c r="G1649" s="5">
        <f>IF(A1649="","","Checking")</f>
      </c>
      <c r="H1649">
        <f>IF(A1649="","",IFERROR(XLOOKUP(D1649,Setup!$E$15:$E$79,Setup!$F$15:$F$79),"Miscellaneous"))</f>
      </c>
      <c r="I1649">
        <f>IF(A1649="","",IFERROR(XLOOKUP(D1649,Setup!$E$15:$E$79,Setup!$G$15:$G$79),"Uncategorized"))</f>
      </c>
      <c r="J1649">
        <f>IF(A1649="","",IF(OR(H1649="Transfers",H1649="Income",D1649="Transfer",D1649="Category Pending",F1649="Pending"),"No","Yes"))</f>
      </c>
      <c r="K1649" s="4">
        <f>IF(A1649="","",TEXT(IF(DAY(A1649)&gt;=Setup!$B$9,DATE(YEAR(A1649),MONTH(A1649)+1,1),DATE(YEAR(A1649),MONTH(A1649),1)),"mmmm yyyy"))</f>
      </c>
      <c r="L1649" s="47">
        <f>IF(A1649="",0,IF(AND(J1649="Yes",E1649&lt;0),-E1649,0))</f>
      </c>
      <c r="M1649" s="47">
        <f>IF(A1649="",0,IF(AND(J1649="Yes",E1649&gt;0),E1649,0))</f>
      </c>
      <c r="N1649">
        <f>IF(A1649="","",IF(D1649="Category Pending","Needs categorization",IF(COUNTIFS($A$2:A1649,A1649,$B$2:B1649,B1649,$E$2:E1649,E1649)&gt;1,"Possible duplicate","")))</f>
      </c>
    </row>
    <row r="1650" spans="3:14" x14ac:dyDescent="0.3">
      <c r="A1650"/>
      <c r="C1650" s="16"/>
      <c r="G1650" s="5">
        <f>IF(A1650="","","Checking")</f>
      </c>
      <c r="H1650">
        <f>IF(A1650="","",IFERROR(XLOOKUP(D1650,Setup!$E$15:$E$79,Setup!$F$15:$F$79),"Miscellaneous"))</f>
      </c>
      <c r="I1650">
        <f>IF(A1650="","",IFERROR(XLOOKUP(D1650,Setup!$E$15:$E$79,Setup!$G$15:$G$79),"Uncategorized"))</f>
      </c>
      <c r="J1650">
        <f>IF(A1650="","",IF(OR(H1650="Transfers",H1650="Income",D1650="Transfer",D1650="Category Pending",F1650="Pending"),"No","Yes"))</f>
      </c>
      <c r="K1650" s="4">
        <f>IF(A1650="","",TEXT(IF(DAY(A1650)&gt;=Setup!$B$9,DATE(YEAR(A1650),MONTH(A1650)+1,1),DATE(YEAR(A1650),MONTH(A1650),1)),"mmmm yyyy"))</f>
      </c>
      <c r="L1650" s="47">
        <f>IF(A1650="",0,IF(AND(J1650="Yes",E1650&lt;0),-E1650,0))</f>
      </c>
      <c r="M1650" s="47">
        <f>IF(A1650="",0,IF(AND(J1650="Yes",E1650&gt;0),E1650,0))</f>
      </c>
      <c r="N1650">
        <f>IF(A1650="","",IF(D1650="Category Pending","Needs categorization",IF(COUNTIFS($A$2:A1650,A1650,$B$2:B1650,B1650,$E$2:E1650,E1650)&gt;1,"Possible duplicate","")))</f>
      </c>
    </row>
    <row r="1651" spans="3:14" x14ac:dyDescent="0.3">
      <c r="A1651"/>
      <c r="C1651" s="16"/>
      <c r="G1651" s="5">
        <f>IF(A1651="","","Checking")</f>
      </c>
      <c r="H1651">
        <f>IF(A1651="","",IFERROR(XLOOKUP(D1651,Setup!$E$15:$E$79,Setup!$F$15:$F$79),"Miscellaneous"))</f>
      </c>
      <c r="I1651">
        <f>IF(A1651="","",IFERROR(XLOOKUP(D1651,Setup!$E$15:$E$79,Setup!$G$15:$G$79),"Uncategorized"))</f>
      </c>
      <c r="J1651">
        <f>IF(A1651="","",IF(OR(H1651="Transfers",H1651="Income",D1651="Transfer",D1651="Category Pending",F1651="Pending"),"No","Yes"))</f>
      </c>
      <c r="K1651" s="4">
        <f>IF(A1651="","",TEXT(IF(DAY(A1651)&gt;=Setup!$B$9,DATE(YEAR(A1651),MONTH(A1651)+1,1),DATE(YEAR(A1651),MONTH(A1651),1)),"mmmm yyyy"))</f>
      </c>
      <c r="L1651" s="47">
        <f>IF(A1651="",0,IF(AND(J1651="Yes",E1651&lt;0),-E1651,0))</f>
      </c>
      <c r="M1651" s="47">
        <f>IF(A1651="",0,IF(AND(J1651="Yes",E1651&gt;0),E1651,0))</f>
      </c>
      <c r="N1651">
        <f>IF(A1651="","",IF(D1651="Category Pending","Needs categorization",IF(COUNTIFS($A$2:A1651,A1651,$B$2:B1651,B1651,$E$2:E1651,E1651)&gt;1,"Possible duplicate","")))</f>
      </c>
    </row>
    <row r="1652" spans="3:14" x14ac:dyDescent="0.3">
      <c r="A1652"/>
      <c r="C1652" s="16"/>
      <c r="G1652" s="5">
        <f>IF(A1652="","","Checking")</f>
      </c>
      <c r="H1652">
        <f>IF(A1652="","",IFERROR(XLOOKUP(D1652,Setup!$E$15:$E$79,Setup!$F$15:$F$79),"Miscellaneous"))</f>
      </c>
      <c r="I1652">
        <f>IF(A1652="","",IFERROR(XLOOKUP(D1652,Setup!$E$15:$E$79,Setup!$G$15:$G$79),"Uncategorized"))</f>
      </c>
      <c r="J1652">
        <f>IF(A1652="","",IF(OR(H1652="Transfers",H1652="Income",D1652="Transfer",D1652="Category Pending",F1652="Pending"),"No","Yes"))</f>
      </c>
      <c r="K1652" s="4">
        <f>IF(A1652="","",TEXT(IF(DAY(A1652)&gt;=Setup!$B$9,DATE(YEAR(A1652),MONTH(A1652)+1,1),DATE(YEAR(A1652),MONTH(A1652),1)),"mmmm yyyy"))</f>
      </c>
      <c r="L1652" s="47">
        <f>IF(A1652="",0,IF(AND(J1652="Yes",E1652&lt;0),-E1652,0))</f>
      </c>
      <c r="M1652" s="47">
        <f>IF(A1652="",0,IF(AND(J1652="Yes",E1652&gt;0),E1652,0))</f>
      </c>
      <c r="N1652">
        <f>IF(A1652="","",IF(D1652="Category Pending","Needs categorization",IF(COUNTIFS($A$2:A1652,A1652,$B$2:B1652,B1652,$E$2:E1652,E1652)&gt;1,"Possible duplicate","")))</f>
      </c>
    </row>
    <row r="1653" spans="3:14" x14ac:dyDescent="0.3">
      <c r="A1653"/>
      <c r="C1653" s="16"/>
      <c r="G1653" s="5">
        <f>IF(A1653="","","Checking")</f>
      </c>
      <c r="H1653">
        <f>IF(A1653="","",IFERROR(XLOOKUP(D1653,Setup!$E$15:$E$79,Setup!$F$15:$F$79),"Miscellaneous"))</f>
      </c>
      <c r="I1653">
        <f>IF(A1653="","",IFERROR(XLOOKUP(D1653,Setup!$E$15:$E$79,Setup!$G$15:$G$79),"Uncategorized"))</f>
      </c>
      <c r="J1653">
        <f>IF(A1653="","",IF(OR(H1653="Transfers",H1653="Income",D1653="Transfer",D1653="Category Pending",F1653="Pending"),"No","Yes"))</f>
      </c>
      <c r="K1653" s="4">
        <f>IF(A1653="","",TEXT(IF(DAY(A1653)&gt;=Setup!$B$9,DATE(YEAR(A1653),MONTH(A1653)+1,1),DATE(YEAR(A1653),MONTH(A1653),1)),"mmmm yyyy"))</f>
      </c>
      <c r="L1653" s="47">
        <f>IF(A1653="",0,IF(AND(J1653="Yes",E1653&lt;0),-E1653,0))</f>
      </c>
      <c r="M1653" s="47">
        <f>IF(A1653="",0,IF(AND(J1653="Yes",E1653&gt;0),E1653,0))</f>
      </c>
      <c r="N1653">
        <f>IF(A1653="","",IF(D1653="Category Pending","Needs categorization",IF(COUNTIFS($A$2:A1653,A1653,$B$2:B1653,B1653,$E$2:E1653,E1653)&gt;1,"Possible duplicate","")))</f>
      </c>
    </row>
    <row r="1654" spans="3:14" x14ac:dyDescent="0.3">
      <c r="A1654"/>
      <c r="C1654" s="16"/>
      <c r="G1654" s="5">
        <f>IF(A1654="","","Checking")</f>
      </c>
      <c r="H1654">
        <f>IF(A1654="","",IFERROR(XLOOKUP(D1654,Setup!$E$15:$E$79,Setup!$F$15:$F$79),"Miscellaneous"))</f>
      </c>
      <c r="I1654">
        <f>IF(A1654="","",IFERROR(XLOOKUP(D1654,Setup!$E$15:$E$79,Setup!$G$15:$G$79),"Uncategorized"))</f>
      </c>
      <c r="J1654">
        <f>IF(A1654="","",IF(OR(H1654="Transfers",H1654="Income",D1654="Transfer",D1654="Category Pending",F1654="Pending"),"No","Yes"))</f>
      </c>
      <c r="K1654" s="4">
        <f>IF(A1654="","",TEXT(IF(DAY(A1654)&gt;=Setup!$B$9,DATE(YEAR(A1654),MONTH(A1654)+1,1),DATE(YEAR(A1654),MONTH(A1654),1)),"mmmm yyyy"))</f>
      </c>
      <c r="L1654" s="47">
        <f>IF(A1654="",0,IF(AND(J1654="Yes",E1654&lt;0),-E1654,0))</f>
      </c>
      <c r="M1654" s="47">
        <f>IF(A1654="",0,IF(AND(J1654="Yes",E1654&gt;0),E1654,0))</f>
      </c>
      <c r="N1654">
        <f>IF(A1654="","",IF(D1654="Category Pending","Needs categorization",IF(COUNTIFS($A$2:A1654,A1654,$B$2:B1654,B1654,$E$2:E1654,E1654)&gt;1,"Possible duplicate","")))</f>
      </c>
    </row>
    <row r="1655" spans="3:14" x14ac:dyDescent="0.3">
      <c r="A1655"/>
      <c r="C1655" s="16"/>
      <c r="G1655" s="5">
        <f>IF(A1655="","","Checking")</f>
      </c>
      <c r="H1655">
        <f>IF(A1655="","",IFERROR(XLOOKUP(D1655,Setup!$E$15:$E$79,Setup!$F$15:$F$79),"Miscellaneous"))</f>
      </c>
      <c r="I1655">
        <f>IF(A1655="","",IFERROR(XLOOKUP(D1655,Setup!$E$15:$E$79,Setup!$G$15:$G$79),"Uncategorized"))</f>
      </c>
      <c r="J1655">
        <f>IF(A1655="","",IF(OR(H1655="Transfers",H1655="Income",D1655="Transfer",D1655="Category Pending",F1655="Pending"),"No","Yes"))</f>
      </c>
      <c r="K1655" s="4">
        <f>IF(A1655="","",TEXT(IF(DAY(A1655)&gt;=Setup!$B$9,DATE(YEAR(A1655),MONTH(A1655)+1,1),DATE(YEAR(A1655),MONTH(A1655),1)),"mmmm yyyy"))</f>
      </c>
      <c r="L1655" s="47">
        <f>IF(A1655="",0,IF(AND(J1655="Yes",E1655&lt;0),-E1655,0))</f>
      </c>
      <c r="M1655" s="47">
        <f>IF(A1655="",0,IF(AND(J1655="Yes",E1655&gt;0),E1655,0))</f>
      </c>
      <c r="N1655">
        <f>IF(A1655="","",IF(D1655="Category Pending","Needs categorization",IF(COUNTIFS($A$2:A1655,A1655,$B$2:B1655,B1655,$E$2:E1655,E1655)&gt;1,"Possible duplicate","")))</f>
      </c>
    </row>
    <row r="1656" spans="3:14" x14ac:dyDescent="0.3">
      <c r="A1656"/>
      <c r="C1656" s="16"/>
      <c r="G1656" s="5">
        <f>IF(A1656="","","Checking")</f>
      </c>
      <c r="H1656">
        <f>IF(A1656="","",IFERROR(XLOOKUP(D1656,Setup!$E$15:$E$79,Setup!$F$15:$F$79),"Miscellaneous"))</f>
      </c>
      <c r="I1656">
        <f>IF(A1656="","",IFERROR(XLOOKUP(D1656,Setup!$E$15:$E$79,Setup!$G$15:$G$79),"Uncategorized"))</f>
      </c>
      <c r="J1656">
        <f>IF(A1656="","",IF(OR(H1656="Transfers",H1656="Income",D1656="Transfer",D1656="Category Pending",F1656="Pending"),"No","Yes"))</f>
      </c>
      <c r="K1656" s="4">
        <f>IF(A1656="","",TEXT(IF(DAY(A1656)&gt;=Setup!$B$9,DATE(YEAR(A1656),MONTH(A1656)+1,1),DATE(YEAR(A1656),MONTH(A1656),1)),"mmmm yyyy"))</f>
      </c>
      <c r="L1656" s="47">
        <f>IF(A1656="",0,IF(AND(J1656="Yes",E1656&lt;0),-E1656,0))</f>
      </c>
      <c r="M1656" s="47">
        <f>IF(A1656="",0,IF(AND(J1656="Yes",E1656&gt;0),E1656,0))</f>
      </c>
      <c r="N1656">
        <f>IF(A1656="","",IF(D1656="Category Pending","Needs categorization",IF(COUNTIFS($A$2:A1656,A1656,$B$2:B1656,B1656,$E$2:E1656,E1656)&gt;1,"Possible duplicate","")))</f>
      </c>
    </row>
    <row r="1657" spans="3:14" x14ac:dyDescent="0.3">
      <c r="A1657"/>
      <c r="C1657" s="16"/>
      <c r="G1657" s="5">
        <f>IF(A1657="","","Checking")</f>
      </c>
      <c r="H1657">
        <f>IF(A1657="","",IFERROR(XLOOKUP(D1657,Setup!$E$15:$E$79,Setup!$F$15:$F$79),"Miscellaneous"))</f>
      </c>
      <c r="I1657">
        <f>IF(A1657="","",IFERROR(XLOOKUP(D1657,Setup!$E$15:$E$79,Setup!$G$15:$G$79),"Uncategorized"))</f>
      </c>
      <c r="J1657">
        <f>IF(A1657="","",IF(OR(H1657="Transfers",H1657="Income",D1657="Transfer",D1657="Category Pending",F1657="Pending"),"No","Yes"))</f>
      </c>
      <c r="K1657" s="4">
        <f>IF(A1657="","",TEXT(IF(DAY(A1657)&gt;=Setup!$B$9,DATE(YEAR(A1657),MONTH(A1657)+1,1),DATE(YEAR(A1657),MONTH(A1657),1)),"mmmm yyyy"))</f>
      </c>
      <c r="L1657" s="47">
        <f>IF(A1657="",0,IF(AND(J1657="Yes",E1657&lt;0),-E1657,0))</f>
      </c>
      <c r="M1657" s="47">
        <f>IF(A1657="",0,IF(AND(J1657="Yes",E1657&gt;0),E1657,0))</f>
      </c>
      <c r="N1657">
        <f>IF(A1657="","",IF(D1657="Category Pending","Needs categorization",IF(COUNTIFS($A$2:A1657,A1657,$B$2:B1657,B1657,$E$2:E1657,E1657)&gt;1,"Possible duplicate","")))</f>
      </c>
    </row>
    <row r="1658" spans="3:14" x14ac:dyDescent="0.3">
      <c r="A1658"/>
      <c r="C1658" s="16"/>
      <c r="G1658" s="5">
        <f>IF(A1658="","","Checking")</f>
      </c>
      <c r="H1658">
        <f>IF(A1658="","",IFERROR(XLOOKUP(D1658,Setup!$E$15:$E$79,Setup!$F$15:$F$79),"Miscellaneous"))</f>
      </c>
      <c r="I1658">
        <f>IF(A1658="","",IFERROR(XLOOKUP(D1658,Setup!$E$15:$E$79,Setup!$G$15:$G$79),"Uncategorized"))</f>
      </c>
      <c r="J1658">
        <f>IF(A1658="","",IF(OR(H1658="Transfers",H1658="Income",D1658="Transfer",D1658="Category Pending",F1658="Pending"),"No","Yes"))</f>
      </c>
      <c r="K1658" s="4">
        <f>IF(A1658="","",TEXT(IF(DAY(A1658)&gt;=Setup!$B$9,DATE(YEAR(A1658),MONTH(A1658)+1,1),DATE(YEAR(A1658),MONTH(A1658),1)),"mmmm yyyy"))</f>
      </c>
      <c r="L1658" s="47">
        <f>IF(A1658="",0,IF(AND(J1658="Yes",E1658&lt;0),-E1658,0))</f>
      </c>
      <c r="M1658" s="47">
        <f>IF(A1658="",0,IF(AND(J1658="Yes",E1658&gt;0),E1658,0))</f>
      </c>
      <c r="N1658">
        <f>IF(A1658="","",IF(D1658="Category Pending","Needs categorization",IF(COUNTIFS($A$2:A1658,A1658,$B$2:B1658,B1658,$E$2:E1658,E1658)&gt;1,"Possible duplicate","")))</f>
      </c>
    </row>
    <row r="1659" spans="3:14" x14ac:dyDescent="0.3">
      <c r="A1659"/>
      <c r="C1659" s="16"/>
      <c r="G1659" s="5">
        <f>IF(A1659="","","Checking")</f>
      </c>
      <c r="H1659">
        <f>IF(A1659="","",IFERROR(XLOOKUP(D1659,Setup!$E$15:$E$79,Setup!$F$15:$F$79),"Miscellaneous"))</f>
      </c>
      <c r="I1659">
        <f>IF(A1659="","",IFERROR(XLOOKUP(D1659,Setup!$E$15:$E$79,Setup!$G$15:$G$79),"Uncategorized"))</f>
      </c>
      <c r="J1659">
        <f>IF(A1659="","",IF(OR(H1659="Transfers",H1659="Income",D1659="Transfer",D1659="Category Pending",F1659="Pending"),"No","Yes"))</f>
      </c>
      <c r="K1659" s="4">
        <f>IF(A1659="","",TEXT(IF(DAY(A1659)&gt;=Setup!$B$9,DATE(YEAR(A1659),MONTH(A1659)+1,1),DATE(YEAR(A1659),MONTH(A1659),1)),"mmmm yyyy"))</f>
      </c>
      <c r="L1659" s="47">
        <f>IF(A1659="",0,IF(AND(J1659="Yes",E1659&lt;0),-E1659,0))</f>
      </c>
      <c r="M1659" s="47">
        <f>IF(A1659="",0,IF(AND(J1659="Yes",E1659&gt;0),E1659,0))</f>
      </c>
      <c r="N1659">
        <f>IF(A1659="","",IF(D1659="Category Pending","Needs categorization",IF(COUNTIFS($A$2:A1659,A1659,$B$2:B1659,B1659,$E$2:E1659,E1659)&gt;1,"Possible duplicate","")))</f>
      </c>
    </row>
    <row r="1660" spans="3:14" x14ac:dyDescent="0.3">
      <c r="A1660"/>
      <c r="C1660" s="16"/>
      <c r="G1660" s="5">
        <f>IF(A1660="","","Checking")</f>
      </c>
      <c r="H1660">
        <f>IF(A1660="","",IFERROR(XLOOKUP(D1660,Setup!$E$15:$E$79,Setup!$F$15:$F$79),"Miscellaneous"))</f>
      </c>
      <c r="I1660">
        <f>IF(A1660="","",IFERROR(XLOOKUP(D1660,Setup!$E$15:$E$79,Setup!$G$15:$G$79),"Uncategorized"))</f>
      </c>
      <c r="J1660">
        <f>IF(A1660="","",IF(OR(H1660="Transfers",H1660="Income",D1660="Transfer",D1660="Category Pending",F1660="Pending"),"No","Yes"))</f>
      </c>
      <c r="K1660" s="4">
        <f>IF(A1660="","",TEXT(IF(DAY(A1660)&gt;=Setup!$B$9,DATE(YEAR(A1660),MONTH(A1660)+1,1),DATE(YEAR(A1660),MONTH(A1660),1)),"mmmm yyyy"))</f>
      </c>
      <c r="L1660" s="47">
        <f>IF(A1660="",0,IF(AND(J1660="Yes",E1660&lt;0),-E1660,0))</f>
      </c>
      <c r="M1660" s="47">
        <f>IF(A1660="",0,IF(AND(J1660="Yes",E1660&gt;0),E1660,0))</f>
      </c>
      <c r="N1660">
        <f>IF(A1660="","",IF(D1660="Category Pending","Needs categorization",IF(COUNTIFS($A$2:A1660,A1660,$B$2:B1660,B1660,$E$2:E1660,E1660)&gt;1,"Possible duplicate","")))</f>
      </c>
    </row>
    <row r="1661" spans="3:14" x14ac:dyDescent="0.3">
      <c r="A1661"/>
      <c r="C1661" s="16"/>
      <c r="G1661" s="5">
        <f>IF(A1661="","","Checking")</f>
      </c>
      <c r="H1661">
        <f>IF(A1661="","",IFERROR(XLOOKUP(D1661,Setup!$E$15:$E$79,Setup!$F$15:$F$79),"Miscellaneous"))</f>
      </c>
      <c r="I1661">
        <f>IF(A1661="","",IFERROR(XLOOKUP(D1661,Setup!$E$15:$E$79,Setup!$G$15:$G$79),"Uncategorized"))</f>
      </c>
      <c r="J1661">
        <f>IF(A1661="","",IF(OR(H1661="Transfers",H1661="Income",D1661="Transfer",D1661="Category Pending",F1661="Pending"),"No","Yes"))</f>
      </c>
      <c r="K1661" s="4">
        <f>IF(A1661="","",TEXT(IF(DAY(A1661)&gt;=Setup!$B$9,DATE(YEAR(A1661),MONTH(A1661)+1,1),DATE(YEAR(A1661),MONTH(A1661),1)),"mmmm yyyy"))</f>
      </c>
      <c r="L1661" s="47">
        <f>IF(A1661="",0,IF(AND(J1661="Yes",E1661&lt;0),-E1661,0))</f>
      </c>
      <c r="M1661" s="47">
        <f>IF(A1661="",0,IF(AND(J1661="Yes",E1661&gt;0),E1661,0))</f>
      </c>
      <c r="N1661">
        <f>IF(A1661="","",IF(D1661="Category Pending","Needs categorization",IF(COUNTIFS($A$2:A1661,A1661,$B$2:B1661,B1661,$E$2:E1661,E1661)&gt;1,"Possible duplicate","")))</f>
      </c>
    </row>
    <row r="1662" spans="3:14" x14ac:dyDescent="0.3">
      <c r="A1662"/>
      <c r="C1662" s="16"/>
      <c r="G1662" s="5">
        <f>IF(A1662="","","Checking")</f>
      </c>
      <c r="H1662">
        <f>IF(A1662="","",IFERROR(XLOOKUP(D1662,Setup!$E$15:$E$79,Setup!$F$15:$F$79),"Miscellaneous"))</f>
      </c>
      <c r="I1662">
        <f>IF(A1662="","",IFERROR(XLOOKUP(D1662,Setup!$E$15:$E$79,Setup!$G$15:$G$79),"Uncategorized"))</f>
      </c>
      <c r="J1662">
        <f>IF(A1662="","",IF(OR(H1662="Transfers",H1662="Income",D1662="Transfer",D1662="Category Pending",F1662="Pending"),"No","Yes"))</f>
      </c>
      <c r="K1662" s="4">
        <f>IF(A1662="","",TEXT(IF(DAY(A1662)&gt;=Setup!$B$9,DATE(YEAR(A1662),MONTH(A1662)+1,1),DATE(YEAR(A1662),MONTH(A1662),1)),"mmmm yyyy"))</f>
      </c>
      <c r="L1662" s="47">
        <f>IF(A1662="",0,IF(AND(J1662="Yes",E1662&lt;0),-E1662,0))</f>
      </c>
      <c r="M1662" s="47">
        <f>IF(A1662="",0,IF(AND(J1662="Yes",E1662&gt;0),E1662,0))</f>
      </c>
      <c r="N1662">
        <f>IF(A1662="","",IF(D1662="Category Pending","Needs categorization",IF(COUNTIFS($A$2:A1662,A1662,$B$2:B1662,B1662,$E$2:E1662,E1662)&gt;1,"Possible duplicate","")))</f>
      </c>
    </row>
    <row r="1663" spans="3:14" x14ac:dyDescent="0.3">
      <c r="A1663"/>
      <c r="C1663" s="16"/>
      <c r="G1663" s="5">
        <f>IF(A1663="","","Checking")</f>
      </c>
      <c r="H1663">
        <f>IF(A1663="","",IFERROR(XLOOKUP(D1663,Setup!$E$15:$E$79,Setup!$F$15:$F$79),"Miscellaneous"))</f>
      </c>
      <c r="I1663">
        <f>IF(A1663="","",IFERROR(XLOOKUP(D1663,Setup!$E$15:$E$79,Setup!$G$15:$G$79),"Uncategorized"))</f>
      </c>
      <c r="J1663">
        <f>IF(A1663="","",IF(OR(H1663="Transfers",H1663="Income",D1663="Transfer",D1663="Category Pending",F1663="Pending"),"No","Yes"))</f>
      </c>
      <c r="K1663" s="4">
        <f>IF(A1663="","",TEXT(IF(DAY(A1663)&gt;=Setup!$B$9,DATE(YEAR(A1663),MONTH(A1663)+1,1),DATE(YEAR(A1663),MONTH(A1663),1)),"mmmm yyyy"))</f>
      </c>
      <c r="L1663" s="47">
        <f>IF(A1663="",0,IF(AND(J1663="Yes",E1663&lt;0),-E1663,0))</f>
      </c>
      <c r="M1663" s="47">
        <f>IF(A1663="",0,IF(AND(J1663="Yes",E1663&gt;0),E1663,0))</f>
      </c>
      <c r="N1663">
        <f>IF(A1663="","",IF(D1663="Category Pending","Needs categorization",IF(COUNTIFS($A$2:A1663,A1663,$B$2:B1663,B1663,$E$2:E1663,E1663)&gt;1,"Possible duplicate","")))</f>
      </c>
    </row>
    <row r="1664" spans="3:14" x14ac:dyDescent="0.3">
      <c r="A1664"/>
      <c r="C1664" s="16"/>
      <c r="G1664" s="5">
        <f>IF(A1664="","","Checking")</f>
      </c>
      <c r="H1664">
        <f>IF(A1664="","",IFERROR(XLOOKUP(D1664,Setup!$E$15:$E$79,Setup!$F$15:$F$79),"Miscellaneous"))</f>
      </c>
      <c r="I1664">
        <f>IF(A1664="","",IFERROR(XLOOKUP(D1664,Setup!$E$15:$E$79,Setup!$G$15:$G$79),"Uncategorized"))</f>
      </c>
      <c r="J1664">
        <f>IF(A1664="","",IF(OR(H1664="Transfers",H1664="Income",D1664="Transfer",D1664="Category Pending",F1664="Pending"),"No","Yes"))</f>
      </c>
      <c r="K1664" s="4">
        <f>IF(A1664="","",TEXT(IF(DAY(A1664)&gt;=Setup!$B$9,DATE(YEAR(A1664),MONTH(A1664)+1,1),DATE(YEAR(A1664),MONTH(A1664),1)),"mmmm yyyy"))</f>
      </c>
      <c r="L1664" s="47">
        <f>IF(A1664="",0,IF(AND(J1664="Yes",E1664&lt;0),-E1664,0))</f>
      </c>
      <c r="M1664" s="47">
        <f>IF(A1664="",0,IF(AND(J1664="Yes",E1664&gt;0),E1664,0))</f>
      </c>
      <c r="N1664">
        <f>IF(A1664="","",IF(D1664="Category Pending","Needs categorization",IF(COUNTIFS($A$2:A1664,A1664,$B$2:B1664,B1664,$E$2:E1664,E1664)&gt;1,"Possible duplicate","")))</f>
      </c>
    </row>
    <row r="1665" spans="3:14" x14ac:dyDescent="0.3">
      <c r="A1665"/>
      <c r="C1665" s="16"/>
      <c r="G1665" s="5">
        <f>IF(A1665="","","Checking")</f>
      </c>
      <c r="H1665">
        <f>IF(A1665="","",IFERROR(XLOOKUP(D1665,Setup!$E$15:$E$79,Setup!$F$15:$F$79),"Miscellaneous"))</f>
      </c>
      <c r="I1665">
        <f>IF(A1665="","",IFERROR(XLOOKUP(D1665,Setup!$E$15:$E$79,Setup!$G$15:$G$79),"Uncategorized"))</f>
      </c>
      <c r="J1665">
        <f>IF(A1665="","",IF(OR(H1665="Transfers",H1665="Income",D1665="Transfer",D1665="Category Pending",F1665="Pending"),"No","Yes"))</f>
      </c>
      <c r="K1665" s="4">
        <f>IF(A1665="","",TEXT(IF(DAY(A1665)&gt;=Setup!$B$9,DATE(YEAR(A1665),MONTH(A1665)+1,1),DATE(YEAR(A1665),MONTH(A1665),1)),"mmmm yyyy"))</f>
      </c>
      <c r="L1665" s="47">
        <f>IF(A1665="",0,IF(AND(J1665="Yes",E1665&lt;0),-E1665,0))</f>
      </c>
      <c r="M1665" s="47">
        <f>IF(A1665="",0,IF(AND(J1665="Yes",E1665&gt;0),E1665,0))</f>
      </c>
      <c r="N1665">
        <f>IF(A1665="","",IF(D1665="Category Pending","Needs categorization",IF(COUNTIFS($A$2:A1665,A1665,$B$2:B1665,B1665,$E$2:E1665,E1665)&gt;1,"Possible duplicate","")))</f>
      </c>
    </row>
    <row r="1666" spans="3:14" x14ac:dyDescent="0.3">
      <c r="A1666"/>
      <c r="C1666" s="16"/>
      <c r="G1666" s="5">
        <f>IF(A1666="","","Checking")</f>
      </c>
      <c r="H1666">
        <f>IF(A1666="","",IFERROR(XLOOKUP(D1666,Setup!$E$15:$E$79,Setup!$F$15:$F$79),"Miscellaneous"))</f>
      </c>
      <c r="I1666">
        <f>IF(A1666="","",IFERROR(XLOOKUP(D1666,Setup!$E$15:$E$79,Setup!$G$15:$G$79),"Uncategorized"))</f>
      </c>
      <c r="J1666">
        <f>IF(A1666="","",IF(OR(H1666="Transfers",H1666="Income",D1666="Transfer",D1666="Category Pending",F1666="Pending"),"No","Yes"))</f>
      </c>
      <c r="K1666" s="4">
        <f>IF(A1666="","",TEXT(IF(DAY(A1666)&gt;=Setup!$B$9,DATE(YEAR(A1666),MONTH(A1666)+1,1),DATE(YEAR(A1666),MONTH(A1666),1)),"mmmm yyyy"))</f>
      </c>
      <c r="L1666" s="47">
        <f>IF(A1666="",0,IF(AND(J1666="Yes",E1666&lt;0),-E1666,0))</f>
      </c>
      <c r="M1666" s="47">
        <f>IF(A1666="",0,IF(AND(J1666="Yes",E1666&gt;0),E1666,0))</f>
      </c>
      <c r="N1666">
        <f>IF(A1666="","",IF(D1666="Category Pending","Needs categorization",IF(COUNTIFS($A$2:A1666,A1666,$B$2:B1666,B1666,$E$2:E1666,E1666)&gt;1,"Possible duplicate","")))</f>
      </c>
    </row>
    <row r="1667" spans="3:14" x14ac:dyDescent="0.3">
      <c r="A1667"/>
      <c r="C1667" s="16"/>
      <c r="G1667" s="5">
        <f>IF(A1667="","","Checking")</f>
      </c>
      <c r="H1667">
        <f>IF(A1667="","",IFERROR(XLOOKUP(D1667,Setup!$E$15:$E$79,Setup!$F$15:$F$79),"Miscellaneous"))</f>
      </c>
      <c r="I1667">
        <f>IF(A1667="","",IFERROR(XLOOKUP(D1667,Setup!$E$15:$E$79,Setup!$G$15:$G$79),"Uncategorized"))</f>
      </c>
      <c r="J1667">
        <f>IF(A1667="","",IF(OR(H1667="Transfers",H1667="Income",D1667="Transfer",D1667="Category Pending",F1667="Pending"),"No","Yes"))</f>
      </c>
      <c r="K1667" s="4">
        <f>IF(A1667="","",TEXT(IF(DAY(A1667)&gt;=Setup!$B$9,DATE(YEAR(A1667),MONTH(A1667)+1,1),DATE(YEAR(A1667),MONTH(A1667),1)),"mmmm yyyy"))</f>
      </c>
      <c r="L1667" s="47">
        <f>IF(A1667="",0,IF(AND(J1667="Yes",E1667&lt;0),-E1667,0))</f>
      </c>
      <c r="M1667" s="47">
        <f>IF(A1667="",0,IF(AND(J1667="Yes",E1667&gt;0),E1667,0))</f>
      </c>
      <c r="N1667">
        <f>IF(A1667="","",IF(D1667="Category Pending","Needs categorization",IF(COUNTIFS($A$2:A1667,A1667,$B$2:B1667,B1667,$E$2:E1667,E1667)&gt;1,"Possible duplicate","")))</f>
      </c>
    </row>
    <row r="1668" spans="3:14" x14ac:dyDescent="0.3">
      <c r="A1668"/>
      <c r="C1668" s="16"/>
      <c r="G1668" s="5">
        <f>IF(A1668="","","Checking")</f>
      </c>
      <c r="H1668">
        <f>IF(A1668="","",IFERROR(XLOOKUP(D1668,Setup!$E$15:$E$79,Setup!$F$15:$F$79),"Miscellaneous"))</f>
      </c>
      <c r="I1668">
        <f>IF(A1668="","",IFERROR(XLOOKUP(D1668,Setup!$E$15:$E$79,Setup!$G$15:$G$79),"Uncategorized"))</f>
      </c>
      <c r="J1668">
        <f>IF(A1668="","",IF(OR(H1668="Transfers",H1668="Income",D1668="Transfer",D1668="Category Pending",F1668="Pending"),"No","Yes"))</f>
      </c>
      <c r="K1668" s="4">
        <f>IF(A1668="","",TEXT(IF(DAY(A1668)&gt;=Setup!$B$9,DATE(YEAR(A1668),MONTH(A1668)+1,1),DATE(YEAR(A1668),MONTH(A1668),1)),"mmmm yyyy"))</f>
      </c>
      <c r="L1668" s="47">
        <f>IF(A1668="",0,IF(AND(J1668="Yes",E1668&lt;0),-E1668,0))</f>
      </c>
      <c r="M1668" s="47">
        <f>IF(A1668="",0,IF(AND(J1668="Yes",E1668&gt;0),E1668,0))</f>
      </c>
      <c r="N1668">
        <f>IF(A1668="","",IF(D1668="Category Pending","Needs categorization",IF(COUNTIFS($A$2:A1668,A1668,$B$2:B1668,B1668,$E$2:E1668,E1668)&gt;1,"Possible duplicate","")))</f>
      </c>
    </row>
    <row r="1669" spans="3:14" x14ac:dyDescent="0.3">
      <c r="A1669"/>
      <c r="C1669" s="16"/>
      <c r="G1669" s="5">
        <f>IF(A1669="","","Checking")</f>
      </c>
      <c r="H1669">
        <f>IF(A1669="","",IFERROR(XLOOKUP(D1669,Setup!$E$15:$E$79,Setup!$F$15:$F$79),"Miscellaneous"))</f>
      </c>
      <c r="I1669">
        <f>IF(A1669="","",IFERROR(XLOOKUP(D1669,Setup!$E$15:$E$79,Setup!$G$15:$G$79),"Uncategorized"))</f>
      </c>
      <c r="J1669">
        <f>IF(A1669="","",IF(OR(H1669="Transfers",H1669="Income",D1669="Transfer",D1669="Category Pending",F1669="Pending"),"No","Yes"))</f>
      </c>
      <c r="K1669" s="4">
        <f>IF(A1669="","",TEXT(IF(DAY(A1669)&gt;=Setup!$B$9,DATE(YEAR(A1669),MONTH(A1669)+1,1),DATE(YEAR(A1669),MONTH(A1669),1)),"mmmm yyyy"))</f>
      </c>
      <c r="L1669" s="47">
        <f>IF(A1669="",0,IF(AND(J1669="Yes",E1669&lt;0),-E1669,0))</f>
      </c>
      <c r="M1669" s="47">
        <f>IF(A1669="",0,IF(AND(J1669="Yes",E1669&gt;0),E1669,0))</f>
      </c>
      <c r="N1669">
        <f>IF(A1669="","",IF(D1669="Category Pending","Needs categorization",IF(COUNTIFS($A$2:A1669,A1669,$B$2:B1669,B1669,$E$2:E1669,E1669)&gt;1,"Possible duplicate","")))</f>
      </c>
    </row>
    <row r="1670" spans="3:14" x14ac:dyDescent="0.3">
      <c r="A1670"/>
      <c r="C1670" s="16"/>
      <c r="G1670" s="5">
        <f>IF(A1670="","","Checking")</f>
      </c>
      <c r="H1670">
        <f>IF(A1670="","",IFERROR(XLOOKUP(D1670,Setup!$E$15:$E$79,Setup!$F$15:$F$79),"Miscellaneous"))</f>
      </c>
      <c r="I1670">
        <f>IF(A1670="","",IFERROR(XLOOKUP(D1670,Setup!$E$15:$E$79,Setup!$G$15:$G$79),"Uncategorized"))</f>
      </c>
      <c r="J1670">
        <f>IF(A1670="","",IF(OR(H1670="Transfers",H1670="Income",D1670="Transfer",D1670="Category Pending",F1670="Pending"),"No","Yes"))</f>
      </c>
      <c r="K1670" s="4">
        <f>IF(A1670="","",TEXT(IF(DAY(A1670)&gt;=Setup!$B$9,DATE(YEAR(A1670),MONTH(A1670)+1,1),DATE(YEAR(A1670),MONTH(A1670),1)),"mmmm yyyy"))</f>
      </c>
      <c r="L1670" s="47">
        <f>IF(A1670="",0,IF(AND(J1670="Yes",E1670&lt;0),-E1670,0))</f>
      </c>
      <c r="M1670" s="47">
        <f>IF(A1670="",0,IF(AND(J1670="Yes",E1670&gt;0),E1670,0))</f>
      </c>
      <c r="N1670">
        <f>IF(A1670="","",IF(D1670="Category Pending","Needs categorization",IF(COUNTIFS($A$2:A1670,A1670,$B$2:B1670,B1670,$E$2:E1670,E1670)&gt;1,"Possible duplicate","")))</f>
      </c>
    </row>
    <row r="1671" spans="3:14" x14ac:dyDescent="0.3">
      <c r="A1671"/>
      <c r="C1671" s="16"/>
      <c r="G1671" s="5">
        <f>IF(A1671="","","Checking")</f>
      </c>
      <c r="H1671">
        <f>IF(A1671="","",IFERROR(XLOOKUP(D1671,Setup!$E$15:$E$79,Setup!$F$15:$F$79),"Miscellaneous"))</f>
      </c>
      <c r="I1671">
        <f>IF(A1671="","",IFERROR(XLOOKUP(D1671,Setup!$E$15:$E$79,Setup!$G$15:$G$79),"Uncategorized"))</f>
      </c>
      <c r="J1671">
        <f>IF(A1671="","",IF(OR(H1671="Transfers",H1671="Income",D1671="Transfer",D1671="Category Pending",F1671="Pending"),"No","Yes"))</f>
      </c>
      <c r="K1671" s="4">
        <f>IF(A1671="","",TEXT(IF(DAY(A1671)&gt;=Setup!$B$9,DATE(YEAR(A1671),MONTH(A1671)+1,1),DATE(YEAR(A1671),MONTH(A1671),1)),"mmmm yyyy"))</f>
      </c>
      <c r="L1671" s="47">
        <f>IF(A1671="",0,IF(AND(J1671="Yes",E1671&lt;0),-E1671,0))</f>
      </c>
      <c r="M1671" s="47">
        <f>IF(A1671="",0,IF(AND(J1671="Yes",E1671&gt;0),E1671,0))</f>
      </c>
      <c r="N1671">
        <f>IF(A1671="","",IF(D1671="Category Pending","Needs categorization",IF(COUNTIFS($A$2:A1671,A1671,$B$2:B1671,B1671,$E$2:E1671,E1671)&gt;1,"Possible duplicate","")))</f>
      </c>
    </row>
    <row r="1672" spans="3:14" x14ac:dyDescent="0.3">
      <c r="A1672"/>
      <c r="C1672" s="16"/>
      <c r="G1672" s="5">
        <f>IF(A1672="","","Checking")</f>
      </c>
      <c r="H1672">
        <f>IF(A1672="","",IFERROR(XLOOKUP(D1672,Setup!$E$15:$E$79,Setup!$F$15:$F$79),"Miscellaneous"))</f>
      </c>
      <c r="I1672">
        <f>IF(A1672="","",IFERROR(XLOOKUP(D1672,Setup!$E$15:$E$79,Setup!$G$15:$G$79),"Uncategorized"))</f>
      </c>
      <c r="J1672">
        <f>IF(A1672="","",IF(OR(H1672="Transfers",H1672="Income",D1672="Transfer",D1672="Category Pending",F1672="Pending"),"No","Yes"))</f>
      </c>
      <c r="K1672" s="4">
        <f>IF(A1672="","",TEXT(IF(DAY(A1672)&gt;=Setup!$B$9,DATE(YEAR(A1672),MONTH(A1672)+1,1),DATE(YEAR(A1672),MONTH(A1672),1)),"mmmm yyyy"))</f>
      </c>
      <c r="L1672" s="47">
        <f>IF(A1672="",0,IF(AND(J1672="Yes",E1672&lt;0),-E1672,0))</f>
      </c>
      <c r="M1672" s="47">
        <f>IF(A1672="",0,IF(AND(J1672="Yes",E1672&gt;0),E1672,0))</f>
      </c>
      <c r="N1672">
        <f>IF(A1672="","",IF(D1672="Category Pending","Needs categorization",IF(COUNTIFS($A$2:A1672,A1672,$B$2:B1672,B1672,$E$2:E1672,E1672)&gt;1,"Possible duplicate","")))</f>
      </c>
    </row>
    <row r="1673" spans="3:14" x14ac:dyDescent="0.3">
      <c r="A1673"/>
      <c r="C1673" s="16"/>
      <c r="G1673" s="5">
        <f>IF(A1673="","","Checking")</f>
      </c>
      <c r="H1673">
        <f>IF(A1673="","",IFERROR(XLOOKUP(D1673,Setup!$E$15:$E$79,Setup!$F$15:$F$79),"Miscellaneous"))</f>
      </c>
      <c r="I1673">
        <f>IF(A1673="","",IFERROR(XLOOKUP(D1673,Setup!$E$15:$E$79,Setup!$G$15:$G$79),"Uncategorized"))</f>
      </c>
      <c r="J1673">
        <f>IF(A1673="","",IF(OR(H1673="Transfers",H1673="Income",D1673="Transfer",D1673="Category Pending",F1673="Pending"),"No","Yes"))</f>
      </c>
      <c r="K1673" s="4">
        <f>IF(A1673="","",TEXT(IF(DAY(A1673)&gt;=Setup!$B$9,DATE(YEAR(A1673),MONTH(A1673)+1,1),DATE(YEAR(A1673),MONTH(A1673),1)),"mmmm yyyy"))</f>
      </c>
      <c r="L1673" s="47">
        <f>IF(A1673="",0,IF(AND(J1673="Yes",E1673&lt;0),-E1673,0))</f>
      </c>
      <c r="M1673" s="47">
        <f>IF(A1673="",0,IF(AND(J1673="Yes",E1673&gt;0),E1673,0))</f>
      </c>
      <c r="N1673">
        <f>IF(A1673="","",IF(D1673="Category Pending","Needs categorization",IF(COUNTIFS($A$2:A1673,A1673,$B$2:B1673,B1673,$E$2:E1673,E1673)&gt;1,"Possible duplicate","")))</f>
      </c>
    </row>
    <row r="1674" spans="3:14" x14ac:dyDescent="0.3">
      <c r="A1674"/>
      <c r="C1674" s="16"/>
      <c r="G1674" s="5">
        <f>IF(A1674="","","Checking")</f>
      </c>
      <c r="H1674">
        <f>IF(A1674="","",IFERROR(XLOOKUP(D1674,Setup!$E$15:$E$79,Setup!$F$15:$F$79),"Miscellaneous"))</f>
      </c>
      <c r="I1674">
        <f>IF(A1674="","",IFERROR(XLOOKUP(D1674,Setup!$E$15:$E$79,Setup!$G$15:$G$79),"Uncategorized"))</f>
      </c>
      <c r="J1674">
        <f>IF(A1674="","",IF(OR(H1674="Transfers",H1674="Income",D1674="Transfer",D1674="Category Pending",F1674="Pending"),"No","Yes"))</f>
      </c>
      <c r="K1674" s="4">
        <f>IF(A1674="","",TEXT(IF(DAY(A1674)&gt;=Setup!$B$9,DATE(YEAR(A1674),MONTH(A1674)+1,1),DATE(YEAR(A1674),MONTH(A1674),1)),"mmmm yyyy"))</f>
      </c>
      <c r="L1674" s="47">
        <f>IF(A1674="",0,IF(AND(J1674="Yes",E1674&lt;0),-E1674,0))</f>
      </c>
      <c r="M1674" s="47">
        <f>IF(A1674="",0,IF(AND(J1674="Yes",E1674&gt;0),E1674,0))</f>
      </c>
      <c r="N1674">
        <f>IF(A1674="","",IF(D1674="Category Pending","Needs categorization",IF(COUNTIFS($A$2:A1674,A1674,$B$2:B1674,B1674,$E$2:E1674,E1674)&gt;1,"Possible duplicate","")))</f>
      </c>
    </row>
    <row r="1675" spans="3:14" x14ac:dyDescent="0.3">
      <c r="A1675"/>
      <c r="C1675" s="16"/>
      <c r="G1675" s="5">
        <f>IF(A1675="","","Checking")</f>
      </c>
      <c r="H1675">
        <f>IF(A1675="","",IFERROR(XLOOKUP(D1675,Setup!$E$15:$E$79,Setup!$F$15:$F$79),"Miscellaneous"))</f>
      </c>
      <c r="I1675">
        <f>IF(A1675="","",IFERROR(XLOOKUP(D1675,Setup!$E$15:$E$79,Setup!$G$15:$G$79),"Uncategorized"))</f>
      </c>
      <c r="J1675">
        <f>IF(A1675="","",IF(OR(H1675="Transfers",H1675="Income",D1675="Transfer",D1675="Category Pending",F1675="Pending"),"No","Yes"))</f>
      </c>
      <c r="K1675" s="4">
        <f>IF(A1675="","",TEXT(IF(DAY(A1675)&gt;=Setup!$B$9,DATE(YEAR(A1675),MONTH(A1675)+1,1),DATE(YEAR(A1675),MONTH(A1675),1)),"mmmm yyyy"))</f>
      </c>
      <c r="L1675" s="47">
        <f>IF(A1675="",0,IF(AND(J1675="Yes",E1675&lt;0),-E1675,0))</f>
      </c>
      <c r="M1675" s="47">
        <f>IF(A1675="",0,IF(AND(J1675="Yes",E1675&gt;0),E1675,0))</f>
      </c>
      <c r="N1675">
        <f>IF(A1675="","",IF(D1675="Category Pending","Needs categorization",IF(COUNTIFS($A$2:A1675,A1675,$B$2:B1675,B1675,$E$2:E1675,E1675)&gt;1,"Possible duplicate","")))</f>
      </c>
    </row>
    <row r="1676" spans="3:14" x14ac:dyDescent="0.3">
      <c r="A1676"/>
      <c r="C1676" s="16"/>
      <c r="G1676" s="5">
        <f>IF(A1676="","","Checking")</f>
      </c>
      <c r="H1676">
        <f>IF(A1676="","",IFERROR(XLOOKUP(D1676,Setup!$E$15:$E$79,Setup!$F$15:$F$79),"Miscellaneous"))</f>
      </c>
      <c r="I1676">
        <f>IF(A1676="","",IFERROR(XLOOKUP(D1676,Setup!$E$15:$E$79,Setup!$G$15:$G$79),"Uncategorized"))</f>
      </c>
      <c r="J1676">
        <f>IF(A1676="","",IF(OR(H1676="Transfers",H1676="Income",D1676="Transfer",D1676="Category Pending",F1676="Pending"),"No","Yes"))</f>
      </c>
      <c r="K1676" s="4">
        <f>IF(A1676="","",TEXT(IF(DAY(A1676)&gt;=Setup!$B$9,DATE(YEAR(A1676),MONTH(A1676)+1,1),DATE(YEAR(A1676),MONTH(A1676),1)),"mmmm yyyy"))</f>
      </c>
      <c r="L1676" s="47">
        <f>IF(A1676="",0,IF(AND(J1676="Yes",E1676&lt;0),-E1676,0))</f>
      </c>
      <c r="M1676" s="47">
        <f>IF(A1676="",0,IF(AND(J1676="Yes",E1676&gt;0),E1676,0))</f>
      </c>
      <c r="N1676">
        <f>IF(A1676="","",IF(D1676="Category Pending","Needs categorization",IF(COUNTIFS($A$2:A1676,A1676,$B$2:B1676,B1676,$E$2:E1676,E1676)&gt;1,"Possible duplicate","")))</f>
      </c>
    </row>
    <row r="1677" spans="3:14" x14ac:dyDescent="0.3">
      <c r="A1677"/>
      <c r="C1677" s="16"/>
      <c r="G1677" s="5">
        <f>IF(A1677="","","Checking")</f>
      </c>
      <c r="H1677">
        <f>IF(A1677="","",IFERROR(XLOOKUP(D1677,Setup!$E$15:$E$79,Setup!$F$15:$F$79),"Miscellaneous"))</f>
      </c>
      <c r="I1677">
        <f>IF(A1677="","",IFERROR(XLOOKUP(D1677,Setup!$E$15:$E$79,Setup!$G$15:$G$79),"Uncategorized"))</f>
      </c>
      <c r="J1677">
        <f>IF(A1677="","",IF(OR(H1677="Transfers",H1677="Income",D1677="Transfer",D1677="Category Pending",F1677="Pending"),"No","Yes"))</f>
      </c>
      <c r="K1677" s="4">
        <f>IF(A1677="","",TEXT(IF(DAY(A1677)&gt;=Setup!$B$9,DATE(YEAR(A1677),MONTH(A1677)+1,1),DATE(YEAR(A1677),MONTH(A1677),1)),"mmmm yyyy"))</f>
      </c>
      <c r="L1677" s="47">
        <f>IF(A1677="",0,IF(AND(J1677="Yes",E1677&lt;0),-E1677,0))</f>
      </c>
      <c r="M1677" s="47">
        <f>IF(A1677="",0,IF(AND(J1677="Yes",E1677&gt;0),E1677,0))</f>
      </c>
      <c r="N1677">
        <f>IF(A1677="","",IF(D1677="Category Pending","Needs categorization",IF(COUNTIFS($A$2:A1677,A1677,$B$2:B1677,B1677,$E$2:E1677,E1677)&gt;1,"Possible duplicate","")))</f>
      </c>
    </row>
    <row r="1678" spans="3:14" x14ac:dyDescent="0.3">
      <c r="A1678"/>
      <c r="C1678" s="16"/>
      <c r="G1678" s="5">
        <f>IF(A1678="","","Checking")</f>
      </c>
      <c r="H1678">
        <f>IF(A1678="","",IFERROR(XLOOKUP(D1678,Setup!$E$15:$E$79,Setup!$F$15:$F$79),"Miscellaneous"))</f>
      </c>
      <c r="I1678">
        <f>IF(A1678="","",IFERROR(XLOOKUP(D1678,Setup!$E$15:$E$79,Setup!$G$15:$G$79),"Uncategorized"))</f>
      </c>
      <c r="J1678">
        <f>IF(A1678="","",IF(OR(H1678="Transfers",H1678="Income",D1678="Transfer",D1678="Category Pending",F1678="Pending"),"No","Yes"))</f>
      </c>
      <c r="K1678" s="4">
        <f>IF(A1678="","",TEXT(IF(DAY(A1678)&gt;=Setup!$B$9,DATE(YEAR(A1678),MONTH(A1678)+1,1),DATE(YEAR(A1678),MONTH(A1678),1)),"mmmm yyyy"))</f>
      </c>
      <c r="L1678" s="47">
        <f>IF(A1678="",0,IF(AND(J1678="Yes",E1678&lt;0),-E1678,0))</f>
      </c>
      <c r="M1678" s="47">
        <f>IF(A1678="",0,IF(AND(J1678="Yes",E1678&gt;0),E1678,0))</f>
      </c>
      <c r="N1678">
        <f>IF(A1678="","",IF(D1678="Category Pending","Needs categorization",IF(COUNTIFS($A$2:A1678,A1678,$B$2:B1678,B1678,$E$2:E1678,E1678)&gt;1,"Possible duplicate","")))</f>
      </c>
    </row>
    <row r="1679" spans="3:14" x14ac:dyDescent="0.3">
      <c r="A1679"/>
      <c r="C1679" s="16"/>
      <c r="G1679" s="5">
        <f>IF(A1679="","","Checking")</f>
      </c>
      <c r="H1679">
        <f>IF(A1679="","",IFERROR(XLOOKUP(D1679,Setup!$E$15:$E$79,Setup!$F$15:$F$79),"Miscellaneous"))</f>
      </c>
      <c r="I1679">
        <f>IF(A1679="","",IFERROR(XLOOKUP(D1679,Setup!$E$15:$E$79,Setup!$G$15:$G$79),"Uncategorized"))</f>
      </c>
      <c r="J1679">
        <f>IF(A1679="","",IF(OR(H1679="Transfers",H1679="Income",D1679="Transfer",D1679="Category Pending",F1679="Pending"),"No","Yes"))</f>
      </c>
      <c r="K1679" s="4">
        <f>IF(A1679="","",TEXT(IF(DAY(A1679)&gt;=Setup!$B$9,DATE(YEAR(A1679),MONTH(A1679)+1,1),DATE(YEAR(A1679),MONTH(A1679),1)),"mmmm yyyy"))</f>
      </c>
      <c r="L1679" s="47">
        <f>IF(A1679="",0,IF(AND(J1679="Yes",E1679&lt;0),-E1679,0))</f>
      </c>
      <c r="M1679" s="47">
        <f>IF(A1679="",0,IF(AND(J1679="Yes",E1679&gt;0),E1679,0))</f>
      </c>
      <c r="N1679">
        <f>IF(A1679="","",IF(D1679="Category Pending","Needs categorization",IF(COUNTIFS($A$2:A1679,A1679,$B$2:B1679,B1679,$E$2:E1679,E1679)&gt;1,"Possible duplicate","")))</f>
      </c>
    </row>
    <row r="1680" spans="3:14" x14ac:dyDescent="0.3">
      <c r="A1680"/>
      <c r="C1680" s="16"/>
      <c r="G1680" s="5">
        <f>IF(A1680="","","Checking")</f>
      </c>
      <c r="H1680">
        <f>IF(A1680="","",IFERROR(XLOOKUP(D1680,Setup!$E$15:$E$79,Setup!$F$15:$F$79),"Miscellaneous"))</f>
      </c>
      <c r="I1680">
        <f>IF(A1680="","",IFERROR(XLOOKUP(D1680,Setup!$E$15:$E$79,Setup!$G$15:$G$79),"Uncategorized"))</f>
      </c>
      <c r="J1680">
        <f>IF(A1680="","",IF(OR(H1680="Transfers",H1680="Income",D1680="Transfer",D1680="Category Pending",F1680="Pending"),"No","Yes"))</f>
      </c>
      <c r="K1680" s="4">
        <f>IF(A1680="","",TEXT(IF(DAY(A1680)&gt;=Setup!$B$9,DATE(YEAR(A1680),MONTH(A1680)+1,1),DATE(YEAR(A1680),MONTH(A1680),1)),"mmmm yyyy"))</f>
      </c>
      <c r="L1680" s="47">
        <f>IF(A1680="",0,IF(AND(J1680="Yes",E1680&lt;0),-E1680,0))</f>
      </c>
      <c r="M1680" s="47">
        <f>IF(A1680="",0,IF(AND(J1680="Yes",E1680&gt;0),E1680,0))</f>
      </c>
      <c r="N1680">
        <f>IF(A1680="","",IF(D1680="Category Pending","Needs categorization",IF(COUNTIFS($A$2:A1680,A1680,$B$2:B1680,B1680,$E$2:E1680,E1680)&gt;1,"Possible duplicate","")))</f>
      </c>
    </row>
    <row r="1681" spans="3:14" x14ac:dyDescent="0.3">
      <c r="A1681"/>
      <c r="C1681" s="16"/>
      <c r="G1681" s="5">
        <f>IF(A1681="","","Checking")</f>
      </c>
      <c r="H1681">
        <f>IF(A1681="","",IFERROR(XLOOKUP(D1681,Setup!$E$15:$E$79,Setup!$F$15:$F$79),"Miscellaneous"))</f>
      </c>
      <c r="I1681">
        <f>IF(A1681="","",IFERROR(XLOOKUP(D1681,Setup!$E$15:$E$79,Setup!$G$15:$G$79),"Uncategorized"))</f>
      </c>
      <c r="J1681">
        <f>IF(A1681="","",IF(OR(H1681="Transfers",H1681="Income",D1681="Transfer",D1681="Category Pending",F1681="Pending"),"No","Yes"))</f>
      </c>
      <c r="K1681" s="4">
        <f>IF(A1681="","",TEXT(IF(DAY(A1681)&gt;=Setup!$B$9,DATE(YEAR(A1681),MONTH(A1681)+1,1),DATE(YEAR(A1681),MONTH(A1681),1)),"mmmm yyyy"))</f>
      </c>
      <c r="L1681" s="47">
        <f>IF(A1681="",0,IF(AND(J1681="Yes",E1681&lt;0),-E1681,0))</f>
      </c>
      <c r="M1681" s="47">
        <f>IF(A1681="",0,IF(AND(J1681="Yes",E1681&gt;0),E1681,0))</f>
      </c>
      <c r="N1681">
        <f>IF(A1681="","",IF(D1681="Category Pending","Needs categorization",IF(COUNTIFS($A$2:A1681,A1681,$B$2:B1681,B1681,$E$2:E1681,E1681)&gt;1,"Possible duplicate","")))</f>
      </c>
    </row>
    <row r="1682" spans="3:14" x14ac:dyDescent="0.3">
      <c r="A1682"/>
      <c r="C1682" s="16"/>
      <c r="G1682" s="5">
        <f>IF(A1682="","","Checking")</f>
      </c>
      <c r="H1682">
        <f>IF(A1682="","",IFERROR(XLOOKUP(D1682,Setup!$E$15:$E$79,Setup!$F$15:$F$79),"Miscellaneous"))</f>
      </c>
      <c r="I1682">
        <f>IF(A1682="","",IFERROR(XLOOKUP(D1682,Setup!$E$15:$E$79,Setup!$G$15:$G$79),"Uncategorized"))</f>
      </c>
      <c r="J1682">
        <f>IF(A1682="","",IF(OR(H1682="Transfers",H1682="Income",D1682="Transfer",D1682="Category Pending",F1682="Pending"),"No","Yes"))</f>
      </c>
      <c r="K1682" s="4">
        <f>IF(A1682="","",TEXT(IF(DAY(A1682)&gt;=Setup!$B$9,DATE(YEAR(A1682),MONTH(A1682)+1,1),DATE(YEAR(A1682),MONTH(A1682),1)),"mmmm yyyy"))</f>
      </c>
      <c r="L1682" s="47">
        <f>IF(A1682="",0,IF(AND(J1682="Yes",E1682&lt;0),-E1682,0))</f>
      </c>
      <c r="M1682" s="47">
        <f>IF(A1682="",0,IF(AND(J1682="Yes",E1682&gt;0),E1682,0))</f>
      </c>
      <c r="N1682">
        <f>IF(A1682="","",IF(D1682="Category Pending","Needs categorization",IF(COUNTIFS($A$2:A1682,A1682,$B$2:B1682,B1682,$E$2:E1682,E1682)&gt;1,"Possible duplicate","")))</f>
      </c>
    </row>
    <row r="1683" spans="3:14" x14ac:dyDescent="0.3">
      <c r="A1683"/>
      <c r="C1683" s="16"/>
      <c r="G1683" s="5">
        <f>IF(A1683="","","Checking")</f>
      </c>
      <c r="H1683">
        <f>IF(A1683="","",IFERROR(XLOOKUP(D1683,Setup!$E$15:$E$79,Setup!$F$15:$F$79),"Miscellaneous"))</f>
      </c>
      <c r="I1683">
        <f>IF(A1683="","",IFERROR(XLOOKUP(D1683,Setup!$E$15:$E$79,Setup!$G$15:$G$79),"Uncategorized"))</f>
      </c>
      <c r="J1683">
        <f>IF(A1683="","",IF(OR(H1683="Transfers",H1683="Income",D1683="Transfer",D1683="Category Pending",F1683="Pending"),"No","Yes"))</f>
      </c>
      <c r="K1683" s="4">
        <f>IF(A1683="","",TEXT(IF(DAY(A1683)&gt;=Setup!$B$9,DATE(YEAR(A1683),MONTH(A1683)+1,1),DATE(YEAR(A1683),MONTH(A1683),1)),"mmmm yyyy"))</f>
      </c>
      <c r="L1683" s="47">
        <f>IF(A1683="",0,IF(AND(J1683="Yes",E1683&lt;0),-E1683,0))</f>
      </c>
      <c r="M1683" s="47">
        <f>IF(A1683="",0,IF(AND(J1683="Yes",E1683&gt;0),E1683,0))</f>
      </c>
      <c r="N1683">
        <f>IF(A1683="","",IF(D1683="Category Pending","Needs categorization",IF(COUNTIFS($A$2:A1683,A1683,$B$2:B1683,B1683,$E$2:E1683,E1683)&gt;1,"Possible duplicate","")))</f>
      </c>
    </row>
    <row r="1684" spans="3:14" x14ac:dyDescent="0.3">
      <c r="A1684"/>
      <c r="C1684" s="16"/>
      <c r="G1684" s="5">
        <f>IF(A1684="","","Checking")</f>
      </c>
      <c r="H1684">
        <f>IF(A1684="","",IFERROR(XLOOKUP(D1684,Setup!$E$15:$E$79,Setup!$F$15:$F$79),"Miscellaneous"))</f>
      </c>
      <c r="I1684">
        <f>IF(A1684="","",IFERROR(XLOOKUP(D1684,Setup!$E$15:$E$79,Setup!$G$15:$G$79),"Uncategorized"))</f>
      </c>
      <c r="J1684">
        <f>IF(A1684="","",IF(OR(H1684="Transfers",H1684="Income",D1684="Transfer",D1684="Category Pending",F1684="Pending"),"No","Yes"))</f>
      </c>
      <c r="K1684" s="4">
        <f>IF(A1684="","",TEXT(IF(DAY(A1684)&gt;=Setup!$B$9,DATE(YEAR(A1684),MONTH(A1684)+1,1),DATE(YEAR(A1684),MONTH(A1684),1)),"mmmm yyyy"))</f>
      </c>
      <c r="L1684" s="47">
        <f>IF(A1684="",0,IF(AND(J1684="Yes",E1684&lt;0),-E1684,0))</f>
      </c>
      <c r="M1684" s="47">
        <f>IF(A1684="",0,IF(AND(J1684="Yes",E1684&gt;0),E1684,0))</f>
      </c>
      <c r="N1684">
        <f>IF(A1684="","",IF(D1684="Category Pending","Needs categorization",IF(COUNTIFS($A$2:A1684,A1684,$B$2:B1684,B1684,$E$2:E1684,E1684)&gt;1,"Possible duplicate","")))</f>
      </c>
    </row>
    <row r="1685" spans="3:14" x14ac:dyDescent="0.3">
      <c r="A1685"/>
      <c r="C1685" s="16"/>
      <c r="G1685" s="5">
        <f>IF(A1685="","","Checking")</f>
      </c>
      <c r="H1685">
        <f>IF(A1685="","",IFERROR(XLOOKUP(D1685,Setup!$E$15:$E$79,Setup!$F$15:$F$79),"Miscellaneous"))</f>
      </c>
      <c r="I1685">
        <f>IF(A1685="","",IFERROR(XLOOKUP(D1685,Setup!$E$15:$E$79,Setup!$G$15:$G$79),"Uncategorized"))</f>
      </c>
      <c r="J1685">
        <f>IF(A1685="","",IF(OR(H1685="Transfers",H1685="Income",D1685="Transfer",D1685="Category Pending",F1685="Pending"),"No","Yes"))</f>
      </c>
      <c r="K1685" s="4">
        <f>IF(A1685="","",TEXT(IF(DAY(A1685)&gt;=Setup!$B$9,DATE(YEAR(A1685),MONTH(A1685)+1,1),DATE(YEAR(A1685),MONTH(A1685),1)),"mmmm yyyy"))</f>
      </c>
      <c r="L1685" s="47">
        <f>IF(A1685="",0,IF(AND(J1685="Yes",E1685&lt;0),-E1685,0))</f>
      </c>
      <c r="M1685" s="47">
        <f>IF(A1685="",0,IF(AND(J1685="Yes",E1685&gt;0),E1685,0))</f>
      </c>
      <c r="N1685">
        <f>IF(A1685="","",IF(D1685="Category Pending","Needs categorization",IF(COUNTIFS($A$2:A1685,A1685,$B$2:B1685,B1685,$E$2:E1685,E1685)&gt;1,"Possible duplicate","")))</f>
      </c>
    </row>
    <row r="1686" spans="3:14" x14ac:dyDescent="0.3">
      <c r="A1686"/>
      <c r="C1686" s="16"/>
      <c r="G1686" s="5">
        <f>IF(A1686="","","Checking")</f>
      </c>
      <c r="H1686">
        <f>IF(A1686="","",IFERROR(XLOOKUP(D1686,Setup!$E$15:$E$79,Setup!$F$15:$F$79),"Miscellaneous"))</f>
      </c>
      <c r="I1686">
        <f>IF(A1686="","",IFERROR(XLOOKUP(D1686,Setup!$E$15:$E$79,Setup!$G$15:$G$79),"Uncategorized"))</f>
      </c>
      <c r="J1686">
        <f>IF(A1686="","",IF(OR(H1686="Transfers",H1686="Income",D1686="Transfer",D1686="Category Pending",F1686="Pending"),"No","Yes"))</f>
      </c>
      <c r="K1686" s="4">
        <f>IF(A1686="","",TEXT(IF(DAY(A1686)&gt;=Setup!$B$9,DATE(YEAR(A1686),MONTH(A1686)+1,1),DATE(YEAR(A1686),MONTH(A1686),1)),"mmmm yyyy"))</f>
      </c>
      <c r="L1686" s="47">
        <f>IF(A1686="",0,IF(AND(J1686="Yes",E1686&lt;0),-E1686,0))</f>
      </c>
      <c r="M1686" s="47">
        <f>IF(A1686="",0,IF(AND(J1686="Yes",E1686&gt;0),E1686,0))</f>
      </c>
      <c r="N1686">
        <f>IF(A1686="","",IF(D1686="Category Pending","Needs categorization",IF(COUNTIFS($A$2:A1686,A1686,$B$2:B1686,B1686,$E$2:E1686,E1686)&gt;1,"Possible duplicate","")))</f>
      </c>
    </row>
    <row r="1687" spans="3:14" x14ac:dyDescent="0.3">
      <c r="A1687"/>
      <c r="C1687" s="16"/>
      <c r="G1687" s="5">
        <f>IF(A1687="","","Checking")</f>
      </c>
      <c r="H1687">
        <f>IF(A1687="","",IFERROR(XLOOKUP(D1687,Setup!$E$15:$E$79,Setup!$F$15:$F$79),"Miscellaneous"))</f>
      </c>
      <c r="I1687">
        <f>IF(A1687="","",IFERROR(XLOOKUP(D1687,Setup!$E$15:$E$79,Setup!$G$15:$G$79),"Uncategorized"))</f>
      </c>
      <c r="J1687">
        <f>IF(A1687="","",IF(OR(H1687="Transfers",H1687="Income",D1687="Transfer",D1687="Category Pending",F1687="Pending"),"No","Yes"))</f>
      </c>
      <c r="K1687" s="4">
        <f>IF(A1687="","",TEXT(IF(DAY(A1687)&gt;=Setup!$B$9,DATE(YEAR(A1687),MONTH(A1687)+1,1),DATE(YEAR(A1687),MONTH(A1687),1)),"mmmm yyyy"))</f>
      </c>
      <c r="L1687" s="47">
        <f>IF(A1687="",0,IF(AND(J1687="Yes",E1687&lt;0),-E1687,0))</f>
      </c>
      <c r="M1687" s="47">
        <f>IF(A1687="",0,IF(AND(J1687="Yes",E1687&gt;0),E1687,0))</f>
      </c>
      <c r="N1687">
        <f>IF(A1687="","",IF(D1687="Category Pending","Needs categorization",IF(COUNTIFS($A$2:A1687,A1687,$B$2:B1687,B1687,$E$2:E1687,E1687)&gt;1,"Possible duplicate","")))</f>
      </c>
    </row>
    <row r="1688" spans="3:14" x14ac:dyDescent="0.3">
      <c r="A1688"/>
      <c r="C1688" s="16"/>
      <c r="G1688" s="5">
        <f>IF(A1688="","","Checking")</f>
      </c>
      <c r="H1688">
        <f>IF(A1688="","",IFERROR(XLOOKUP(D1688,Setup!$E$15:$E$79,Setup!$F$15:$F$79),"Miscellaneous"))</f>
      </c>
      <c r="I1688">
        <f>IF(A1688="","",IFERROR(XLOOKUP(D1688,Setup!$E$15:$E$79,Setup!$G$15:$G$79),"Uncategorized"))</f>
      </c>
      <c r="J1688">
        <f>IF(A1688="","",IF(OR(H1688="Transfers",H1688="Income",D1688="Transfer",D1688="Category Pending",F1688="Pending"),"No","Yes"))</f>
      </c>
      <c r="K1688" s="4">
        <f>IF(A1688="","",TEXT(IF(DAY(A1688)&gt;=Setup!$B$9,DATE(YEAR(A1688),MONTH(A1688)+1,1),DATE(YEAR(A1688),MONTH(A1688),1)),"mmmm yyyy"))</f>
      </c>
      <c r="L1688" s="47">
        <f>IF(A1688="",0,IF(AND(J1688="Yes",E1688&lt;0),-E1688,0))</f>
      </c>
      <c r="M1688" s="47">
        <f>IF(A1688="",0,IF(AND(J1688="Yes",E1688&gt;0),E1688,0))</f>
      </c>
      <c r="N1688">
        <f>IF(A1688="","",IF(D1688="Category Pending","Needs categorization",IF(COUNTIFS($A$2:A1688,A1688,$B$2:B1688,B1688,$E$2:E1688,E1688)&gt;1,"Possible duplicate","")))</f>
      </c>
    </row>
    <row r="1689" spans="3:14" x14ac:dyDescent="0.3">
      <c r="A1689"/>
      <c r="C1689" s="16"/>
      <c r="G1689" s="5">
        <f>IF(A1689="","","Checking")</f>
      </c>
      <c r="H1689">
        <f>IF(A1689="","",IFERROR(XLOOKUP(D1689,Setup!$E$15:$E$79,Setup!$F$15:$F$79),"Miscellaneous"))</f>
      </c>
      <c r="I1689">
        <f>IF(A1689="","",IFERROR(XLOOKUP(D1689,Setup!$E$15:$E$79,Setup!$G$15:$G$79),"Uncategorized"))</f>
      </c>
      <c r="J1689">
        <f>IF(A1689="","",IF(OR(H1689="Transfers",H1689="Income",D1689="Transfer",D1689="Category Pending",F1689="Pending"),"No","Yes"))</f>
      </c>
      <c r="K1689" s="4">
        <f>IF(A1689="","",TEXT(IF(DAY(A1689)&gt;=Setup!$B$9,DATE(YEAR(A1689),MONTH(A1689)+1,1),DATE(YEAR(A1689),MONTH(A1689),1)),"mmmm yyyy"))</f>
      </c>
      <c r="L1689" s="47">
        <f>IF(A1689="",0,IF(AND(J1689="Yes",E1689&lt;0),-E1689,0))</f>
      </c>
      <c r="M1689" s="47">
        <f>IF(A1689="",0,IF(AND(J1689="Yes",E1689&gt;0),E1689,0))</f>
      </c>
      <c r="N1689">
        <f>IF(A1689="","",IF(D1689="Category Pending","Needs categorization",IF(COUNTIFS($A$2:A1689,A1689,$B$2:B1689,B1689,$E$2:E1689,E1689)&gt;1,"Possible duplicate","")))</f>
      </c>
    </row>
    <row r="1690" spans="3:14" x14ac:dyDescent="0.3">
      <c r="A1690"/>
      <c r="C1690" s="16"/>
      <c r="G1690" s="5">
        <f>IF(A1690="","","Checking")</f>
      </c>
      <c r="H1690">
        <f>IF(A1690="","",IFERROR(XLOOKUP(D1690,Setup!$E$15:$E$79,Setup!$F$15:$F$79),"Miscellaneous"))</f>
      </c>
      <c r="I1690">
        <f>IF(A1690="","",IFERROR(XLOOKUP(D1690,Setup!$E$15:$E$79,Setup!$G$15:$G$79),"Uncategorized"))</f>
      </c>
      <c r="J1690">
        <f>IF(A1690="","",IF(OR(H1690="Transfers",H1690="Income",D1690="Transfer",D1690="Category Pending",F1690="Pending"),"No","Yes"))</f>
      </c>
      <c r="K1690" s="4">
        <f>IF(A1690="","",TEXT(IF(DAY(A1690)&gt;=Setup!$B$9,DATE(YEAR(A1690),MONTH(A1690)+1,1),DATE(YEAR(A1690),MONTH(A1690),1)),"mmmm yyyy"))</f>
      </c>
      <c r="L1690" s="47">
        <f>IF(A1690="",0,IF(AND(J1690="Yes",E1690&lt;0),-E1690,0))</f>
      </c>
      <c r="M1690" s="47">
        <f>IF(A1690="",0,IF(AND(J1690="Yes",E1690&gt;0),E1690,0))</f>
      </c>
      <c r="N1690">
        <f>IF(A1690="","",IF(D1690="Category Pending","Needs categorization",IF(COUNTIFS($A$2:A1690,A1690,$B$2:B1690,B1690,$E$2:E1690,E1690)&gt;1,"Possible duplicate","")))</f>
      </c>
    </row>
    <row r="1691" spans="3:14" x14ac:dyDescent="0.3">
      <c r="A1691"/>
      <c r="C1691" s="16"/>
      <c r="G1691" s="5">
        <f>IF(A1691="","","Checking")</f>
      </c>
      <c r="H1691">
        <f>IF(A1691="","",IFERROR(XLOOKUP(D1691,Setup!$E$15:$E$79,Setup!$F$15:$F$79),"Miscellaneous"))</f>
      </c>
      <c r="I1691">
        <f>IF(A1691="","",IFERROR(XLOOKUP(D1691,Setup!$E$15:$E$79,Setup!$G$15:$G$79),"Uncategorized"))</f>
      </c>
      <c r="J1691">
        <f>IF(A1691="","",IF(OR(H1691="Transfers",H1691="Income",D1691="Transfer",D1691="Category Pending",F1691="Pending"),"No","Yes"))</f>
      </c>
      <c r="K1691" s="4">
        <f>IF(A1691="","",TEXT(IF(DAY(A1691)&gt;=Setup!$B$9,DATE(YEAR(A1691),MONTH(A1691)+1,1),DATE(YEAR(A1691),MONTH(A1691),1)),"mmmm yyyy"))</f>
      </c>
      <c r="L1691" s="47">
        <f>IF(A1691="",0,IF(AND(J1691="Yes",E1691&lt;0),-E1691,0))</f>
      </c>
      <c r="M1691" s="47">
        <f>IF(A1691="",0,IF(AND(J1691="Yes",E1691&gt;0),E1691,0))</f>
      </c>
      <c r="N1691">
        <f>IF(A1691="","",IF(D1691="Category Pending","Needs categorization",IF(COUNTIFS($A$2:A1691,A1691,$B$2:B1691,B1691,$E$2:E1691,E1691)&gt;1,"Possible duplicate","")))</f>
      </c>
    </row>
    <row r="1692" spans="3:14" x14ac:dyDescent="0.3">
      <c r="A1692"/>
      <c r="C1692" s="16"/>
      <c r="G1692" s="5">
        <f>IF(A1692="","","Checking")</f>
      </c>
      <c r="H1692">
        <f>IF(A1692="","",IFERROR(XLOOKUP(D1692,Setup!$E$15:$E$79,Setup!$F$15:$F$79),"Miscellaneous"))</f>
      </c>
      <c r="I1692">
        <f>IF(A1692="","",IFERROR(XLOOKUP(D1692,Setup!$E$15:$E$79,Setup!$G$15:$G$79),"Uncategorized"))</f>
      </c>
      <c r="J1692">
        <f>IF(A1692="","",IF(OR(H1692="Transfers",H1692="Income",D1692="Transfer",D1692="Category Pending",F1692="Pending"),"No","Yes"))</f>
      </c>
      <c r="K1692" s="4">
        <f>IF(A1692="","",TEXT(IF(DAY(A1692)&gt;=Setup!$B$9,DATE(YEAR(A1692),MONTH(A1692)+1,1),DATE(YEAR(A1692),MONTH(A1692),1)),"mmmm yyyy"))</f>
      </c>
      <c r="L1692" s="47">
        <f>IF(A1692="",0,IF(AND(J1692="Yes",E1692&lt;0),-E1692,0))</f>
      </c>
      <c r="M1692" s="47">
        <f>IF(A1692="",0,IF(AND(J1692="Yes",E1692&gt;0),E1692,0))</f>
      </c>
      <c r="N1692">
        <f>IF(A1692="","",IF(D1692="Category Pending","Needs categorization",IF(COUNTIFS($A$2:A1692,A1692,$B$2:B1692,B1692,$E$2:E1692,E1692)&gt;1,"Possible duplicate","")))</f>
      </c>
    </row>
    <row r="1693" spans="3:14" x14ac:dyDescent="0.3">
      <c r="A1693"/>
      <c r="C1693" s="16"/>
      <c r="G1693" s="5">
        <f>IF(A1693="","","Checking")</f>
      </c>
      <c r="H1693">
        <f>IF(A1693="","",IFERROR(XLOOKUP(D1693,Setup!$E$15:$E$79,Setup!$F$15:$F$79),"Miscellaneous"))</f>
      </c>
      <c r="I1693">
        <f>IF(A1693="","",IFERROR(XLOOKUP(D1693,Setup!$E$15:$E$79,Setup!$G$15:$G$79),"Uncategorized"))</f>
      </c>
      <c r="J1693">
        <f>IF(A1693="","",IF(OR(H1693="Transfers",H1693="Income",D1693="Transfer",D1693="Category Pending",F1693="Pending"),"No","Yes"))</f>
      </c>
      <c r="K1693" s="4">
        <f>IF(A1693="","",TEXT(IF(DAY(A1693)&gt;=Setup!$B$9,DATE(YEAR(A1693),MONTH(A1693)+1,1),DATE(YEAR(A1693),MONTH(A1693),1)),"mmmm yyyy"))</f>
      </c>
      <c r="L1693" s="47">
        <f>IF(A1693="",0,IF(AND(J1693="Yes",E1693&lt;0),-E1693,0))</f>
      </c>
      <c r="M1693" s="47">
        <f>IF(A1693="",0,IF(AND(J1693="Yes",E1693&gt;0),E1693,0))</f>
      </c>
      <c r="N1693">
        <f>IF(A1693="","",IF(D1693="Category Pending","Needs categorization",IF(COUNTIFS($A$2:A1693,A1693,$B$2:B1693,B1693,$E$2:E1693,E1693)&gt;1,"Possible duplicate","")))</f>
      </c>
    </row>
    <row r="1694" spans="3:14" x14ac:dyDescent="0.3">
      <c r="A1694"/>
      <c r="C1694" s="16"/>
      <c r="G1694" s="5">
        <f>IF(A1694="","","Checking")</f>
      </c>
      <c r="H1694">
        <f>IF(A1694="","",IFERROR(XLOOKUP(D1694,Setup!$E$15:$E$79,Setup!$F$15:$F$79),"Miscellaneous"))</f>
      </c>
      <c r="I1694">
        <f>IF(A1694="","",IFERROR(XLOOKUP(D1694,Setup!$E$15:$E$79,Setup!$G$15:$G$79),"Uncategorized"))</f>
      </c>
      <c r="J1694">
        <f>IF(A1694="","",IF(OR(H1694="Transfers",H1694="Income",D1694="Transfer",D1694="Category Pending",F1694="Pending"),"No","Yes"))</f>
      </c>
      <c r="K1694" s="4">
        <f>IF(A1694="","",TEXT(IF(DAY(A1694)&gt;=Setup!$B$9,DATE(YEAR(A1694),MONTH(A1694)+1,1),DATE(YEAR(A1694),MONTH(A1694),1)),"mmmm yyyy"))</f>
      </c>
      <c r="L1694" s="47">
        <f>IF(A1694="",0,IF(AND(J1694="Yes",E1694&lt;0),-E1694,0))</f>
      </c>
      <c r="M1694" s="47">
        <f>IF(A1694="",0,IF(AND(J1694="Yes",E1694&gt;0),E1694,0))</f>
      </c>
      <c r="N1694">
        <f>IF(A1694="","",IF(D1694="Category Pending","Needs categorization",IF(COUNTIFS($A$2:A1694,A1694,$B$2:B1694,B1694,$E$2:E1694,E1694)&gt;1,"Possible duplicate","")))</f>
      </c>
    </row>
    <row r="1695" spans="3:14" x14ac:dyDescent="0.3">
      <c r="A1695"/>
      <c r="C1695" s="16"/>
      <c r="G1695" s="5">
        <f>IF(A1695="","","Checking")</f>
      </c>
      <c r="H1695">
        <f>IF(A1695="","",IFERROR(XLOOKUP(D1695,Setup!$E$15:$E$79,Setup!$F$15:$F$79),"Miscellaneous"))</f>
      </c>
      <c r="I1695">
        <f>IF(A1695="","",IFERROR(XLOOKUP(D1695,Setup!$E$15:$E$79,Setup!$G$15:$G$79),"Uncategorized"))</f>
      </c>
      <c r="J1695">
        <f>IF(A1695="","",IF(OR(H1695="Transfers",H1695="Income",D1695="Transfer",D1695="Category Pending",F1695="Pending"),"No","Yes"))</f>
      </c>
      <c r="K1695" s="4">
        <f>IF(A1695="","",TEXT(IF(DAY(A1695)&gt;=Setup!$B$9,DATE(YEAR(A1695),MONTH(A1695)+1,1),DATE(YEAR(A1695),MONTH(A1695),1)),"mmmm yyyy"))</f>
      </c>
      <c r="L1695" s="47">
        <f>IF(A1695="",0,IF(AND(J1695="Yes",E1695&lt;0),-E1695,0))</f>
      </c>
      <c r="M1695" s="47">
        <f>IF(A1695="",0,IF(AND(J1695="Yes",E1695&gt;0),E1695,0))</f>
      </c>
      <c r="N1695">
        <f>IF(A1695="","",IF(D1695="Category Pending","Needs categorization",IF(COUNTIFS($A$2:A1695,A1695,$B$2:B1695,B1695,$E$2:E1695,E1695)&gt;1,"Possible duplicate","")))</f>
      </c>
    </row>
    <row r="1696" spans="3:14" x14ac:dyDescent="0.3">
      <c r="A1696"/>
      <c r="C1696" s="16"/>
      <c r="G1696" s="5">
        <f>IF(A1696="","","Checking")</f>
      </c>
      <c r="H1696">
        <f>IF(A1696="","",IFERROR(XLOOKUP(D1696,Setup!$E$15:$E$79,Setup!$F$15:$F$79),"Miscellaneous"))</f>
      </c>
      <c r="I1696">
        <f>IF(A1696="","",IFERROR(XLOOKUP(D1696,Setup!$E$15:$E$79,Setup!$G$15:$G$79),"Uncategorized"))</f>
      </c>
      <c r="J1696">
        <f>IF(A1696="","",IF(OR(H1696="Transfers",H1696="Income",D1696="Transfer",D1696="Category Pending",F1696="Pending"),"No","Yes"))</f>
      </c>
      <c r="K1696" s="4">
        <f>IF(A1696="","",TEXT(IF(DAY(A1696)&gt;=Setup!$B$9,DATE(YEAR(A1696),MONTH(A1696)+1,1),DATE(YEAR(A1696),MONTH(A1696),1)),"mmmm yyyy"))</f>
      </c>
      <c r="L1696" s="47">
        <f>IF(A1696="",0,IF(AND(J1696="Yes",E1696&lt;0),-E1696,0))</f>
      </c>
      <c r="M1696" s="47">
        <f>IF(A1696="",0,IF(AND(J1696="Yes",E1696&gt;0),E1696,0))</f>
      </c>
      <c r="N1696">
        <f>IF(A1696="","",IF(D1696="Category Pending","Needs categorization",IF(COUNTIFS($A$2:A1696,A1696,$B$2:B1696,B1696,$E$2:E1696,E1696)&gt;1,"Possible duplicate","")))</f>
      </c>
    </row>
    <row r="1697" spans="3:14" x14ac:dyDescent="0.3">
      <c r="A1697"/>
      <c r="C1697" s="16"/>
      <c r="G1697" s="5">
        <f>IF(A1697="","","Checking")</f>
      </c>
      <c r="H1697">
        <f>IF(A1697="","",IFERROR(XLOOKUP(D1697,Setup!$E$15:$E$79,Setup!$F$15:$F$79),"Miscellaneous"))</f>
      </c>
      <c r="I1697">
        <f>IF(A1697="","",IFERROR(XLOOKUP(D1697,Setup!$E$15:$E$79,Setup!$G$15:$G$79),"Uncategorized"))</f>
      </c>
      <c r="J1697">
        <f>IF(A1697="","",IF(OR(H1697="Transfers",H1697="Income",D1697="Transfer",D1697="Category Pending",F1697="Pending"),"No","Yes"))</f>
      </c>
      <c r="K1697" s="4">
        <f>IF(A1697="","",TEXT(IF(DAY(A1697)&gt;=Setup!$B$9,DATE(YEAR(A1697),MONTH(A1697)+1,1),DATE(YEAR(A1697),MONTH(A1697),1)),"mmmm yyyy"))</f>
      </c>
      <c r="L1697" s="47">
        <f>IF(A1697="",0,IF(AND(J1697="Yes",E1697&lt;0),-E1697,0))</f>
      </c>
      <c r="M1697" s="47">
        <f>IF(A1697="",0,IF(AND(J1697="Yes",E1697&gt;0),E1697,0))</f>
      </c>
      <c r="N1697">
        <f>IF(A1697="","",IF(D1697="Category Pending","Needs categorization",IF(COUNTIFS($A$2:A1697,A1697,$B$2:B1697,B1697,$E$2:E1697,E1697)&gt;1,"Possible duplicate","")))</f>
      </c>
    </row>
    <row r="1698" spans="3:14" x14ac:dyDescent="0.3">
      <c r="A1698"/>
      <c r="C1698" s="16"/>
      <c r="G1698" s="5">
        <f>IF(A1698="","","Checking")</f>
      </c>
      <c r="H1698">
        <f>IF(A1698="","",IFERROR(XLOOKUP(D1698,Setup!$E$15:$E$79,Setup!$F$15:$F$79),"Miscellaneous"))</f>
      </c>
      <c r="I1698">
        <f>IF(A1698="","",IFERROR(XLOOKUP(D1698,Setup!$E$15:$E$79,Setup!$G$15:$G$79),"Uncategorized"))</f>
      </c>
      <c r="J1698">
        <f>IF(A1698="","",IF(OR(H1698="Transfers",H1698="Income",D1698="Transfer",D1698="Category Pending",F1698="Pending"),"No","Yes"))</f>
      </c>
      <c r="K1698" s="4">
        <f>IF(A1698="","",TEXT(IF(DAY(A1698)&gt;=Setup!$B$9,DATE(YEAR(A1698),MONTH(A1698)+1,1),DATE(YEAR(A1698),MONTH(A1698),1)),"mmmm yyyy"))</f>
      </c>
      <c r="L1698" s="47">
        <f>IF(A1698="",0,IF(AND(J1698="Yes",E1698&lt;0),-E1698,0))</f>
      </c>
      <c r="M1698" s="47">
        <f>IF(A1698="",0,IF(AND(J1698="Yes",E1698&gt;0),E1698,0))</f>
      </c>
      <c r="N1698">
        <f>IF(A1698="","",IF(D1698="Category Pending","Needs categorization",IF(COUNTIFS($A$2:A1698,A1698,$B$2:B1698,B1698,$E$2:E1698,E1698)&gt;1,"Possible duplicate","")))</f>
      </c>
    </row>
    <row r="1699" spans="3:14" x14ac:dyDescent="0.3">
      <c r="A1699"/>
      <c r="C1699" s="16"/>
      <c r="G1699" s="5">
        <f>IF(A1699="","","Checking")</f>
      </c>
      <c r="H1699">
        <f>IF(A1699="","",IFERROR(XLOOKUP(D1699,Setup!$E$15:$E$79,Setup!$F$15:$F$79),"Miscellaneous"))</f>
      </c>
      <c r="I1699">
        <f>IF(A1699="","",IFERROR(XLOOKUP(D1699,Setup!$E$15:$E$79,Setup!$G$15:$G$79),"Uncategorized"))</f>
      </c>
      <c r="J1699">
        <f>IF(A1699="","",IF(OR(H1699="Transfers",H1699="Income",D1699="Transfer",D1699="Category Pending",F1699="Pending"),"No","Yes"))</f>
      </c>
      <c r="K1699" s="4">
        <f>IF(A1699="","",TEXT(IF(DAY(A1699)&gt;=Setup!$B$9,DATE(YEAR(A1699),MONTH(A1699)+1,1),DATE(YEAR(A1699),MONTH(A1699),1)),"mmmm yyyy"))</f>
      </c>
      <c r="L1699" s="47">
        <f>IF(A1699="",0,IF(AND(J1699="Yes",E1699&lt;0),-E1699,0))</f>
      </c>
      <c r="M1699" s="47">
        <f>IF(A1699="",0,IF(AND(J1699="Yes",E1699&gt;0),E1699,0))</f>
      </c>
      <c r="N1699">
        <f>IF(A1699="","",IF(D1699="Category Pending","Needs categorization",IF(COUNTIFS($A$2:A1699,A1699,$B$2:B1699,B1699,$E$2:E1699,E1699)&gt;1,"Possible duplicate","")))</f>
      </c>
    </row>
    <row r="1700" spans="3:14" x14ac:dyDescent="0.3">
      <c r="A1700"/>
      <c r="C1700" s="16"/>
      <c r="G1700" s="5">
        <f>IF(A1700="","","Checking")</f>
      </c>
      <c r="H1700">
        <f>IF(A1700="","",IFERROR(XLOOKUP(D1700,Setup!$E$15:$E$79,Setup!$F$15:$F$79),"Miscellaneous"))</f>
      </c>
      <c r="I1700">
        <f>IF(A1700="","",IFERROR(XLOOKUP(D1700,Setup!$E$15:$E$79,Setup!$G$15:$G$79),"Uncategorized"))</f>
      </c>
      <c r="J1700">
        <f>IF(A1700="","",IF(OR(H1700="Transfers",H1700="Income",D1700="Transfer",D1700="Category Pending",F1700="Pending"),"No","Yes"))</f>
      </c>
      <c r="K1700" s="4">
        <f>IF(A1700="","",TEXT(IF(DAY(A1700)&gt;=Setup!$B$9,DATE(YEAR(A1700),MONTH(A1700)+1,1),DATE(YEAR(A1700),MONTH(A1700),1)),"mmmm yyyy"))</f>
      </c>
      <c r="L1700" s="47">
        <f>IF(A1700="",0,IF(AND(J1700="Yes",E1700&lt;0),-E1700,0))</f>
      </c>
      <c r="M1700" s="47">
        <f>IF(A1700="",0,IF(AND(J1700="Yes",E1700&gt;0),E1700,0))</f>
      </c>
      <c r="N1700">
        <f>IF(A1700="","",IF(D1700="Category Pending","Needs categorization",IF(COUNTIFS($A$2:A1700,A1700,$B$2:B1700,B1700,$E$2:E1700,E1700)&gt;1,"Possible duplicate","")))</f>
      </c>
    </row>
    <row r="1701" spans="3:14" x14ac:dyDescent="0.3">
      <c r="A1701"/>
      <c r="C1701" s="16"/>
      <c r="G1701" s="5">
        <f>IF(A1701="","","Checking")</f>
      </c>
      <c r="H1701">
        <f>IF(A1701="","",IFERROR(XLOOKUP(D1701,Setup!$E$15:$E$79,Setup!$F$15:$F$79),"Miscellaneous"))</f>
      </c>
      <c r="I1701">
        <f>IF(A1701="","",IFERROR(XLOOKUP(D1701,Setup!$E$15:$E$79,Setup!$G$15:$G$79),"Uncategorized"))</f>
      </c>
      <c r="J1701">
        <f>IF(A1701="","",IF(OR(H1701="Transfers",H1701="Income",D1701="Transfer",D1701="Category Pending",F1701="Pending"),"No","Yes"))</f>
      </c>
      <c r="K1701" s="4">
        <f>IF(A1701="","",TEXT(IF(DAY(A1701)&gt;=Setup!$B$9,DATE(YEAR(A1701),MONTH(A1701)+1,1),DATE(YEAR(A1701),MONTH(A1701),1)),"mmmm yyyy"))</f>
      </c>
      <c r="L1701" s="47">
        <f>IF(A1701="",0,IF(AND(J1701="Yes",E1701&lt;0),-E1701,0))</f>
      </c>
      <c r="M1701" s="47">
        <f>IF(A1701="",0,IF(AND(J1701="Yes",E1701&gt;0),E1701,0))</f>
      </c>
      <c r="N1701">
        <f>IF(A1701="","",IF(D1701="Category Pending","Needs categorization",IF(COUNTIFS($A$2:A1701,A1701,$B$2:B1701,B1701,$E$2:E1701,E1701)&gt;1,"Possible duplicate","")))</f>
      </c>
    </row>
    <row r="1702" spans="3:14" x14ac:dyDescent="0.3">
      <c r="A1702"/>
      <c r="C1702" s="16"/>
      <c r="G1702" s="5">
        <f>IF(A1702="","","Checking")</f>
      </c>
      <c r="H1702">
        <f>IF(A1702="","",IFERROR(XLOOKUP(D1702,Setup!$E$15:$E$79,Setup!$F$15:$F$79),"Miscellaneous"))</f>
      </c>
      <c r="I1702">
        <f>IF(A1702="","",IFERROR(XLOOKUP(D1702,Setup!$E$15:$E$79,Setup!$G$15:$G$79),"Uncategorized"))</f>
      </c>
      <c r="J1702">
        <f>IF(A1702="","",IF(OR(H1702="Transfers",H1702="Income",D1702="Transfer",D1702="Category Pending",F1702="Pending"),"No","Yes"))</f>
      </c>
      <c r="K1702" s="4">
        <f>IF(A1702="","",TEXT(IF(DAY(A1702)&gt;=Setup!$B$9,DATE(YEAR(A1702),MONTH(A1702)+1,1),DATE(YEAR(A1702),MONTH(A1702),1)),"mmmm yyyy"))</f>
      </c>
      <c r="L1702" s="47">
        <f>IF(A1702="",0,IF(AND(J1702="Yes",E1702&lt;0),-E1702,0))</f>
      </c>
      <c r="M1702" s="47">
        <f>IF(A1702="",0,IF(AND(J1702="Yes",E1702&gt;0),E1702,0))</f>
      </c>
      <c r="N1702">
        <f>IF(A1702="","",IF(D1702="Category Pending","Needs categorization",IF(COUNTIFS($A$2:A1702,A1702,$B$2:B1702,B1702,$E$2:E1702,E1702)&gt;1,"Possible duplicate","")))</f>
      </c>
    </row>
    <row r="1703" spans="3:14" x14ac:dyDescent="0.3">
      <c r="A1703"/>
      <c r="C1703" s="16"/>
      <c r="G1703" s="5">
        <f>IF(A1703="","","Checking")</f>
      </c>
      <c r="H1703">
        <f>IF(A1703="","",IFERROR(XLOOKUP(D1703,Setup!$E$15:$E$79,Setup!$F$15:$F$79),"Miscellaneous"))</f>
      </c>
      <c r="I1703">
        <f>IF(A1703="","",IFERROR(XLOOKUP(D1703,Setup!$E$15:$E$79,Setup!$G$15:$G$79),"Uncategorized"))</f>
      </c>
      <c r="J1703">
        <f>IF(A1703="","",IF(OR(H1703="Transfers",H1703="Income",D1703="Transfer",D1703="Category Pending",F1703="Pending"),"No","Yes"))</f>
      </c>
      <c r="K1703" s="4">
        <f>IF(A1703="","",TEXT(IF(DAY(A1703)&gt;=Setup!$B$9,DATE(YEAR(A1703),MONTH(A1703)+1,1),DATE(YEAR(A1703),MONTH(A1703),1)),"mmmm yyyy"))</f>
      </c>
      <c r="L1703" s="47">
        <f>IF(A1703="",0,IF(AND(J1703="Yes",E1703&lt;0),-E1703,0))</f>
      </c>
      <c r="M1703" s="47">
        <f>IF(A1703="",0,IF(AND(J1703="Yes",E1703&gt;0),E1703,0))</f>
      </c>
      <c r="N1703">
        <f>IF(A1703="","",IF(D1703="Category Pending","Needs categorization",IF(COUNTIFS($A$2:A1703,A1703,$B$2:B1703,B1703,$E$2:E1703,E1703)&gt;1,"Possible duplicate","")))</f>
      </c>
    </row>
    <row r="1704" spans="3:14" x14ac:dyDescent="0.3">
      <c r="A1704"/>
      <c r="C1704" s="16"/>
      <c r="G1704" s="5">
        <f>IF(A1704="","","Checking")</f>
      </c>
      <c r="H1704">
        <f>IF(A1704="","",IFERROR(XLOOKUP(D1704,Setup!$E$15:$E$79,Setup!$F$15:$F$79),"Miscellaneous"))</f>
      </c>
      <c r="I1704">
        <f>IF(A1704="","",IFERROR(XLOOKUP(D1704,Setup!$E$15:$E$79,Setup!$G$15:$G$79),"Uncategorized"))</f>
      </c>
      <c r="J1704">
        <f>IF(A1704="","",IF(OR(H1704="Transfers",H1704="Income",D1704="Transfer",D1704="Category Pending",F1704="Pending"),"No","Yes"))</f>
      </c>
      <c r="K1704" s="4">
        <f>IF(A1704="","",TEXT(IF(DAY(A1704)&gt;=Setup!$B$9,DATE(YEAR(A1704),MONTH(A1704)+1,1),DATE(YEAR(A1704),MONTH(A1704),1)),"mmmm yyyy"))</f>
      </c>
      <c r="L1704" s="47">
        <f>IF(A1704="",0,IF(AND(J1704="Yes",E1704&lt;0),-E1704,0))</f>
      </c>
      <c r="M1704" s="47">
        <f>IF(A1704="",0,IF(AND(J1704="Yes",E1704&gt;0),E1704,0))</f>
      </c>
      <c r="N1704">
        <f>IF(A1704="","",IF(D1704="Category Pending","Needs categorization",IF(COUNTIFS($A$2:A1704,A1704,$B$2:B1704,B1704,$E$2:E1704,E1704)&gt;1,"Possible duplicate","")))</f>
      </c>
    </row>
    <row r="1705" spans="3:14" x14ac:dyDescent="0.3">
      <c r="A1705"/>
      <c r="C1705" s="16"/>
      <c r="G1705" s="5">
        <f>IF(A1705="","","Checking")</f>
      </c>
      <c r="H1705">
        <f>IF(A1705="","",IFERROR(XLOOKUP(D1705,Setup!$E$15:$E$79,Setup!$F$15:$F$79),"Miscellaneous"))</f>
      </c>
      <c r="I1705">
        <f>IF(A1705="","",IFERROR(XLOOKUP(D1705,Setup!$E$15:$E$79,Setup!$G$15:$G$79),"Uncategorized"))</f>
      </c>
      <c r="J1705">
        <f>IF(A1705="","",IF(OR(H1705="Transfers",H1705="Income",D1705="Transfer",D1705="Category Pending",F1705="Pending"),"No","Yes"))</f>
      </c>
      <c r="K1705" s="4">
        <f>IF(A1705="","",TEXT(IF(DAY(A1705)&gt;=Setup!$B$9,DATE(YEAR(A1705),MONTH(A1705)+1,1),DATE(YEAR(A1705),MONTH(A1705),1)),"mmmm yyyy"))</f>
      </c>
      <c r="L1705" s="47">
        <f>IF(A1705="",0,IF(AND(J1705="Yes",E1705&lt;0),-E1705,0))</f>
      </c>
      <c r="M1705" s="47">
        <f>IF(A1705="",0,IF(AND(J1705="Yes",E1705&gt;0),E1705,0))</f>
      </c>
      <c r="N1705">
        <f>IF(A1705="","",IF(D1705="Category Pending","Needs categorization",IF(COUNTIFS($A$2:A1705,A1705,$B$2:B1705,B1705,$E$2:E1705,E1705)&gt;1,"Possible duplicate","")))</f>
      </c>
    </row>
    <row r="1706" spans="3:14" x14ac:dyDescent="0.3">
      <c r="A1706"/>
      <c r="C1706" s="16"/>
      <c r="G1706" s="5">
        <f>IF(A1706="","","Checking")</f>
      </c>
      <c r="H1706">
        <f>IF(A1706="","",IFERROR(XLOOKUP(D1706,Setup!$E$15:$E$79,Setup!$F$15:$F$79),"Miscellaneous"))</f>
      </c>
      <c r="I1706">
        <f>IF(A1706="","",IFERROR(XLOOKUP(D1706,Setup!$E$15:$E$79,Setup!$G$15:$G$79),"Uncategorized"))</f>
      </c>
      <c r="J1706">
        <f>IF(A1706="","",IF(OR(H1706="Transfers",H1706="Income",D1706="Transfer",D1706="Category Pending",F1706="Pending"),"No","Yes"))</f>
      </c>
      <c r="K1706" s="4">
        <f>IF(A1706="","",TEXT(IF(DAY(A1706)&gt;=Setup!$B$9,DATE(YEAR(A1706),MONTH(A1706)+1,1),DATE(YEAR(A1706),MONTH(A1706),1)),"mmmm yyyy"))</f>
      </c>
      <c r="L1706" s="47">
        <f>IF(A1706="",0,IF(AND(J1706="Yes",E1706&lt;0),-E1706,0))</f>
      </c>
      <c r="M1706" s="47">
        <f>IF(A1706="",0,IF(AND(J1706="Yes",E1706&gt;0),E1706,0))</f>
      </c>
      <c r="N1706">
        <f>IF(A1706="","",IF(D1706="Category Pending","Needs categorization",IF(COUNTIFS($A$2:A1706,A1706,$B$2:B1706,B1706,$E$2:E1706,E1706)&gt;1,"Possible duplicate","")))</f>
      </c>
    </row>
    <row r="1707" spans="3:14" x14ac:dyDescent="0.3">
      <c r="A1707"/>
      <c r="C1707" s="16"/>
      <c r="G1707" s="5">
        <f>IF(A1707="","","Checking")</f>
      </c>
      <c r="H1707">
        <f>IF(A1707="","",IFERROR(XLOOKUP(D1707,Setup!$E$15:$E$79,Setup!$F$15:$F$79),"Miscellaneous"))</f>
      </c>
      <c r="I1707">
        <f>IF(A1707="","",IFERROR(XLOOKUP(D1707,Setup!$E$15:$E$79,Setup!$G$15:$G$79),"Uncategorized"))</f>
      </c>
      <c r="J1707">
        <f>IF(A1707="","",IF(OR(H1707="Transfers",H1707="Income",D1707="Transfer",D1707="Category Pending",F1707="Pending"),"No","Yes"))</f>
      </c>
      <c r="K1707" s="4">
        <f>IF(A1707="","",TEXT(IF(DAY(A1707)&gt;=Setup!$B$9,DATE(YEAR(A1707),MONTH(A1707)+1,1),DATE(YEAR(A1707),MONTH(A1707),1)),"mmmm yyyy"))</f>
      </c>
      <c r="L1707" s="47">
        <f>IF(A1707="",0,IF(AND(J1707="Yes",E1707&lt;0),-E1707,0))</f>
      </c>
      <c r="M1707" s="47">
        <f>IF(A1707="",0,IF(AND(J1707="Yes",E1707&gt;0),E1707,0))</f>
      </c>
      <c r="N1707">
        <f>IF(A1707="","",IF(D1707="Category Pending","Needs categorization",IF(COUNTIFS($A$2:A1707,A1707,$B$2:B1707,B1707,$E$2:E1707,E1707)&gt;1,"Possible duplicate","")))</f>
      </c>
    </row>
    <row r="1708" spans="3:14" x14ac:dyDescent="0.3">
      <c r="A1708"/>
      <c r="C1708" s="16"/>
      <c r="G1708" s="5">
        <f>IF(A1708="","","Checking")</f>
      </c>
      <c r="H1708">
        <f>IF(A1708="","",IFERROR(XLOOKUP(D1708,Setup!$E$15:$E$79,Setup!$F$15:$F$79),"Miscellaneous"))</f>
      </c>
      <c r="I1708">
        <f>IF(A1708="","",IFERROR(XLOOKUP(D1708,Setup!$E$15:$E$79,Setup!$G$15:$G$79),"Uncategorized"))</f>
      </c>
      <c r="J1708">
        <f>IF(A1708="","",IF(OR(H1708="Transfers",H1708="Income",D1708="Transfer",D1708="Category Pending",F1708="Pending"),"No","Yes"))</f>
      </c>
      <c r="K1708" s="4">
        <f>IF(A1708="","",TEXT(IF(DAY(A1708)&gt;=Setup!$B$9,DATE(YEAR(A1708),MONTH(A1708)+1,1),DATE(YEAR(A1708),MONTH(A1708),1)),"mmmm yyyy"))</f>
      </c>
      <c r="L1708" s="47">
        <f>IF(A1708="",0,IF(AND(J1708="Yes",E1708&lt;0),-E1708,0))</f>
      </c>
      <c r="M1708" s="47">
        <f>IF(A1708="",0,IF(AND(J1708="Yes",E1708&gt;0),E1708,0))</f>
      </c>
      <c r="N1708">
        <f>IF(A1708="","",IF(D1708="Category Pending","Needs categorization",IF(COUNTIFS($A$2:A1708,A1708,$B$2:B1708,B1708,$E$2:E1708,E1708)&gt;1,"Possible duplicate","")))</f>
      </c>
    </row>
    <row r="1709" spans="3:14" x14ac:dyDescent="0.3">
      <c r="A1709"/>
      <c r="C1709" s="16"/>
      <c r="G1709" s="5">
        <f>IF(A1709="","","Checking")</f>
      </c>
      <c r="H1709">
        <f>IF(A1709="","",IFERROR(XLOOKUP(D1709,Setup!$E$15:$E$79,Setup!$F$15:$F$79),"Miscellaneous"))</f>
      </c>
      <c r="I1709">
        <f>IF(A1709="","",IFERROR(XLOOKUP(D1709,Setup!$E$15:$E$79,Setup!$G$15:$G$79),"Uncategorized"))</f>
      </c>
      <c r="J1709">
        <f>IF(A1709="","",IF(OR(H1709="Transfers",H1709="Income",D1709="Transfer",D1709="Category Pending",F1709="Pending"),"No","Yes"))</f>
      </c>
      <c r="K1709" s="4">
        <f>IF(A1709="","",TEXT(IF(DAY(A1709)&gt;=Setup!$B$9,DATE(YEAR(A1709),MONTH(A1709)+1,1),DATE(YEAR(A1709),MONTH(A1709),1)),"mmmm yyyy"))</f>
      </c>
      <c r="L1709" s="47">
        <f>IF(A1709="",0,IF(AND(J1709="Yes",E1709&lt;0),-E1709,0))</f>
      </c>
      <c r="M1709" s="47">
        <f>IF(A1709="",0,IF(AND(J1709="Yes",E1709&gt;0),E1709,0))</f>
      </c>
      <c r="N1709">
        <f>IF(A1709="","",IF(D1709="Category Pending","Needs categorization",IF(COUNTIFS($A$2:A1709,A1709,$B$2:B1709,B1709,$E$2:E1709,E1709)&gt;1,"Possible duplicate","")))</f>
      </c>
    </row>
    <row r="1710" spans="3:14" x14ac:dyDescent="0.3">
      <c r="A1710"/>
      <c r="C1710" s="16"/>
      <c r="G1710" s="5">
        <f>IF(A1710="","","Checking")</f>
      </c>
      <c r="H1710">
        <f>IF(A1710="","",IFERROR(XLOOKUP(D1710,Setup!$E$15:$E$79,Setup!$F$15:$F$79),"Miscellaneous"))</f>
      </c>
      <c r="I1710">
        <f>IF(A1710="","",IFERROR(XLOOKUP(D1710,Setup!$E$15:$E$79,Setup!$G$15:$G$79),"Uncategorized"))</f>
      </c>
      <c r="J1710">
        <f>IF(A1710="","",IF(OR(H1710="Transfers",H1710="Income",D1710="Transfer",D1710="Category Pending",F1710="Pending"),"No","Yes"))</f>
      </c>
      <c r="K1710" s="4">
        <f>IF(A1710="","",TEXT(IF(DAY(A1710)&gt;=Setup!$B$9,DATE(YEAR(A1710),MONTH(A1710)+1,1),DATE(YEAR(A1710),MONTH(A1710),1)),"mmmm yyyy"))</f>
      </c>
      <c r="L1710" s="47">
        <f>IF(A1710="",0,IF(AND(J1710="Yes",E1710&lt;0),-E1710,0))</f>
      </c>
      <c r="M1710" s="47">
        <f>IF(A1710="",0,IF(AND(J1710="Yes",E1710&gt;0),E1710,0))</f>
      </c>
      <c r="N1710">
        <f>IF(A1710="","",IF(D1710="Category Pending","Needs categorization",IF(COUNTIFS($A$2:A1710,A1710,$B$2:B1710,B1710,$E$2:E1710,E1710)&gt;1,"Possible duplicate","")))</f>
      </c>
    </row>
    <row r="1711" spans="3:14" x14ac:dyDescent="0.3">
      <c r="A1711"/>
      <c r="C1711" s="16"/>
      <c r="G1711" s="5">
        <f>IF(A1711="","","Checking")</f>
      </c>
      <c r="H1711">
        <f>IF(A1711="","",IFERROR(XLOOKUP(D1711,Setup!$E$15:$E$79,Setup!$F$15:$F$79),"Miscellaneous"))</f>
      </c>
      <c r="I1711">
        <f>IF(A1711="","",IFERROR(XLOOKUP(D1711,Setup!$E$15:$E$79,Setup!$G$15:$G$79),"Uncategorized"))</f>
      </c>
      <c r="J1711">
        <f>IF(A1711="","",IF(OR(H1711="Transfers",H1711="Income",D1711="Transfer",D1711="Category Pending",F1711="Pending"),"No","Yes"))</f>
      </c>
      <c r="K1711" s="4">
        <f>IF(A1711="","",TEXT(IF(DAY(A1711)&gt;=Setup!$B$9,DATE(YEAR(A1711),MONTH(A1711)+1,1),DATE(YEAR(A1711),MONTH(A1711),1)),"mmmm yyyy"))</f>
      </c>
      <c r="L1711" s="47">
        <f>IF(A1711="",0,IF(AND(J1711="Yes",E1711&lt;0),-E1711,0))</f>
      </c>
      <c r="M1711" s="47">
        <f>IF(A1711="",0,IF(AND(J1711="Yes",E1711&gt;0),E1711,0))</f>
      </c>
      <c r="N1711">
        <f>IF(A1711="","",IF(D1711="Category Pending","Needs categorization",IF(COUNTIFS($A$2:A1711,A1711,$B$2:B1711,B1711,$E$2:E1711,E1711)&gt;1,"Possible duplicate","")))</f>
      </c>
    </row>
    <row r="1712" spans="3:14" x14ac:dyDescent="0.3">
      <c r="A1712"/>
      <c r="C1712" s="16"/>
      <c r="G1712" s="5">
        <f>IF(A1712="","","Checking")</f>
      </c>
      <c r="H1712">
        <f>IF(A1712="","",IFERROR(XLOOKUP(D1712,Setup!$E$15:$E$79,Setup!$F$15:$F$79),"Miscellaneous"))</f>
      </c>
      <c r="I1712">
        <f>IF(A1712="","",IFERROR(XLOOKUP(D1712,Setup!$E$15:$E$79,Setup!$G$15:$G$79),"Uncategorized"))</f>
      </c>
      <c r="J1712">
        <f>IF(A1712="","",IF(OR(H1712="Transfers",H1712="Income",D1712="Transfer",D1712="Category Pending",F1712="Pending"),"No","Yes"))</f>
      </c>
      <c r="K1712" s="4">
        <f>IF(A1712="","",TEXT(IF(DAY(A1712)&gt;=Setup!$B$9,DATE(YEAR(A1712),MONTH(A1712)+1,1),DATE(YEAR(A1712),MONTH(A1712),1)),"mmmm yyyy"))</f>
      </c>
      <c r="L1712" s="47">
        <f>IF(A1712="",0,IF(AND(J1712="Yes",E1712&lt;0),-E1712,0))</f>
      </c>
      <c r="M1712" s="47">
        <f>IF(A1712="",0,IF(AND(J1712="Yes",E1712&gt;0),E1712,0))</f>
      </c>
      <c r="N1712">
        <f>IF(A1712="","",IF(D1712="Category Pending","Needs categorization",IF(COUNTIFS($A$2:A1712,A1712,$B$2:B1712,B1712,$E$2:E1712,E1712)&gt;1,"Possible duplicate","")))</f>
      </c>
    </row>
    <row r="1713" spans="3:14" x14ac:dyDescent="0.3">
      <c r="A1713"/>
      <c r="C1713" s="16"/>
      <c r="G1713" s="5">
        <f>IF(A1713="","","Checking")</f>
      </c>
      <c r="H1713">
        <f>IF(A1713="","",IFERROR(XLOOKUP(D1713,Setup!$E$15:$E$79,Setup!$F$15:$F$79),"Miscellaneous"))</f>
      </c>
      <c r="I1713">
        <f>IF(A1713="","",IFERROR(XLOOKUP(D1713,Setup!$E$15:$E$79,Setup!$G$15:$G$79),"Uncategorized"))</f>
      </c>
      <c r="J1713">
        <f>IF(A1713="","",IF(OR(H1713="Transfers",H1713="Income",D1713="Transfer",D1713="Category Pending",F1713="Pending"),"No","Yes"))</f>
      </c>
      <c r="K1713" s="4">
        <f>IF(A1713="","",TEXT(IF(DAY(A1713)&gt;=Setup!$B$9,DATE(YEAR(A1713),MONTH(A1713)+1,1),DATE(YEAR(A1713),MONTH(A1713),1)),"mmmm yyyy"))</f>
      </c>
      <c r="L1713" s="47">
        <f>IF(A1713="",0,IF(AND(J1713="Yes",E1713&lt;0),-E1713,0))</f>
      </c>
      <c r="M1713" s="47">
        <f>IF(A1713="",0,IF(AND(J1713="Yes",E1713&gt;0),E1713,0))</f>
      </c>
      <c r="N1713">
        <f>IF(A1713="","",IF(D1713="Category Pending","Needs categorization",IF(COUNTIFS($A$2:A1713,A1713,$B$2:B1713,B1713,$E$2:E1713,E1713)&gt;1,"Possible duplicate","")))</f>
      </c>
    </row>
    <row r="1714" spans="3:14" x14ac:dyDescent="0.3">
      <c r="A1714"/>
      <c r="C1714" s="16"/>
      <c r="G1714" s="5">
        <f>IF(A1714="","","Checking")</f>
      </c>
      <c r="H1714">
        <f>IF(A1714="","",IFERROR(XLOOKUP(D1714,Setup!$E$15:$E$79,Setup!$F$15:$F$79),"Miscellaneous"))</f>
      </c>
      <c r="I1714">
        <f>IF(A1714="","",IFERROR(XLOOKUP(D1714,Setup!$E$15:$E$79,Setup!$G$15:$G$79),"Uncategorized"))</f>
      </c>
      <c r="J1714">
        <f>IF(A1714="","",IF(OR(H1714="Transfers",H1714="Income",D1714="Transfer",D1714="Category Pending",F1714="Pending"),"No","Yes"))</f>
      </c>
      <c r="K1714" s="4">
        <f>IF(A1714="","",TEXT(IF(DAY(A1714)&gt;=Setup!$B$9,DATE(YEAR(A1714),MONTH(A1714)+1,1),DATE(YEAR(A1714),MONTH(A1714),1)),"mmmm yyyy"))</f>
      </c>
      <c r="L1714" s="47">
        <f>IF(A1714="",0,IF(AND(J1714="Yes",E1714&lt;0),-E1714,0))</f>
      </c>
      <c r="M1714" s="47">
        <f>IF(A1714="",0,IF(AND(J1714="Yes",E1714&gt;0),E1714,0))</f>
      </c>
      <c r="N1714">
        <f>IF(A1714="","",IF(D1714="Category Pending","Needs categorization",IF(COUNTIFS($A$2:A1714,A1714,$B$2:B1714,B1714,$E$2:E1714,E1714)&gt;1,"Possible duplicate","")))</f>
      </c>
    </row>
    <row r="1715" spans="3:14" x14ac:dyDescent="0.3">
      <c r="A1715"/>
      <c r="C1715" s="16"/>
      <c r="G1715" s="5">
        <f>IF(A1715="","","Checking")</f>
      </c>
      <c r="H1715">
        <f>IF(A1715="","",IFERROR(XLOOKUP(D1715,Setup!$E$15:$E$79,Setup!$F$15:$F$79),"Miscellaneous"))</f>
      </c>
      <c r="I1715">
        <f>IF(A1715="","",IFERROR(XLOOKUP(D1715,Setup!$E$15:$E$79,Setup!$G$15:$G$79),"Uncategorized"))</f>
      </c>
      <c r="J1715">
        <f>IF(A1715="","",IF(OR(H1715="Transfers",H1715="Income",D1715="Transfer",D1715="Category Pending",F1715="Pending"),"No","Yes"))</f>
      </c>
      <c r="K1715" s="4">
        <f>IF(A1715="","",TEXT(IF(DAY(A1715)&gt;=Setup!$B$9,DATE(YEAR(A1715),MONTH(A1715)+1,1),DATE(YEAR(A1715),MONTH(A1715),1)),"mmmm yyyy"))</f>
      </c>
      <c r="L1715" s="47">
        <f>IF(A1715="",0,IF(AND(J1715="Yes",E1715&lt;0),-E1715,0))</f>
      </c>
      <c r="M1715" s="47">
        <f>IF(A1715="",0,IF(AND(J1715="Yes",E1715&gt;0),E1715,0))</f>
      </c>
      <c r="N1715">
        <f>IF(A1715="","",IF(D1715="Category Pending","Needs categorization",IF(COUNTIFS($A$2:A1715,A1715,$B$2:B1715,B1715,$E$2:E1715,E1715)&gt;1,"Possible duplicate","")))</f>
      </c>
    </row>
    <row r="1716" spans="3:14" x14ac:dyDescent="0.3">
      <c r="A1716"/>
      <c r="C1716" s="16"/>
      <c r="G1716" s="5">
        <f>IF(A1716="","","Checking")</f>
      </c>
      <c r="H1716">
        <f>IF(A1716="","",IFERROR(XLOOKUP(D1716,Setup!$E$15:$E$79,Setup!$F$15:$F$79),"Miscellaneous"))</f>
      </c>
      <c r="I1716">
        <f>IF(A1716="","",IFERROR(XLOOKUP(D1716,Setup!$E$15:$E$79,Setup!$G$15:$G$79),"Uncategorized"))</f>
      </c>
      <c r="J1716">
        <f>IF(A1716="","",IF(OR(H1716="Transfers",H1716="Income",D1716="Transfer",D1716="Category Pending",F1716="Pending"),"No","Yes"))</f>
      </c>
      <c r="K1716" s="4">
        <f>IF(A1716="","",TEXT(IF(DAY(A1716)&gt;=Setup!$B$9,DATE(YEAR(A1716),MONTH(A1716)+1,1),DATE(YEAR(A1716),MONTH(A1716),1)),"mmmm yyyy"))</f>
      </c>
      <c r="L1716" s="47">
        <f>IF(A1716="",0,IF(AND(J1716="Yes",E1716&lt;0),-E1716,0))</f>
      </c>
      <c r="M1716" s="47">
        <f>IF(A1716="",0,IF(AND(J1716="Yes",E1716&gt;0),E1716,0))</f>
      </c>
      <c r="N1716">
        <f>IF(A1716="","",IF(D1716="Category Pending","Needs categorization",IF(COUNTIFS($A$2:A1716,A1716,$B$2:B1716,B1716,$E$2:E1716,E1716)&gt;1,"Possible duplicate","")))</f>
      </c>
    </row>
    <row r="1717" spans="3:14" x14ac:dyDescent="0.3">
      <c r="A1717"/>
      <c r="C1717" s="16"/>
      <c r="G1717" s="5">
        <f>IF(A1717="","","Checking")</f>
      </c>
      <c r="H1717">
        <f>IF(A1717="","",IFERROR(XLOOKUP(D1717,Setup!$E$15:$E$79,Setup!$F$15:$F$79),"Miscellaneous"))</f>
      </c>
      <c r="I1717">
        <f>IF(A1717="","",IFERROR(XLOOKUP(D1717,Setup!$E$15:$E$79,Setup!$G$15:$G$79),"Uncategorized"))</f>
      </c>
      <c r="J1717">
        <f>IF(A1717="","",IF(OR(H1717="Transfers",H1717="Income",D1717="Transfer",D1717="Category Pending",F1717="Pending"),"No","Yes"))</f>
      </c>
      <c r="K1717" s="4">
        <f>IF(A1717="","",TEXT(IF(DAY(A1717)&gt;=Setup!$B$9,DATE(YEAR(A1717),MONTH(A1717)+1,1),DATE(YEAR(A1717),MONTH(A1717),1)),"mmmm yyyy"))</f>
      </c>
      <c r="L1717" s="47">
        <f>IF(A1717="",0,IF(AND(J1717="Yes",E1717&lt;0),-E1717,0))</f>
      </c>
      <c r="M1717" s="47">
        <f>IF(A1717="",0,IF(AND(J1717="Yes",E1717&gt;0),E1717,0))</f>
      </c>
      <c r="N1717">
        <f>IF(A1717="","",IF(D1717="Category Pending","Needs categorization",IF(COUNTIFS($A$2:A1717,A1717,$B$2:B1717,B1717,$E$2:E1717,E1717)&gt;1,"Possible duplicate","")))</f>
      </c>
    </row>
    <row r="1718" spans="3:14" x14ac:dyDescent="0.3">
      <c r="A1718"/>
      <c r="C1718" s="16"/>
      <c r="G1718" s="5">
        <f>IF(A1718="","","Checking")</f>
      </c>
      <c r="H1718">
        <f>IF(A1718="","",IFERROR(XLOOKUP(D1718,Setup!$E$15:$E$79,Setup!$F$15:$F$79),"Miscellaneous"))</f>
      </c>
      <c r="I1718">
        <f>IF(A1718="","",IFERROR(XLOOKUP(D1718,Setup!$E$15:$E$79,Setup!$G$15:$G$79),"Uncategorized"))</f>
      </c>
      <c r="J1718">
        <f>IF(A1718="","",IF(OR(H1718="Transfers",H1718="Income",D1718="Transfer",D1718="Category Pending",F1718="Pending"),"No","Yes"))</f>
      </c>
      <c r="K1718" s="4">
        <f>IF(A1718="","",TEXT(IF(DAY(A1718)&gt;=Setup!$B$9,DATE(YEAR(A1718),MONTH(A1718)+1,1),DATE(YEAR(A1718),MONTH(A1718),1)),"mmmm yyyy"))</f>
      </c>
      <c r="L1718" s="47">
        <f>IF(A1718="",0,IF(AND(J1718="Yes",E1718&lt;0),-E1718,0))</f>
      </c>
      <c r="M1718" s="47">
        <f>IF(A1718="",0,IF(AND(J1718="Yes",E1718&gt;0),E1718,0))</f>
      </c>
      <c r="N1718">
        <f>IF(A1718="","",IF(D1718="Category Pending","Needs categorization",IF(COUNTIFS($A$2:A1718,A1718,$B$2:B1718,B1718,$E$2:E1718,E1718)&gt;1,"Possible duplicate","")))</f>
      </c>
    </row>
    <row r="1719" spans="3:14" x14ac:dyDescent="0.3">
      <c r="A1719"/>
      <c r="C1719" s="16"/>
      <c r="G1719" s="5">
        <f>IF(A1719="","","Checking")</f>
      </c>
      <c r="H1719">
        <f>IF(A1719="","",IFERROR(XLOOKUP(D1719,Setup!$E$15:$E$79,Setup!$F$15:$F$79),"Miscellaneous"))</f>
      </c>
      <c r="I1719">
        <f>IF(A1719="","",IFERROR(XLOOKUP(D1719,Setup!$E$15:$E$79,Setup!$G$15:$G$79),"Uncategorized"))</f>
      </c>
      <c r="J1719">
        <f>IF(A1719="","",IF(OR(H1719="Transfers",H1719="Income",D1719="Transfer",D1719="Category Pending",F1719="Pending"),"No","Yes"))</f>
      </c>
      <c r="K1719" s="4">
        <f>IF(A1719="","",TEXT(IF(DAY(A1719)&gt;=Setup!$B$9,DATE(YEAR(A1719),MONTH(A1719)+1,1),DATE(YEAR(A1719),MONTH(A1719),1)),"mmmm yyyy"))</f>
      </c>
      <c r="L1719" s="47">
        <f>IF(A1719="",0,IF(AND(J1719="Yes",E1719&lt;0),-E1719,0))</f>
      </c>
      <c r="M1719" s="47">
        <f>IF(A1719="",0,IF(AND(J1719="Yes",E1719&gt;0),E1719,0))</f>
      </c>
      <c r="N1719">
        <f>IF(A1719="","",IF(D1719="Category Pending","Needs categorization",IF(COUNTIFS($A$2:A1719,A1719,$B$2:B1719,B1719,$E$2:E1719,E1719)&gt;1,"Possible duplicate","")))</f>
      </c>
    </row>
    <row r="1720" spans="3:14" x14ac:dyDescent="0.3">
      <c r="A1720"/>
      <c r="C1720" s="16"/>
      <c r="G1720" s="5">
        <f>IF(A1720="","","Checking")</f>
      </c>
      <c r="H1720">
        <f>IF(A1720="","",IFERROR(XLOOKUP(D1720,Setup!$E$15:$E$79,Setup!$F$15:$F$79),"Miscellaneous"))</f>
      </c>
      <c r="I1720">
        <f>IF(A1720="","",IFERROR(XLOOKUP(D1720,Setup!$E$15:$E$79,Setup!$G$15:$G$79),"Uncategorized"))</f>
      </c>
      <c r="J1720">
        <f>IF(A1720="","",IF(OR(H1720="Transfers",H1720="Income",D1720="Transfer",D1720="Category Pending",F1720="Pending"),"No","Yes"))</f>
      </c>
      <c r="K1720" s="4">
        <f>IF(A1720="","",TEXT(IF(DAY(A1720)&gt;=Setup!$B$9,DATE(YEAR(A1720),MONTH(A1720)+1,1),DATE(YEAR(A1720),MONTH(A1720),1)),"mmmm yyyy"))</f>
      </c>
      <c r="L1720" s="47">
        <f>IF(A1720="",0,IF(AND(J1720="Yes",E1720&lt;0),-E1720,0))</f>
      </c>
      <c r="M1720" s="47">
        <f>IF(A1720="",0,IF(AND(J1720="Yes",E1720&gt;0),E1720,0))</f>
      </c>
      <c r="N1720">
        <f>IF(A1720="","",IF(D1720="Category Pending","Needs categorization",IF(COUNTIFS($A$2:A1720,A1720,$B$2:B1720,B1720,$E$2:E1720,E1720)&gt;1,"Possible duplicate","")))</f>
      </c>
    </row>
    <row r="1721" spans="3:14" x14ac:dyDescent="0.3">
      <c r="A1721"/>
      <c r="C1721" s="16"/>
      <c r="G1721" s="5">
        <f>IF(A1721="","","Checking")</f>
      </c>
      <c r="H1721">
        <f>IF(A1721="","",IFERROR(XLOOKUP(D1721,Setup!$E$15:$E$79,Setup!$F$15:$F$79),"Miscellaneous"))</f>
      </c>
      <c r="I1721">
        <f>IF(A1721="","",IFERROR(XLOOKUP(D1721,Setup!$E$15:$E$79,Setup!$G$15:$G$79),"Uncategorized"))</f>
      </c>
      <c r="J1721">
        <f>IF(A1721="","",IF(OR(H1721="Transfers",H1721="Income",D1721="Transfer",D1721="Category Pending",F1721="Pending"),"No","Yes"))</f>
      </c>
      <c r="K1721" s="4">
        <f>IF(A1721="","",TEXT(IF(DAY(A1721)&gt;=Setup!$B$9,DATE(YEAR(A1721),MONTH(A1721)+1,1),DATE(YEAR(A1721),MONTH(A1721),1)),"mmmm yyyy"))</f>
      </c>
      <c r="L1721" s="47">
        <f>IF(A1721="",0,IF(AND(J1721="Yes",E1721&lt;0),-E1721,0))</f>
      </c>
      <c r="M1721" s="47">
        <f>IF(A1721="",0,IF(AND(J1721="Yes",E1721&gt;0),E1721,0))</f>
      </c>
      <c r="N1721">
        <f>IF(A1721="","",IF(D1721="Category Pending","Needs categorization",IF(COUNTIFS($A$2:A1721,A1721,$B$2:B1721,B1721,$E$2:E1721,E1721)&gt;1,"Possible duplicate","")))</f>
      </c>
    </row>
    <row r="1722" spans="3:14" x14ac:dyDescent="0.3">
      <c r="A1722"/>
      <c r="C1722" s="16"/>
      <c r="G1722" s="5">
        <f>IF(A1722="","","Checking")</f>
      </c>
      <c r="H1722">
        <f>IF(A1722="","",IFERROR(XLOOKUP(D1722,Setup!$E$15:$E$79,Setup!$F$15:$F$79),"Miscellaneous"))</f>
      </c>
      <c r="I1722">
        <f>IF(A1722="","",IFERROR(XLOOKUP(D1722,Setup!$E$15:$E$79,Setup!$G$15:$G$79),"Uncategorized"))</f>
      </c>
      <c r="J1722">
        <f>IF(A1722="","",IF(OR(H1722="Transfers",H1722="Income",D1722="Transfer",D1722="Category Pending",F1722="Pending"),"No","Yes"))</f>
      </c>
      <c r="K1722" s="4">
        <f>IF(A1722="","",TEXT(IF(DAY(A1722)&gt;=Setup!$B$9,DATE(YEAR(A1722),MONTH(A1722)+1,1),DATE(YEAR(A1722),MONTH(A1722),1)),"mmmm yyyy"))</f>
      </c>
      <c r="L1722" s="47">
        <f>IF(A1722="",0,IF(AND(J1722="Yes",E1722&lt;0),-E1722,0))</f>
      </c>
      <c r="M1722" s="47">
        <f>IF(A1722="",0,IF(AND(J1722="Yes",E1722&gt;0),E1722,0))</f>
      </c>
      <c r="N1722">
        <f>IF(A1722="","",IF(D1722="Category Pending","Needs categorization",IF(COUNTIFS($A$2:A1722,A1722,$B$2:B1722,B1722,$E$2:E1722,E1722)&gt;1,"Possible duplicate","")))</f>
      </c>
    </row>
    <row r="1723" spans="3:14" x14ac:dyDescent="0.3">
      <c r="A1723"/>
      <c r="C1723" s="16"/>
      <c r="G1723" s="5">
        <f>IF(A1723="","","Checking")</f>
      </c>
      <c r="H1723">
        <f>IF(A1723="","",IFERROR(XLOOKUP(D1723,Setup!$E$15:$E$79,Setup!$F$15:$F$79),"Miscellaneous"))</f>
      </c>
      <c r="I1723">
        <f>IF(A1723="","",IFERROR(XLOOKUP(D1723,Setup!$E$15:$E$79,Setup!$G$15:$G$79),"Uncategorized"))</f>
      </c>
      <c r="J1723">
        <f>IF(A1723="","",IF(OR(H1723="Transfers",H1723="Income",D1723="Transfer",D1723="Category Pending",F1723="Pending"),"No","Yes"))</f>
      </c>
      <c r="K1723" s="4">
        <f>IF(A1723="","",TEXT(IF(DAY(A1723)&gt;=Setup!$B$9,DATE(YEAR(A1723),MONTH(A1723)+1,1),DATE(YEAR(A1723),MONTH(A1723),1)),"mmmm yyyy"))</f>
      </c>
      <c r="L1723" s="47">
        <f>IF(A1723="",0,IF(AND(J1723="Yes",E1723&lt;0),-E1723,0))</f>
      </c>
      <c r="M1723" s="47">
        <f>IF(A1723="",0,IF(AND(J1723="Yes",E1723&gt;0),E1723,0))</f>
      </c>
      <c r="N1723">
        <f>IF(A1723="","",IF(D1723="Category Pending","Needs categorization",IF(COUNTIFS($A$2:A1723,A1723,$B$2:B1723,B1723,$E$2:E1723,E1723)&gt;1,"Possible duplicate","")))</f>
      </c>
    </row>
    <row r="1724" spans="3:14" x14ac:dyDescent="0.3">
      <c r="A1724"/>
      <c r="C1724" s="16"/>
      <c r="G1724" s="5">
        <f>IF(A1724="","","Checking")</f>
      </c>
      <c r="H1724">
        <f>IF(A1724="","",IFERROR(XLOOKUP(D1724,Setup!$E$15:$E$79,Setup!$F$15:$F$79),"Miscellaneous"))</f>
      </c>
      <c r="I1724">
        <f>IF(A1724="","",IFERROR(XLOOKUP(D1724,Setup!$E$15:$E$79,Setup!$G$15:$G$79),"Uncategorized"))</f>
      </c>
      <c r="J1724">
        <f>IF(A1724="","",IF(OR(H1724="Transfers",H1724="Income",D1724="Transfer",D1724="Category Pending",F1724="Pending"),"No","Yes"))</f>
      </c>
      <c r="K1724" s="4">
        <f>IF(A1724="","",TEXT(IF(DAY(A1724)&gt;=Setup!$B$9,DATE(YEAR(A1724),MONTH(A1724)+1,1),DATE(YEAR(A1724),MONTH(A1724),1)),"mmmm yyyy"))</f>
      </c>
      <c r="L1724" s="47">
        <f>IF(A1724="",0,IF(AND(J1724="Yes",E1724&lt;0),-E1724,0))</f>
      </c>
      <c r="M1724" s="47">
        <f>IF(A1724="",0,IF(AND(J1724="Yes",E1724&gt;0),E1724,0))</f>
      </c>
      <c r="N1724">
        <f>IF(A1724="","",IF(D1724="Category Pending","Needs categorization",IF(COUNTIFS($A$2:A1724,A1724,$B$2:B1724,B1724,$E$2:E1724,E1724)&gt;1,"Possible duplicate","")))</f>
      </c>
    </row>
    <row r="1725" spans="3:14" x14ac:dyDescent="0.3">
      <c r="A1725"/>
      <c r="C1725" s="16"/>
      <c r="G1725" s="5">
        <f>IF(A1725="","","Checking")</f>
      </c>
      <c r="H1725">
        <f>IF(A1725="","",IFERROR(XLOOKUP(D1725,Setup!$E$15:$E$79,Setup!$F$15:$F$79),"Miscellaneous"))</f>
      </c>
      <c r="I1725">
        <f>IF(A1725="","",IFERROR(XLOOKUP(D1725,Setup!$E$15:$E$79,Setup!$G$15:$G$79),"Uncategorized"))</f>
      </c>
      <c r="J1725">
        <f>IF(A1725="","",IF(OR(H1725="Transfers",H1725="Income",D1725="Transfer",D1725="Category Pending",F1725="Pending"),"No","Yes"))</f>
      </c>
      <c r="K1725" s="4">
        <f>IF(A1725="","",TEXT(IF(DAY(A1725)&gt;=Setup!$B$9,DATE(YEAR(A1725),MONTH(A1725)+1,1),DATE(YEAR(A1725),MONTH(A1725),1)),"mmmm yyyy"))</f>
      </c>
      <c r="L1725" s="47">
        <f>IF(A1725="",0,IF(AND(J1725="Yes",E1725&lt;0),-E1725,0))</f>
      </c>
      <c r="M1725" s="47">
        <f>IF(A1725="",0,IF(AND(J1725="Yes",E1725&gt;0),E1725,0))</f>
      </c>
      <c r="N1725">
        <f>IF(A1725="","",IF(D1725="Category Pending","Needs categorization",IF(COUNTIFS($A$2:A1725,A1725,$B$2:B1725,B1725,$E$2:E1725,E1725)&gt;1,"Possible duplicate","")))</f>
      </c>
    </row>
    <row r="1726" spans="3:14" x14ac:dyDescent="0.3">
      <c r="A1726"/>
      <c r="C1726" s="16"/>
      <c r="G1726" s="5">
        <f>IF(A1726="","","Checking")</f>
      </c>
      <c r="H1726">
        <f>IF(A1726="","",IFERROR(XLOOKUP(D1726,Setup!$E$15:$E$79,Setup!$F$15:$F$79),"Miscellaneous"))</f>
      </c>
      <c r="I1726">
        <f>IF(A1726="","",IFERROR(XLOOKUP(D1726,Setup!$E$15:$E$79,Setup!$G$15:$G$79),"Uncategorized"))</f>
      </c>
      <c r="J1726">
        <f>IF(A1726="","",IF(OR(H1726="Transfers",H1726="Income",D1726="Transfer",D1726="Category Pending",F1726="Pending"),"No","Yes"))</f>
      </c>
      <c r="K1726" s="4">
        <f>IF(A1726="","",TEXT(IF(DAY(A1726)&gt;=Setup!$B$9,DATE(YEAR(A1726),MONTH(A1726)+1,1),DATE(YEAR(A1726),MONTH(A1726),1)),"mmmm yyyy"))</f>
      </c>
      <c r="L1726" s="47">
        <f>IF(A1726="",0,IF(AND(J1726="Yes",E1726&lt;0),-E1726,0))</f>
      </c>
      <c r="M1726" s="47">
        <f>IF(A1726="",0,IF(AND(J1726="Yes",E1726&gt;0),E1726,0))</f>
      </c>
      <c r="N1726">
        <f>IF(A1726="","",IF(D1726="Category Pending","Needs categorization",IF(COUNTIFS($A$2:A1726,A1726,$B$2:B1726,B1726,$E$2:E1726,E1726)&gt;1,"Possible duplicate","")))</f>
      </c>
    </row>
    <row r="1727" spans="3:14" x14ac:dyDescent="0.3">
      <c r="A1727"/>
      <c r="C1727" s="16"/>
      <c r="G1727" s="5">
        <f>IF(A1727="","","Checking")</f>
      </c>
      <c r="H1727">
        <f>IF(A1727="","",IFERROR(XLOOKUP(D1727,Setup!$E$15:$E$79,Setup!$F$15:$F$79),"Miscellaneous"))</f>
      </c>
      <c r="I1727">
        <f>IF(A1727="","",IFERROR(XLOOKUP(D1727,Setup!$E$15:$E$79,Setup!$G$15:$G$79),"Uncategorized"))</f>
      </c>
      <c r="J1727">
        <f>IF(A1727="","",IF(OR(H1727="Transfers",H1727="Income",D1727="Transfer",D1727="Category Pending",F1727="Pending"),"No","Yes"))</f>
      </c>
      <c r="K1727" s="4">
        <f>IF(A1727="","",TEXT(IF(DAY(A1727)&gt;=Setup!$B$9,DATE(YEAR(A1727),MONTH(A1727)+1,1),DATE(YEAR(A1727),MONTH(A1727),1)),"mmmm yyyy"))</f>
      </c>
      <c r="L1727" s="47">
        <f>IF(A1727="",0,IF(AND(J1727="Yes",E1727&lt;0),-E1727,0))</f>
      </c>
      <c r="M1727" s="47">
        <f>IF(A1727="",0,IF(AND(J1727="Yes",E1727&gt;0),E1727,0))</f>
      </c>
      <c r="N1727">
        <f>IF(A1727="","",IF(D1727="Category Pending","Needs categorization",IF(COUNTIFS($A$2:A1727,A1727,$B$2:B1727,B1727,$E$2:E1727,E1727)&gt;1,"Possible duplicate","")))</f>
      </c>
    </row>
    <row r="1728" spans="3:14" x14ac:dyDescent="0.3">
      <c r="A1728"/>
      <c r="C1728" s="16"/>
      <c r="G1728" s="5">
        <f>IF(A1728="","","Checking")</f>
      </c>
      <c r="H1728">
        <f>IF(A1728="","",IFERROR(XLOOKUP(D1728,Setup!$E$15:$E$79,Setup!$F$15:$F$79),"Miscellaneous"))</f>
      </c>
      <c r="I1728">
        <f>IF(A1728="","",IFERROR(XLOOKUP(D1728,Setup!$E$15:$E$79,Setup!$G$15:$G$79),"Uncategorized"))</f>
      </c>
      <c r="J1728">
        <f>IF(A1728="","",IF(OR(H1728="Transfers",H1728="Income",D1728="Transfer",D1728="Category Pending",F1728="Pending"),"No","Yes"))</f>
      </c>
      <c r="K1728" s="4">
        <f>IF(A1728="","",TEXT(IF(DAY(A1728)&gt;=Setup!$B$9,DATE(YEAR(A1728),MONTH(A1728)+1,1),DATE(YEAR(A1728),MONTH(A1728),1)),"mmmm yyyy"))</f>
      </c>
      <c r="L1728" s="47">
        <f>IF(A1728="",0,IF(AND(J1728="Yes",E1728&lt;0),-E1728,0))</f>
      </c>
      <c r="M1728" s="47">
        <f>IF(A1728="",0,IF(AND(J1728="Yes",E1728&gt;0),E1728,0))</f>
      </c>
      <c r="N1728">
        <f>IF(A1728="","",IF(D1728="Category Pending","Needs categorization",IF(COUNTIFS($A$2:A1728,A1728,$B$2:B1728,B1728,$E$2:E1728,E1728)&gt;1,"Possible duplicate","")))</f>
      </c>
    </row>
    <row r="1729" spans="3:14" x14ac:dyDescent="0.3">
      <c r="A1729"/>
      <c r="C1729" s="16"/>
      <c r="G1729" s="5">
        <f>IF(A1729="","","Checking")</f>
      </c>
      <c r="H1729">
        <f>IF(A1729="","",IFERROR(XLOOKUP(D1729,Setup!$E$15:$E$79,Setup!$F$15:$F$79),"Miscellaneous"))</f>
      </c>
      <c r="I1729">
        <f>IF(A1729="","",IFERROR(XLOOKUP(D1729,Setup!$E$15:$E$79,Setup!$G$15:$G$79),"Uncategorized"))</f>
      </c>
      <c r="J1729">
        <f>IF(A1729="","",IF(OR(H1729="Transfers",H1729="Income",D1729="Transfer",D1729="Category Pending",F1729="Pending"),"No","Yes"))</f>
      </c>
      <c r="K1729" s="4">
        <f>IF(A1729="","",TEXT(IF(DAY(A1729)&gt;=Setup!$B$9,DATE(YEAR(A1729),MONTH(A1729)+1,1),DATE(YEAR(A1729),MONTH(A1729),1)),"mmmm yyyy"))</f>
      </c>
      <c r="L1729" s="47">
        <f>IF(A1729="",0,IF(AND(J1729="Yes",E1729&lt;0),-E1729,0))</f>
      </c>
      <c r="M1729" s="47">
        <f>IF(A1729="",0,IF(AND(J1729="Yes",E1729&gt;0),E1729,0))</f>
      </c>
      <c r="N1729">
        <f>IF(A1729="","",IF(D1729="Category Pending","Needs categorization",IF(COUNTIFS($A$2:A1729,A1729,$B$2:B1729,B1729,$E$2:E1729,E1729)&gt;1,"Possible duplicate","")))</f>
      </c>
    </row>
    <row r="1730" spans="3:14" x14ac:dyDescent="0.3">
      <c r="A1730"/>
      <c r="C1730" s="16"/>
      <c r="G1730" s="5">
        <f>IF(A1730="","","Checking")</f>
      </c>
      <c r="H1730">
        <f>IF(A1730="","",IFERROR(XLOOKUP(D1730,Setup!$E$15:$E$79,Setup!$F$15:$F$79),"Miscellaneous"))</f>
      </c>
      <c r="I1730">
        <f>IF(A1730="","",IFERROR(XLOOKUP(D1730,Setup!$E$15:$E$79,Setup!$G$15:$G$79),"Uncategorized"))</f>
      </c>
      <c r="J1730">
        <f>IF(A1730="","",IF(OR(H1730="Transfers",H1730="Income",D1730="Transfer",D1730="Category Pending",F1730="Pending"),"No","Yes"))</f>
      </c>
      <c r="K1730" s="4">
        <f>IF(A1730="","",TEXT(IF(DAY(A1730)&gt;=Setup!$B$9,DATE(YEAR(A1730),MONTH(A1730)+1,1),DATE(YEAR(A1730),MONTH(A1730),1)),"mmmm yyyy"))</f>
      </c>
      <c r="L1730" s="47">
        <f>IF(A1730="",0,IF(AND(J1730="Yes",E1730&lt;0),-E1730,0))</f>
      </c>
      <c r="M1730" s="47">
        <f>IF(A1730="",0,IF(AND(J1730="Yes",E1730&gt;0),E1730,0))</f>
      </c>
      <c r="N1730">
        <f>IF(A1730="","",IF(D1730="Category Pending","Needs categorization",IF(COUNTIFS($A$2:A1730,A1730,$B$2:B1730,B1730,$E$2:E1730,E1730)&gt;1,"Possible duplicate","")))</f>
      </c>
    </row>
    <row r="1731" spans="3:14" x14ac:dyDescent="0.3">
      <c r="A1731"/>
      <c r="C1731" s="16"/>
      <c r="G1731" s="5">
        <f>IF(A1731="","","Checking")</f>
      </c>
      <c r="H1731">
        <f>IF(A1731="","",IFERROR(XLOOKUP(D1731,Setup!$E$15:$E$79,Setup!$F$15:$F$79),"Miscellaneous"))</f>
      </c>
      <c r="I1731">
        <f>IF(A1731="","",IFERROR(XLOOKUP(D1731,Setup!$E$15:$E$79,Setup!$G$15:$G$79),"Uncategorized"))</f>
      </c>
      <c r="J1731">
        <f>IF(A1731="","",IF(OR(H1731="Transfers",H1731="Income",D1731="Transfer",D1731="Category Pending",F1731="Pending"),"No","Yes"))</f>
      </c>
      <c r="K1731" s="4">
        <f>IF(A1731="","",TEXT(IF(DAY(A1731)&gt;=Setup!$B$9,DATE(YEAR(A1731),MONTH(A1731)+1,1),DATE(YEAR(A1731),MONTH(A1731),1)),"mmmm yyyy"))</f>
      </c>
      <c r="L1731" s="47">
        <f>IF(A1731="",0,IF(AND(J1731="Yes",E1731&lt;0),-E1731,0))</f>
      </c>
      <c r="M1731" s="47">
        <f>IF(A1731="",0,IF(AND(J1731="Yes",E1731&gt;0),E1731,0))</f>
      </c>
      <c r="N1731">
        <f>IF(A1731="","",IF(D1731="Category Pending","Needs categorization",IF(COUNTIFS($A$2:A1731,A1731,$B$2:B1731,B1731,$E$2:E1731,E1731)&gt;1,"Possible duplicate","")))</f>
      </c>
    </row>
    <row r="1732" spans="3:14" x14ac:dyDescent="0.3">
      <c r="A1732"/>
      <c r="C1732" s="16"/>
      <c r="G1732" s="5">
        <f>IF(A1732="","","Checking")</f>
      </c>
      <c r="H1732">
        <f>IF(A1732="","",IFERROR(XLOOKUP(D1732,Setup!$E$15:$E$79,Setup!$F$15:$F$79),"Miscellaneous"))</f>
      </c>
      <c r="I1732">
        <f>IF(A1732="","",IFERROR(XLOOKUP(D1732,Setup!$E$15:$E$79,Setup!$G$15:$G$79),"Uncategorized"))</f>
      </c>
      <c r="J1732">
        <f>IF(A1732="","",IF(OR(H1732="Transfers",H1732="Income",D1732="Transfer",D1732="Category Pending",F1732="Pending"),"No","Yes"))</f>
      </c>
      <c r="K1732" s="4">
        <f>IF(A1732="","",TEXT(IF(DAY(A1732)&gt;=Setup!$B$9,DATE(YEAR(A1732),MONTH(A1732)+1,1),DATE(YEAR(A1732),MONTH(A1732),1)),"mmmm yyyy"))</f>
      </c>
      <c r="L1732" s="47">
        <f>IF(A1732="",0,IF(AND(J1732="Yes",E1732&lt;0),-E1732,0))</f>
      </c>
      <c r="M1732" s="47">
        <f>IF(A1732="",0,IF(AND(J1732="Yes",E1732&gt;0),E1732,0))</f>
      </c>
      <c r="N1732">
        <f>IF(A1732="","",IF(D1732="Category Pending","Needs categorization",IF(COUNTIFS($A$2:A1732,A1732,$B$2:B1732,B1732,$E$2:E1732,E1732)&gt;1,"Possible duplicate","")))</f>
      </c>
    </row>
    <row r="1733" spans="3:14" x14ac:dyDescent="0.3">
      <c r="A1733"/>
      <c r="C1733" s="16"/>
      <c r="G1733" s="5">
        <f>IF(A1733="","","Checking")</f>
      </c>
      <c r="H1733">
        <f>IF(A1733="","",IFERROR(XLOOKUP(D1733,Setup!$E$15:$E$79,Setup!$F$15:$F$79),"Miscellaneous"))</f>
      </c>
      <c r="I1733">
        <f>IF(A1733="","",IFERROR(XLOOKUP(D1733,Setup!$E$15:$E$79,Setup!$G$15:$G$79),"Uncategorized"))</f>
      </c>
      <c r="J1733">
        <f>IF(A1733="","",IF(OR(H1733="Transfers",H1733="Income",D1733="Transfer",D1733="Category Pending",F1733="Pending"),"No","Yes"))</f>
      </c>
      <c r="K1733" s="4">
        <f>IF(A1733="","",TEXT(IF(DAY(A1733)&gt;=Setup!$B$9,DATE(YEAR(A1733),MONTH(A1733)+1,1),DATE(YEAR(A1733),MONTH(A1733),1)),"mmmm yyyy"))</f>
      </c>
      <c r="L1733" s="47">
        <f>IF(A1733="",0,IF(AND(J1733="Yes",E1733&lt;0),-E1733,0))</f>
      </c>
      <c r="M1733" s="47">
        <f>IF(A1733="",0,IF(AND(J1733="Yes",E1733&gt;0),E1733,0))</f>
      </c>
      <c r="N1733">
        <f>IF(A1733="","",IF(D1733="Category Pending","Needs categorization",IF(COUNTIFS($A$2:A1733,A1733,$B$2:B1733,B1733,$E$2:E1733,E1733)&gt;1,"Possible duplicate","")))</f>
      </c>
    </row>
    <row r="1734" spans="3:14" x14ac:dyDescent="0.3">
      <c r="A1734"/>
      <c r="C1734" s="16"/>
      <c r="G1734" s="5">
        <f>IF(A1734="","","Checking")</f>
      </c>
      <c r="H1734">
        <f>IF(A1734="","",IFERROR(XLOOKUP(D1734,Setup!$E$15:$E$79,Setup!$F$15:$F$79),"Miscellaneous"))</f>
      </c>
      <c r="I1734">
        <f>IF(A1734="","",IFERROR(XLOOKUP(D1734,Setup!$E$15:$E$79,Setup!$G$15:$G$79),"Uncategorized"))</f>
      </c>
      <c r="J1734">
        <f>IF(A1734="","",IF(OR(H1734="Transfers",H1734="Income",D1734="Transfer",D1734="Category Pending",F1734="Pending"),"No","Yes"))</f>
      </c>
      <c r="K1734" s="4">
        <f>IF(A1734="","",TEXT(IF(DAY(A1734)&gt;=Setup!$B$9,DATE(YEAR(A1734),MONTH(A1734)+1,1),DATE(YEAR(A1734),MONTH(A1734),1)),"mmmm yyyy"))</f>
      </c>
      <c r="L1734" s="47">
        <f>IF(A1734="",0,IF(AND(J1734="Yes",E1734&lt;0),-E1734,0))</f>
      </c>
      <c r="M1734" s="47">
        <f>IF(A1734="",0,IF(AND(J1734="Yes",E1734&gt;0),E1734,0))</f>
      </c>
      <c r="N1734">
        <f>IF(A1734="","",IF(D1734="Category Pending","Needs categorization",IF(COUNTIFS($A$2:A1734,A1734,$B$2:B1734,B1734,$E$2:E1734,E1734)&gt;1,"Possible duplicate","")))</f>
      </c>
    </row>
    <row r="1735" spans="3:14" x14ac:dyDescent="0.3">
      <c r="A1735"/>
      <c r="C1735" s="16"/>
      <c r="G1735" s="5">
        <f>IF(A1735="","","Checking")</f>
      </c>
      <c r="H1735">
        <f>IF(A1735="","",IFERROR(XLOOKUP(D1735,Setup!$E$15:$E$79,Setup!$F$15:$F$79),"Miscellaneous"))</f>
      </c>
      <c r="I1735">
        <f>IF(A1735="","",IFERROR(XLOOKUP(D1735,Setup!$E$15:$E$79,Setup!$G$15:$G$79),"Uncategorized"))</f>
      </c>
      <c r="J1735">
        <f>IF(A1735="","",IF(OR(H1735="Transfers",H1735="Income",D1735="Transfer",D1735="Category Pending",F1735="Pending"),"No","Yes"))</f>
      </c>
      <c r="K1735" s="4">
        <f>IF(A1735="","",TEXT(IF(DAY(A1735)&gt;=Setup!$B$9,DATE(YEAR(A1735),MONTH(A1735)+1,1),DATE(YEAR(A1735),MONTH(A1735),1)),"mmmm yyyy"))</f>
      </c>
      <c r="L1735" s="47">
        <f>IF(A1735="",0,IF(AND(J1735="Yes",E1735&lt;0),-E1735,0))</f>
      </c>
      <c r="M1735" s="47">
        <f>IF(A1735="",0,IF(AND(J1735="Yes",E1735&gt;0),E1735,0))</f>
      </c>
      <c r="N1735">
        <f>IF(A1735="","",IF(D1735="Category Pending","Needs categorization",IF(COUNTIFS($A$2:A1735,A1735,$B$2:B1735,B1735,$E$2:E1735,E1735)&gt;1,"Possible duplicate","")))</f>
      </c>
    </row>
    <row r="1736" spans="3:14" x14ac:dyDescent="0.3">
      <c r="A1736"/>
      <c r="C1736" s="16"/>
      <c r="G1736" s="5">
        <f>IF(A1736="","","Checking")</f>
      </c>
      <c r="H1736">
        <f>IF(A1736="","",IFERROR(XLOOKUP(D1736,Setup!$E$15:$E$79,Setup!$F$15:$F$79),"Miscellaneous"))</f>
      </c>
      <c r="I1736">
        <f>IF(A1736="","",IFERROR(XLOOKUP(D1736,Setup!$E$15:$E$79,Setup!$G$15:$G$79),"Uncategorized"))</f>
      </c>
      <c r="J1736">
        <f>IF(A1736="","",IF(OR(H1736="Transfers",H1736="Income",D1736="Transfer",D1736="Category Pending",F1736="Pending"),"No","Yes"))</f>
      </c>
      <c r="K1736" s="4">
        <f>IF(A1736="","",TEXT(IF(DAY(A1736)&gt;=Setup!$B$9,DATE(YEAR(A1736),MONTH(A1736)+1,1),DATE(YEAR(A1736),MONTH(A1736),1)),"mmmm yyyy"))</f>
      </c>
      <c r="L1736" s="47">
        <f>IF(A1736="",0,IF(AND(J1736="Yes",E1736&lt;0),-E1736,0))</f>
      </c>
      <c r="M1736" s="47">
        <f>IF(A1736="",0,IF(AND(J1736="Yes",E1736&gt;0),E1736,0))</f>
      </c>
      <c r="N1736">
        <f>IF(A1736="","",IF(D1736="Category Pending","Needs categorization",IF(COUNTIFS($A$2:A1736,A1736,$B$2:B1736,B1736,$E$2:E1736,E1736)&gt;1,"Possible duplicate","")))</f>
      </c>
    </row>
    <row r="1737" spans="3:14" x14ac:dyDescent="0.3">
      <c r="A1737"/>
      <c r="C1737" s="16"/>
      <c r="G1737" s="5">
        <f>IF(A1737="","","Checking")</f>
      </c>
      <c r="H1737">
        <f>IF(A1737="","",IFERROR(XLOOKUP(D1737,Setup!$E$15:$E$79,Setup!$F$15:$F$79),"Miscellaneous"))</f>
      </c>
      <c r="I1737">
        <f>IF(A1737="","",IFERROR(XLOOKUP(D1737,Setup!$E$15:$E$79,Setup!$G$15:$G$79),"Uncategorized"))</f>
      </c>
      <c r="J1737">
        <f>IF(A1737="","",IF(OR(H1737="Transfers",H1737="Income",D1737="Transfer",D1737="Category Pending",F1737="Pending"),"No","Yes"))</f>
      </c>
      <c r="K1737" s="4">
        <f>IF(A1737="","",TEXT(IF(DAY(A1737)&gt;=Setup!$B$9,DATE(YEAR(A1737),MONTH(A1737)+1,1),DATE(YEAR(A1737),MONTH(A1737),1)),"mmmm yyyy"))</f>
      </c>
      <c r="L1737" s="47">
        <f>IF(A1737="",0,IF(AND(J1737="Yes",E1737&lt;0),-E1737,0))</f>
      </c>
      <c r="M1737" s="47">
        <f>IF(A1737="",0,IF(AND(J1737="Yes",E1737&gt;0),E1737,0))</f>
      </c>
      <c r="N1737">
        <f>IF(A1737="","",IF(D1737="Category Pending","Needs categorization",IF(COUNTIFS($A$2:A1737,A1737,$B$2:B1737,B1737,$E$2:E1737,E1737)&gt;1,"Possible duplicate","")))</f>
      </c>
    </row>
    <row r="1738" spans="3:14" x14ac:dyDescent="0.3">
      <c r="A1738"/>
      <c r="C1738" s="16"/>
      <c r="G1738" s="5">
        <f>IF(A1738="","","Checking")</f>
      </c>
      <c r="H1738">
        <f>IF(A1738="","",IFERROR(XLOOKUP(D1738,Setup!$E$15:$E$79,Setup!$F$15:$F$79),"Miscellaneous"))</f>
      </c>
      <c r="I1738">
        <f>IF(A1738="","",IFERROR(XLOOKUP(D1738,Setup!$E$15:$E$79,Setup!$G$15:$G$79),"Uncategorized"))</f>
      </c>
      <c r="J1738">
        <f>IF(A1738="","",IF(OR(H1738="Transfers",H1738="Income",D1738="Transfer",D1738="Category Pending",F1738="Pending"),"No","Yes"))</f>
      </c>
      <c r="K1738" s="4">
        <f>IF(A1738="","",TEXT(IF(DAY(A1738)&gt;=Setup!$B$9,DATE(YEAR(A1738),MONTH(A1738)+1,1),DATE(YEAR(A1738),MONTH(A1738),1)),"mmmm yyyy"))</f>
      </c>
      <c r="L1738" s="47">
        <f>IF(A1738="",0,IF(AND(J1738="Yes",E1738&lt;0),-E1738,0))</f>
      </c>
      <c r="M1738" s="47">
        <f>IF(A1738="",0,IF(AND(J1738="Yes",E1738&gt;0),E1738,0))</f>
      </c>
      <c r="N1738">
        <f>IF(A1738="","",IF(D1738="Category Pending","Needs categorization",IF(COUNTIFS($A$2:A1738,A1738,$B$2:B1738,B1738,$E$2:E1738,E1738)&gt;1,"Possible duplicate","")))</f>
      </c>
    </row>
    <row r="1739" spans="3:14" x14ac:dyDescent="0.3">
      <c r="A1739"/>
      <c r="C1739" s="16"/>
      <c r="G1739" s="5">
        <f>IF(A1739="","","Checking")</f>
      </c>
      <c r="H1739">
        <f>IF(A1739="","",IFERROR(XLOOKUP(D1739,Setup!$E$15:$E$79,Setup!$F$15:$F$79),"Miscellaneous"))</f>
      </c>
      <c r="I1739">
        <f>IF(A1739="","",IFERROR(XLOOKUP(D1739,Setup!$E$15:$E$79,Setup!$G$15:$G$79),"Uncategorized"))</f>
      </c>
      <c r="J1739">
        <f>IF(A1739="","",IF(OR(H1739="Transfers",H1739="Income",D1739="Transfer",D1739="Category Pending",F1739="Pending"),"No","Yes"))</f>
      </c>
      <c r="K1739" s="4">
        <f>IF(A1739="","",TEXT(IF(DAY(A1739)&gt;=Setup!$B$9,DATE(YEAR(A1739),MONTH(A1739)+1,1),DATE(YEAR(A1739),MONTH(A1739),1)),"mmmm yyyy"))</f>
      </c>
      <c r="L1739" s="47">
        <f>IF(A1739="",0,IF(AND(J1739="Yes",E1739&lt;0),-E1739,0))</f>
      </c>
      <c r="M1739" s="47">
        <f>IF(A1739="",0,IF(AND(J1739="Yes",E1739&gt;0),E1739,0))</f>
      </c>
      <c r="N1739">
        <f>IF(A1739="","",IF(D1739="Category Pending","Needs categorization",IF(COUNTIFS($A$2:A1739,A1739,$B$2:B1739,B1739,$E$2:E1739,E1739)&gt;1,"Possible duplicate","")))</f>
      </c>
    </row>
    <row r="1740" spans="3:14" x14ac:dyDescent="0.3">
      <c r="A1740"/>
      <c r="C1740" s="16"/>
      <c r="G1740" s="5">
        <f>IF(A1740="","","Checking")</f>
      </c>
      <c r="H1740">
        <f>IF(A1740="","",IFERROR(XLOOKUP(D1740,Setup!$E$15:$E$79,Setup!$F$15:$F$79),"Miscellaneous"))</f>
      </c>
      <c r="I1740">
        <f>IF(A1740="","",IFERROR(XLOOKUP(D1740,Setup!$E$15:$E$79,Setup!$G$15:$G$79),"Uncategorized"))</f>
      </c>
      <c r="J1740">
        <f>IF(A1740="","",IF(OR(H1740="Transfers",H1740="Income",D1740="Transfer",D1740="Category Pending",F1740="Pending"),"No","Yes"))</f>
      </c>
      <c r="K1740" s="4">
        <f>IF(A1740="","",TEXT(IF(DAY(A1740)&gt;=Setup!$B$9,DATE(YEAR(A1740),MONTH(A1740)+1,1),DATE(YEAR(A1740),MONTH(A1740),1)),"mmmm yyyy"))</f>
      </c>
      <c r="L1740" s="47">
        <f>IF(A1740="",0,IF(AND(J1740="Yes",E1740&lt;0),-E1740,0))</f>
      </c>
      <c r="M1740" s="47">
        <f>IF(A1740="",0,IF(AND(J1740="Yes",E1740&gt;0),E1740,0))</f>
      </c>
      <c r="N1740">
        <f>IF(A1740="","",IF(D1740="Category Pending","Needs categorization",IF(COUNTIFS($A$2:A1740,A1740,$B$2:B1740,B1740,$E$2:E1740,E1740)&gt;1,"Possible duplicate","")))</f>
      </c>
    </row>
    <row r="1741" spans="3:14" x14ac:dyDescent="0.3">
      <c r="A1741"/>
      <c r="C1741" s="16"/>
      <c r="G1741" s="5">
        <f>IF(A1741="","","Checking")</f>
      </c>
      <c r="H1741">
        <f>IF(A1741="","",IFERROR(XLOOKUP(D1741,Setup!$E$15:$E$79,Setup!$F$15:$F$79),"Miscellaneous"))</f>
      </c>
      <c r="I1741">
        <f>IF(A1741="","",IFERROR(XLOOKUP(D1741,Setup!$E$15:$E$79,Setup!$G$15:$G$79),"Uncategorized"))</f>
      </c>
      <c r="J1741">
        <f>IF(A1741="","",IF(OR(H1741="Transfers",H1741="Income",D1741="Transfer",D1741="Category Pending",F1741="Pending"),"No","Yes"))</f>
      </c>
      <c r="K1741" s="4">
        <f>IF(A1741="","",TEXT(IF(DAY(A1741)&gt;=Setup!$B$9,DATE(YEAR(A1741),MONTH(A1741)+1,1),DATE(YEAR(A1741),MONTH(A1741),1)),"mmmm yyyy"))</f>
      </c>
      <c r="L1741" s="47">
        <f>IF(A1741="",0,IF(AND(J1741="Yes",E1741&lt;0),-E1741,0))</f>
      </c>
      <c r="M1741" s="47">
        <f>IF(A1741="",0,IF(AND(J1741="Yes",E1741&gt;0),E1741,0))</f>
      </c>
      <c r="N1741">
        <f>IF(A1741="","",IF(D1741="Category Pending","Needs categorization",IF(COUNTIFS($A$2:A1741,A1741,$B$2:B1741,B1741,$E$2:E1741,E1741)&gt;1,"Possible duplicate","")))</f>
      </c>
    </row>
    <row r="1742" spans="3:14" x14ac:dyDescent="0.3">
      <c r="A1742"/>
      <c r="C1742" s="16"/>
      <c r="G1742" s="5">
        <f>IF(A1742="","","Checking")</f>
      </c>
      <c r="H1742">
        <f>IF(A1742="","",IFERROR(XLOOKUP(D1742,Setup!$E$15:$E$79,Setup!$F$15:$F$79),"Miscellaneous"))</f>
      </c>
      <c r="I1742">
        <f>IF(A1742="","",IFERROR(XLOOKUP(D1742,Setup!$E$15:$E$79,Setup!$G$15:$G$79),"Uncategorized"))</f>
      </c>
      <c r="J1742">
        <f>IF(A1742="","",IF(OR(H1742="Transfers",H1742="Income",D1742="Transfer",D1742="Category Pending",F1742="Pending"),"No","Yes"))</f>
      </c>
      <c r="K1742" s="4">
        <f>IF(A1742="","",TEXT(IF(DAY(A1742)&gt;=Setup!$B$9,DATE(YEAR(A1742),MONTH(A1742)+1,1),DATE(YEAR(A1742),MONTH(A1742),1)),"mmmm yyyy"))</f>
      </c>
      <c r="L1742" s="47">
        <f>IF(A1742="",0,IF(AND(J1742="Yes",E1742&lt;0),-E1742,0))</f>
      </c>
      <c r="M1742" s="47">
        <f>IF(A1742="",0,IF(AND(J1742="Yes",E1742&gt;0),E1742,0))</f>
      </c>
      <c r="N1742">
        <f>IF(A1742="","",IF(D1742="Category Pending","Needs categorization",IF(COUNTIFS($A$2:A1742,A1742,$B$2:B1742,B1742,$E$2:E1742,E1742)&gt;1,"Possible duplicate","")))</f>
      </c>
    </row>
    <row r="1743" spans="3:14" x14ac:dyDescent="0.3">
      <c r="A1743"/>
      <c r="C1743" s="16"/>
      <c r="G1743" s="5">
        <f>IF(A1743="","","Checking")</f>
      </c>
      <c r="H1743">
        <f>IF(A1743="","",IFERROR(XLOOKUP(D1743,Setup!$E$15:$E$79,Setup!$F$15:$F$79),"Miscellaneous"))</f>
      </c>
      <c r="I1743">
        <f>IF(A1743="","",IFERROR(XLOOKUP(D1743,Setup!$E$15:$E$79,Setup!$G$15:$G$79),"Uncategorized"))</f>
      </c>
      <c r="J1743">
        <f>IF(A1743="","",IF(OR(H1743="Transfers",H1743="Income",D1743="Transfer",D1743="Category Pending",F1743="Pending"),"No","Yes"))</f>
      </c>
      <c r="K1743" s="4">
        <f>IF(A1743="","",TEXT(IF(DAY(A1743)&gt;=Setup!$B$9,DATE(YEAR(A1743),MONTH(A1743)+1,1),DATE(YEAR(A1743),MONTH(A1743),1)),"mmmm yyyy"))</f>
      </c>
      <c r="L1743" s="47">
        <f>IF(A1743="",0,IF(AND(J1743="Yes",E1743&lt;0),-E1743,0))</f>
      </c>
      <c r="M1743" s="47">
        <f>IF(A1743="",0,IF(AND(J1743="Yes",E1743&gt;0),E1743,0))</f>
      </c>
      <c r="N1743">
        <f>IF(A1743="","",IF(D1743="Category Pending","Needs categorization",IF(COUNTIFS($A$2:A1743,A1743,$B$2:B1743,B1743,$E$2:E1743,E1743)&gt;1,"Possible duplicate","")))</f>
      </c>
    </row>
    <row r="1744" spans="3:14" x14ac:dyDescent="0.3">
      <c r="A1744"/>
      <c r="C1744" s="16"/>
      <c r="G1744" s="5">
        <f>IF(A1744="","","Checking")</f>
      </c>
      <c r="H1744">
        <f>IF(A1744="","",IFERROR(XLOOKUP(D1744,Setup!$E$15:$E$79,Setup!$F$15:$F$79),"Miscellaneous"))</f>
      </c>
      <c r="I1744">
        <f>IF(A1744="","",IFERROR(XLOOKUP(D1744,Setup!$E$15:$E$79,Setup!$G$15:$G$79),"Uncategorized"))</f>
      </c>
      <c r="J1744">
        <f>IF(A1744="","",IF(OR(H1744="Transfers",H1744="Income",D1744="Transfer",D1744="Category Pending",F1744="Pending"),"No","Yes"))</f>
      </c>
      <c r="K1744" s="4">
        <f>IF(A1744="","",TEXT(IF(DAY(A1744)&gt;=Setup!$B$9,DATE(YEAR(A1744),MONTH(A1744)+1,1),DATE(YEAR(A1744),MONTH(A1744),1)),"mmmm yyyy"))</f>
      </c>
      <c r="L1744" s="47">
        <f>IF(A1744="",0,IF(AND(J1744="Yes",E1744&lt;0),-E1744,0))</f>
      </c>
      <c r="M1744" s="47">
        <f>IF(A1744="",0,IF(AND(J1744="Yes",E1744&gt;0),E1744,0))</f>
      </c>
      <c r="N1744">
        <f>IF(A1744="","",IF(D1744="Category Pending","Needs categorization",IF(COUNTIFS($A$2:A1744,A1744,$B$2:B1744,B1744,$E$2:E1744,E1744)&gt;1,"Possible duplicate","")))</f>
      </c>
    </row>
    <row r="1745" spans="3:14" x14ac:dyDescent="0.3">
      <c r="A1745"/>
      <c r="C1745" s="16"/>
      <c r="G1745" s="5">
        <f>IF(A1745="","","Checking")</f>
      </c>
      <c r="H1745">
        <f>IF(A1745="","",IFERROR(XLOOKUP(D1745,Setup!$E$15:$E$79,Setup!$F$15:$F$79),"Miscellaneous"))</f>
      </c>
      <c r="I1745">
        <f>IF(A1745="","",IFERROR(XLOOKUP(D1745,Setup!$E$15:$E$79,Setup!$G$15:$G$79),"Uncategorized"))</f>
      </c>
      <c r="J1745">
        <f>IF(A1745="","",IF(OR(H1745="Transfers",H1745="Income",D1745="Transfer",D1745="Category Pending",F1745="Pending"),"No","Yes"))</f>
      </c>
      <c r="K1745" s="4">
        <f>IF(A1745="","",TEXT(IF(DAY(A1745)&gt;=Setup!$B$9,DATE(YEAR(A1745),MONTH(A1745)+1,1),DATE(YEAR(A1745),MONTH(A1745),1)),"mmmm yyyy"))</f>
      </c>
      <c r="L1745" s="47">
        <f>IF(A1745="",0,IF(AND(J1745="Yes",E1745&lt;0),-E1745,0))</f>
      </c>
      <c r="M1745" s="47">
        <f>IF(A1745="",0,IF(AND(J1745="Yes",E1745&gt;0),E1745,0))</f>
      </c>
      <c r="N1745">
        <f>IF(A1745="","",IF(D1745="Category Pending","Needs categorization",IF(COUNTIFS($A$2:A1745,A1745,$B$2:B1745,B1745,$E$2:E1745,E1745)&gt;1,"Possible duplicate","")))</f>
      </c>
    </row>
    <row r="1746" spans="3:14" x14ac:dyDescent="0.3">
      <c r="A1746"/>
      <c r="C1746" s="16"/>
      <c r="G1746" s="5">
        <f>IF(A1746="","","Checking")</f>
      </c>
      <c r="H1746">
        <f>IF(A1746="","",IFERROR(XLOOKUP(D1746,Setup!$E$15:$E$79,Setup!$F$15:$F$79),"Miscellaneous"))</f>
      </c>
      <c r="I1746">
        <f>IF(A1746="","",IFERROR(XLOOKUP(D1746,Setup!$E$15:$E$79,Setup!$G$15:$G$79),"Uncategorized"))</f>
      </c>
      <c r="J1746">
        <f>IF(A1746="","",IF(OR(H1746="Transfers",H1746="Income",D1746="Transfer",D1746="Category Pending",F1746="Pending"),"No","Yes"))</f>
      </c>
      <c r="K1746" s="4">
        <f>IF(A1746="","",TEXT(IF(DAY(A1746)&gt;=Setup!$B$9,DATE(YEAR(A1746),MONTH(A1746)+1,1),DATE(YEAR(A1746),MONTH(A1746),1)),"mmmm yyyy"))</f>
      </c>
      <c r="L1746" s="47">
        <f>IF(A1746="",0,IF(AND(J1746="Yes",E1746&lt;0),-E1746,0))</f>
      </c>
      <c r="M1746" s="47">
        <f>IF(A1746="",0,IF(AND(J1746="Yes",E1746&gt;0),E1746,0))</f>
      </c>
      <c r="N1746">
        <f>IF(A1746="","",IF(D1746="Category Pending","Needs categorization",IF(COUNTIFS($A$2:A1746,A1746,$B$2:B1746,B1746,$E$2:E1746,E1746)&gt;1,"Possible duplicate","")))</f>
      </c>
    </row>
    <row r="1747" spans="3:14" x14ac:dyDescent="0.3">
      <c r="A1747"/>
      <c r="C1747" s="16"/>
      <c r="G1747" s="5">
        <f>IF(A1747="","","Checking")</f>
      </c>
      <c r="H1747">
        <f>IF(A1747="","",IFERROR(XLOOKUP(D1747,Setup!$E$15:$E$79,Setup!$F$15:$F$79),"Miscellaneous"))</f>
      </c>
      <c r="I1747">
        <f>IF(A1747="","",IFERROR(XLOOKUP(D1747,Setup!$E$15:$E$79,Setup!$G$15:$G$79),"Uncategorized"))</f>
      </c>
      <c r="J1747">
        <f>IF(A1747="","",IF(OR(H1747="Transfers",H1747="Income",D1747="Transfer",D1747="Category Pending",F1747="Pending"),"No","Yes"))</f>
      </c>
      <c r="K1747" s="4">
        <f>IF(A1747="","",TEXT(IF(DAY(A1747)&gt;=Setup!$B$9,DATE(YEAR(A1747),MONTH(A1747)+1,1),DATE(YEAR(A1747),MONTH(A1747),1)),"mmmm yyyy"))</f>
      </c>
      <c r="L1747" s="47">
        <f>IF(A1747="",0,IF(AND(J1747="Yes",E1747&lt;0),-E1747,0))</f>
      </c>
      <c r="M1747" s="47">
        <f>IF(A1747="",0,IF(AND(J1747="Yes",E1747&gt;0),E1747,0))</f>
      </c>
      <c r="N1747">
        <f>IF(A1747="","",IF(D1747="Category Pending","Needs categorization",IF(COUNTIFS($A$2:A1747,A1747,$B$2:B1747,B1747,$E$2:E1747,E1747)&gt;1,"Possible duplicate","")))</f>
      </c>
    </row>
    <row r="1748" spans="3:14" x14ac:dyDescent="0.3">
      <c r="A1748"/>
      <c r="C1748" s="16"/>
      <c r="G1748" s="5">
        <f>IF(A1748="","","Checking")</f>
      </c>
      <c r="H1748">
        <f>IF(A1748="","",IFERROR(XLOOKUP(D1748,Setup!$E$15:$E$79,Setup!$F$15:$F$79),"Miscellaneous"))</f>
      </c>
      <c r="I1748">
        <f>IF(A1748="","",IFERROR(XLOOKUP(D1748,Setup!$E$15:$E$79,Setup!$G$15:$G$79),"Uncategorized"))</f>
      </c>
      <c r="J1748">
        <f>IF(A1748="","",IF(OR(H1748="Transfers",H1748="Income",D1748="Transfer",D1748="Category Pending",F1748="Pending"),"No","Yes"))</f>
      </c>
      <c r="K1748" s="4">
        <f>IF(A1748="","",TEXT(IF(DAY(A1748)&gt;=Setup!$B$9,DATE(YEAR(A1748),MONTH(A1748)+1,1),DATE(YEAR(A1748),MONTH(A1748),1)),"mmmm yyyy"))</f>
      </c>
      <c r="L1748" s="47">
        <f>IF(A1748="",0,IF(AND(J1748="Yes",E1748&lt;0),-E1748,0))</f>
      </c>
      <c r="M1748" s="47">
        <f>IF(A1748="",0,IF(AND(J1748="Yes",E1748&gt;0),E1748,0))</f>
      </c>
      <c r="N1748">
        <f>IF(A1748="","",IF(D1748="Category Pending","Needs categorization",IF(COUNTIFS($A$2:A1748,A1748,$B$2:B1748,B1748,$E$2:E1748,E1748)&gt;1,"Possible duplicate","")))</f>
      </c>
    </row>
    <row r="1749" spans="3:14" x14ac:dyDescent="0.3">
      <c r="A1749"/>
      <c r="C1749" s="16"/>
      <c r="G1749" s="5">
        <f>IF(A1749="","","Checking")</f>
      </c>
      <c r="H1749">
        <f>IF(A1749="","",IFERROR(XLOOKUP(D1749,Setup!$E$15:$E$79,Setup!$F$15:$F$79),"Miscellaneous"))</f>
      </c>
      <c r="I1749">
        <f>IF(A1749="","",IFERROR(XLOOKUP(D1749,Setup!$E$15:$E$79,Setup!$G$15:$G$79),"Uncategorized"))</f>
      </c>
      <c r="J1749">
        <f>IF(A1749="","",IF(OR(H1749="Transfers",H1749="Income",D1749="Transfer",D1749="Category Pending",F1749="Pending"),"No","Yes"))</f>
      </c>
      <c r="K1749" s="4">
        <f>IF(A1749="","",TEXT(IF(DAY(A1749)&gt;=Setup!$B$9,DATE(YEAR(A1749),MONTH(A1749)+1,1),DATE(YEAR(A1749),MONTH(A1749),1)),"mmmm yyyy"))</f>
      </c>
      <c r="L1749" s="47">
        <f>IF(A1749="",0,IF(AND(J1749="Yes",E1749&lt;0),-E1749,0))</f>
      </c>
      <c r="M1749" s="47">
        <f>IF(A1749="",0,IF(AND(J1749="Yes",E1749&gt;0),E1749,0))</f>
      </c>
      <c r="N1749">
        <f>IF(A1749="","",IF(D1749="Category Pending","Needs categorization",IF(COUNTIFS($A$2:A1749,A1749,$B$2:B1749,B1749,$E$2:E1749,E1749)&gt;1,"Possible duplicate","")))</f>
      </c>
    </row>
    <row r="1750" spans="3:14" x14ac:dyDescent="0.3">
      <c r="A1750"/>
      <c r="C1750" s="16"/>
      <c r="G1750" s="5">
        <f>IF(A1750="","","Checking")</f>
      </c>
      <c r="H1750">
        <f>IF(A1750="","",IFERROR(XLOOKUP(D1750,Setup!$E$15:$E$79,Setup!$F$15:$F$79),"Miscellaneous"))</f>
      </c>
      <c r="I1750">
        <f>IF(A1750="","",IFERROR(XLOOKUP(D1750,Setup!$E$15:$E$79,Setup!$G$15:$G$79),"Uncategorized"))</f>
      </c>
      <c r="J1750">
        <f>IF(A1750="","",IF(OR(H1750="Transfers",H1750="Income",D1750="Transfer",D1750="Category Pending",F1750="Pending"),"No","Yes"))</f>
      </c>
      <c r="K1750" s="4">
        <f>IF(A1750="","",TEXT(IF(DAY(A1750)&gt;=Setup!$B$9,DATE(YEAR(A1750),MONTH(A1750)+1,1),DATE(YEAR(A1750),MONTH(A1750),1)),"mmmm yyyy"))</f>
      </c>
      <c r="L1750" s="47">
        <f>IF(A1750="",0,IF(AND(J1750="Yes",E1750&lt;0),-E1750,0))</f>
      </c>
      <c r="M1750" s="47">
        <f>IF(A1750="",0,IF(AND(J1750="Yes",E1750&gt;0),E1750,0))</f>
      </c>
      <c r="N1750">
        <f>IF(A1750="","",IF(D1750="Category Pending","Needs categorization",IF(COUNTIFS($A$2:A1750,A1750,$B$2:B1750,B1750,$E$2:E1750,E1750)&gt;1,"Possible duplicate","")))</f>
      </c>
    </row>
    <row r="1751" spans="3:14" x14ac:dyDescent="0.3">
      <c r="A1751"/>
      <c r="C1751" s="16"/>
      <c r="G1751" s="5">
        <f>IF(A1751="","","Checking")</f>
      </c>
      <c r="H1751">
        <f>IF(A1751="","",IFERROR(XLOOKUP(D1751,Setup!$E$15:$E$79,Setup!$F$15:$F$79),"Miscellaneous"))</f>
      </c>
      <c r="I1751">
        <f>IF(A1751="","",IFERROR(XLOOKUP(D1751,Setup!$E$15:$E$79,Setup!$G$15:$G$79),"Uncategorized"))</f>
      </c>
      <c r="J1751">
        <f>IF(A1751="","",IF(OR(H1751="Transfers",H1751="Income",D1751="Transfer",D1751="Category Pending",F1751="Pending"),"No","Yes"))</f>
      </c>
      <c r="K1751" s="4">
        <f>IF(A1751="","",TEXT(IF(DAY(A1751)&gt;=Setup!$B$9,DATE(YEAR(A1751),MONTH(A1751)+1,1),DATE(YEAR(A1751),MONTH(A1751),1)),"mmmm yyyy"))</f>
      </c>
      <c r="L1751" s="47">
        <f>IF(A1751="",0,IF(AND(J1751="Yes",E1751&lt;0),-E1751,0))</f>
      </c>
      <c r="M1751" s="47">
        <f>IF(A1751="",0,IF(AND(J1751="Yes",E1751&gt;0),E1751,0))</f>
      </c>
      <c r="N1751">
        <f>IF(A1751="","",IF(D1751="Category Pending","Needs categorization",IF(COUNTIFS($A$2:A1751,A1751,$B$2:B1751,B1751,$E$2:E1751,E1751)&gt;1,"Possible duplicate","")))</f>
      </c>
    </row>
    <row r="1752" spans="3:14" x14ac:dyDescent="0.3">
      <c r="A1752"/>
      <c r="C1752" s="16"/>
      <c r="G1752" s="5">
        <f>IF(A1752="","","Checking")</f>
      </c>
      <c r="H1752">
        <f>IF(A1752="","",IFERROR(XLOOKUP(D1752,Setup!$E$15:$E$79,Setup!$F$15:$F$79),"Miscellaneous"))</f>
      </c>
      <c r="I1752">
        <f>IF(A1752="","",IFERROR(XLOOKUP(D1752,Setup!$E$15:$E$79,Setup!$G$15:$G$79),"Uncategorized"))</f>
      </c>
      <c r="J1752">
        <f>IF(A1752="","",IF(OR(H1752="Transfers",H1752="Income",D1752="Transfer",D1752="Category Pending",F1752="Pending"),"No","Yes"))</f>
      </c>
      <c r="K1752" s="4">
        <f>IF(A1752="","",TEXT(IF(DAY(A1752)&gt;=Setup!$B$9,DATE(YEAR(A1752),MONTH(A1752)+1,1),DATE(YEAR(A1752),MONTH(A1752),1)),"mmmm yyyy"))</f>
      </c>
      <c r="L1752" s="47">
        <f>IF(A1752="",0,IF(AND(J1752="Yes",E1752&lt;0),-E1752,0))</f>
      </c>
      <c r="M1752" s="47">
        <f>IF(A1752="",0,IF(AND(J1752="Yes",E1752&gt;0),E1752,0))</f>
      </c>
      <c r="N1752">
        <f>IF(A1752="","",IF(D1752="Category Pending","Needs categorization",IF(COUNTIFS($A$2:A1752,A1752,$B$2:B1752,B1752,$E$2:E1752,E1752)&gt;1,"Possible duplicate","")))</f>
      </c>
    </row>
    <row r="1753" spans="3:14" x14ac:dyDescent="0.3">
      <c r="A1753"/>
      <c r="C1753" s="16"/>
      <c r="G1753" s="5">
        <f>IF(A1753="","","Checking")</f>
      </c>
      <c r="H1753">
        <f>IF(A1753="","",IFERROR(XLOOKUP(D1753,Setup!$E$15:$E$79,Setup!$F$15:$F$79),"Miscellaneous"))</f>
      </c>
      <c r="I1753">
        <f>IF(A1753="","",IFERROR(XLOOKUP(D1753,Setup!$E$15:$E$79,Setup!$G$15:$G$79),"Uncategorized"))</f>
      </c>
      <c r="J1753">
        <f>IF(A1753="","",IF(OR(H1753="Transfers",H1753="Income",D1753="Transfer",D1753="Category Pending",F1753="Pending"),"No","Yes"))</f>
      </c>
      <c r="K1753" s="4">
        <f>IF(A1753="","",TEXT(IF(DAY(A1753)&gt;=Setup!$B$9,DATE(YEAR(A1753),MONTH(A1753)+1,1),DATE(YEAR(A1753),MONTH(A1753),1)),"mmmm yyyy"))</f>
      </c>
      <c r="L1753" s="47">
        <f>IF(A1753="",0,IF(AND(J1753="Yes",E1753&lt;0),-E1753,0))</f>
      </c>
      <c r="M1753" s="47">
        <f>IF(A1753="",0,IF(AND(J1753="Yes",E1753&gt;0),E1753,0))</f>
      </c>
      <c r="N1753">
        <f>IF(A1753="","",IF(D1753="Category Pending","Needs categorization",IF(COUNTIFS($A$2:A1753,A1753,$B$2:B1753,B1753,$E$2:E1753,E1753)&gt;1,"Possible duplicate","")))</f>
      </c>
    </row>
    <row r="1754" spans="3:14" x14ac:dyDescent="0.3">
      <c r="A1754"/>
      <c r="C1754" s="16"/>
      <c r="G1754" s="5">
        <f>IF(A1754="","","Checking")</f>
      </c>
      <c r="H1754">
        <f>IF(A1754="","",IFERROR(XLOOKUP(D1754,Setup!$E$15:$E$79,Setup!$F$15:$F$79),"Miscellaneous"))</f>
      </c>
      <c r="I1754">
        <f>IF(A1754="","",IFERROR(XLOOKUP(D1754,Setup!$E$15:$E$79,Setup!$G$15:$G$79),"Uncategorized"))</f>
      </c>
      <c r="J1754">
        <f>IF(A1754="","",IF(OR(H1754="Transfers",H1754="Income",D1754="Transfer",D1754="Category Pending",F1754="Pending"),"No","Yes"))</f>
      </c>
      <c r="K1754" s="4">
        <f>IF(A1754="","",TEXT(IF(DAY(A1754)&gt;=Setup!$B$9,DATE(YEAR(A1754),MONTH(A1754)+1,1),DATE(YEAR(A1754),MONTH(A1754),1)),"mmmm yyyy"))</f>
      </c>
      <c r="L1754" s="47">
        <f>IF(A1754="",0,IF(AND(J1754="Yes",E1754&lt;0),-E1754,0))</f>
      </c>
      <c r="M1754" s="47">
        <f>IF(A1754="",0,IF(AND(J1754="Yes",E1754&gt;0),E1754,0))</f>
      </c>
      <c r="N1754">
        <f>IF(A1754="","",IF(D1754="Category Pending","Needs categorization",IF(COUNTIFS($A$2:A1754,A1754,$B$2:B1754,B1754,$E$2:E1754,E1754)&gt;1,"Possible duplicate","")))</f>
      </c>
    </row>
    <row r="1755" spans="3:14" x14ac:dyDescent="0.3">
      <c r="A1755"/>
      <c r="C1755" s="16"/>
      <c r="G1755" s="5">
        <f>IF(A1755="","","Checking")</f>
      </c>
      <c r="H1755">
        <f>IF(A1755="","",IFERROR(XLOOKUP(D1755,Setup!$E$15:$E$79,Setup!$F$15:$F$79),"Miscellaneous"))</f>
      </c>
      <c r="I1755">
        <f>IF(A1755="","",IFERROR(XLOOKUP(D1755,Setup!$E$15:$E$79,Setup!$G$15:$G$79),"Uncategorized"))</f>
      </c>
      <c r="J1755">
        <f>IF(A1755="","",IF(OR(H1755="Transfers",H1755="Income",D1755="Transfer",D1755="Category Pending",F1755="Pending"),"No","Yes"))</f>
      </c>
      <c r="K1755" s="4">
        <f>IF(A1755="","",TEXT(IF(DAY(A1755)&gt;=Setup!$B$9,DATE(YEAR(A1755),MONTH(A1755)+1,1),DATE(YEAR(A1755),MONTH(A1755),1)),"mmmm yyyy"))</f>
      </c>
      <c r="L1755" s="47">
        <f>IF(A1755="",0,IF(AND(J1755="Yes",E1755&lt;0),-E1755,0))</f>
      </c>
      <c r="M1755" s="47">
        <f>IF(A1755="",0,IF(AND(J1755="Yes",E1755&gt;0),E1755,0))</f>
      </c>
      <c r="N1755">
        <f>IF(A1755="","",IF(D1755="Category Pending","Needs categorization",IF(COUNTIFS($A$2:A1755,A1755,$B$2:B1755,B1755,$E$2:E1755,E1755)&gt;1,"Possible duplicate","")))</f>
      </c>
    </row>
    <row r="1756" spans="3:14" x14ac:dyDescent="0.3">
      <c r="A1756"/>
      <c r="C1756" s="16"/>
      <c r="G1756" s="5">
        <f>IF(A1756="","","Checking")</f>
      </c>
      <c r="H1756">
        <f>IF(A1756="","",IFERROR(XLOOKUP(D1756,Setup!$E$15:$E$79,Setup!$F$15:$F$79),"Miscellaneous"))</f>
      </c>
      <c r="I1756">
        <f>IF(A1756="","",IFERROR(XLOOKUP(D1756,Setup!$E$15:$E$79,Setup!$G$15:$G$79),"Uncategorized"))</f>
      </c>
      <c r="J1756">
        <f>IF(A1756="","",IF(OR(H1756="Transfers",H1756="Income",D1756="Transfer",D1756="Category Pending",F1756="Pending"),"No","Yes"))</f>
      </c>
      <c r="K1756" s="4">
        <f>IF(A1756="","",TEXT(IF(DAY(A1756)&gt;=Setup!$B$9,DATE(YEAR(A1756),MONTH(A1756)+1,1),DATE(YEAR(A1756),MONTH(A1756),1)),"mmmm yyyy"))</f>
      </c>
      <c r="L1756" s="47">
        <f>IF(A1756="",0,IF(AND(J1756="Yes",E1756&lt;0),-E1756,0))</f>
      </c>
      <c r="M1756" s="47">
        <f>IF(A1756="",0,IF(AND(J1756="Yes",E1756&gt;0),E1756,0))</f>
      </c>
      <c r="N1756">
        <f>IF(A1756="","",IF(D1756="Category Pending","Needs categorization",IF(COUNTIFS($A$2:A1756,A1756,$B$2:B1756,B1756,$E$2:E1756,E1756)&gt;1,"Possible duplicate","")))</f>
      </c>
    </row>
    <row r="1757" spans="3:14" x14ac:dyDescent="0.3">
      <c r="A1757"/>
      <c r="C1757" s="16"/>
      <c r="G1757" s="5">
        <f>IF(A1757="","","Checking")</f>
      </c>
      <c r="H1757">
        <f>IF(A1757="","",IFERROR(XLOOKUP(D1757,Setup!$E$15:$E$79,Setup!$F$15:$F$79),"Miscellaneous"))</f>
      </c>
      <c r="I1757">
        <f>IF(A1757="","",IFERROR(XLOOKUP(D1757,Setup!$E$15:$E$79,Setup!$G$15:$G$79),"Uncategorized"))</f>
      </c>
      <c r="J1757">
        <f>IF(A1757="","",IF(OR(H1757="Transfers",H1757="Income",D1757="Transfer",D1757="Category Pending",F1757="Pending"),"No","Yes"))</f>
      </c>
      <c r="K1757" s="4">
        <f>IF(A1757="","",TEXT(IF(DAY(A1757)&gt;=Setup!$B$9,DATE(YEAR(A1757),MONTH(A1757)+1,1),DATE(YEAR(A1757),MONTH(A1757),1)),"mmmm yyyy"))</f>
      </c>
      <c r="L1757" s="47">
        <f>IF(A1757="",0,IF(AND(J1757="Yes",E1757&lt;0),-E1757,0))</f>
      </c>
      <c r="M1757" s="47">
        <f>IF(A1757="",0,IF(AND(J1757="Yes",E1757&gt;0),E1757,0))</f>
      </c>
      <c r="N1757">
        <f>IF(A1757="","",IF(D1757="Category Pending","Needs categorization",IF(COUNTIFS($A$2:A1757,A1757,$B$2:B1757,B1757,$E$2:E1757,E1757)&gt;1,"Possible duplicate","")))</f>
      </c>
    </row>
    <row r="1758" spans="3:14" x14ac:dyDescent="0.3">
      <c r="A1758"/>
      <c r="C1758" s="16"/>
      <c r="G1758" s="5">
        <f>IF(A1758="","","Checking")</f>
      </c>
      <c r="H1758">
        <f>IF(A1758="","",IFERROR(XLOOKUP(D1758,Setup!$E$15:$E$79,Setup!$F$15:$F$79),"Miscellaneous"))</f>
      </c>
      <c r="I1758">
        <f>IF(A1758="","",IFERROR(XLOOKUP(D1758,Setup!$E$15:$E$79,Setup!$G$15:$G$79),"Uncategorized"))</f>
      </c>
      <c r="J1758">
        <f>IF(A1758="","",IF(OR(H1758="Transfers",H1758="Income",D1758="Transfer",D1758="Category Pending",F1758="Pending"),"No","Yes"))</f>
      </c>
      <c r="K1758" s="4">
        <f>IF(A1758="","",TEXT(IF(DAY(A1758)&gt;=Setup!$B$9,DATE(YEAR(A1758),MONTH(A1758)+1,1),DATE(YEAR(A1758),MONTH(A1758),1)),"mmmm yyyy"))</f>
      </c>
      <c r="L1758" s="47">
        <f>IF(A1758="",0,IF(AND(J1758="Yes",E1758&lt;0),-E1758,0))</f>
      </c>
      <c r="M1758" s="47">
        <f>IF(A1758="",0,IF(AND(J1758="Yes",E1758&gt;0),E1758,0))</f>
      </c>
      <c r="N1758">
        <f>IF(A1758="","",IF(D1758="Category Pending","Needs categorization",IF(COUNTIFS($A$2:A1758,A1758,$B$2:B1758,B1758,$E$2:E1758,E1758)&gt;1,"Possible duplicate","")))</f>
      </c>
    </row>
    <row r="1759" spans="3:14" x14ac:dyDescent="0.3">
      <c r="A1759"/>
      <c r="C1759" s="16"/>
      <c r="G1759" s="5">
        <f>IF(A1759="","","Checking")</f>
      </c>
      <c r="H1759">
        <f>IF(A1759="","",IFERROR(XLOOKUP(D1759,Setup!$E$15:$E$79,Setup!$F$15:$F$79),"Miscellaneous"))</f>
      </c>
      <c r="I1759">
        <f>IF(A1759="","",IFERROR(XLOOKUP(D1759,Setup!$E$15:$E$79,Setup!$G$15:$G$79),"Uncategorized"))</f>
      </c>
      <c r="J1759">
        <f>IF(A1759="","",IF(OR(H1759="Transfers",H1759="Income",D1759="Transfer",D1759="Category Pending",F1759="Pending"),"No","Yes"))</f>
      </c>
      <c r="K1759" s="4">
        <f>IF(A1759="","",TEXT(IF(DAY(A1759)&gt;=Setup!$B$9,DATE(YEAR(A1759),MONTH(A1759)+1,1),DATE(YEAR(A1759),MONTH(A1759),1)),"mmmm yyyy"))</f>
      </c>
      <c r="L1759" s="47">
        <f>IF(A1759="",0,IF(AND(J1759="Yes",E1759&lt;0),-E1759,0))</f>
      </c>
      <c r="M1759" s="47">
        <f>IF(A1759="",0,IF(AND(J1759="Yes",E1759&gt;0),E1759,0))</f>
      </c>
      <c r="N1759">
        <f>IF(A1759="","",IF(D1759="Category Pending","Needs categorization",IF(COUNTIFS($A$2:A1759,A1759,$B$2:B1759,B1759,$E$2:E1759,E1759)&gt;1,"Possible duplicate","")))</f>
      </c>
    </row>
    <row r="1760" spans="3:14" x14ac:dyDescent="0.3">
      <c r="A1760"/>
      <c r="C1760" s="16"/>
      <c r="G1760" s="5">
        <f>IF(A1760="","","Checking")</f>
      </c>
      <c r="H1760">
        <f>IF(A1760="","",IFERROR(XLOOKUP(D1760,Setup!$E$15:$E$79,Setup!$F$15:$F$79),"Miscellaneous"))</f>
      </c>
      <c r="I1760">
        <f>IF(A1760="","",IFERROR(XLOOKUP(D1760,Setup!$E$15:$E$79,Setup!$G$15:$G$79),"Uncategorized"))</f>
      </c>
      <c r="J1760">
        <f>IF(A1760="","",IF(OR(H1760="Transfers",H1760="Income",D1760="Transfer",D1760="Category Pending",F1760="Pending"),"No","Yes"))</f>
      </c>
      <c r="K1760" s="4">
        <f>IF(A1760="","",TEXT(IF(DAY(A1760)&gt;=Setup!$B$9,DATE(YEAR(A1760),MONTH(A1760)+1,1),DATE(YEAR(A1760),MONTH(A1760),1)),"mmmm yyyy"))</f>
      </c>
      <c r="L1760" s="47">
        <f>IF(A1760="",0,IF(AND(J1760="Yes",E1760&lt;0),-E1760,0))</f>
      </c>
      <c r="M1760" s="47">
        <f>IF(A1760="",0,IF(AND(J1760="Yes",E1760&gt;0),E1760,0))</f>
      </c>
      <c r="N1760">
        <f>IF(A1760="","",IF(D1760="Category Pending","Needs categorization",IF(COUNTIFS($A$2:A1760,A1760,$B$2:B1760,B1760,$E$2:E1760,E1760)&gt;1,"Possible duplicate","")))</f>
      </c>
    </row>
    <row r="1761" spans="3:14" x14ac:dyDescent="0.3">
      <c r="A1761"/>
      <c r="C1761" s="16"/>
      <c r="G1761" s="5">
        <f>IF(A1761="","","Checking")</f>
      </c>
      <c r="H1761">
        <f>IF(A1761="","",IFERROR(XLOOKUP(D1761,Setup!$E$15:$E$79,Setup!$F$15:$F$79),"Miscellaneous"))</f>
      </c>
      <c r="I1761">
        <f>IF(A1761="","",IFERROR(XLOOKUP(D1761,Setup!$E$15:$E$79,Setup!$G$15:$G$79),"Uncategorized"))</f>
      </c>
      <c r="J1761">
        <f>IF(A1761="","",IF(OR(H1761="Transfers",H1761="Income",D1761="Transfer",D1761="Category Pending",F1761="Pending"),"No","Yes"))</f>
      </c>
      <c r="K1761" s="4">
        <f>IF(A1761="","",TEXT(IF(DAY(A1761)&gt;=Setup!$B$9,DATE(YEAR(A1761),MONTH(A1761)+1,1),DATE(YEAR(A1761),MONTH(A1761),1)),"mmmm yyyy"))</f>
      </c>
      <c r="L1761" s="47">
        <f>IF(A1761="",0,IF(AND(J1761="Yes",E1761&lt;0),-E1761,0))</f>
      </c>
      <c r="M1761" s="47">
        <f>IF(A1761="",0,IF(AND(J1761="Yes",E1761&gt;0),E1761,0))</f>
      </c>
      <c r="N1761">
        <f>IF(A1761="","",IF(D1761="Category Pending","Needs categorization",IF(COUNTIFS($A$2:A1761,A1761,$B$2:B1761,B1761,$E$2:E1761,E1761)&gt;1,"Possible duplicate","")))</f>
      </c>
    </row>
    <row r="1762" spans="3:14" x14ac:dyDescent="0.3">
      <c r="A1762"/>
      <c r="C1762" s="16"/>
      <c r="G1762" s="5">
        <f>IF(A1762="","","Checking")</f>
      </c>
      <c r="H1762">
        <f>IF(A1762="","",IFERROR(XLOOKUP(D1762,Setup!$E$15:$E$79,Setup!$F$15:$F$79),"Miscellaneous"))</f>
      </c>
      <c r="I1762">
        <f>IF(A1762="","",IFERROR(XLOOKUP(D1762,Setup!$E$15:$E$79,Setup!$G$15:$G$79),"Uncategorized"))</f>
      </c>
      <c r="J1762">
        <f>IF(A1762="","",IF(OR(H1762="Transfers",H1762="Income",D1762="Transfer",D1762="Category Pending",F1762="Pending"),"No","Yes"))</f>
      </c>
      <c r="K1762" s="4">
        <f>IF(A1762="","",TEXT(IF(DAY(A1762)&gt;=Setup!$B$9,DATE(YEAR(A1762),MONTH(A1762)+1,1),DATE(YEAR(A1762),MONTH(A1762),1)),"mmmm yyyy"))</f>
      </c>
      <c r="L1762" s="47">
        <f>IF(A1762="",0,IF(AND(J1762="Yes",E1762&lt;0),-E1762,0))</f>
      </c>
      <c r="M1762" s="47">
        <f>IF(A1762="",0,IF(AND(J1762="Yes",E1762&gt;0),E1762,0))</f>
      </c>
      <c r="N1762">
        <f>IF(A1762="","",IF(D1762="Category Pending","Needs categorization",IF(COUNTIFS($A$2:A1762,A1762,$B$2:B1762,B1762,$E$2:E1762,E1762)&gt;1,"Possible duplicate","")))</f>
      </c>
    </row>
    <row r="1763" spans="3:14" x14ac:dyDescent="0.3">
      <c r="A1763"/>
      <c r="C1763" s="16"/>
      <c r="G1763" s="5">
        <f>IF(A1763="","","Checking")</f>
      </c>
      <c r="H1763">
        <f>IF(A1763="","",IFERROR(XLOOKUP(D1763,Setup!$E$15:$E$79,Setup!$F$15:$F$79),"Miscellaneous"))</f>
      </c>
      <c r="I1763">
        <f>IF(A1763="","",IFERROR(XLOOKUP(D1763,Setup!$E$15:$E$79,Setup!$G$15:$G$79),"Uncategorized"))</f>
      </c>
      <c r="J1763">
        <f>IF(A1763="","",IF(OR(H1763="Transfers",H1763="Income",D1763="Transfer",D1763="Category Pending",F1763="Pending"),"No","Yes"))</f>
      </c>
      <c r="K1763" s="4">
        <f>IF(A1763="","",TEXT(IF(DAY(A1763)&gt;=Setup!$B$9,DATE(YEAR(A1763),MONTH(A1763)+1,1),DATE(YEAR(A1763),MONTH(A1763),1)),"mmmm yyyy"))</f>
      </c>
      <c r="L1763" s="47">
        <f>IF(A1763="",0,IF(AND(J1763="Yes",E1763&lt;0),-E1763,0))</f>
      </c>
      <c r="M1763" s="47">
        <f>IF(A1763="",0,IF(AND(J1763="Yes",E1763&gt;0),E1763,0))</f>
      </c>
      <c r="N1763">
        <f>IF(A1763="","",IF(D1763="Category Pending","Needs categorization",IF(COUNTIFS($A$2:A1763,A1763,$B$2:B1763,B1763,$E$2:E1763,E1763)&gt;1,"Possible duplicate","")))</f>
      </c>
    </row>
    <row r="1764" spans="3:14" x14ac:dyDescent="0.3">
      <c r="A1764"/>
      <c r="C1764" s="16"/>
      <c r="G1764" s="5">
        <f>IF(A1764="","","Checking")</f>
      </c>
      <c r="H1764">
        <f>IF(A1764="","",IFERROR(XLOOKUP(D1764,Setup!$E$15:$E$79,Setup!$F$15:$F$79),"Miscellaneous"))</f>
      </c>
      <c r="I1764">
        <f>IF(A1764="","",IFERROR(XLOOKUP(D1764,Setup!$E$15:$E$79,Setup!$G$15:$G$79),"Uncategorized"))</f>
      </c>
      <c r="J1764">
        <f>IF(A1764="","",IF(OR(H1764="Transfers",H1764="Income",D1764="Transfer",D1764="Category Pending",F1764="Pending"),"No","Yes"))</f>
      </c>
      <c r="K1764" s="4">
        <f>IF(A1764="","",TEXT(IF(DAY(A1764)&gt;=Setup!$B$9,DATE(YEAR(A1764),MONTH(A1764)+1,1),DATE(YEAR(A1764),MONTH(A1764),1)),"mmmm yyyy"))</f>
      </c>
      <c r="L1764" s="47">
        <f>IF(A1764="",0,IF(AND(J1764="Yes",E1764&lt;0),-E1764,0))</f>
      </c>
      <c r="M1764" s="47">
        <f>IF(A1764="",0,IF(AND(J1764="Yes",E1764&gt;0),E1764,0))</f>
      </c>
      <c r="N1764">
        <f>IF(A1764="","",IF(D1764="Category Pending","Needs categorization",IF(COUNTIFS($A$2:A1764,A1764,$B$2:B1764,B1764,$E$2:E1764,E1764)&gt;1,"Possible duplicate","")))</f>
      </c>
    </row>
    <row r="1765" spans="3:14" x14ac:dyDescent="0.3">
      <c r="A1765"/>
      <c r="C1765" s="16"/>
      <c r="G1765" s="5">
        <f>IF(A1765="","","Checking")</f>
      </c>
      <c r="H1765">
        <f>IF(A1765="","",IFERROR(XLOOKUP(D1765,Setup!$E$15:$E$79,Setup!$F$15:$F$79),"Miscellaneous"))</f>
      </c>
      <c r="I1765">
        <f>IF(A1765="","",IFERROR(XLOOKUP(D1765,Setup!$E$15:$E$79,Setup!$G$15:$G$79),"Uncategorized"))</f>
      </c>
      <c r="J1765">
        <f>IF(A1765="","",IF(OR(H1765="Transfers",H1765="Income",D1765="Transfer",D1765="Category Pending",F1765="Pending"),"No","Yes"))</f>
      </c>
      <c r="K1765" s="4">
        <f>IF(A1765="","",TEXT(IF(DAY(A1765)&gt;=Setup!$B$9,DATE(YEAR(A1765),MONTH(A1765)+1,1),DATE(YEAR(A1765),MONTH(A1765),1)),"mmmm yyyy"))</f>
      </c>
      <c r="L1765" s="47">
        <f>IF(A1765="",0,IF(AND(J1765="Yes",E1765&lt;0),-E1765,0))</f>
      </c>
      <c r="M1765" s="47">
        <f>IF(A1765="",0,IF(AND(J1765="Yes",E1765&gt;0),E1765,0))</f>
      </c>
      <c r="N1765">
        <f>IF(A1765="","",IF(D1765="Category Pending","Needs categorization",IF(COUNTIFS($A$2:A1765,A1765,$B$2:B1765,B1765,$E$2:E1765,E1765)&gt;1,"Possible duplicate","")))</f>
      </c>
    </row>
    <row r="1766" spans="3:14" x14ac:dyDescent="0.3">
      <c r="A1766"/>
      <c r="C1766" s="16"/>
      <c r="G1766" s="5">
        <f>IF(A1766="","","Checking")</f>
      </c>
      <c r="H1766">
        <f>IF(A1766="","",IFERROR(XLOOKUP(D1766,Setup!$E$15:$E$79,Setup!$F$15:$F$79),"Miscellaneous"))</f>
      </c>
      <c r="I1766">
        <f>IF(A1766="","",IFERROR(XLOOKUP(D1766,Setup!$E$15:$E$79,Setup!$G$15:$G$79),"Uncategorized"))</f>
      </c>
      <c r="J1766">
        <f>IF(A1766="","",IF(OR(H1766="Transfers",H1766="Income",D1766="Transfer",D1766="Category Pending",F1766="Pending"),"No","Yes"))</f>
      </c>
      <c r="K1766" s="4">
        <f>IF(A1766="","",TEXT(IF(DAY(A1766)&gt;=Setup!$B$9,DATE(YEAR(A1766),MONTH(A1766)+1,1),DATE(YEAR(A1766),MONTH(A1766),1)),"mmmm yyyy"))</f>
      </c>
      <c r="L1766" s="47">
        <f>IF(A1766="",0,IF(AND(J1766="Yes",E1766&lt;0),-E1766,0))</f>
      </c>
      <c r="M1766" s="47">
        <f>IF(A1766="",0,IF(AND(J1766="Yes",E1766&gt;0),E1766,0))</f>
      </c>
      <c r="N1766">
        <f>IF(A1766="","",IF(D1766="Category Pending","Needs categorization",IF(COUNTIFS($A$2:A1766,A1766,$B$2:B1766,B1766,$E$2:E1766,E1766)&gt;1,"Possible duplicate","")))</f>
      </c>
    </row>
    <row r="1767" spans="3:14" x14ac:dyDescent="0.3">
      <c r="A1767"/>
      <c r="C1767" s="16"/>
      <c r="G1767" s="5">
        <f>IF(A1767="","","Checking")</f>
      </c>
      <c r="H1767">
        <f>IF(A1767="","",IFERROR(XLOOKUP(D1767,Setup!$E$15:$E$79,Setup!$F$15:$F$79),"Miscellaneous"))</f>
      </c>
      <c r="I1767">
        <f>IF(A1767="","",IFERROR(XLOOKUP(D1767,Setup!$E$15:$E$79,Setup!$G$15:$G$79),"Uncategorized"))</f>
      </c>
      <c r="J1767">
        <f>IF(A1767="","",IF(OR(H1767="Transfers",H1767="Income",D1767="Transfer",D1767="Category Pending",F1767="Pending"),"No","Yes"))</f>
      </c>
      <c r="K1767" s="4">
        <f>IF(A1767="","",TEXT(IF(DAY(A1767)&gt;=Setup!$B$9,DATE(YEAR(A1767),MONTH(A1767)+1,1),DATE(YEAR(A1767),MONTH(A1767),1)),"mmmm yyyy"))</f>
      </c>
      <c r="L1767" s="47">
        <f>IF(A1767="",0,IF(AND(J1767="Yes",E1767&lt;0),-E1767,0))</f>
      </c>
      <c r="M1767" s="47">
        <f>IF(A1767="",0,IF(AND(J1767="Yes",E1767&gt;0),E1767,0))</f>
      </c>
      <c r="N1767">
        <f>IF(A1767="","",IF(D1767="Category Pending","Needs categorization",IF(COUNTIFS($A$2:A1767,A1767,$B$2:B1767,B1767,$E$2:E1767,E1767)&gt;1,"Possible duplicate","")))</f>
      </c>
    </row>
    <row r="1768" spans="3:14" x14ac:dyDescent="0.3">
      <c r="A1768"/>
      <c r="C1768" s="16"/>
      <c r="G1768" s="5">
        <f>IF(A1768="","","Checking")</f>
      </c>
      <c r="H1768">
        <f>IF(A1768="","",IFERROR(XLOOKUP(D1768,Setup!$E$15:$E$79,Setup!$F$15:$F$79),"Miscellaneous"))</f>
      </c>
      <c r="I1768">
        <f>IF(A1768="","",IFERROR(XLOOKUP(D1768,Setup!$E$15:$E$79,Setup!$G$15:$G$79),"Uncategorized"))</f>
      </c>
      <c r="J1768">
        <f>IF(A1768="","",IF(OR(H1768="Transfers",H1768="Income",D1768="Transfer",D1768="Category Pending",F1768="Pending"),"No","Yes"))</f>
      </c>
      <c r="K1768" s="4">
        <f>IF(A1768="","",TEXT(IF(DAY(A1768)&gt;=Setup!$B$9,DATE(YEAR(A1768),MONTH(A1768)+1,1),DATE(YEAR(A1768),MONTH(A1768),1)),"mmmm yyyy"))</f>
      </c>
      <c r="L1768" s="47">
        <f>IF(A1768="",0,IF(AND(J1768="Yes",E1768&lt;0),-E1768,0))</f>
      </c>
      <c r="M1768" s="47">
        <f>IF(A1768="",0,IF(AND(J1768="Yes",E1768&gt;0),E1768,0))</f>
      </c>
      <c r="N1768">
        <f>IF(A1768="","",IF(D1768="Category Pending","Needs categorization",IF(COUNTIFS($A$2:A1768,A1768,$B$2:B1768,B1768,$E$2:E1768,E1768)&gt;1,"Possible duplicate","")))</f>
      </c>
    </row>
    <row r="1769" spans="3:14" x14ac:dyDescent="0.3">
      <c r="A1769"/>
      <c r="C1769" s="16"/>
      <c r="G1769" s="5">
        <f>IF(A1769="","","Checking")</f>
      </c>
      <c r="H1769">
        <f>IF(A1769="","",IFERROR(XLOOKUP(D1769,Setup!$E$15:$E$79,Setup!$F$15:$F$79),"Miscellaneous"))</f>
      </c>
      <c r="I1769">
        <f>IF(A1769="","",IFERROR(XLOOKUP(D1769,Setup!$E$15:$E$79,Setup!$G$15:$G$79),"Uncategorized"))</f>
      </c>
      <c r="J1769">
        <f>IF(A1769="","",IF(OR(H1769="Transfers",H1769="Income",D1769="Transfer",D1769="Category Pending",F1769="Pending"),"No","Yes"))</f>
      </c>
      <c r="K1769" s="4">
        <f>IF(A1769="","",TEXT(IF(DAY(A1769)&gt;=Setup!$B$9,DATE(YEAR(A1769),MONTH(A1769)+1,1),DATE(YEAR(A1769),MONTH(A1769),1)),"mmmm yyyy"))</f>
      </c>
      <c r="L1769" s="47">
        <f>IF(A1769="",0,IF(AND(J1769="Yes",E1769&lt;0),-E1769,0))</f>
      </c>
      <c r="M1769" s="47">
        <f>IF(A1769="",0,IF(AND(J1769="Yes",E1769&gt;0),E1769,0))</f>
      </c>
      <c r="N1769">
        <f>IF(A1769="","",IF(D1769="Category Pending","Needs categorization",IF(COUNTIFS($A$2:A1769,A1769,$B$2:B1769,B1769,$E$2:E1769,E1769)&gt;1,"Possible duplicate","")))</f>
      </c>
    </row>
    <row r="1770" spans="3:14" x14ac:dyDescent="0.3">
      <c r="A1770"/>
      <c r="C1770" s="16"/>
      <c r="G1770" s="5">
        <f>IF(A1770="","","Checking")</f>
      </c>
      <c r="H1770">
        <f>IF(A1770="","",IFERROR(XLOOKUP(D1770,Setup!$E$15:$E$79,Setup!$F$15:$F$79),"Miscellaneous"))</f>
      </c>
      <c r="I1770">
        <f>IF(A1770="","",IFERROR(XLOOKUP(D1770,Setup!$E$15:$E$79,Setup!$G$15:$G$79),"Uncategorized"))</f>
      </c>
      <c r="J1770">
        <f>IF(A1770="","",IF(OR(H1770="Transfers",H1770="Income",D1770="Transfer",D1770="Category Pending",F1770="Pending"),"No","Yes"))</f>
      </c>
      <c r="K1770" s="4">
        <f>IF(A1770="","",TEXT(IF(DAY(A1770)&gt;=Setup!$B$9,DATE(YEAR(A1770),MONTH(A1770)+1,1),DATE(YEAR(A1770),MONTH(A1770),1)),"mmmm yyyy"))</f>
      </c>
      <c r="L1770" s="47">
        <f>IF(A1770="",0,IF(AND(J1770="Yes",E1770&lt;0),-E1770,0))</f>
      </c>
      <c r="M1770" s="47">
        <f>IF(A1770="",0,IF(AND(J1770="Yes",E1770&gt;0),E1770,0))</f>
      </c>
      <c r="N1770">
        <f>IF(A1770="","",IF(D1770="Category Pending","Needs categorization",IF(COUNTIFS($A$2:A1770,A1770,$B$2:B1770,B1770,$E$2:E1770,E1770)&gt;1,"Possible duplicate","")))</f>
      </c>
    </row>
    <row r="1771" spans="3:14" x14ac:dyDescent="0.3">
      <c r="A1771"/>
      <c r="C1771" s="16"/>
      <c r="G1771" s="5">
        <f>IF(A1771="","","Checking")</f>
      </c>
      <c r="H1771">
        <f>IF(A1771="","",IFERROR(XLOOKUP(D1771,Setup!$E$15:$E$79,Setup!$F$15:$F$79),"Miscellaneous"))</f>
      </c>
      <c r="I1771">
        <f>IF(A1771="","",IFERROR(XLOOKUP(D1771,Setup!$E$15:$E$79,Setup!$G$15:$G$79),"Uncategorized"))</f>
      </c>
      <c r="J1771">
        <f>IF(A1771="","",IF(OR(H1771="Transfers",H1771="Income",D1771="Transfer",D1771="Category Pending",F1771="Pending"),"No","Yes"))</f>
      </c>
      <c r="K1771" s="4">
        <f>IF(A1771="","",TEXT(IF(DAY(A1771)&gt;=Setup!$B$9,DATE(YEAR(A1771),MONTH(A1771)+1,1),DATE(YEAR(A1771),MONTH(A1771),1)),"mmmm yyyy"))</f>
      </c>
      <c r="L1771" s="47">
        <f>IF(A1771="",0,IF(AND(J1771="Yes",E1771&lt;0),-E1771,0))</f>
      </c>
      <c r="M1771" s="47">
        <f>IF(A1771="",0,IF(AND(J1771="Yes",E1771&gt;0),E1771,0))</f>
      </c>
      <c r="N1771">
        <f>IF(A1771="","",IF(D1771="Category Pending","Needs categorization",IF(COUNTIFS($A$2:A1771,A1771,$B$2:B1771,B1771,$E$2:E1771,E1771)&gt;1,"Possible duplicate","")))</f>
      </c>
    </row>
    <row r="1772" spans="3:14" x14ac:dyDescent="0.3">
      <c r="A1772"/>
      <c r="C1772" s="16"/>
      <c r="G1772" s="5">
        <f>IF(A1772="","","Checking")</f>
      </c>
      <c r="H1772">
        <f>IF(A1772="","",IFERROR(XLOOKUP(D1772,Setup!$E$15:$E$79,Setup!$F$15:$F$79),"Miscellaneous"))</f>
      </c>
      <c r="I1772">
        <f>IF(A1772="","",IFERROR(XLOOKUP(D1772,Setup!$E$15:$E$79,Setup!$G$15:$G$79),"Uncategorized"))</f>
      </c>
      <c r="J1772">
        <f>IF(A1772="","",IF(OR(H1772="Transfers",H1772="Income",D1772="Transfer",D1772="Category Pending",F1772="Pending"),"No","Yes"))</f>
      </c>
      <c r="K1772" s="4">
        <f>IF(A1772="","",TEXT(IF(DAY(A1772)&gt;=Setup!$B$9,DATE(YEAR(A1772),MONTH(A1772)+1,1),DATE(YEAR(A1772),MONTH(A1772),1)),"mmmm yyyy"))</f>
      </c>
      <c r="L1772" s="47">
        <f>IF(A1772="",0,IF(AND(J1772="Yes",E1772&lt;0),-E1772,0))</f>
      </c>
      <c r="M1772" s="47">
        <f>IF(A1772="",0,IF(AND(J1772="Yes",E1772&gt;0),E1772,0))</f>
      </c>
      <c r="N1772">
        <f>IF(A1772="","",IF(D1772="Category Pending","Needs categorization",IF(COUNTIFS($A$2:A1772,A1772,$B$2:B1772,B1772,$E$2:E1772,E1772)&gt;1,"Possible duplicate","")))</f>
      </c>
    </row>
    <row r="1773" spans="3:14" x14ac:dyDescent="0.3">
      <c r="A1773"/>
      <c r="C1773" s="16"/>
      <c r="G1773" s="5">
        <f>IF(A1773="","","Checking")</f>
      </c>
      <c r="H1773">
        <f>IF(A1773="","",IFERROR(XLOOKUP(D1773,Setup!$E$15:$E$79,Setup!$F$15:$F$79),"Miscellaneous"))</f>
      </c>
      <c r="I1773">
        <f>IF(A1773="","",IFERROR(XLOOKUP(D1773,Setup!$E$15:$E$79,Setup!$G$15:$G$79),"Uncategorized"))</f>
      </c>
      <c r="J1773">
        <f>IF(A1773="","",IF(OR(H1773="Transfers",H1773="Income",D1773="Transfer",D1773="Category Pending",F1773="Pending"),"No","Yes"))</f>
      </c>
      <c r="K1773" s="4">
        <f>IF(A1773="","",TEXT(IF(DAY(A1773)&gt;=Setup!$B$9,DATE(YEAR(A1773),MONTH(A1773)+1,1),DATE(YEAR(A1773),MONTH(A1773),1)),"mmmm yyyy"))</f>
      </c>
      <c r="L1773" s="47">
        <f>IF(A1773="",0,IF(AND(J1773="Yes",E1773&lt;0),-E1773,0))</f>
      </c>
      <c r="M1773" s="47">
        <f>IF(A1773="",0,IF(AND(J1773="Yes",E1773&gt;0),E1773,0))</f>
      </c>
      <c r="N1773">
        <f>IF(A1773="","",IF(D1773="Category Pending","Needs categorization",IF(COUNTIFS($A$2:A1773,A1773,$B$2:B1773,B1773,$E$2:E1773,E1773)&gt;1,"Possible duplicate","")))</f>
      </c>
    </row>
    <row r="1774" spans="3:14" x14ac:dyDescent="0.3">
      <c r="A1774"/>
      <c r="C1774" s="16"/>
      <c r="G1774" s="5">
        <f>IF(A1774="","","Checking")</f>
      </c>
      <c r="H1774">
        <f>IF(A1774="","",IFERROR(XLOOKUP(D1774,Setup!$E$15:$E$79,Setup!$F$15:$F$79),"Miscellaneous"))</f>
      </c>
      <c r="I1774">
        <f>IF(A1774="","",IFERROR(XLOOKUP(D1774,Setup!$E$15:$E$79,Setup!$G$15:$G$79),"Uncategorized"))</f>
      </c>
      <c r="J1774">
        <f>IF(A1774="","",IF(OR(H1774="Transfers",H1774="Income",D1774="Transfer",D1774="Category Pending",F1774="Pending"),"No","Yes"))</f>
      </c>
      <c r="K1774" s="4">
        <f>IF(A1774="","",TEXT(IF(DAY(A1774)&gt;=Setup!$B$9,DATE(YEAR(A1774),MONTH(A1774)+1,1),DATE(YEAR(A1774),MONTH(A1774),1)),"mmmm yyyy"))</f>
      </c>
      <c r="L1774" s="47">
        <f>IF(A1774="",0,IF(AND(J1774="Yes",E1774&lt;0),-E1774,0))</f>
      </c>
      <c r="M1774" s="47">
        <f>IF(A1774="",0,IF(AND(J1774="Yes",E1774&gt;0),E1774,0))</f>
      </c>
      <c r="N1774">
        <f>IF(A1774="","",IF(D1774="Category Pending","Needs categorization",IF(COUNTIFS($A$2:A1774,A1774,$B$2:B1774,B1774,$E$2:E1774,E1774)&gt;1,"Possible duplicate","")))</f>
      </c>
    </row>
    <row r="1775" spans="3:14" x14ac:dyDescent="0.3">
      <c r="A1775"/>
      <c r="C1775" s="16"/>
      <c r="G1775" s="5">
        <f>IF(A1775="","","Checking")</f>
      </c>
      <c r="H1775">
        <f>IF(A1775="","",IFERROR(XLOOKUP(D1775,Setup!$E$15:$E$79,Setup!$F$15:$F$79),"Miscellaneous"))</f>
      </c>
      <c r="I1775">
        <f>IF(A1775="","",IFERROR(XLOOKUP(D1775,Setup!$E$15:$E$79,Setup!$G$15:$G$79),"Uncategorized"))</f>
      </c>
      <c r="J1775">
        <f>IF(A1775="","",IF(OR(H1775="Transfers",H1775="Income",D1775="Transfer",D1775="Category Pending",F1775="Pending"),"No","Yes"))</f>
      </c>
      <c r="K1775" s="4">
        <f>IF(A1775="","",TEXT(IF(DAY(A1775)&gt;=Setup!$B$9,DATE(YEAR(A1775),MONTH(A1775)+1,1),DATE(YEAR(A1775),MONTH(A1775),1)),"mmmm yyyy"))</f>
      </c>
      <c r="L1775" s="47">
        <f>IF(A1775="",0,IF(AND(J1775="Yes",E1775&lt;0),-E1775,0))</f>
      </c>
      <c r="M1775" s="47">
        <f>IF(A1775="",0,IF(AND(J1775="Yes",E1775&gt;0),E1775,0))</f>
      </c>
      <c r="N1775">
        <f>IF(A1775="","",IF(D1775="Category Pending","Needs categorization",IF(COUNTIFS($A$2:A1775,A1775,$B$2:B1775,B1775,$E$2:E1775,E1775)&gt;1,"Possible duplicate","")))</f>
      </c>
    </row>
    <row r="1776" spans="3:14" x14ac:dyDescent="0.3">
      <c r="A1776"/>
      <c r="C1776" s="16"/>
      <c r="G1776" s="5">
        <f>IF(A1776="","","Checking")</f>
      </c>
      <c r="H1776">
        <f>IF(A1776="","",IFERROR(XLOOKUP(D1776,Setup!$E$15:$E$79,Setup!$F$15:$F$79),"Miscellaneous"))</f>
      </c>
      <c r="I1776">
        <f>IF(A1776="","",IFERROR(XLOOKUP(D1776,Setup!$E$15:$E$79,Setup!$G$15:$G$79),"Uncategorized"))</f>
      </c>
      <c r="J1776">
        <f>IF(A1776="","",IF(OR(H1776="Transfers",H1776="Income",D1776="Transfer",D1776="Category Pending",F1776="Pending"),"No","Yes"))</f>
      </c>
      <c r="K1776" s="4">
        <f>IF(A1776="","",TEXT(IF(DAY(A1776)&gt;=Setup!$B$9,DATE(YEAR(A1776),MONTH(A1776)+1,1),DATE(YEAR(A1776),MONTH(A1776),1)),"mmmm yyyy"))</f>
      </c>
      <c r="L1776" s="47">
        <f>IF(A1776="",0,IF(AND(J1776="Yes",E1776&lt;0),-E1776,0))</f>
      </c>
      <c r="M1776" s="47">
        <f>IF(A1776="",0,IF(AND(J1776="Yes",E1776&gt;0),E1776,0))</f>
      </c>
      <c r="N1776">
        <f>IF(A1776="","",IF(D1776="Category Pending","Needs categorization",IF(COUNTIFS($A$2:A1776,A1776,$B$2:B1776,B1776,$E$2:E1776,E1776)&gt;1,"Possible duplicate","")))</f>
      </c>
    </row>
    <row r="1777" spans="3:14" x14ac:dyDescent="0.3">
      <c r="A1777"/>
      <c r="C1777" s="16"/>
      <c r="G1777" s="5">
        <f>IF(A1777="","","Checking")</f>
      </c>
      <c r="H1777">
        <f>IF(A1777="","",IFERROR(XLOOKUP(D1777,Setup!$E$15:$E$79,Setup!$F$15:$F$79),"Miscellaneous"))</f>
      </c>
      <c r="I1777">
        <f>IF(A1777="","",IFERROR(XLOOKUP(D1777,Setup!$E$15:$E$79,Setup!$G$15:$G$79),"Uncategorized"))</f>
      </c>
      <c r="J1777">
        <f>IF(A1777="","",IF(OR(H1777="Transfers",H1777="Income",D1777="Transfer",D1777="Category Pending",F1777="Pending"),"No","Yes"))</f>
      </c>
      <c r="K1777" s="4">
        <f>IF(A1777="","",TEXT(IF(DAY(A1777)&gt;=Setup!$B$9,DATE(YEAR(A1777),MONTH(A1777)+1,1),DATE(YEAR(A1777),MONTH(A1777),1)),"mmmm yyyy"))</f>
      </c>
      <c r="L1777" s="47">
        <f>IF(A1777="",0,IF(AND(J1777="Yes",E1777&lt;0),-E1777,0))</f>
      </c>
      <c r="M1777" s="47">
        <f>IF(A1777="",0,IF(AND(J1777="Yes",E1777&gt;0),E1777,0))</f>
      </c>
      <c r="N1777">
        <f>IF(A1777="","",IF(D1777="Category Pending","Needs categorization",IF(COUNTIFS($A$2:A1777,A1777,$B$2:B1777,B1777,$E$2:E1777,E1777)&gt;1,"Possible duplicate","")))</f>
      </c>
    </row>
    <row r="1778" spans="3:14" x14ac:dyDescent="0.3">
      <c r="A1778"/>
      <c r="C1778" s="16"/>
      <c r="G1778" s="5">
        <f>IF(A1778="","","Checking")</f>
      </c>
      <c r="H1778">
        <f>IF(A1778="","",IFERROR(XLOOKUP(D1778,Setup!$E$15:$E$79,Setup!$F$15:$F$79),"Miscellaneous"))</f>
      </c>
      <c r="I1778">
        <f>IF(A1778="","",IFERROR(XLOOKUP(D1778,Setup!$E$15:$E$79,Setup!$G$15:$G$79),"Uncategorized"))</f>
      </c>
      <c r="J1778">
        <f>IF(A1778="","",IF(OR(H1778="Transfers",H1778="Income",D1778="Transfer",D1778="Category Pending",F1778="Pending"),"No","Yes"))</f>
      </c>
      <c r="K1778" s="4">
        <f>IF(A1778="","",TEXT(IF(DAY(A1778)&gt;=Setup!$B$9,DATE(YEAR(A1778),MONTH(A1778)+1,1),DATE(YEAR(A1778),MONTH(A1778),1)),"mmmm yyyy"))</f>
      </c>
      <c r="L1778" s="47">
        <f>IF(A1778="",0,IF(AND(J1778="Yes",E1778&lt;0),-E1778,0))</f>
      </c>
      <c r="M1778" s="47">
        <f>IF(A1778="",0,IF(AND(J1778="Yes",E1778&gt;0),E1778,0))</f>
      </c>
      <c r="N1778">
        <f>IF(A1778="","",IF(D1778="Category Pending","Needs categorization",IF(COUNTIFS($A$2:A1778,A1778,$B$2:B1778,B1778,$E$2:E1778,E1778)&gt;1,"Possible duplicate","")))</f>
      </c>
    </row>
    <row r="1779" spans="3:14" x14ac:dyDescent="0.3">
      <c r="A1779"/>
      <c r="C1779" s="16"/>
      <c r="G1779" s="5">
        <f>IF(A1779="","","Checking")</f>
      </c>
      <c r="H1779">
        <f>IF(A1779="","",IFERROR(XLOOKUP(D1779,Setup!$E$15:$E$79,Setup!$F$15:$F$79),"Miscellaneous"))</f>
      </c>
      <c r="I1779">
        <f>IF(A1779="","",IFERROR(XLOOKUP(D1779,Setup!$E$15:$E$79,Setup!$G$15:$G$79),"Uncategorized"))</f>
      </c>
      <c r="J1779">
        <f>IF(A1779="","",IF(OR(H1779="Transfers",H1779="Income",D1779="Transfer",D1779="Category Pending",F1779="Pending"),"No","Yes"))</f>
      </c>
      <c r="K1779" s="4">
        <f>IF(A1779="","",TEXT(IF(DAY(A1779)&gt;=Setup!$B$9,DATE(YEAR(A1779),MONTH(A1779)+1,1),DATE(YEAR(A1779),MONTH(A1779),1)),"mmmm yyyy"))</f>
      </c>
      <c r="L1779" s="47">
        <f>IF(A1779="",0,IF(AND(J1779="Yes",E1779&lt;0),-E1779,0))</f>
      </c>
      <c r="M1779" s="47">
        <f>IF(A1779="",0,IF(AND(J1779="Yes",E1779&gt;0),E1779,0))</f>
      </c>
      <c r="N1779">
        <f>IF(A1779="","",IF(D1779="Category Pending","Needs categorization",IF(COUNTIFS($A$2:A1779,A1779,$B$2:B1779,B1779,$E$2:E1779,E1779)&gt;1,"Possible duplicate","")))</f>
      </c>
    </row>
    <row r="1780" spans="3:14" x14ac:dyDescent="0.3">
      <c r="A1780"/>
      <c r="C1780" s="16"/>
      <c r="G1780" s="5">
        <f>IF(A1780="","","Checking")</f>
      </c>
      <c r="H1780">
        <f>IF(A1780="","",IFERROR(XLOOKUP(D1780,Setup!$E$15:$E$79,Setup!$F$15:$F$79),"Miscellaneous"))</f>
      </c>
      <c r="I1780">
        <f>IF(A1780="","",IFERROR(XLOOKUP(D1780,Setup!$E$15:$E$79,Setup!$G$15:$G$79),"Uncategorized"))</f>
      </c>
      <c r="J1780">
        <f>IF(A1780="","",IF(OR(H1780="Transfers",H1780="Income",D1780="Transfer",D1780="Category Pending",F1780="Pending"),"No","Yes"))</f>
      </c>
      <c r="K1780" s="4">
        <f>IF(A1780="","",TEXT(IF(DAY(A1780)&gt;=Setup!$B$9,DATE(YEAR(A1780),MONTH(A1780)+1,1),DATE(YEAR(A1780),MONTH(A1780),1)),"mmmm yyyy"))</f>
      </c>
      <c r="L1780" s="47">
        <f>IF(A1780="",0,IF(AND(J1780="Yes",E1780&lt;0),-E1780,0))</f>
      </c>
      <c r="M1780" s="47">
        <f>IF(A1780="",0,IF(AND(J1780="Yes",E1780&gt;0),E1780,0))</f>
      </c>
      <c r="N1780">
        <f>IF(A1780="","",IF(D1780="Category Pending","Needs categorization",IF(COUNTIFS($A$2:A1780,A1780,$B$2:B1780,B1780,$E$2:E1780,E1780)&gt;1,"Possible duplicate","")))</f>
      </c>
    </row>
    <row r="1781" spans="3:14" x14ac:dyDescent="0.3">
      <c r="A1781"/>
      <c r="C1781" s="16"/>
      <c r="G1781" s="5">
        <f>IF(A1781="","","Checking")</f>
      </c>
      <c r="H1781">
        <f>IF(A1781="","",IFERROR(XLOOKUP(D1781,Setup!$E$15:$E$79,Setup!$F$15:$F$79),"Miscellaneous"))</f>
      </c>
      <c r="I1781">
        <f>IF(A1781="","",IFERROR(XLOOKUP(D1781,Setup!$E$15:$E$79,Setup!$G$15:$G$79),"Uncategorized"))</f>
      </c>
      <c r="J1781">
        <f>IF(A1781="","",IF(OR(H1781="Transfers",H1781="Income",D1781="Transfer",D1781="Category Pending",F1781="Pending"),"No","Yes"))</f>
      </c>
      <c r="K1781" s="4">
        <f>IF(A1781="","",TEXT(IF(DAY(A1781)&gt;=Setup!$B$9,DATE(YEAR(A1781),MONTH(A1781)+1,1),DATE(YEAR(A1781),MONTH(A1781),1)),"mmmm yyyy"))</f>
      </c>
      <c r="L1781" s="47">
        <f>IF(A1781="",0,IF(AND(J1781="Yes",E1781&lt;0),-E1781,0))</f>
      </c>
      <c r="M1781" s="47">
        <f>IF(A1781="",0,IF(AND(J1781="Yes",E1781&gt;0),E1781,0))</f>
      </c>
      <c r="N1781">
        <f>IF(A1781="","",IF(D1781="Category Pending","Needs categorization",IF(COUNTIFS($A$2:A1781,A1781,$B$2:B1781,B1781,$E$2:E1781,E1781)&gt;1,"Possible duplicate","")))</f>
      </c>
    </row>
    <row r="1782" spans="3:14" x14ac:dyDescent="0.3">
      <c r="A1782"/>
      <c r="C1782" s="16"/>
      <c r="G1782" s="5">
        <f>IF(A1782="","","Checking")</f>
      </c>
      <c r="H1782">
        <f>IF(A1782="","",IFERROR(XLOOKUP(D1782,Setup!$E$15:$E$79,Setup!$F$15:$F$79),"Miscellaneous"))</f>
      </c>
      <c r="I1782">
        <f>IF(A1782="","",IFERROR(XLOOKUP(D1782,Setup!$E$15:$E$79,Setup!$G$15:$G$79),"Uncategorized"))</f>
      </c>
      <c r="J1782">
        <f>IF(A1782="","",IF(OR(H1782="Transfers",H1782="Income",D1782="Transfer",D1782="Category Pending",F1782="Pending"),"No","Yes"))</f>
      </c>
      <c r="K1782" s="4">
        <f>IF(A1782="","",TEXT(IF(DAY(A1782)&gt;=Setup!$B$9,DATE(YEAR(A1782),MONTH(A1782)+1,1),DATE(YEAR(A1782),MONTH(A1782),1)),"mmmm yyyy"))</f>
      </c>
      <c r="L1782" s="47">
        <f>IF(A1782="",0,IF(AND(J1782="Yes",E1782&lt;0),-E1782,0))</f>
      </c>
      <c r="M1782" s="47">
        <f>IF(A1782="",0,IF(AND(J1782="Yes",E1782&gt;0),E1782,0))</f>
      </c>
      <c r="N1782">
        <f>IF(A1782="","",IF(D1782="Category Pending","Needs categorization",IF(COUNTIFS($A$2:A1782,A1782,$B$2:B1782,B1782,$E$2:E1782,E1782)&gt;1,"Possible duplicate","")))</f>
      </c>
    </row>
    <row r="1783" spans="3:14" x14ac:dyDescent="0.3">
      <c r="A1783"/>
      <c r="C1783" s="16"/>
      <c r="G1783" s="5">
        <f>IF(A1783="","","Checking")</f>
      </c>
      <c r="H1783">
        <f>IF(A1783="","",IFERROR(XLOOKUP(D1783,Setup!$E$15:$E$79,Setup!$F$15:$F$79),"Miscellaneous"))</f>
      </c>
      <c r="I1783">
        <f>IF(A1783="","",IFERROR(XLOOKUP(D1783,Setup!$E$15:$E$79,Setup!$G$15:$G$79),"Uncategorized"))</f>
      </c>
      <c r="J1783">
        <f>IF(A1783="","",IF(OR(H1783="Transfers",H1783="Income",D1783="Transfer",D1783="Category Pending",F1783="Pending"),"No","Yes"))</f>
      </c>
      <c r="K1783" s="4">
        <f>IF(A1783="","",TEXT(IF(DAY(A1783)&gt;=Setup!$B$9,DATE(YEAR(A1783),MONTH(A1783)+1,1),DATE(YEAR(A1783),MONTH(A1783),1)),"mmmm yyyy"))</f>
      </c>
      <c r="L1783" s="47">
        <f>IF(A1783="",0,IF(AND(J1783="Yes",E1783&lt;0),-E1783,0))</f>
      </c>
      <c r="M1783" s="47">
        <f>IF(A1783="",0,IF(AND(J1783="Yes",E1783&gt;0),E1783,0))</f>
      </c>
      <c r="N1783">
        <f>IF(A1783="","",IF(D1783="Category Pending","Needs categorization",IF(COUNTIFS($A$2:A1783,A1783,$B$2:B1783,B1783,$E$2:E1783,E1783)&gt;1,"Possible duplicate","")))</f>
      </c>
    </row>
    <row r="1784" spans="3:14" x14ac:dyDescent="0.3">
      <c r="A1784"/>
      <c r="C1784" s="16"/>
      <c r="G1784" s="5">
        <f>IF(A1784="","","Checking")</f>
      </c>
      <c r="H1784">
        <f>IF(A1784="","",IFERROR(XLOOKUP(D1784,Setup!$E$15:$E$79,Setup!$F$15:$F$79),"Miscellaneous"))</f>
      </c>
      <c r="I1784">
        <f>IF(A1784="","",IFERROR(XLOOKUP(D1784,Setup!$E$15:$E$79,Setup!$G$15:$G$79),"Uncategorized"))</f>
      </c>
      <c r="J1784">
        <f>IF(A1784="","",IF(OR(H1784="Transfers",H1784="Income",D1784="Transfer",D1784="Category Pending",F1784="Pending"),"No","Yes"))</f>
      </c>
      <c r="K1784" s="4">
        <f>IF(A1784="","",TEXT(IF(DAY(A1784)&gt;=Setup!$B$9,DATE(YEAR(A1784),MONTH(A1784)+1,1),DATE(YEAR(A1784),MONTH(A1784),1)),"mmmm yyyy"))</f>
      </c>
      <c r="L1784" s="47">
        <f>IF(A1784="",0,IF(AND(J1784="Yes",E1784&lt;0),-E1784,0))</f>
      </c>
      <c r="M1784" s="47">
        <f>IF(A1784="",0,IF(AND(J1784="Yes",E1784&gt;0),E1784,0))</f>
      </c>
      <c r="N1784">
        <f>IF(A1784="","",IF(D1784="Category Pending","Needs categorization",IF(COUNTIFS($A$2:A1784,A1784,$B$2:B1784,B1784,$E$2:E1784,E1784)&gt;1,"Possible duplicate","")))</f>
      </c>
    </row>
    <row r="1785" spans="3:14" x14ac:dyDescent="0.3">
      <c r="A1785"/>
      <c r="C1785" s="16"/>
      <c r="G1785" s="5">
        <f>IF(A1785="","","Checking")</f>
      </c>
      <c r="H1785">
        <f>IF(A1785="","",IFERROR(XLOOKUP(D1785,Setup!$E$15:$E$79,Setup!$F$15:$F$79),"Miscellaneous"))</f>
      </c>
      <c r="I1785">
        <f>IF(A1785="","",IFERROR(XLOOKUP(D1785,Setup!$E$15:$E$79,Setup!$G$15:$G$79),"Uncategorized"))</f>
      </c>
      <c r="J1785">
        <f>IF(A1785="","",IF(OR(H1785="Transfers",H1785="Income",D1785="Transfer",D1785="Category Pending",F1785="Pending"),"No","Yes"))</f>
      </c>
      <c r="K1785" s="4">
        <f>IF(A1785="","",TEXT(IF(DAY(A1785)&gt;=Setup!$B$9,DATE(YEAR(A1785),MONTH(A1785)+1,1),DATE(YEAR(A1785),MONTH(A1785),1)),"mmmm yyyy"))</f>
      </c>
      <c r="L1785" s="47">
        <f>IF(A1785="",0,IF(AND(J1785="Yes",E1785&lt;0),-E1785,0))</f>
      </c>
      <c r="M1785" s="47">
        <f>IF(A1785="",0,IF(AND(J1785="Yes",E1785&gt;0),E1785,0))</f>
      </c>
      <c r="N1785">
        <f>IF(A1785="","",IF(D1785="Category Pending","Needs categorization",IF(COUNTIFS($A$2:A1785,A1785,$B$2:B1785,B1785,$E$2:E1785,E1785)&gt;1,"Possible duplicate","")))</f>
      </c>
    </row>
    <row r="1786" spans="3:14" x14ac:dyDescent="0.3">
      <c r="A1786"/>
      <c r="C1786" s="16"/>
      <c r="G1786" s="5">
        <f>IF(A1786="","","Checking")</f>
      </c>
      <c r="H1786">
        <f>IF(A1786="","",IFERROR(XLOOKUP(D1786,Setup!$E$15:$E$79,Setup!$F$15:$F$79),"Miscellaneous"))</f>
      </c>
      <c r="I1786">
        <f>IF(A1786="","",IFERROR(XLOOKUP(D1786,Setup!$E$15:$E$79,Setup!$G$15:$G$79),"Uncategorized"))</f>
      </c>
      <c r="J1786">
        <f>IF(A1786="","",IF(OR(H1786="Transfers",H1786="Income",D1786="Transfer",D1786="Category Pending",F1786="Pending"),"No","Yes"))</f>
      </c>
      <c r="K1786" s="4">
        <f>IF(A1786="","",TEXT(IF(DAY(A1786)&gt;=Setup!$B$9,DATE(YEAR(A1786),MONTH(A1786)+1,1),DATE(YEAR(A1786),MONTH(A1786),1)),"mmmm yyyy"))</f>
      </c>
      <c r="L1786" s="47">
        <f>IF(A1786="",0,IF(AND(J1786="Yes",E1786&lt;0),-E1786,0))</f>
      </c>
      <c r="M1786" s="47">
        <f>IF(A1786="",0,IF(AND(J1786="Yes",E1786&gt;0),E1786,0))</f>
      </c>
      <c r="N1786">
        <f>IF(A1786="","",IF(D1786="Category Pending","Needs categorization",IF(COUNTIFS($A$2:A1786,A1786,$B$2:B1786,B1786,$E$2:E1786,E1786)&gt;1,"Possible duplicate","")))</f>
      </c>
    </row>
    <row r="1787" spans="3:14" x14ac:dyDescent="0.3">
      <c r="A1787"/>
      <c r="C1787" s="16"/>
      <c r="G1787" s="5">
        <f>IF(A1787="","","Checking")</f>
      </c>
      <c r="H1787">
        <f>IF(A1787="","",IFERROR(XLOOKUP(D1787,Setup!$E$15:$E$79,Setup!$F$15:$F$79),"Miscellaneous"))</f>
      </c>
      <c r="I1787">
        <f>IF(A1787="","",IFERROR(XLOOKUP(D1787,Setup!$E$15:$E$79,Setup!$G$15:$G$79),"Uncategorized"))</f>
      </c>
      <c r="J1787">
        <f>IF(A1787="","",IF(OR(H1787="Transfers",H1787="Income",D1787="Transfer",D1787="Category Pending",F1787="Pending"),"No","Yes"))</f>
      </c>
      <c r="K1787" s="4">
        <f>IF(A1787="","",TEXT(IF(DAY(A1787)&gt;=Setup!$B$9,DATE(YEAR(A1787),MONTH(A1787)+1,1),DATE(YEAR(A1787),MONTH(A1787),1)),"mmmm yyyy"))</f>
      </c>
      <c r="L1787" s="47">
        <f>IF(A1787="",0,IF(AND(J1787="Yes",E1787&lt;0),-E1787,0))</f>
      </c>
      <c r="M1787" s="47">
        <f>IF(A1787="",0,IF(AND(J1787="Yes",E1787&gt;0),E1787,0))</f>
      </c>
      <c r="N1787">
        <f>IF(A1787="","",IF(D1787="Category Pending","Needs categorization",IF(COUNTIFS($A$2:A1787,A1787,$B$2:B1787,B1787,$E$2:E1787,E1787)&gt;1,"Possible duplicate","")))</f>
      </c>
    </row>
    <row r="1788" spans="3:14" x14ac:dyDescent="0.3">
      <c r="A1788"/>
      <c r="C1788" s="16"/>
      <c r="G1788" s="5">
        <f>IF(A1788="","","Checking")</f>
      </c>
      <c r="H1788">
        <f>IF(A1788="","",IFERROR(XLOOKUP(D1788,Setup!$E$15:$E$79,Setup!$F$15:$F$79),"Miscellaneous"))</f>
      </c>
      <c r="I1788">
        <f>IF(A1788="","",IFERROR(XLOOKUP(D1788,Setup!$E$15:$E$79,Setup!$G$15:$G$79),"Uncategorized"))</f>
      </c>
      <c r="J1788">
        <f>IF(A1788="","",IF(OR(H1788="Transfers",H1788="Income",D1788="Transfer",D1788="Category Pending",F1788="Pending"),"No","Yes"))</f>
      </c>
      <c r="K1788" s="4">
        <f>IF(A1788="","",TEXT(IF(DAY(A1788)&gt;=Setup!$B$9,DATE(YEAR(A1788),MONTH(A1788)+1,1),DATE(YEAR(A1788),MONTH(A1788),1)),"mmmm yyyy"))</f>
      </c>
      <c r="L1788" s="47">
        <f>IF(A1788="",0,IF(AND(J1788="Yes",E1788&lt;0),-E1788,0))</f>
      </c>
      <c r="M1788" s="47">
        <f>IF(A1788="",0,IF(AND(J1788="Yes",E1788&gt;0),E1788,0))</f>
      </c>
      <c r="N1788">
        <f>IF(A1788="","",IF(D1788="Category Pending","Needs categorization",IF(COUNTIFS($A$2:A1788,A1788,$B$2:B1788,B1788,$E$2:E1788,E1788)&gt;1,"Possible duplicate","")))</f>
      </c>
    </row>
    <row r="1789" spans="3:14" x14ac:dyDescent="0.3">
      <c r="A1789"/>
      <c r="C1789" s="16"/>
      <c r="G1789" s="5">
        <f>IF(A1789="","","Checking")</f>
      </c>
      <c r="H1789">
        <f>IF(A1789="","",IFERROR(XLOOKUP(D1789,Setup!$E$15:$E$79,Setup!$F$15:$F$79),"Miscellaneous"))</f>
      </c>
      <c r="I1789">
        <f>IF(A1789="","",IFERROR(XLOOKUP(D1789,Setup!$E$15:$E$79,Setup!$G$15:$G$79),"Uncategorized"))</f>
      </c>
      <c r="J1789">
        <f>IF(A1789="","",IF(OR(H1789="Transfers",H1789="Income",D1789="Transfer",D1789="Category Pending",F1789="Pending"),"No","Yes"))</f>
      </c>
      <c r="K1789" s="4">
        <f>IF(A1789="","",TEXT(IF(DAY(A1789)&gt;=Setup!$B$9,DATE(YEAR(A1789),MONTH(A1789)+1,1),DATE(YEAR(A1789),MONTH(A1789),1)),"mmmm yyyy"))</f>
      </c>
      <c r="L1789" s="47">
        <f>IF(A1789="",0,IF(AND(J1789="Yes",E1789&lt;0),-E1789,0))</f>
      </c>
      <c r="M1789" s="47">
        <f>IF(A1789="",0,IF(AND(J1789="Yes",E1789&gt;0),E1789,0))</f>
      </c>
      <c r="N1789">
        <f>IF(A1789="","",IF(D1789="Category Pending","Needs categorization",IF(COUNTIFS($A$2:A1789,A1789,$B$2:B1789,B1789,$E$2:E1789,E1789)&gt;1,"Possible duplicate","")))</f>
      </c>
    </row>
    <row r="1790" spans="3:14" x14ac:dyDescent="0.3">
      <c r="A1790"/>
      <c r="C1790" s="16"/>
      <c r="G1790" s="5">
        <f>IF(A1790="","","Checking")</f>
      </c>
      <c r="H1790">
        <f>IF(A1790="","",IFERROR(XLOOKUP(D1790,Setup!$E$15:$E$79,Setup!$F$15:$F$79),"Miscellaneous"))</f>
      </c>
      <c r="I1790">
        <f>IF(A1790="","",IFERROR(XLOOKUP(D1790,Setup!$E$15:$E$79,Setup!$G$15:$G$79),"Uncategorized"))</f>
      </c>
      <c r="J1790">
        <f>IF(A1790="","",IF(OR(H1790="Transfers",H1790="Income",D1790="Transfer",D1790="Category Pending",F1790="Pending"),"No","Yes"))</f>
      </c>
      <c r="K1790" s="4">
        <f>IF(A1790="","",TEXT(IF(DAY(A1790)&gt;=Setup!$B$9,DATE(YEAR(A1790),MONTH(A1790)+1,1),DATE(YEAR(A1790),MONTH(A1790),1)),"mmmm yyyy"))</f>
      </c>
      <c r="L1790" s="47">
        <f>IF(A1790="",0,IF(AND(J1790="Yes",E1790&lt;0),-E1790,0))</f>
      </c>
      <c r="M1790" s="47">
        <f>IF(A1790="",0,IF(AND(J1790="Yes",E1790&gt;0),E1790,0))</f>
      </c>
      <c r="N1790">
        <f>IF(A1790="","",IF(D1790="Category Pending","Needs categorization",IF(COUNTIFS($A$2:A1790,A1790,$B$2:B1790,B1790,$E$2:E1790,E1790)&gt;1,"Possible duplicate","")))</f>
      </c>
    </row>
    <row r="1791" spans="3:14" x14ac:dyDescent="0.3">
      <c r="A1791"/>
      <c r="C1791" s="16"/>
      <c r="G1791" s="5">
        <f>IF(A1791="","","Checking")</f>
      </c>
      <c r="H1791">
        <f>IF(A1791="","",IFERROR(XLOOKUP(D1791,Setup!$E$15:$E$79,Setup!$F$15:$F$79),"Miscellaneous"))</f>
      </c>
      <c r="I1791">
        <f>IF(A1791="","",IFERROR(XLOOKUP(D1791,Setup!$E$15:$E$79,Setup!$G$15:$G$79),"Uncategorized"))</f>
      </c>
      <c r="J1791">
        <f>IF(A1791="","",IF(OR(H1791="Transfers",H1791="Income",D1791="Transfer",D1791="Category Pending",F1791="Pending"),"No","Yes"))</f>
      </c>
      <c r="K1791" s="4">
        <f>IF(A1791="","",TEXT(IF(DAY(A1791)&gt;=Setup!$B$9,DATE(YEAR(A1791),MONTH(A1791)+1,1),DATE(YEAR(A1791),MONTH(A1791),1)),"mmmm yyyy"))</f>
      </c>
      <c r="L1791" s="47">
        <f>IF(A1791="",0,IF(AND(J1791="Yes",E1791&lt;0),-E1791,0))</f>
      </c>
      <c r="M1791" s="47">
        <f>IF(A1791="",0,IF(AND(J1791="Yes",E1791&gt;0),E1791,0))</f>
      </c>
      <c r="N1791">
        <f>IF(A1791="","",IF(D1791="Category Pending","Needs categorization",IF(COUNTIFS($A$2:A1791,A1791,$B$2:B1791,B1791,$E$2:E1791,E1791)&gt;1,"Possible duplicate","")))</f>
      </c>
    </row>
    <row r="1792" spans="3:14" x14ac:dyDescent="0.3">
      <c r="A1792"/>
      <c r="C1792" s="16"/>
      <c r="G1792" s="5">
        <f>IF(A1792="","","Checking")</f>
      </c>
      <c r="H1792">
        <f>IF(A1792="","",IFERROR(XLOOKUP(D1792,Setup!$E$15:$E$79,Setup!$F$15:$F$79),"Miscellaneous"))</f>
      </c>
      <c r="I1792">
        <f>IF(A1792="","",IFERROR(XLOOKUP(D1792,Setup!$E$15:$E$79,Setup!$G$15:$G$79),"Uncategorized"))</f>
      </c>
      <c r="J1792">
        <f>IF(A1792="","",IF(OR(H1792="Transfers",H1792="Income",D1792="Transfer",D1792="Category Pending",F1792="Pending"),"No","Yes"))</f>
      </c>
      <c r="K1792" s="4">
        <f>IF(A1792="","",TEXT(IF(DAY(A1792)&gt;=Setup!$B$9,DATE(YEAR(A1792),MONTH(A1792)+1,1),DATE(YEAR(A1792),MONTH(A1792),1)),"mmmm yyyy"))</f>
      </c>
      <c r="L1792" s="47">
        <f>IF(A1792="",0,IF(AND(J1792="Yes",E1792&lt;0),-E1792,0))</f>
      </c>
      <c r="M1792" s="47">
        <f>IF(A1792="",0,IF(AND(J1792="Yes",E1792&gt;0),E1792,0))</f>
      </c>
      <c r="N1792">
        <f>IF(A1792="","",IF(D1792="Category Pending","Needs categorization",IF(COUNTIFS($A$2:A1792,A1792,$B$2:B1792,B1792,$E$2:E1792,E1792)&gt;1,"Possible duplicate","")))</f>
      </c>
    </row>
    <row r="1793" spans="3:14" x14ac:dyDescent="0.3">
      <c r="A1793"/>
      <c r="C1793" s="16"/>
      <c r="G1793" s="5">
        <f>IF(A1793="","","Checking")</f>
      </c>
      <c r="H1793">
        <f>IF(A1793="","",IFERROR(XLOOKUP(D1793,Setup!$E$15:$E$79,Setup!$F$15:$F$79),"Miscellaneous"))</f>
      </c>
      <c r="I1793">
        <f>IF(A1793="","",IFERROR(XLOOKUP(D1793,Setup!$E$15:$E$79,Setup!$G$15:$G$79),"Uncategorized"))</f>
      </c>
      <c r="J1793">
        <f>IF(A1793="","",IF(OR(H1793="Transfers",H1793="Income",D1793="Transfer",D1793="Category Pending",F1793="Pending"),"No","Yes"))</f>
      </c>
      <c r="K1793" s="4">
        <f>IF(A1793="","",TEXT(IF(DAY(A1793)&gt;=Setup!$B$9,DATE(YEAR(A1793),MONTH(A1793)+1,1),DATE(YEAR(A1793),MONTH(A1793),1)),"mmmm yyyy"))</f>
      </c>
      <c r="L1793" s="47">
        <f>IF(A1793="",0,IF(AND(J1793="Yes",E1793&lt;0),-E1793,0))</f>
      </c>
      <c r="M1793" s="47">
        <f>IF(A1793="",0,IF(AND(J1793="Yes",E1793&gt;0),E1793,0))</f>
      </c>
      <c r="N1793">
        <f>IF(A1793="","",IF(D1793="Category Pending","Needs categorization",IF(COUNTIFS($A$2:A1793,A1793,$B$2:B1793,B1793,$E$2:E1793,E1793)&gt;1,"Possible duplicate","")))</f>
      </c>
    </row>
    <row r="1794" spans="3:14" x14ac:dyDescent="0.3">
      <c r="A1794"/>
      <c r="C1794" s="16"/>
      <c r="G1794" s="5">
        <f>IF(A1794="","","Checking")</f>
      </c>
      <c r="H1794">
        <f>IF(A1794="","",IFERROR(XLOOKUP(D1794,Setup!$E$15:$E$79,Setup!$F$15:$F$79),"Miscellaneous"))</f>
      </c>
      <c r="I1794">
        <f>IF(A1794="","",IFERROR(XLOOKUP(D1794,Setup!$E$15:$E$79,Setup!$G$15:$G$79),"Uncategorized"))</f>
      </c>
      <c r="J1794">
        <f>IF(A1794="","",IF(OR(H1794="Transfers",H1794="Income",D1794="Transfer",D1794="Category Pending",F1794="Pending"),"No","Yes"))</f>
      </c>
      <c r="K1794" s="4">
        <f>IF(A1794="","",TEXT(IF(DAY(A1794)&gt;=Setup!$B$9,DATE(YEAR(A1794),MONTH(A1794)+1,1),DATE(YEAR(A1794),MONTH(A1794),1)),"mmmm yyyy"))</f>
      </c>
      <c r="L1794" s="47">
        <f>IF(A1794="",0,IF(AND(J1794="Yes",E1794&lt;0),-E1794,0))</f>
      </c>
      <c r="M1794" s="47">
        <f>IF(A1794="",0,IF(AND(J1794="Yes",E1794&gt;0),E1794,0))</f>
      </c>
      <c r="N1794">
        <f>IF(A1794="","",IF(D1794="Category Pending","Needs categorization",IF(COUNTIFS($A$2:A1794,A1794,$B$2:B1794,B1794,$E$2:E1794,E1794)&gt;1,"Possible duplicate","")))</f>
      </c>
    </row>
    <row r="1795" spans="3:14" x14ac:dyDescent="0.3">
      <c r="A1795"/>
      <c r="C1795" s="16"/>
      <c r="G1795" s="5">
        <f>IF(A1795="","","Checking")</f>
      </c>
      <c r="H1795">
        <f>IF(A1795="","",IFERROR(XLOOKUP(D1795,Setup!$E$15:$E$79,Setup!$F$15:$F$79),"Miscellaneous"))</f>
      </c>
      <c r="I1795">
        <f>IF(A1795="","",IFERROR(XLOOKUP(D1795,Setup!$E$15:$E$79,Setup!$G$15:$G$79),"Uncategorized"))</f>
      </c>
      <c r="J1795">
        <f>IF(A1795="","",IF(OR(H1795="Transfers",H1795="Income",D1795="Transfer",D1795="Category Pending",F1795="Pending"),"No","Yes"))</f>
      </c>
      <c r="K1795" s="4">
        <f>IF(A1795="","",TEXT(IF(DAY(A1795)&gt;=Setup!$B$9,DATE(YEAR(A1795),MONTH(A1795)+1,1),DATE(YEAR(A1795),MONTH(A1795),1)),"mmmm yyyy"))</f>
      </c>
      <c r="L1795" s="47">
        <f>IF(A1795="",0,IF(AND(J1795="Yes",E1795&lt;0),-E1795,0))</f>
      </c>
      <c r="M1795" s="47">
        <f>IF(A1795="",0,IF(AND(J1795="Yes",E1795&gt;0),E1795,0))</f>
      </c>
      <c r="N1795">
        <f>IF(A1795="","",IF(D1795="Category Pending","Needs categorization",IF(COUNTIFS($A$2:A1795,A1795,$B$2:B1795,B1795,$E$2:E1795,E1795)&gt;1,"Possible duplicate","")))</f>
      </c>
    </row>
    <row r="1796" spans="3:14" x14ac:dyDescent="0.3">
      <c r="A1796"/>
      <c r="C1796" s="16"/>
      <c r="G1796" s="5">
        <f>IF(A1796="","","Checking")</f>
      </c>
      <c r="H1796">
        <f>IF(A1796="","",IFERROR(XLOOKUP(D1796,Setup!$E$15:$E$79,Setup!$F$15:$F$79),"Miscellaneous"))</f>
      </c>
      <c r="I1796">
        <f>IF(A1796="","",IFERROR(XLOOKUP(D1796,Setup!$E$15:$E$79,Setup!$G$15:$G$79),"Uncategorized"))</f>
      </c>
      <c r="J1796">
        <f>IF(A1796="","",IF(OR(H1796="Transfers",H1796="Income",D1796="Transfer",D1796="Category Pending",F1796="Pending"),"No","Yes"))</f>
      </c>
      <c r="K1796" s="4">
        <f>IF(A1796="","",TEXT(IF(DAY(A1796)&gt;=Setup!$B$9,DATE(YEAR(A1796),MONTH(A1796)+1,1),DATE(YEAR(A1796),MONTH(A1796),1)),"mmmm yyyy"))</f>
      </c>
      <c r="L1796" s="47">
        <f>IF(A1796="",0,IF(AND(J1796="Yes",E1796&lt;0),-E1796,0))</f>
      </c>
      <c r="M1796" s="47">
        <f>IF(A1796="",0,IF(AND(J1796="Yes",E1796&gt;0),E1796,0))</f>
      </c>
      <c r="N1796">
        <f>IF(A1796="","",IF(D1796="Category Pending","Needs categorization",IF(COUNTIFS($A$2:A1796,A1796,$B$2:B1796,B1796,$E$2:E1796,E1796)&gt;1,"Possible duplicate","")))</f>
      </c>
    </row>
    <row r="1797" spans="3:14" x14ac:dyDescent="0.3">
      <c r="A1797"/>
      <c r="C1797" s="16"/>
      <c r="G1797" s="5">
        <f>IF(A1797="","","Checking")</f>
      </c>
      <c r="H1797">
        <f>IF(A1797="","",IFERROR(XLOOKUP(D1797,Setup!$E$15:$E$79,Setup!$F$15:$F$79),"Miscellaneous"))</f>
      </c>
      <c r="I1797">
        <f>IF(A1797="","",IFERROR(XLOOKUP(D1797,Setup!$E$15:$E$79,Setup!$G$15:$G$79),"Uncategorized"))</f>
      </c>
      <c r="J1797">
        <f>IF(A1797="","",IF(OR(H1797="Transfers",H1797="Income",D1797="Transfer",D1797="Category Pending",F1797="Pending"),"No","Yes"))</f>
      </c>
      <c r="K1797" s="4">
        <f>IF(A1797="","",TEXT(IF(DAY(A1797)&gt;=Setup!$B$9,DATE(YEAR(A1797),MONTH(A1797)+1,1),DATE(YEAR(A1797),MONTH(A1797),1)),"mmmm yyyy"))</f>
      </c>
      <c r="L1797" s="47">
        <f>IF(A1797="",0,IF(AND(J1797="Yes",E1797&lt;0),-E1797,0))</f>
      </c>
      <c r="M1797" s="47">
        <f>IF(A1797="",0,IF(AND(J1797="Yes",E1797&gt;0),E1797,0))</f>
      </c>
      <c r="N1797">
        <f>IF(A1797="","",IF(D1797="Category Pending","Needs categorization",IF(COUNTIFS($A$2:A1797,A1797,$B$2:B1797,B1797,$E$2:E1797,E1797)&gt;1,"Possible duplicate","")))</f>
      </c>
    </row>
    <row r="1798" spans="3:14" x14ac:dyDescent="0.3">
      <c r="A1798"/>
      <c r="C1798" s="16"/>
      <c r="G1798" s="5">
        <f>IF(A1798="","","Checking")</f>
      </c>
      <c r="H1798">
        <f>IF(A1798="","",IFERROR(XLOOKUP(D1798,Setup!$E$15:$E$79,Setup!$F$15:$F$79),"Miscellaneous"))</f>
      </c>
      <c r="I1798">
        <f>IF(A1798="","",IFERROR(XLOOKUP(D1798,Setup!$E$15:$E$79,Setup!$G$15:$G$79),"Uncategorized"))</f>
      </c>
      <c r="J1798">
        <f>IF(A1798="","",IF(OR(H1798="Transfers",H1798="Income",D1798="Transfer",D1798="Category Pending",F1798="Pending"),"No","Yes"))</f>
      </c>
      <c r="K1798" s="4">
        <f>IF(A1798="","",TEXT(IF(DAY(A1798)&gt;=Setup!$B$9,DATE(YEAR(A1798),MONTH(A1798)+1,1),DATE(YEAR(A1798),MONTH(A1798),1)),"mmmm yyyy"))</f>
      </c>
      <c r="L1798" s="47">
        <f>IF(A1798="",0,IF(AND(J1798="Yes",E1798&lt;0),-E1798,0))</f>
      </c>
      <c r="M1798" s="47">
        <f>IF(A1798="",0,IF(AND(J1798="Yes",E1798&gt;0),E1798,0))</f>
      </c>
      <c r="N1798">
        <f>IF(A1798="","",IF(D1798="Category Pending","Needs categorization",IF(COUNTIFS($A$2:A1798,A1798,$B$2:B1798,B1798,$E$2:E1798,E1798)&gt;1,"Possible duplicate","")))</f>
      </c>
    </row>
    <row r="1799" spans="3:14" x14ac:dyDescent="0.3">
      <c r="A1799"/>
      <c r="C1799" s="16"/>
      <c r="G1799" s="5">
        <f>IF(A1799="","","Checking")</f>
      </c>
      <c r="H1799">
        <f>IF(A1799="","",IFERROR(XLOOKUP(D1799,Setup!$E$15:$E$79,Setup!$F$15:$F$79),"Miscellaneous"))</f>
      </c>
      <c r="I1799">
        <f>IF(A1799="","",IFERROR(XLOOKUP(D1799,Setup!$E$15:$E$79,Setup!$G$15:$G$79),"Uncategorized"))</f>
      </c>
      <c r="J1799">
        <f>IF(A1799="","",IF(OR(H1799="Transfers",H1799="Income",D1799="Transfer",D1799="Category Pending",F1799="Pending"),"No","Yes"))</f>
      </c>
      <c r="K1799" s="4">
        <f>IF(A1799="","",TEXT(IF(DAY(A1799)&gt;=Setup!$B$9,DATE(YEAR(A1799),MONTH(A1799)+1,1),DATE(YEAR(A1799),MONTH(A1799),1)),"mmmm yyyy"))</f>
      </c>
      <c r="L1799" s="47">
        <f>IF(A1799="",0,IF(AND(J1799="Yes",E1799&lt;0),-E1799,0))</f>
      </c>
      <c r="M1799" s="47">
        <f>IF(A1799="",0,IF(AND(J1799="Yes",E1799&gt;0),E1799,0))</f>
      </c>
      <c r="N1799">
        <f>IF(A1799="","",IF(D1799="Category Pending","Needs categorization",IF(COUNTIFS($A$2:A1799,A1799,$B$2:B1799,B1799,$E$2:E1799,E1799)&gt;1,"Possible duplicate","")))</f>
      </c>
    </row>
    <row r="1800" spans="3:14" x14ac:dyDescent="0.3">
      <c r="A1800"/>
      <c r="C1800" s="16"/>
      <c r="G1800" s="5">
        <f>IF(A1800="","","Checking")</f>
      </c>
      <c r="H1800">
        <f>IF(A1800="","",IFERROR(XLOOKUP(D1800,Setup!$E$15:$E$79,Setup!$F$15:$F$79),"Miscellaneous"))</f>
      </c>
      <c r="I1800">
        <f>IF(A1800="","",IFERROR(XLOOKUP(D1800,Setup!$E$15:$E$79,Setup!$G$15:$G$79),"Uncategorized"))</f>
      </c>
      <c r="J1800">
        <f>IF(A1800="","",IF(OR(H1800="Transfers",H1800="Income",D1800="Transfer",D1800="Category Pending",F1800="Pending"),"No","Yes"))</f>
      </c>
      <c r="K1800" s="4">
        <f>IF(A1800="","",TEXT(IF(DAY(A1800)&gt;=Setup!$B$9,DATE(YEAR(A1800),MONTH(A1800)+1,1),DATE(YEAR(A1800),MONTH(A1800),1)),"mmmm yyyy"))</f>
      </c>
      <c r="L1800" s="47">
        <f>IF(A1800="",0,IF(AND(J1800="Yes",E1800&lt;0),-E1800,0))</f>
      </c>
      <c r="M1800" s="47">
        <f>IF(A1800="",0,IF(AND(J1800="Yes",E1800&gt;0),E1800,0))</f>
      </c>
      <c r="N1800">
        <f>IF(A1800="","",IF(D1800="Category Pending","Needs categorization",IF(COUNTIFS($A$2:A1800,A1800,$B$2:B1800,B1800,$E$2:E1800,E1800)&gt;1,"Possible duplicate","")))</f>
      </c>
    </row>
    <row r="1801" spans="3:14" x14ac:dyDescent="0.3">
      <c r="A1801"/>
      <c r="C1801" s="16"/>
      <c r="G1801" s="5">
        <f>IF(A1801="","","Checking")</f>
      </c>
      <c r="H1801">
        <f>IF(A1801="","",IFERROR(XLOOKUP(D1801,Setup!$E$15:$E$79,Setup!$F$15:$F$79),"Miscellaneous"))</f>
      </c>
      <c r="I1801">
        <f>IF(A1801="","",IFERROR(XLOOKUP(D1801,Setup!$E$15:$E$79,Setup!$G$15:$G$79),"Uncategorized"))</f>
      </c>
      <c r="J1801">
        <f>IF(A1801="","",IF(OR(H1801="Transfers",H1801="Income",D1801="Transfer",D1801="Category Pending",F1801="Pending"),"No","Yes"))</f>
      </c>
      <c r="K1801" s="4">
        <f>IF(A1801="","",TEXT(IF(DAY(A1801)&gt;=Setup!$B$9,DATE(YEAR(A1801),MONTH(A1801)+1,1),DATE(YEAR(A1801),MONTH(A1801),1)),"mmmm yyyy"))</f>
      </c>
      <c r="L1801" s="47">
        <f>IF(A1801="",0,IF(AND(J1801="Yes",E1801&lt;0),-E1801,0))</f>
      </c>
      <c r="M1801" s="47">
        <f>IF(A1801="",0,IF(AND(J1801="Yes",E1801&gt;0),E1801,0))</f>
      </c>
      <c r="N1801">
        <f>IF(A1801="","",IF(D1801="Category Pending","Needs categorization",IF(COUNTIFS($A$2:A1801,A1801,$B$2:B1801,B1801,$E$2:E1801,E1801)&gt;1,"Possible duplicate","")))</f>
      </c>
    </row>
    <row r="1802" spans="3:14" x14ac:dyDescent="0.3">
      <c r="A1802"/>
      <c r="C1802" s="16"/>
      <c r="G1802" s="5">
        <f>IF(A1802="","","Checking")</f>
      </c>
      <c r="H1802">
        <f>IF(A1802="","",IFERROR(XLOOKUP(D1802,Setup!$E$15:$E$79,Setup!$F$15:$F$79),"Miscellaneous"))</f>
      </c>
      <c r="I1802">
        <f>IF(A1802="","",IFERROR(XLOOKUP(D1802,Setup!$E$15:$E$79,Setup!$G$15:$G$79),"Uncategorized"))</f>
      </c>
      <c r="J1802">
        <f>IF(A1802="","",IF(OR(H1802="Transfers",H1802="Income",D1802="Transfer",D1802="Category Pending",F1802="Pending"),"No","Yes"))</f>
      </c>
      <c r="K1802" s="4">
        <f>IF(A1802="","",TEXT(IF(DAY(A1802)&gt;=Setup!$B$9,DATE(YEAR(A1802),MONTH(A1802)+1,1),DATE(YEAR(A1802),MONTH(A1802),1)),"mmmm yyyy"))</f>
      </c>
      <c r="L1802" s="47">
        <f>IF(A1802="",0,IF(AND(J1802="Yes",E1802&lt;0),-E1802,0))</f>
      </c>
      <c r="M1802" s="47">
        <f>IF(A1802="",0,IF(AND(J1802="Yes",E1802&gt;0),E1802,0))</f>
      </c>
      <c r="N1802">
        <f>IF(A1802="","",IF(D1802="Category Pending","Needs categorization",IF(COUNTIFS($A$2:A1802,A1802,$B$2:B1802,B1802,$E$2:E1802,E1802)&gt;1,"Possible duplicate","")))</f>
      </c>
    </row>
    <row r="1803" spans="3:14" x14ac:dyDescent="0.3">
      <c r="A1803"/>
      <c r="C1803" s="16"/>
      <c r="G1803" s="5">
        <f>IF(A1803="","","Checking")</f>
      </c>
      <c r="H1803">
        <f>IF(A1803="","",IFERROR(XLOOKUP(D1803,Setup!$E$15:$E$79,Setup!$F$15:$F$79),"Miscellaneous"))</f>
      </c>
      <c r="I1803">
        <f>IF(A1803="","",IFERROR(XLOOKUP(D1803,Setup!$E$15:$E$79,Setup!$G$15:$G$79),"Uncategorized"))</f>
      </c>
      <c r="J1803">
        <f>IF(A1803="","",IF(OR(H1803="Transfers",H1803="Income",D1803="Transfer",D1803="Category Pending",F1803="Pending"),"No","Yes"))</f>
      </c>
      <c r="K1803" s="4">
        <f>IF(A1803="","",TEXT(IF(DAY(A1803)&gt;=Setup!$B$9,DATE(YEAR(A1803),MONTH(A1803)+1,1),DATE(YEAR(A1803),MONTH(A1803),1)),"mmmm yyyy"))</f>
      </c>
      <c r="L1803" s="47">
        <f>IF(A1803="",0,IF(AND(J1803="Yes",E1803&lt;0),-E1803,0))</f>
      </c>
      <c r="M1803" s="47">
        <f>IF(A1803="",0,IF(AND(J1803="Yes",E1803&gt;0),E1803,0))</f>
      </c>
      <c r="N1803">
        <f>IF(A1803="","",IF(D1803="Category Pending","Needs categorization",IF(COUNTIFS($A$2:A1803,A1803,$B$2:B1803,B1803,$E$2:E1803,E1803)&gt;1,"Possible duplicate","")))</f>
      </c>
    </row>
    <row r="1804" spans="3:14" x14ac:dyDescent="0.3">
      <c r="A1804"/>
      <c r="C1804" s="16"/>
      <c r="G1804" s="5">
        <f>IF(A1804="","","Checking")</f>
      </c>
      <c r="H1804">
        <f>IF(A1804="","",IFERROR(XLOOKUP(D1804,Setup!$E$15:$E$79,Setup!$F$15:$F$79),"Miscellaneous"))</f>
      </c>
      <c r="I1804">
        <f>IF(A1804="","",IFERROR(XLOOKUP(D1804,Setup!$E$15:$E$79,Setup!$G$15:$G$79),"Uncategorized"))</f>
      </c>
      <c r="J1804">
        <f>IF(A1804="","",IF(OR(H1804="Transfers",H1804="Income",D1804="Transfer",D1804="Category Pending",F1804="Pending"),"No","Yes"))</f>
      </c>
      <c r="K1804" s="4">
        <f>IF(A1804="","",TEXT(IF(DAY(A1804)&gt;=Setup!$B$9,DATE(YEAR(A1804),MONTH(A1804)+1,1),DATE(YEAR(A1804),MONTH(A1804),1)),"mmmm yyyy"))</f>
      </c>
      <c r="L1804" s="47">
        <f>IF(A1804="",0,IF(AND(J1804="Yes",E1804&lt;0),-E1804,0))</f>
      </c>
      <c r="M1804" s="47">
        <f>IF(A1804="",0,IF(AND(J1804="Yes",E1804&gt;0),E1804,0))</f>
      </c>
      <c r="N1804">
        <f>IF(A1804="","",IF(D1804="Category Pending","Needs categorization",IF(COUNTIFS($A$2:A1804,A1804,$B$2:B1804,B1804,$E$2:E1804,E1804)&gt;1,"Possible duplicate","")))</f>
      </c>
    </row>
    <row r="1805" spans="3:14" x14ac:dyDescent="0.3">
      <c r="A1805"/>
      <c r="C1805" s="16"/>
      <c r="G1805" s="5">
        <f>IF(A1805="","","Checking")</f>
      </c>
      <c r="H1805">
        <f>IF(A1805="","",IFERROR(XLOOKUP(D1805,Setup!$E$15:$E$79,Setup!$F$15:$F$79),"Miscellaneous"))</f>
      </c>
      <c r="I1805">
        <f>IF(A1805="","",IFERROR(XLOOKUP(D1805,Setup!$E$15:$E$79,Setup!$G$15:$G$79),"Uncategorized"))</f>
      </c>
      <c r="J1805">
        <f>IF(A1805="","",IF(OR(H1805="Transfers",H1805="Income",D1805="Transfer",D1805="Category Pending",F1805="Pending"),"No","Yes"))</f>
      </c>
      <c r="K1805" s="4">
        <f>IF(A1805="","",TEXT(IF(DAY(A1805)&gt;=Setup!$B$9,DATE(YEAR(A1805),MONTH(A1805)+1,1),DATE(YEAR(A1805),MONTH(A1805),1)),"mmmm yyyy"))</f>
      </c>
      <c r="L1805" s="47">
        <f>IF(A1805="",0,IF(AND(J1805="Yes",E1805&lt;0),-E1805,0))</f>
      </c>
      <c r="M1805" s="47">
        <f>IF(A1805="",0,IF(AND(J1805="Yes",E1805&gt;0),E1805,0))</f>
      </c>
      <c r="N1805">
        <f>IF(A1805="","",IF(D1805="Category Pending","Needs categorization",IF(COUNTIFS($A$2:A1805,A1805,$B$2:B1805,B1805,$E$2:E1805,E1805)&gt;1,"Possible duplicate","")))</f>
      </c>
    </row>
    <row r="1806" spans="3:14" x14ac:dyDescent="0.3">
      <c r="A1806"/>
      <c r="C1806" s="16"/>
      <c r="G1806" s="5">
        <f>IF(A1806="","","Checking")</f>
      </c>
      <c r="H1806">
        <f>IF(A1806="","",IFERROR(XLOOKUP(D1806,Setup!$E$15:$E$79,Setup!$F$15:$F$79),"Miscellaneous"))</f>
      </c>
      <c r="I1806">
        <f>IF(A1806="","",IFERROR(XLOOKUP(D1806,Setup!$E$15:$E$79,Setup!$G$15:$G$79),"Uncategorized"))</f>
      </c>
      <c r="J1806">
        <f>IF(A1806="","",IF(OR(H1806="Transfers",H1806="Income",D1806="Transfer",D1806="Category Pending",F1806="Pending"),"No","Yes"))</f>
      </c>
      <c r="K1806" s="4">
        <f>IF(A1806="","",TEXT(IF(DAY(A1806)&gt;=Setup!$B$9,DATE(YEAR(A1806),MONTH(A1806)+1,1),DATE(YEAR(A1806),MONTH(A1806),1)),"mmmm yyyy"))</f>
      </c>
      <c r="L1806" s="47">
        <f>IF(A1806="",0,IF(AND(J1806="Yes",E1806&lt;0),-E1806,0))</f>
      </c>
      <c r="M1806" s="47">
        <f>IF(A1806="",0,IF(AND(J1806="Yes",E1806&gt;0),E1806,0))</f>
      </c>
      <c r="N1806">
        <f>IF(A1806="","",IF(D1806="Category Pending","Needs categorization",IF(COUNTIFS($A$2:A1806,A1806,$B$2:B1806,B1806,$E$2:E1806,E1806)&gt;1,"Possible duplicate","")))</f>
      </c>
    </row>
    <row r="1807" spans="3:14" x14ac:dyDescent="0.3">
      <c r="A1807"/>
      <c r="C1807" s="16"/>
      <c r="G1807" s="5">
        <f>IF(A1807="","","Checking")</f>
      </c>
      <c r="H1807">
        <f>IF(A1807="","",IFERROR(XLOOKUP(D1807,Setup!$E$15:$E$79,Setup!$F$15:$F$79),"Miscellaneous"))</f>
      </c>
      <c r="I1807">
        <f>IF(A1807="","",IFERROR(XLOOKUP(D1807,Setup!$E$15:$E$79,Setup!$G$15:$G$79),"Uncategorized"))</f>
      </c>
      <c r="J1807">
        <f>IF(A1807="","",IF(OR(H1807="Transfers",H1807="Income",D1807="Transfer",D1807="Category Pending",F1807="Pending"),"No","Yes"))</f>
      </c>
      <c r="K1807" s="4">
        <f>IF(A1807="","",TEXT(IF(DAY(A1807)&gt;=Setup!$B$9,DATE(YEAR(A1807),MONTH(A1807)+1,1),DATE(YEAR(A1807),MONTH(A1807),1)),"mmmm yyyy"))</f>
      </c>
      <c r="L1807" s="47">
        <f>IF(A1807="",0,IF(AND(J1807="Yes",E1807&lt;0),-E1807,0))</f>
      </c>
      <c r="M1807" s="47">
        <f>IF(A1807="",0,IF(AND(J1807="Yes",E1807&gt;0),E1807,0))</f>
      </c>
      <c r="N1807">
        <f>IF(A1807="","",IF(D1807="Category Pending","Needs categorization",IF(COUNTIFS($A$2:A1807,A1807,$B$2:B1807,B1807,$E$2:E1807,E1807)&gt;1,"Possible duplicate","")))</f>
      </c>
    </row>
    <row r="1808" spans="3:14" x14ac:dyDescent="0.3">
      <c r="A1808"/>
      <c r="C1808" s="16"/>
      <c r="G1808" s="5">
        <f>IF(A1808="","","Checking")</f>
      </c>
      <c r="H1808">
        <f>IF(A1808="","",IFERROR(XLOOKUP(D1808,Setup!$E$15:$E$79,Setup!$F$15:$F$79),"Miscellaneous"))</f>
      </c>
      <c r="I1808">
        <f>IF(A1808="","",IFERROR(XLOOKUP(D1808,Setup!$E$15:$E$79,Setup!$G$15:$G$79),"Uncategorized"))</f>
      </c>
      <c r="J1808">
        <f>IF(A1808="","",IF(OR(H1808="Transfers",H1808="Income",D1808="Transfer",D1808="Category Pending",F1808="Pending"),"No","Yes"))</f>
      </c>
      <c r="K1808" s="4">
        <f>IF(A1808="","",TEXT(IF(DAY(A1808)&gt;=Setup!$B$9,DATE(YEAR(A1808),MONTH(A1808)+1,1),DATE(YEAR(A1808),MONTH(A1808),1)),"mmmm yyyy"))</f>
      </c>
      <c r="L1808" s="47">
        <f>IF(A1808="",0,IF(AND(J1808="Yes",E1808&lt;0),-E1808,0))</f>
      </c>
      <c r="M1808" s="47">
        <f>IF(A1808="",0,IF(AND(J1808="Yes",E1808&gt;0),E1808,0))</f>
      </c>
      <c r="N1808">
        <f>IF(A1808="","",IF(D1808="Category Pending","Needs categorization",IF(COUNTIFS($A$2:A1808,A1808,$B$2:B1808,B1808,$E$2:E1808,E1808)&gt;1,"Possible duplicate","")))</f>
      </c>
    </row>
    <row r="1809" spans="3:14" x14ac:dyDescent="0.3">
      <c r="A1809"/>
      <c r="C1809" s="16"/>
      <c r="G1809" s="5">
        <f>IF(A1809="","","Checking")</f>
      </c>
      <c r="H1809">
        <f>IF(A1809="","",IFERROR(XLOOKUP(D1809,Setup!$E$15:$E$79,Setup!$F$15:$F$79),"Miscellaneous"))</f>
      </c>
      <c r="I1809">
        <f>IF(A1809="","",IFERROR(XLOOKUP(D1809,Setup!$E$15:$E$79,Setup!$G$15:$G$79),"Uncategorized"))</f>
      </c>
      <c r="J1809">
        <f>IF(A1809="","",IF(OR(H1809="Transfers",H1809="Income",D1809="Transfer",D1809="Category Pending",F1809="Pending"),"No","Yes"))</f>
      </c>
      <c r="K1809" s="4">
        <f>IF(A1809="","",TEXT(IF(DAY(A1809)&gt;=Setup!$B$9,DATE(YEAR(A1809),MONTH(A1809)+1,1),DATE(YEAR(A1809),MONTH(A1809),1)),"mmmm yyyy"))</f>
      </c>
      <c r="L1809" s="47">
        <f>IF(A1809="",0,IF(AND(J1809="Yes",E1809&lt;0),-E1809,0))</f>
      </c>
      <c r="M1809" s="47">
        <f>IF(A1809="",0,IF(AND(J1809="Yes",E1809&gt;0),E1809,0))</f>
      </c>
      <c r="N1809">
        <f>IF(A1809="","",IF(D1809="Category Pending","Needs categorization",IF(COUNTIFS($A$2:A1809,A1809,$B$2:B1809,B1809,$E$2:E1809,E1809)&gt;1,"Possible duplicate","")))</f>
      </c>
    </row>
    <row r="1810" spans="3:14" x14ac:dyDescent="0.3">
      <c r="A1810"/>
      <c r="C1810" s="16"/>
      <c r="G1810" s="5">
        <f>IF(A1810="","","Checking")</f>
      </c>
      <c r="H1810">
        <f>IF(A1810="","",IFERROR(XLOOKUP(D1810,Setup!$E$15:$E$79,Setup!$F$15:$F$79),"Miscellaneous"))</f>
      </c>
      <c r="I1810">
        <f>IF(A1810="","",IFERROR(XLOOKUP(D1810,Setup!$E$15:$E$79,Setup!$G$15:$G$79),"Uncategorized"))</f>
      </c>
      <c r="J1810">
        <f>IF(A1810="","",IF(OR(H1810="Transfers",H1810="Income",D1810="Transfer",D1810="Category Pending",F1810="Pending"),"No","Yes"))</f>
      </c>
      <c r="K1810" s="4">
        <f>IF(A1810="","",TEXT(IF(DAY(A1810)&gt;=Setup!$B$9,DATE(YEAR(A1810),MONTH(A1810)+1,1),DATE(YEAR(A1810),MONTH(A1810),1)),"mmmm yyyy"))</f>
      </c>
      <c r="L1810" s="47">
        <f>IF(A1810="",0,IF(AND(J1810="Yes",E1810&lt;0),-E1810,0))</f>
      </c>
      <c r="M1810" s="47">
        <f>IF(A1810="",0,IF(AND(J1810="Yes",E1810&gt;0),E1810,0))</f>
      </c>
      <c r="N1810">
        <f>IF(A1810="","",IF(D1810="Category Pending","Needs categorization",IF(COUNTIFS($A$2:A1810,A1810,$B$2:B1810,B1810,$E$2:E1810,E1810)&gt;1,"Possible duplicate","")))</f>
      </c>
    </row>
    <row r="1811" spans="3:14" x14ac:dyDescent="0.3">
      <c r="A1811"/>
      <c r="C1811" s="16"/>
      <c r="G1811" s="5">
        <f>IF(A1811="","","Checking")</f>
      </c>
      <c r="H1811">
        <f>IF(A1811="","",IFERROR(XLOOKUP(D1811,Setup!$E$15:$E$79,Setup!$F$15:$F$79),"Miscellaneous"))</f>
      </c>
      <c r="I1811">
        <f>IF(A1811="","",IFERROR(XLOOKUP(D1811,Setup!$E$15:$E$79,Setup!$G$15:$G$79),"Uncategorized"))</f>
      </c>
      <c r="J1811">
        <f>IF(A1811="","",IF(OR(H1811="Transfers",H1811="Income",D1811="Transfer",D1811="Category Pending",F1811="Pending"),"No","Yes"))</f>
      </c>
      <c r="K1811" s="4">
        <f>IF(A1811="","",TEXT(IF(DAY(A1811)&gt;=Setup!$B$9,DATE(YEAR(A1811),MONTH(A1811)+1,1),DATE(YEAR(A1811),MONTH(A1811),1)),"mmmm yyyy"))</f>
      </c>
      <c r="L1811" s="47">
        <f>IF(A1811="",0,IF(AND(J1811="Yes",E1811&lt;0),-E1811,0))</f>
      </c>
      <c r="M1811" s="47">
        <f>IF(A1811="",0,IF(AND(J1811="Yes",E1811&gt;0),E1811,0))</f>
      </c>
      <c r="N1811">
        <f>IF(A1811="","",IF(D1811="Category Pending","Needs categorization",IF(COUNTIFS($A$2:A1811,A1811,$B$2:B1811,B1811,$E$2:E1811,E1811)&gt;1,"Possible duplicate","")))</f>
      </c>
    </row>
    <row r="1812" spans="3:14" x14ac:dyDescent="0.3">
      <c r="A1812"/>
      <c r="C1812" s="16"/>
      <c r="G1812" s="5">
        <f>IF(A1812="","","Checking")</f>
      </c>
      <c r="H1812">
        <f>IF(A1812="","",IFERROR(XLOOKUP(D1812,Setup!$E$15:$E$79,Setup!$F$15:$F$79),"Miscellaneous"))</f>
      </c>
      <c r="I1812">
        <f>IF(A1812="","",IFERROR(XLOOKUP(D1812,Setup!$E$15:$E$79,Setup!$G$15:$G$79),"Uncategorized"))</f>
      </c>
      <c r="J1812">
        <f>IF(A1812="","",IF(OR(H1812="Transfers",H1812="Income",D1812="Transfer",D1812="Category Pending",F1812="Pending"),"No","Yes"))</f>
      </c>
      <c r="K1812" s="4">
        <f>IF(A1812="","",TEXT(IF(DAY(A1812)&gt;=Setup!$B$9,DATE(YEAR(A1812),MONTH(A1812)+1,1),DATE(YEAR(A1812),MONTH(A1812),1)),"mmmm yyyy"))</f>
      </c>
      <c r="L1812" s="47">
        <f>IF(A1812="",0,IF(AND(J1812="Yes",E1812&lt;0),-E1812,0))</f>
      </c>
      <c r="M1812" s="47">
        <f>IF(A1812="",0,IF(AND(J1812="Yes",E1812&gt;0),E1812,0))</f>
      </c>
      <c r="N1812">
        <f>IF(A1812="","",IF(D1812="Category Pending","Needs categorization",IF(COUNTIFS($A$2:A1812,A1812,$B$2:B1812,B1812,$E$2:E1812,E1812)&gt;1,"Possible duplicate","")))</f>
      </c>
    </row>
    <row r="1813" spans="3:14" x14ac:dyDescent="0.3">
      <c r="A1813"/>
      <c r="C1813" s="16"/>
      <c r="G1813" s="5">
        <f>IF(A1813="","","Checking")</f>
      </c>
      <c r="H1813">
        <f>IF(A1813="","",IFERROR(XLOOKUP(D1813,Setup!$E$15:$E$79,Setup!$F$15:$F$79),"Miscellaneous"))</f>
      </c>
      <c r="I1813">
        <f>IF(A1813="","",IFERROR(XLOOKUP(D1813,Setup!$E$15:$E$79,Setup!$G$15:$G$79),"Uncategorized"))</f>
      </c>
      <c r="J1813">
        <f>IF(A1813="","",IF(OR(H1813="Transfers",H1813="Income",D1813="Transfer",D1813="Category Pending",F1813="Pending"),"No","Yes"))</f>
      </c>
      <c r="K1813" s="4">
        <f>IF(A1813="","",TEXT(IF(DAY(A1813)&gt;=Setup!$B$9,DATE(YEAR(A1813),MONTH(A1813)+1,1),DATE(YEAR(A1813),MONTH(A1813),1)),"mmmm yyyy"))</f>
      </c>
      <c r="L1813" s="47">
        <f>IF(A1813="",0,IF(AND(J1813="Yes",E1813&lt;0),-E1813,0))</f>
      </c>
      <c r="M1813" s="47">
        <f>IF(A1813="",0,IF(AND(J1813="Yes",E1813&gt;0),E1813,0))</f>
      </c>
      <c r="N1813">
        <f>IF(A1813="","",IF(D1813="Category Pending","Needs categorization",IF(COUNTIFS($A$2:A1813,A1813,$B$2:B1813,B1813,$E$2:E1813,E1813)&gt;1,"Possible duplicate","")))</f>
      </c>
    </row>
    <row r="1814" spans="3:14" x14ac:dyDescent="0.3">
      <c r="A1814"/>
      <c r="C1814" s="16"/>
      <c r="G1814" s="5">
        <f>IF(A1814="","","Checking")</f>
      </c>
      <c r="H1814">
        <f>IF(A1814="","",IFERROR(XLOOKUP(D1814,Setup!$E$15:$E$79,Setup!$F$15:$F$79),"Miscellaneous"))</f>
      </c>
      <c r="I1814">
        <f>IF(A1814="","",IFERROR(XLOOKUP(D1814,Setup!$E$15:$E$79,Setup!$G$15:$G$79),"Uncategorized"))</f>
      </c>
      <c r="J1814">
        <f>IF(A1814="","",IF(OR(H1814="Transfers",H1814="Income",D1814="Transfer",D1814="Category Pending",F1814="Pending"),"No","Yes"))</f>
      </c>
      <c r="K1814" s="4">
        <f>IF(A1814="","",TEXT(IF(DAY(A1814)&gt;=Setup!$B$9,DATE(YEAR(A1814),MONTH(A1814)+1,1),DATE(YEAR(A1814),MONTH(A1814),1)),"mmmm yyyy"))</f>
      </c>
      <c r="L1814" s="47">
        <f>IF(A1814="",0,IF(AND(J1814="Yes",E1814&lt;0),-E1814,0))</f>
      </c>
      <c r="M1814" s="47">
        <f>IF(A1814="",0,IF(AND(J1814="Yes",E1814&gt;0),E1814,0))</f>
      </c>
      <c r="N1814">
        <f>IF(A1814="","",IF(D1814="Category Pending","Needs categorization",IF(COUNTIFS($A$2:A1814,A1814,$B$2:B1814,B1814,$E$2:E1814,E1814)&gt;1,"Possible duplicate","")))</f>
      </c>
    </row>
    <row r="1815" spans="3:14" x14ac:dyDescent="0.3">
      <c r="A1815"/>
      <c r="C1815" s="16"/>
      <c r="G1815" s="5">
        <f>IF(A1815="","","Checking")</f>
      </c>
      <c r="H1815">
        <f>IF(A1815="","",IFERROR(XLOOKUP(D1815,Setup!$E$15:$E$79,Setup!$F$15:$F$79),"Miscellaneous"))</f>
      </c>
      <c r="I1815">
        <f>IF(A1815="","",IFERROR(XLOOKUP(D1815,Setup!$E$15:$E$79,Setup!$G$15:$G$79),"Uncategorized"))</f>
      </c>
      <c r="J1815">
        <f>IF(A1815="","",IF(OR(H1815="Transfers",H1815="Income",D1815="Transfer",D1815="Category Pending",F1815="Pending"),"No","Yes"))</f>
      </c>
      <c r="K1815" s="4">
        <f>IF(A1815="","",TEXT(IF(DAY(A1815)&gt;=Setup!$B$9,DATE(YEAR(A1815),MONTH(A1815)+1,1),DATE(YEAR(A1815),MONTH(A1815),1)),"mmmm yyyy"))</f>
      </c>
      <c r="L1815" s="47">
        <f>IF(A1815="",0,IF(AND(J1815="Yes",E1815&lt;0),-E1815,0))</f>
      </c>
      <c r="M1815" s="47">
        <f>IF(A1815="",0,IF(AND(J1815="Yes",E1815&gt;0),E1815,0))</f>
      </c>
      <c r="N1815">
        <f>IF(A1815="","",IF(D1815="Category Pending","Needs categorization",IF(COUNTIFS($A$2:A1815,A1815,$B$2:B1815,B1815,$E$2:E1815,E1815)&gt;1,"Possible duplicate","")))</f>
      </c>
    </row>
    <row r="1816" spans="3:14" x14ac:dyDescent="0.3">
      <c r="A1816"/>
      <c r="C1816" s="16"/>
      <c r="G1816" s="5">
        <f>IF(A1816="","","Checking")</f>
      </c>
      <c r="H1816">
        <f>IF(A1816="","",IFERROR(XLOOKUP(D1816,Setup!$E$15:$E$79,Setup!$F$15:$F$79),"Miscellaneous"))</f>
      </c>
      <c r="I1816">
        <f>IF(A1816="","",IFERROR(XLOOKUP(D1816,Setup!$E$15:$E$79,Setup!$G$15:$G$79),"Uncategorized"))</f>
      </c>
      <c r="J1816">
        <f>IF(A1816="","",IF(OR(H1816="Transfers",H1816="Income",D1816="Transfer",D1816="Category Pending",F1816="Pending"),"No","Yes"))</f>
      </c>
      <c r="K1816" s="4">
        <f>IF(A1816="","",TEXT(IF(DAY(A1816)&gt;=Setup!$B$9,DATE(YEAR(A1816),MONTH(A1816)+1,1),DATE(YEAR(A1816),MONTH(A1816),1)),"mmmm yyyy"))</f>
      </c>
      <c r="L1816" s="47">
        <f>IF(A1816="",0,IF(AND(J1816="Yes",E1816&lt;0),-E1816,0))</f>
      </c>
      <c r="M1816" s="47">
        <f>IF(A1816="",0,IF(AND(J1816="Yes",E1816&gt;0),E1816,0))</f>
      </c>
      <c r="N1816">
        <f>IF(A1816="","",IF(D1816="Category Pending","Needs categorization",IF(COUNTIFS($A$2:A1816,A1816,$B$2:B1816,B1816,$E$2:E1816,E1816)&gt;1,"Possible duplicate","")))</f>
      </c>
    </row>
    <row r="1817" spans="3:14" x14ac:dyDescent="0.3">
      <c r="A1817"/>
      <c r="C1817" s="16"/>
      <c r="G1817" s="5">
        <f>IF(A1817="","","Checking")</f>
      </c>
      <c r="H1817">
        <f>IF(A1817="","",IFERROR(XLOOKUP(D1817,Setup!$E$15:$E$79,Setup!$F$15:$F$79),"Miscellaneous"))</f>
      </c>
      <c r="I1817">
        <f>IF(A1817="","",IFERROR(XLOOKUP(D1817,Setup!$E$15:$E$79,Setup!$G$15:$G$79),"Uncategorized"))</f>
      </c>
      <c r="J1817">
        <f>IF(A1817="","",IF(OR(H1817="Transfers",H1817="Income",D1817="Transfer",D1817="Category Pending",F1817="Pending"),"No","Yes"))</f>
      </c>
      <c r="K1817" s="4">
        <f>IF(A1817="","",TEXT(IF(DAY(A1817)&gt;=Setup!$B$9,DATE(YEAR(A1817),MONTH(A1817)+1,1),DATE(YEAR(A1817),MONTH(A1817),1)),"mmmm yyyy"))</f>
      </c>
      <c r="L1817" s="47">
        <f>IF(A1817="",0,IF(AND(J1817="Yes",E1817&lt;0),-E1817,0))</f>
      </c>
      <c r="M1817" s="47">
        <f>IF(A1817="",0,IF(AND(J1817="Yes",E1817&gt;0),E1817,0))</f>
      </c>
      <c r="N1817">
        <f>IF(A1817="","",IF(D1817="Category Pending","Needs categorization",IF(COUNTIFS($A$2:A1817,A1817,$B$2:B1817,B1817,$E$2:E1817,E1817)&gt;1,"Possible duplicate","")))</f>
      </c>
    </row>
    <row r="1818" spans="3:14" x14ac:dyDescent="0.3">
      <c r="A1818"/>
      <c r="C1818" s="16"/>
      <c r="G1818" s="5">
        <f>IF(A1818="","","Checking")</f>
      </c>
      <c r="H1818">
        <f>IF(A1818="","",IFERROR(XLOOKUP(D1818,Setup!$E$15:$E$79,Setup!$F$15:$F$79),"Miscellaneous"))</f>
      </c>
      <c r="I1818">
        <f>IF(A1818="","",IFERROR(XLOOKUP(D1818,Setup!$E$15:$E$79,Setup!$G$15:$G$79),"Uncategorized"))</f>
      </c>
      <c r="J1818">
        <f>IF(A1818="","",IF(OR(H1818="Transfers",H1818="Income",D1818="Transfer",D1818="Category Pending",F1818="Pending"),"No","Yes"))</f>
      </c>
      <c r="K1818" s="4">
        <f>IF(A1818="","",TEXT(IF(DAY(A1818)&gt;=Setup!$B$9,DATE(YEAR(A1818),MONTH(A1818)+1,1),DATE(YEAR(A1818),MONTH(A1818),1)),"mmmm yyyy"))</f>
      </c>
      <c r="L1818" s="47">
        <f>IF(A1818="",0,IF(AND(J1818="Yes",E1818&lt;0),-E1818,0))</f>
      </c>
      <c r="M1818" s="47">
        <f>IF(A1818="",0,IF(AND(J1818="Yes",E1818&gt;0),E1818,0))</f>
      </c>
      <c r="N1818">
        <f>IF(A1818="","",IF(D1818="Category Pending","Needs categorization",IF(COUNTIFS($A$2:A1818,A1818,$B$2:B1818,B1818,$E$2:E1818,E1818)&gt;1,"Possible duplicate","")))</f>
      </c>
    </row>
    <row r="1819" spans="3:14" x14ac:dyDescent="0.3">
      <c r="A1819"/>
      <c r="C1819" s="16"/>
      <c r="G1819" s="5">
        <f>IF(A1819="","","Checking")</f>
      </c>
      <c r="H1819">
        <f>IF(A1819="","",IFERROR(XLOOKUP(D1819,Setup!$E$15:$E$79,Setup!$F$15:$F$79),"Miscellaneous"))</f>
      </c>
      <c r="I1819">
        <f>IF(A1819="","",IFERROR(XLOOKUP(D1819,Setup!$E$15:$E$79,Setup!$G$15:$G$79),"Uncategorized"))</f>
      </c>
      <c r="J1819">
        <f>IF(A1819="","",IF(OR(H1819="Transfers",H1819="Income",D1819="Transfer",D1819="Category Pending",F1819="Pending"),"No","Yes"))</f>
      </c>
      <c r="K1819" s="4">
        <f>IF(A1819="","",TEXT(IF(DAY(A1819)&gt;=Setup!$B$9,DATE(YEAR(A1819),MONTH(A1819)+1,1),DATE(YEAR(A1819),MONTH(A1819),1)),"mmmm yyyy"))</f>
      </c>
      <c r="L1819" s="47">
        <f>IF(A1819="",0,IF(AND(J1819="Yes",E1819&lt;0),-E1819,0))</f>
      </c>
      <c r="M1819" s="47">
        <f>IF(A1819="",0,IF(AND(J1819="Yes",E1819&gt;0),E1819,0))</f>
      </c>
      <c r="N1819">
        <f>IF(A1819="","",IF(D1819="Category Pending","Needs categorization",IF(COUNTIFS($A$2:A1819,A1819,$B$2:B1819,B1819,$E$2:E1819,E1819)&gt;1,"Possible duplicate","")))</f>
      </c>
    </row>
    <row r="1820" spans="3:14" x14ac:dyDescent="0.3">
      <c r="A1820"/>
      <c r="C1820" s="16"/>
      <c r="G1820" s="5">
        <f>IF(A1820="","","Checking")</f>
      </c>
      <c r="H1820">
        <f>IF(A1820="","",IFERROR(XLOOKUP(D1820,Setup!$E$15:$E$79,Setup!$F$15:$F$79),"Miscellaneous"))</f>
      </c>
      <c r="I1820">
        <f>IF(A1820="","",IFERROR(XLOOKUP(D1820,Setup!$E$15:$E$79,Setup!$G$15:$G$79),"Uncategorized"))</f>
      </c>
      <c r="J1820">
        <f>IF(A1820="","",IF(OR(H1820="Transfers",H1820="Income",D1820="Transfer",D1820="Category Pending",F1820="Pending"),"No","Yes"))</f>
      </c>
      <c r="K1820" s="4">
        <f>IF(A1820="","",TEXT(IF(DAY(A1820)&gt;=Setup!$B$9,DATE(YEAR(A1820),MONTH(A1820)+1,1),DATE(YEAR(A1820),MONTH(A1820),1)),"mmmm yyyy"))</f>
      </c>
      <c r="L1820" s="47">
        <f>IF(A1820="",0,IF(AND(J1820="Yes",E1820&lt;0),-E1820,0))</f>
      </c>
      <c r="M1820" s="47">
        <f>IF(A1820="",0,IF(AND(J1820="Yes",E1820&gt;0),E1820,0))</f>
      </c>
      <c r="N1820">
        <f>IF(A1820="","",IF(D1820="Category Pending","Needs categorization",IF(COUNTIFS($A$2:A1820,A1820,$B$2:B1820,B1820,$E$2:E1820,E1820)&gt;1,"Possible duplicate","")))</f>
      </c>
    </row>
    <row r="1821" spans="3:14" x14ac:dyDescent="0.3">
      <c r="A1821"/>
      <c r="C1821" s="16"/>
      <c r="G1821" s="5">
        <f>IF(A1821="","","Checking")</f>
      </c>
      <c r="H1821">
        <f>IF(A1821="","",IFERROR(XLOOKUP(D1821,Setup!$E$15:$E$79,Setup!$F$15:$F$79),"Miscellaneous"))</f>
      </c>
      <c r="I1821">
        <f>IF(A1821="","",IFERROR(XLOOKUP(D1821,Setup!$E$15:$E$79,Setup!$G$15:$G$79),"Uncategorized"))</f>
      </c>
      <c r="J1821">
        <f>IF(A1821="","",IF(OR(H1821="Transfers",H1821="Income",D1821="Transfer",D1821="Category Pending",F1821="Pending"),"No","Yes"))</f>
      </c>
      <c r="K1821" s="4">
        <f>IF(A1821="","",TEXT(IF(DAY(A1821)&gt;=Setup!$B$9,DATE(YEAR(A1821),MONTH(A1821)+1,1),DATE(YEAR(A1821),MONTH(A1821),1)),"mmmm yyyy"))</f>
      </c>
      <c r="L1821" s="47">
        <f>IF(A1821="",0,IF(AND(J1821="Yes",E1821&lt;0),-E1821,0))</f>
      </c>
      <c r="M1821" s="47">
        <f>IF(A1821="",0,IF(AND(J1821="Yes",E1821&gt;0),E1821,0))</f>
      </c>
      <c r="N1821">
        <f>IF(A1821="","",IF(D1821="Category Pending","Needs categorization",IF(COUNTIFS($A$2:A1821,A1821,$B$2:B1821,B1821,$E$2:E1821,E1821)&gt;1,"Possible duplicate","")))</f>
      </c>
    </row>
    <row r="1822" spans="3:14" x14ac:dyDescent="0.3">
      <c r="A1822"/>
      <c r="C1822" s="16"/>
      <c r="G1822" s="5">
        <f>IF(A1822="","","Checking")</f>
      </c>
      <c r="H1822">
        <f>IF(A1822="","",IFERROR(XLOOKUP(D1822,Setup!$E$15:$E$79,Setup!$F$15:$F$79),"Miscellaneous"))</f>
      </c>
      <c r="I1822">
        <f>IF(A1822="","",IFERROR(XLOOKUP(D1822,Setup!$E$15:$E$79,Setup!$G$15:$G$79),"Uncategorized"))</f>
      </c>
      <c r="J1822">
        <f>IF(A1822="","",IF(OR(H1822="Transfers",H1822="Income",D1822="Transfer",D1822="Category Pending",F1822="Pending"),"No","Yes"))</f>
      </c>
      <c r="K1822" s="4">
        <f>IF(A1822="","",TEXT(IF(DAY(A1822)&gt;=Setup!$B$9,DATE(YEAR(A1822),MONTH(A1822)+1,1),DATE(YEAR(A1822),MONTH(A1822),1)),"mmmm yyyy"))</f>
      </c>
      <c r="L1822" s="47">
        <f>IF(A1822="",0,IF(AND(J1822="Yes",E1822&lt;0),-E1822,0))</f>
      </c>
      <c r="M1822" s="47">
        <f>IF(A1822="",0,IF(AND(J1822="Yes",E1822&gt;0),E1822,0))</f>
      </c>
      <c r="N1822">
        <f>IF(A1822="","",IF(D1822="Category Pending","Needs categorization",IF(COUNTIFS($A$2:A1822,A1822,$B$2:B1822,B1822,$E$2:E1822,E1822)&gt;1,"Possible duplicate","")))</f>
      </c>
    </row>
    <row r="1823" spans="3:14" x14ac:dyDescent="0.3">
      <c r="A1823"/>
      <c r="C1823" s="16"/>
      <c r="G1823" s="5">
        <f>IF(A1823="","","Checking")</f>
      </c>
      <c r="H1823">
        <f>IF(A1823="","",IFERROR(XLOOKUP(D1823,Setup!$E$15:$E$79,Setup!$F$15:$F$79),"Miscellaneous"))</f>
      </c>
      <c r="I1823">
        <f>IF(A1823="","",IFERROR(XLOOKUP(D1823,Setup!$E$15:$E$79,Setup!$G$15:$G$79),"Uncategorized"))</f>
      </c>
      <c r="J1823">
        <f>IF(A1823="","",IF(OR(H1823="Transfers",H1823="Income",D1823="Transfer",D1823="Category Pending",F1823="Pending"),"No","Yes"))</f>
      </c>
      <c r="K1823" s="4">
        <f>IF(A1823="","",TEXT(IF(DAY(A1823)&gt;=Setup!$B$9,DATE(YEAR(A1823),MONTH(A1823)+1,1),DATE(YEAR(A1823),MONTH(A1823),1)),"mmmm yyyy"))</f>
      </c>
      <c r="L1823" s="47">
        <f>IF(A1823="",0,IF(AND(J1823="Yes",E1823&lt;0),-E1823,0))</f>
      </c>
      <c r="M1823" s="47">
        <f>IF(A1823="",0,IF(AND(J1823="Yes",E1823&gt;0),E1823,0))</f>
      </c>
      <c r="N1823">
        <f>IF(A1823="","",IF(D1823="Category Pending","Needs categorization",IF(COUNTIFS($A$2:A1823,A1823,$B$2:B1823,B1823,$E$2:E1823,E1823)&gt;1,"Possible duplicate","")))</f>
      </c>
    </row>
    <row r="1824" spans="3:14" x14ac:dyDescent="0.3">
      <c r="A1824"/>
      <c r="C1824" s="16"/>
      <c r="G1824" s="5">
        <f>IF(A1824="","","Checking")</f>
      </c>
      <c r="H1824">
        <f>IF(A1824="","",IFERROR(XLOOKUP(D1824,Setup!$E$15:$E$79,Setup!$F$15:$F$79),"Miscellaneous"))</f>
      </c>
      <c r="I1824">
        <f>IF(A1824="","",IFERROR(XLOOKUP(D1824,Setup!$E$15:$E$79,Setup!$G$15:$G$79),"Uncategorized"))</f>
      </c>
      <c r="J1824">
        <f>IF(A1824="","",IF(OR(H1824="Transfers",H1824="Income",D1824="Transfer",D1824="Category Pending",F1824="Pending"),"No","Yes"))</f>
      </c>
      <c r="K1824" s="4">
        <f>IF(A1824="","",TEXT(IF(DAY(A1824)&gt;=Setup!$B$9,DATE(YEAR(A1824),MONTH(A1824)+1,1),DATE(YEAR(A1824),MONTH(A1824),1)),"mmmm yyyy"))</f>
      </c>
      <c r="L1824" s="47">
        <f>IF(A1824="",0,IF(AND(J1824="Yes",E1824&lt;0),-E1824,0))</f>
      </c>
      <c r="M1824" s="47">
        <f>IF(A1824="",0,IF(AND(J1824="Yes",E1824&gt;0),E1824,0))</f>
      </c>
      <c r="N1824">
        <f>IF(A1824="","",IF(D1824="Category Pending","Needs categorization",IF(COUNTIFS($A$2:A1824,A1824,$B$2:B1824,B1824,$E$2:E1824,E1824)&gt;1,"Possible duplicate","")))</f>
      </c>
    </row>
    <row r="1825" spans="3:14" x14ac:dyDescent="0.3">
      <c r="A1825"/>
      <c r="C1825" s="16"/>
      <c r="G1825" s="5">
        <f>IF(A1825="","","Checking")</f>
      </c>
      <c r="H1825">
        <f>IF(A1825="","",IFERROR(XLOOKUP(D1825,Setup!$E$15:$E$79,Setup!$F$15:$F$79),"Miscellaneous"))</f>
      </c>
      <c r="I1825">
        <f>IF(A1825="","",IFERROR(XLOOKUP(D1825,Setup!$E$15:$E$79,Setup!$G$15:$G$79),"Uncategorized"))</f>
      </c>
      <c r="J1825">
        <f>IF(A1825="","",IF(OR(H1825="Transfers",H1825="Income",D1825="Transfer",D1825="Category Pending",F1825="Pending"),"No","Yes"))</f>
      </c>
      <c r="K1825" s="4">
        <f>IF(A1825="","",TEXT(IF(DAY(A1825)&gt;=Setup!$B$9,DATE(YEAR(A1825),MONTH(A1825)+1,1),DATE(YEAR(A1825),MONTH(A1825),1)),"mmmm yyyy"))</f>
      </c>
      <c r="L1825" s="47">
        <f>IF(A1825="",0,IF(AND(J1825="Yes",E1825&lt;0),-E1825,0))</f>
      </c>
      <c r="M1825" s="47">
        <f>IF(A1825="",0,IF(AND(J1825="Yes",E1825&gt;0),E1825,0))</f>
      </c>
      <c r="N1825">
        <f>IF(A1825="","",IF(D1825="Category Pending","Needs categorization",IF(COUNTIFS($A$2:A1825,A1825,$B$2:B1825,B1825,$E$2:E1825,E1825)&gt;1,"Possible duplicate","")))</f>
      </c>
    </row>
    <row r="1826" spans="3:14" x14ac:dyDescent="0.3">
      <c r="A1826"/>
      <c r="C1826" s="16"/>
      <c r="G1826" s="5">
        <f>IF(A1826="","","Checking")</f>
      </c>
      <c r="H1826">
        <f>IF(A1826="","",IFERROR(XLOOKUP(D1826,Setup!$E$15:$E$79,Setup!$F$15:$F$79),"Miscellaneous"))</f>
      </c>
      <c r="I1826">
        <f>IF(A1826="","",IFERROR(XLOOKUP(D1826,Setup!$E$15:$E$79,Setup!$G$15:$G$79),"Uncategorized"))</f>
      </c>
      <c r="J1826">
        <f>IF(A1826="","",IF(OR(H1826="Transfers",H1826="Income",D1826="Transfer",D1826="Category Pending",F1826="Pending"),"No","Yes"))</f>
      </c>
      <c r="K1826" s="4">
        <f>IF(A1826="","",TEXT(IF(DAY(A1826)&gt;=Setup!$B$9,DATE(YEAR(A1826),MONTH(A1826)+1,1),DATE(YEAR(A1826),MONTH(A1826),1)),"mmmm yyyy"))</f>
      </c>
      <c r="L1826" s="47">
        <f>IF(A1826="",0,IF(AND(J1826="Yes",E1826&lt;0),-E1826,0))</f>
      </c>
      <c r="M1826" s="47">
        <f>IF(A1826="",0,IF(AND(J1826="Yes",E1826&gt;0),E1826,0))</f>
      </c>
      <c r="N1826">
        <f>IF(A1826="","",IF(D1826="Category Pending","Needs categorization",IF(COUNTIFS($A$2:A1826,A1826,$B$2:B1826,B1826,$E$2:E1826,E1826)&gt;1,"Possible duplicate","")))</f>
      </c>
    </row>
    <row r="1827" spans="3:14" x14ac:dyDescent="0.3">
      <c r="A1827"/>
      <c r="C1827" s="16"/>
      <c r="G1827" s="5">
        <f>IF(A1827="","","Checking")</f>
      </c>
      <c r="H1827">
        <f>IF(A1827="","",IFERROR(XLOOKUP(D1827,Setup!$E$15:$E$79,Setup!$F$15:$F$79),"Miscellaneous"))</f>
      </c>
      <c r="I1827">
        <f>IF(A1827="","",IFERROR(XLOOKUP(D1827,Setup!$E$15:$E$79,Setup!$G$15:$G$79),"Uncategorized"))</f>
      </c>
      <c r="J1827">
        <f>IF(A1827="","",IF(OR(H1827="Transfers",H1827="Income",D1827="Transfer",D1827="Category Pending",F1827="Pending"),"No","Yes"))</f>
      </c>
      <c r="K1827" s="4">
        <f>IF(A1827="","",TEXT(IF(DAY(A1827)&gt;=Setup!$B$9,DATE(YEAR(A1827),MONTH(A1827)+1,1),DATE(YEAR(A1827),MONTH(A1827),1)),"mmmm yyyy"))</f>
      </c>
      <c r="L1827" s="47">
        <f>IF(A1827="",0,IF(AND(J1827="Yes",E1827&lt;0),-E1827,0))</f>
      </c>
      <c r="M1827" s="47">
        <f>IF(A1827="",0,IF(AND(J1827="Yes",E1827&gt;0),E1827,0))</f>
      </c>
      <c r="N1827">
        <f>IF(A1827="","",IF(D1827="Category Pending","Needs categorization",IF(COUNTIFS($A$2:A1827,A1827,$B$2:B1827,B1827,$E$2:E1827,E1827)&gt;1,"Possible duplicate","")))</f>
      </c>
    </row>
    <row r="1828" spans="3:14" x14ac:dyDescent="0.3">
      <c r="A1828"/>
      <c r="C1828" s="16"/>
      <c r="G1828" s="5">
        <f>IF(A1828="","","Checking")</f>
      </c>
      <c r="H1828">
        <f>IF(A1828="","",IFERROR(XLOOKUP(D1828,Setup!$E$15:$E$79,Setup!$F$15:$F$79),"Miscellaneous"))</f>
      </c>
      <c r="I1828">
        <f>IF(A1828="","",IFERROR(XLOOKUP(D1828,Setup!$E$15:$E$79,Setup!$G$15:$G$79),"Uncategorized"))</f>
      </c>
      <c r="J1828">
        <f>IF(A1828="","",IF(OR(H1828="Transfers",H1828="Income",D1828="Transfer",D1828="Category Pending",F1828="Pending"),"No","Yes"))</f>
      </c>
      <c r="K1828" s="4">
        <f>IF(A1828="","",TEXT(IF(DAY(A1828)&gt;=Setup!$B$9,DATE(YEAR(A1828),MONTH(A1828)+1,1),DATE(YEAR(A1828),MONTH(A1828),1)),"mmmm yyyy"))</f>
      </c>
      <c r="L1828" s="47">
        <f>IF(A1828="",0,IF(AND(J1828="Yes",E1828&lt;0),-E1828,0))</f>
      </c>
      <c r="M1828" s="47">
        <f>IF(A1828="",0,IF(AND(J1828="Yes",E1828&gt;0),E1828,0))</f>
      </c>
      <c r="N1828">
        <f>IF(A1828="","",IF(D1828="Category Pending","Needs categorization",IF(COUNTIFS($A$2:A1828,A1828,$B$2:B1828,B1828,$E$2:E1828,E1828)&gt;1,"Possible duplicate","")))</f>
      </c>
    </row>
    <row r="1829" spans="3:14" x14ac:dyDescent="0.3">
      <c r="A1829"/>
      <c r="C1829" s="16"/>
      <c r="G1829" s="5">
        <f>IF(A1829="","","Checking")</f>
      </c>
      <c r="H1829">
        <f>IF(A1829="","",IFERROR(XLOOKUP(D1829,Setup!$E$15:$E$79,Setup!$F$15:$F$79),"Miscellaneous"))</f>
      </c>
      <c r="I1829">
        <f>IF(A1829="","",IFERROR(XLOOKUP(D1829,Setup!$E$15:$E$79,Setup!$G$15:$G$79),"Uncategorized"))</f>
      </c>
      <c r="J1829">
        <f>IF(A1829="","",IF(OR(H1829="Transfers",H1829="Income",D1829="Transfer",D1829="Category Pending",F1829="Pending"),"No","Yes"))</f>
      </c>
      <c r="K1829" s="4">
        <f>IF(A1829="","",TEXT(IF(DAY(A1829)&gt;=Setup!$B$9,DATE(YEAR(A1829),MONTH(A1829)+1,1),DATE(YEAR(A1829),MONTH(A1829),1)),"mmmm yyyy"))</f>
      </c>
      <c r="L1829" s="47">
        <f>IF(A1829="",0,IF(AND(J1829="Yes",E1829&lt;0),-E1829,0))</f>
      </c>
      <c r="M1829" s="47">
        <f>IF(A1829="",0,IF(AND(J1829="Yes",E1829&gt;0),E1829,0))</f>
      </c>
      <c r="N1829">
        <f>IF(A1829="","",IF(D1829="Category Pending","Needs categorization",IF(COUNTIFS($A$2:A1829,A1829,$B$2:B1829,B1829,$E$2:E1829,E1829)&gt;1,"Possible duplicate","")))</f>
      </c>
    </row>
    <row r="1830" spans="3:14" x14ac:dyDescent="0.3">
      <c r="A1830"/>
      <c r="C1830" s="16"/>
      <c r="G1830" s="5">
        <f>IF(A1830="","","Checking")</f>
      </c>
      <c r="H1830">
        <f>IF(A1830="","",IFERROR(XLOOKUP(D1830,Setup!$E$15:$E$79,Setup!$F$15:$F$79),"Miscellaneous"))</f>
      </c>
      <c r="I1830">
        <f>IF(A1830="","",IFERROR(XLOOKUP(D1830,Setup!$E$15:$E$79,Setup!$G$15:$G$79),"Uncategorized"))</f>
      </c>
      <c r="J1830">
        <f>IF(A1830="","",IF(OR(H1830="Transfers",H1830="Income",D1830="Transfer",D1830="Category Pending",F1830="Pending"),"No","Yes"))</f>
      </c>
      <c r="K1830" s="4">
        <f>IF(A1830="","",TEXT(IF(DAY(A1830)&gt;=Setup!$B$9,DATE(YEAR(A1830),MONTH(A1830)+1,1),DATE(YEAR(A1830),MONTH(A1830),1)),"mmmm yyyy"))</f>
      </c>
      <c r="L1830" s="47">
        <f>IF(A1830="",0,IF(AND(J1830="Yes",E1830&lt;0),-E1830,0))</f>
      </c>
      <c r="M1830" s="47">
        <f>IF(A1830="",0,IF(AND(J1830="Yes",E1830&gt;0),E1830,0))</f>
      </c>
      <c r="N1830">
        <f>IF(A1830="","",IF(D1830="Category Pending","Needs categorization",IF(COUNTIFS($A$2:A1830,A1830,$B$2:B1830,B1830,$E$2:E1830,E1830)&gt;1,"Possible duplicate","")))</f>
      </c>
    </row>
    <row r="1831" spans="3:14" x14ac:dyDescent="0.3">
      <c r="A1831"/>
      <c r="C1831" s="16"/>
      <c r="G1831" s="5">
        <f>IF(A1831="","","Checking")</f>
      </c>
      <c r="H1831">
        <f>IF(A1831="","",IFERROR(XLOOKUP(D1831,Setup!$E$15:$E$79,Setup!$F$15:$F$79),"Miscellaneous"))</f>
      </c>
      <c r="I1831">
        <f>IF(A1831="","",IFERROR(XLOOKUP(D1831,Setup!$E$15:$E$79,Setup!$G$15:$G$79),"Uncategorized"))</f>
      </c>
      <c r="J1831">
        <f>IF(A1831="","",IF(OR(H1831="Transfers",H1831="Income",D1831="Transfer",D1831="Category Pending",F1831="Pending"),"No","Yes"))</f>
      </c>
      <c r="K1831" s="4">
        <f>IF(A1831="","",TEXT(IF(DAY(A1831)&gt;=Setup!$B$9,DATE(YEAR(A1831),MONTH(A1831)+1,1),DATE(YEAR(A1831),MONTH(A1831),1)),"mmmm yyyy"))</f>
      </c>
      <c r="L1831" s="47">
        <f>IF(A1831="",0,IF(AND(J1831="Yes",E1831&lt;0),-E1831,0))</f>
      </c>
      <c r="M1831" s="47">
        <f>IF(A1831="",0,IF(AND(J1831="Yes",E1831&gt;0),E1831,0))</f>
      </c>
      <c r="N1831">
        <f>IF(A1831="","",IF(D1831="Category Pending","Needs categorization",IF(COUNTIFS($A$2:A1831,A1831,$B$2:B1831,B1831,$E$2:E1831,E1831)&gt;1,"Possible duplicate","")))</f>
      </c>
    </row>
    <row r="1832" spans="3:14" x14ac:dyDescent="0.3">
      <c r="A1832"/>
      <c r="C1832" s="16"/>
      <c r="G1832" s="5">
        <f>IF(A1832="","","Checking")</f>
      </c>
      <c r="H1832">
        <f>IF(A1832="","",IFERROR(XLOOKUP(D1832,Setup!$E$15:$E$79,Setup!$F$15:$F$79),"Miscellaneous"))</f>
      </c>
      <c r="I1832">
        <f>IF(A1832="","",IFERROR(XLOOKUP(D1832,Setup!$E$15:$E$79,Setup!$G$15:$G$79),"Uncategorized"))</f>
      </c>
      <c r="J1832">
        <f>IF(A1832="","",IF(OR(H1832="Transfers",H1832="Income",D1832="Transfer",D1832="Category Pending",F1832="Pending"),"No","Yes"))</f>
      </c>
      <c r="K1832" s="4">
        <f>IF(A1832="","",TEXT(IF(DAY(A1832)&gt;=Setup!$B$9,DATE(YEAR(A1832),MONTH(A1832)+1,1),DATE(YEAR(A1832),MONTH(A1832),1)),"mmmm yyyy"))</f>
      </c>
      <c r="L1832" s="47">
        <f>IF(A1832="",0,IF(AND(J1832="Yes",E1832&lt;0),-E1832,0))</f>
      </c>
      <c r="M1832" s="47">
        <f>IF(A1832="",0,IF(AND(J1832="Yes",E1832&gt;0),E1832,0))</f>
      </c>
      <c r="N1832">
        <f>IF(A1832="","",IF(D1832="Category Pending","Needs categorization",IF(COUNTIFS($A$2:A1832,A1832,$B$2:B1832,B1832,$E$2:E1832,E1832)&gt;1,"Possible duplicate","")))</f>
      </c>
    </row>
    <row r="1833" spans="3:14" x14ac:dyDescent="0.3">
      <c r="A1833"/>
      <c r="C1833" s="16"/>
      <c r="G1833" s="5">
        <f>IF(A1833="","","Checking")</f>
      </c>
      <c r="H1833">
        <f>IF(A1833="","",IFERROR(XLOOKUP(D1833,Setup!$E$15:$E$79,Setup!$F$15:$F$79),"Miscellaneous"))</f>
      </c>
      <c r="I1833">
        <f>IF(A1833="","",IFERROR(XLOOKUP(D1833,Setup!$E$15:$E$79,Setup!$G$15:$G$79),"Uncategorized"))</f>
      </c>
      <c r="J1833">
        <f>IF(A1833="","",IF(OR(H1833="Transfers",H1833="Income",D1833="Transfer",D1833="Category Pending",F1833="Pending"),"No","Yes"))</f>
      </c>
      <c r="K1833" s="4">
        <f>IF(A1833="","",TEXT(IF(DAY(A1833)&gt;=Setup!$B$9,DATE(YEAR(A1833),MONTH(A1833)+1,1),DATE(YEAR(A1833),MONTH(A1833),1)),"mmmm yyyy"))</f>
      </c>
      <c r="L1833" s="47">
        <f>IF(A1833="",0,IF(AND(J1833="Yes",E1833&lt;0),-E1833,0))</f>
      </c>
      <c r="M1833" s="47">
        <f>IF(A1833="",0,IF(AND(J1833="Yes",E1833&gt;0),E1833,0))</f>
      </c>
      <c r="N1833">
        <f>IF(A1833="","",IF(D1833="Category Pending","Needs categorization",IF(COUNTIFS($A$2:A1833,A1833,$B$2:B1833,B1833,$E$2:E1833,E1833)&gt;1,"Possible duplicate","")))</f>
      </c>
    </row>
    <row r="1834" spans="3:14" x14ac:dyDescent="0.3">
      <c r="A1834"/>
      <c r="C1834" s="16"/>
      <c r="G1834" s="5">
        <f>IF(A1834="","","Checking")</f>
      </c>
      <c r="H1834">
        <f>IF(A1834="","",IFERROR(XLOOKUP(D1834,Setup!$E$15:$E$79,Setup!$F$15:$F$79),"Miscellaneous"))</f>
      </c>
      <c r="I1834">
        <f>IF(A1834="","",IFERROR(XLOOKUP(D1834,Setup!$E$15:$E$79,Setup!$G$15:$G$79),"Uncategorized"))</f>
      </c>
      <c r="J1834">
        <f>IF(A1834="","",IF(OR(H1834="Transfers",H1834="Income",D1834="Transfer",D1834="Category Pending",F1834="Pending"),"No","Yes"))</f>
      </c>
      <c r="K1834" s="4">
        <f>IF(A1834="","",TEXT(IF(DAY(A1834)&gt;=Setup!$B$9,DATE(YEAR(A1834),MONTH(A1834)+1,1),DATE(YEAR(A1834),MONTH(A1834),1)),"mmmm yyyy"))</f>
      </c>
      <c r="L1834" s="47">
        <f>IF(A1834="",0,IF(AND(J1834="Yes",E1834&lt;0),-E1834,0))</f>
      </c>
      <c r="M1834" s="47">
        <f>IF(A1834="",0,IF(AND(J1834="Yes",E1834&gt;0),E1834,0))</f>
      </c>
      <c r="N1834">
        <f>IF(A1834="","",IF(D1834="Category Pending","Needs categorization",IF(COUNTIFS($A$2:A1834,A1834,$B$2:B1834,B1834,$E$2:E1834,E1834)&gt;1,"Possible duplicate","")))</f>
      </c>
    </row>
    <row r="1835" spans="3:14" x14ac:dyDescent="0.3">
      <c r="A1835"/>
      <c r="C1835" s="16"/>
      <c r="G1835" s="5">
        <f>IF(A1835="","","Checking")</f>
      </c>
      <c r="H1835">
        <f>IF(A1835="","",IFERROR(XLOOKUP(D1835,Setup!$E$15:$E$79,Setup!$F$15:$F$79),"Miscellaneous"))</f>
      </c>
      <c r="I1835">
        <f>IF(A1835="","",IFERROR(XLOOKUP(D1835,Setup!$E$15:$E$79,Setup!$G$15:$G$79),"Uncategorized"))</f>
      </c>
      <c r="J1835">
        <f>IF(A1835="","",IF(OR(H1835="Transfers",H1835="Income",D1835="Transfer",D1835="Category Pending",F1835="Pending"),"No","Yes"))</f>
      </c>
      <c r="K1835" s="4">
        <f>IF(A1835="","",TEXT(IF(DAY(A1835)&gt;=Setup!$B$9,DATE(YEAR(A1835),MONTH(A1835)+1,1),DATE(YEAR(A1835),MONTH(A1835),1)),"mmmm yyyy"))</f>
      </c>
      <c r="L1835" s="47">
        <f>IF(A1835="",0,IF(AND(J1835="Yes",E1835&lt;0),-E1835,0))</f>
      </c>
      <c r="M1835" s="47">
        <f>IF(A1835="",0,IF(AND(J1835="Yes",E1835&gt;0),E1835,0))</f>
      </c>
      <c r="N1835">
        <f>IF(A1835="","",IF(D1835="Category Pending","Needs categorization",IF(COUNTIFS($A$2:A1835,A1835,$B$2:B1835,B1835,$E$2:E1835,E1835)&gt;1,"Possible duplicate","")))</f>
      </c>
    </row>
    <row r="1836" spans="3:14" x14ac:dyDescent="0.3">
      <c r="A1836"/>
      <c r="C1836" s="16"/>
      <c r="G1836" s="5">
        <f>IF(A1836="","","Checking")</f>
      </c>
      <c r="H1836">
        <f>IF(A1836="","",IFERROR(XLOOKUP(D1836,Setup!$E$15:$E$79,Setup!$F$15:$F$79),"Miscellaneous"))</f>
      </c>
      <c r="I1836">
        <f>IF(A1836="","",IFERROR(XLOOKUP(D1836,Setup!$E$15:$E$79,Setup!$G$15:$G$79),"Uncategorized"))</f>
      </c>
      <c r="J1836">
        <f>IF(A1836="","",IF(OR(H1836="Transfers",H1836="Income",D1836="Transfer",D1836="Category Pending",F1836="Pending"),"No","Yes"))</f>
      </c>
      <c r="K1836" s="4">
        <f>IF(A1836="","",TEXT(IF(DAY(A1836)&gt;=Setup!$B$9,DATE(YEAR(A1836),MONTH(A1836)+1,1),DATE(YEAR(A1836),MONTH(A1836),1)),"mmmm yyyy"))</f>
      </c>
      <c r="L1836" s="47">
        <f>IF(A1836="",0,IF(AND(J1836="Yes",E1836&lt;0),-E1836,0))</f>
      </c>
      <c r="M1836" s="47">
        <f>IF(A1836="",0,IF(AND(J1836="Yes",E1836&gt;0),E1836,0))</f>
      </c>
      <c r="N1836">
        <f>IF(A1836="","",IF(D1836="Category Pending","Needs categorization",IF(COUNTIFS($A$2:A1836,A1836,$B$2:B1836,B1836,$E$2:E1836,E1836)&gt;1,"Possible duplicate","")))</f>
      </c>
    </row>
    <row r="1837" spans="3:14" x14ac:dyDescent="0.3">
      <c r="A1837"/>
      <c r="C1837" s="16"/>
      <c r="G1837" s="5">
        <f>IF(A1837="","","Checking")</f>
      </c>
      <c r="H1837">
        <f>IF(A1837="","",IFERROR(XLOOKUP(D1837,Setup!$E$15:$E$79,Setup!$F$15:$F$79),"Miscellaneous"))</f>
      </c>
      <c r="I1837">
        <f>IF(A1837="","",IFERROR(XLOOKUP(D1837,Setup!$E$15:$E$79,Setup!$G$15:$G$79),"Uncategorized"))</f>
      </c>
      <c r="J1837">
        <f>IF(A1837="","",IF(OR(H1837="Transfers",H1837="Income",D1837="Transfer",D1837="Category Pending",F1837="Pending"),"No","Yes"))</f>
      </c>
      <c r="K1837" s="4">
        <f>IF(A1837="","",TEXT(IF(DAY(A1837)&gt;=Setup!$B$9,DATE(YEAR(A1837),MONTH(A1837)+1,1),DATE(YEAR(A1837),MONTH(A1837),1)),"mmmm yyyy"))</f>
      </c>
      <c r="L1837" s="47">
        <f>IF(A1837="",0,IF(AND(J1837="Yes",E1837&lt;0),-E1837,0))</f>
      </c>
      <c r="M1837" s="47">
        <f>IF(A1837="",0,IF(AND(J1837="Yes",E1837&gt;0),E1837,0))</f>
      </c>
      <c r="N1837">
        <f>IF(A1837="","",IF(D1837="Category Pending","Needs categorization",IF(COUNTIFS($A$2:A1837,A1837,$B$2:B1837,B1837,$E$2:E1837,E1837)&gt;1,"Possible duplicate","")))</f>
      </c>
    </row>
    <row r="1838" spans="3:14" x14ac:dyDescent="0.3">
      <c r="A1838"/>
      <c r="C1838" s="16"/>
      <c r="G1838" s="5">
        <f>IF(A1838="","","Checking")</f>
      </c>
      <c r="H1838">
        <f>IF(A1838="","",IFERROR(XLOOKUP(D1838,Setup!$E$15:$E$79,Setup!$F$15:$F$79),"Miscellaneous"))</f>
      </c>
      <c r="I1838">
        <f>IF(A1838="","",IFERROR(XLOOKUP(D1838,Setup!$E$15:$E$79,Setup!$G$15:$G$79),"Uncategorized"))</f>
      </c>
      <c r="J1838">
        <f>IF(A1838="","",IF(OR(H1838="Transfers",H1838="Income",D1838="Transfer",D1838="Category Pending",F1838="Pending"),"No","Yes"))</f>
      </c>
      <c r="K1838" s="4">
        <f>IF(A1838="","",TEXT(IF(DAY(A1838)&gt;=Setup!$B$9,DATE(YEAR(A1838),MONTH(A1838)+1,1),DATE(YEAR(A1838),MONTH(A1838),1)),"mmmm yyyy"))</f>
      </c>
      <c r="L1838" s="47">
        <f>IF(A1838="",0,IF(AND(J1838="Yes",E1838&lt;0),-E1838,0))</f>
      </c>
      <c r="M1838" s="47">
        <f>IF(A1838="",0,IF(AND(J1838="Yes",E1838&gt;0),E1838,0))</f>
      </c>
      <c r="N1838">
        <f>IF(A1838="","",IF(D1838="Category Pending","Needs categorization",IF(COUNTIFS($A$2:A1838,A1838,$B$2:B1838,B1838,$E$2:E1838,E1838)&gt;1,"Possible duplicate","")))</f>
      </c>
    </row>
    <row r="1839" spans="3:14" x14ac:dyDescent="0.3">
      <c r="A1839"/>
      <c r="C1839" s="16"/>
      <c r="G1839" s="5">
        <f>IF(A1839="","","Checking")</f>
      </c>
      <c r="H1839">
        <f>IF(A1839="","",IFERROR(XLOOKUP(D1839,Setup!$E$15:$E$79,Setup!$F$15:$F$79),"Miscellaneous"))</f>
      </c>
      <c r="I1839">
        <f>IF(A1839="","",IFERROR(XLOOKUP(D1839,Setup!$E$15:$E$79,Setup!$G$15:$G$79),"Uncategorized"))</f>
      </c>
      <c r="J1839">
        <f>IF(A1839="","",IF(OR(H1839="Transfers",H1839="Income",D1839="Transfer",D1839="Category Pending",F1839="Pending"),"No","Yes"))</f>
      </c>
      <c r="K1839" s="4">
        <f>IF(A1839="","",TEXT(IF(DAY(A1839)&gt;=Setup!$B$9,DATE(YEAR(A1839),MONTH(A1839)+1,1),DATE(YEAR(A1839),MONTH(A1839),1)),"mmmm yyyy"))</f>
      </c>
      <c r="L1839" s="47">
        <f>IF(A1839="",0,IF(AND(J1839="Yes",E1839&lt;0),-E1839,0))</f>
      </c>
      <c r="M1839" s="47">
        <f>IF(A1839="",0,IF(AND(J1839="Yes",E1839&gt;0),E1839,0))</f>
      </c>
      <c r="N1839">
        <f>IF(A1839="","",IF(D1839="Category Pending","Needs categorization",IF(COUNTIFS($A$2:A1839,A1839,$B$2:B1839,B1839,$E$2:E1839,E1839)&gt;1,"Possible duplicate","")))</f>
      </c>
    </row>
    <row r="1840" spans="3:14" x14ac:dyDescent="0.3">
      <c r="A1840"/>
      <c r="C1840" s="16"/>
      <c r="G1840" s="5">
        <f>IF(A1840="","","Checking")</f>
      </c>
      <c r="H1840">
        <f>IF(A1840="","",IFERROR(XLOOKUP(D1840,Setup!$E$15:$E$79,Setup!$F$15:$F$79),"Miscellaneous"))</f>
      </c>
      <c r="I1840">
        <f>IF(A1840="","",IFERROR(XLOOKUP(D1840,Setup!$E$15:$E$79,Setup!$G$15:$G$79),"Uncategorized"))</f>
      </c>
      <c r="J1840">
        <f>IF(A1840="","",IF(OR(H1840="Transfers",H1840="Income",D1840="Transfer",D1840="Category Pending",F1840="Pending"),"No","Yes"))</f>
      </c>
      <c r="K1840" s="4">
        <f>IF(A1840="","",TEXT(IF(DAY(A1840)&gt;=Setup!$B$9,DATE(YEAR(A1840),MONTH(A1840)+1,1),DATE(YEAR(A1840),MONTH(A1840),1)),"mmmm yyyy"))</f>
      </c>
      <c r="L1840" s="47">
        <f>IF(A1840="",0,IF(AND(J1840="Yes",E1840&lt;0),-E1840,0))</f>
      </c>
      <c r="M1840" s="47">
        <f>IF(A1840="",0,IF(AND(J1840="Yes",E1840&gt;0),E1840,0))</f>
      </c>
      <c r="N1840">
        <f>IF(A1840="","",IF(D1840="Category Pending","Needs categorization",IF(COUNTIFS($A$2:A1840,A1840,$B$2:B1840,B1840,$E$2:E1840,E1840)&gt;1,"Possible duplicate","")))</f>
      </c>
    </row>
    <row r="1841" spans="3:14" x14ac:dyDescent="0.3">
      <c r="A1841"/>
      <c r="C1841" s="16"/>
      <c r="G1841" s="5">
        <f>IF(A1841="","","Checking")</f>
      </c>
      <c r="H1841">
        <f>IF(A1841="","",IFERROR(XLOOKUP(D1841,Setup!$E$15:$E$79,Setup!$F$15:$F$79),"Miscellaneous"))</f>
      </c>
      <c r="I1841">
        <f>IF(A1841="","",IFERROR(XLOOKUP(D1841,Setup!$E$15:$E$79,Setup!$G$15:$G$79),"Uncategorized"))</f>
      </c>
      <c r="J1841">
        <f>IF(A1841="","",IF(OR(H1841="Transfers",H1841="Income",D1841="Transfer",D1841="Category Pending",F1841="Pending"),"No","Yes"))</f>
      </c>
      <c r="K1841" s="4">
        <f>IF(A1841="","",TEXT(IF(DAY(A1841)&gt;=Setup!$B$9,DATE(YEAR(A1841),MONTH(A1841)+1,1),DATE(YEAR(A1841),MONTH(A1841),1)),"mmmm yyyy"))</f>
      </c>
      <c r="L1841" s="47">
        <f>IF(A1841="",0,IF(AND(J1841="Yes",E1841&lt;0),-E1841,0))</f>
      </c>
      <c r="M1841" s="47">
        <f>IF(A1841="",0,IF(AND(J1841="Yes",E1841&gt;0),E1841,0))</f>
      </c>
      <c r="N1841">
        <f>IF(A1841="","",IF(D1841="Category Pending","Needs categorization",IF(COUNTIFS($A$2:A1841,A1841,$B$2:B1841,B1841,$E$2:E1841,E1841)&gt;1,"Possible duplicate","")))</f>
      </c>
    </row>
    <row r="1842" spans="3:14" x14ac:dyDescent="0.3">
      <c r="A1842"/>
      <c r="C1842" s="16"/>
      <c r="G1842" s="5">
        <f>IF(A1842="","","Checking")</f>
      </c>
      <c r="H1842">
        <f>IF(A1842="","",IFERROR(XLOOKUP(D1842,Setup!$E$15:$E$79,Setup!$F$15:$F$79),"Miscellaneous"))</f>
      </c>
      <c r="I1842">
        <f>IF(A1842="","",IFERROR(XLOOKUP(D1842,Setup!$E$15:$E$79,Setup!$G$15:$G$79),"Uncategorized"))</f>
      </c>
      <c r="J1842">
        <f>IF(A1842="","",IF(OR(H1842="Transfers",H1842="Income",D1842="Transfer",D1842="Category Pending",F1842="Pending"),"No","Yes"))</f>
      </c>
      <c r="K1842" s="4">
        <f>IF(A1842="","",TEXT(IF(DAY(A1842)&gt;=Setup!$B$9,DATE(YEAR(A1842),MONTH(A1842)+1,1),DATE(YEAR(A1842),MONTH(A1842),1)),"mmmm yyyy"))</f>
      </c>
      <c r="L1842" s="47">
        <f>IF(A1842="",0,IF(AND(J1842="Yes",E1842&lt;0),-E1842,0))</f>
      </c>
      <c r="M1842" s="47">
        <f>IF(A1842="",0,IF(AND(J1842="Yes",E1842&gt;0),E1842,0))</f>
      </c>
      <c r="N1842">
        <f>IF(A1842="","",IF(D1842="Category Pending","Needs categorization",IF(COUNTIFS($A$2:A1842,A1842,$B$2:B1842,B1842,$E$2:E1842,E1842)&gt;1,"Possible duplicate","")))</f>
      </c>
    </row>
    <row r="1843" spans="3:14" x14ac:dyDescent="0.3">
      <c r="A1843"/>
      <c r="C1843" s="16"/>
      <c r="G1843" s="5">
        <f>IF(A1843="","","Checking")</f>
      </c>
      <c r="H1843">
        <f>IF(A1843="","",IFERROR(XLOOKUP(D1843,Setup!$E$15:$E$79,Setup!$F$15:$F$79),"Miscellaneous"))</f>
      </c>
      <c r="I1843">
        <f>IF(A1843="","",IFERROR(XLOOKUP(D1843,Setup!$E$15:$E$79,Setup!$G$15:$G$79),"Uncategorized"))</f>
      </c>
      <c r="J1843">
        <f>IF(A1843="","",IF(OR(H1843="Transfers",H1843="Income",D1843="Transfer",D1843="Category Pending",F1843="Pending"),"No","Yes"))</f>
      </c>
      <c r="K1843" s="4">
        <f>IF(A1843="","",TEXT(IF(DAY(A1843)&gt;=Setup!$B$9,DATE(YEAR(A1843),MONTH(A1843)+1,1),DATE(YEAR(A1843),MONTH(A1843),1)),"mmmm yyyy"))</f>
      </c>
      <c r="L1843" s="47">
        <f>IF(A1843="",0,IF(AND(J1843="Yes",E1843&lt;0),-E1843,0))</f>
      </c>
      <c r="M1843" s="47">
        <f>IF(A1843="",0,IF(AND(J1843="Yes",E1843&gt;0),E1843,0))</f>
      </c>
      <c r="N1843">
        <f>IF(A1843="","",IF(D1843="Category Pending","Needs categorization",IF(COUNTIFS($A$2:A1843,A1843,$B$2:B1843,B1843,$E$2:E1843,E1843)&gt;1,"Possible duplicate","")))</f>
      </c>
    </row>
    <row r="1844" spans="3:14" x14ac:dyDescent="0.3">
      <c r="A1844"/>
      <c r="C1844" s="16"/>
      <c r="G1844" s="5">
        <f>IF(A1844="","","Checking")</f>
      </c>
      <c r="H1844">
        <f>IF(A1844="","",IFERROR(XLOOKUP(D1844,Setup!$E$15:$E$79,Setup!$F$15:$F$79),"Miscellaneous"))</f>
      </c>
      <c r="I1844">
        <f>IF(A1844="","",IFERROR(XLOOKUP(D1844,Setup!$E$15:$E$79,Setup!$G$15:$G$79),"Uncategorized"))</f>
      </c>
      <c r="J1844">
        <f>IF(A1844="","",IF(OR(H1844="Transfers",H1844="Income",D1844="Transfer",D1844="Category Pending",F1844="Pending"),"No","Yes"))</f>
      </c>
      <c r="K1844" s="4">
        <f>IF(A1844="","",TEXT(IF(DAY(A1844)&gt;=Setup!$B$9,DATE(YEAR(A1844),MONTH(A1844)+1,1),DATE(YEAR(A1844),MONTH(A1844),1)),"mmmm yyyy"))</f>
      </c>
      <c r="L1844" s="47">
        <f>IF(A1844="",0,IF(AND(J1844="Yes",E1844&lt;0),-E1844,0))</f>
      </c>
      <c r="M1844" s="47">
        <f>IF(A1844="",0,IF(AND(J1844="Yes",E1844&gt;0),E1844,0))</f>
      </c>
      <c r="N1844">
        <f>IF(A1844="","",IF(D1844="Category Pending","Needs categorization",IF(COUNTIFS($A$2:A1844,A1844,$B$2:B1844,B1844,$E$2:E1844,E1844)&gt;1,"Possible duplicate","")))</f>
      </c>
    </row>
    <row r="1845" spans="3:14" x14ac:dyDescent="0.3">
      <c r="A1845"/>
      <c r="C1845" s="16"/>
      <c r="G1845" s="5">
        <f>IF(A1845="","","Checking")</f>
      </c>
      <c r="H1845">
        <f>IF(A1845="","",IFERROR(XLOOKUP(D1845,Setup!$E$15:$E$79,Setup!$F$15:$F$79),"Miscellaneous"))</f>
      </c>
      <c r="I1845">
        <f>IF(A1845="","",IFERROR(XLOOKUP(D1845,Setup!$E$15:$E$79,Setup!$G$15:$G$79),"Uncategorized"))</f>
      </c>
      <c r="J1845">
        <f>IF(A1845="","",IF(OR(H1845="Transfers",H1845="Income",D1845="Transfer",D1845="Category Pending",F1845="Pending"),"No","Yes"))</f>
      </c>
      <c r="K1845" s="4">
        <f>IF(A1845="","",TEXT(IF(DAY(A1845)&gt;=Setup!$B$9,DATE(YEAR(A1845),MONTH(A1845)+1,1),DATE(YEAR(A1845),MONTH(A1845),1)),"mmmm yyyy"))</f>
      </c>
      <c r="L1845" s="47">
        <f>IF(A1845="",0,IF(AND(J1845="Yes",E1845&lt;0),-E1845,0))</f>
      </c>
      <c r="M1845" s="47">
        <f>IF(A1845="",0,IF(AND(J1845="Yes",E1845&gt;0),E1845,0))</f>
      </c>
      <c r="N1845">
        <f>IF(A1845="","",IF(D1845="Category Pending","Needs categorization",IF(COUNTIFS($A$2:A1845,A1845,$B$2:B1845,B1845,$E$2:E1845,E1845)&gt;1,"Possible duplicate","")))</f>
      </c>
    </row>
    <row r="1846" spans="3:14" x14ac:dyDescent="0.3">
      <c r="A1846"/>
      <c r="C1846" s="16"/>
      <c r="G1846" s="5">
        <f>IF(A1846="","","Checking")</f>
      </c>
      <c r="H1846">
        <f>IF(A1846="","",IFERROR(XLOOKUP(D1846,Setup!$E$15:$E$79,Setup!$F$15:$F$79),"Miscellaneous"))</f>
      </c>
      <c r="I1846">
        <f>IF(A1846="","",IFERROR(XLOOKUP(D1846,Setup!$E$15:$E$79,Setup!$G$15:$G$79),"Uncategorized"))</f>
      </c>
      <c r="J1846">
        <f>IF(A1846="","",IF(OR(H1846="Transfers",H1846="Income",D1846="Transfer",D1846="Category Pending",F1846="Pending"),"No","Yes"))</f>
      </c>
      <c r="K1846" s="4">
        <f>IF(A1846="","",TEXT(IF(DAY(A1846)&gt;=Setup!$B$9,DATE(YEAR(A1846),MONTH(A1846)+1,1),DATE(YEAR(A1846),MONTH(A1846),1)),"mmmm yyyy"))</f>
      </c>
      <c r="L1846" s="47">
        <f>IF(A1846="",0,IF(AND(J1846="Yes",E1846&lt;0),-E1846,0))</f>
      </c>
      <c r="M1846" s="47">
        <f>IF(A1846="",0,IF(AND(J1846="Yes",E1846&gt;0),E1846,0))</f>
      </c>
      <c r="N1846">
        <f>IF(A1846="","",IF(D1846="Category Pending","Needs categorization",IF(COUNTIFS($A$2:A1846,A1846,$B$2:B1846,B1846,$E$2:E1846,E1846)&gt;1,"Possible duplicate","")))</f>
      </c>
    </row>
    <row r="1847" spans="3:14" x14ac:dyDescent="0.3">
      <c r="A1847"/>
      <c r="C1847" s="16"/>
      <c r="G1847" s="5">
        <f>IF(A1847="","","Checking")</f>
      </c>
      <c r="H1847">
        <f>IF(A1847="","",IFERROR(XLOOKUP(D1847,Setup!$E$15:$E$79,Setup!$F$15:$F$79),"Miscellaneous"))</f>
      </c>
      <c r="I1847">
        <f>IF(A1847="","",IFERROR(XLOOKUP(D1847,Setup!$E$15:$E$79,Setup!$G$15:$G$79),"Uncategorized"))</f>
      </c>
      <c r="J1847">
        <f>IF(A1847="","",IF(OR(H1847="Transfers",H1847="Income",D1847="Transfer",D1847="Category Pending",F1847="Pending"),"No","Yes"))</f>
      </c>
      <c r="K1847" s="4">
        <f>IF(A1847="","",TEXT(IF(DAY(A1847)&gt;=Setup!$B$9,DATE(YEAR(A1847),MONTH(A1847)+1,1),DATE(YEAR(A1847),MONTH(A1847),1)),"mmmm yyyy"))</f>
      </c>
      <c r="L1847" s="47">
        <f>IF(A1847="",0,IF(AND(J1847="Yes",E1847&lt;0),-E1847,0))</f>
      </c>
      <c r="M1847" s="47">
        <f>IF(A1847="",0,IF(AND(J1847="Yes",E1847&gt;0),E1847,0))</f>
      </c>
      <c r="N1847">
        <f>IF(A1847="","",IF(D1847="Category Pending","Needs categorization",IF(COUNTIFS($A$2:A1847,A1847,$B$2:B1847,B1847,$E$2:E1847,E1847)&gt;1,"Possible duplicate","")))</f>
      </c>
    </row>
    <row r="1848" spans="3:14" x14ac:dyDescent="0.3">
      <c r="A1848"/>
      <c r="C1848" s="16"/>
      <c r="G1848" s="5">
        <f>IF(A1848="","","Checking")</f>
      </c>
      <c r="H1848">
        <f>IF(A1848="","",IFERROR(XLOOKUP(D1848,Setup!$E$15:$E$79,Setup!$F$15:$F$79),"Miscellaneous"))</f>
      </c>
      <c r="I1848">
        <f>IF(A1848="","",IFERROR(XLOOKUP(D1848,Setup!$E$15:$E$79,Setup!$G$15:$G$79),"Uncategorized"))</f>
      </c>
      <c r="J1848">
        <f>IF(A1848="","",IF(OR(H1848="Transfers",H1848="Income",D1848="Transfer",D1848="Category Pending",F1848="Pending"),"No","Yes"))</f>
      </c>
      <c r="K1848" s="4">
        <f>IF(A1848="","",TEXT(IF(DAY(A1848)&gt;=Setup!$B$9,DATE(YEAR(A1848),MONTH(A1848)+1,1),DATE(YEAR(A1848),MONTH(A1848),1)),"mmmm yyyy"))</f>
      </c>
      <c r="L1848" s="47">
        <f>IF(A1848="",0,IF(AND(J1848="Yes",E1848&lt;0),-E1848,0))</f>
      </c>
      <c r="M1848" s="47">
        <f>IF(A1848="",0,IF(AND(J1848="Yes",E1848&gt;0),E1848,0))</f>
      </c>
      <c r="N1848">
        <f>IF(A1848="","",IF(D1848="Category Pending","Needs categorization",IF(COUNTIFS($A$2:A1848,A1848,$B$2:B1848,B1848,$E$2:E1848,E1848)&gt;1,"Possible duplicate","")))</f>
      </c>
    </row>
    <row r="1849" spans="3:14" x14ac:dyDescent="0.3">
      <c r="A1849"/>
      <c r="C1849" s="16"/>
      <c r="G1849" s="5">
        <f>IF(A1849="","","Checking")</f>
      </c>
      <c r="H1849">
        <f>IF(A1849="","",IFERROR(XLOOKUP(D1849,Setup!$E$15:$E$79,Setup!$F$15:$F$79),"Miscellaneous"))</f>
      </c>
      <c r="I1849">
        <f>IF(A1849="","",IFERROR(XLOOKUP(D1849,Setup!$E$15:$E$79,Setup!$G$15:$G$79),"Uncategorized"))</f>
      </c>
      <c r="J1849">
        <f>IF(A1849="","",IF(OR(H1849="Transfers",H1849="Income",D1849="Transfer",D1849="Category Pending",F1849="Pending"),"No","Yes"))</f>
      </c>
      <c r="K1849" s="4">
        <f>IF(A1849="","",TEXT(IF(DAY(A1849)&gt;=Setup!$B$9,DATE(YEAR(A1849),MONTH(A1849)+1,1),DATE(YEAR(A1849),MONTH(A1849),1)),"mmmm yyyy"))</f>
      </c>
      <c r="L1849" s="47">
        <f>IF(A1849="",0,IF(AND(J1849="Yes",E1849&lt;0),-E1849,0))</f>
      </c>
      <c r="M1849" s="47">
        <f>IF(A1849="",0,IF(AND(J1849="Yes",E1849&gt;0),E1849,0))</f>
      </c>
      <c r="N1849">
        <f>IF(A1849="","",IF(D1849="Category Pending","Needs categorization",IF(COUNTIFS($A$2:A1849,A1849,$B$2:B1849,B1849,$E$2:E1849,E1849)&gt;1,"Possible duplicate","")))</f>
      </c>
    </row>
    <row r="1850" spans="3:14" x14ac:dyDescent="0.3">
      <c r="A1850"/>
      <c r="C1850" s="16"/>
      <c r="G1850" s="5">
        <f>IF(A1850="","","Checking")</f>
      </c>
      <c r="H1850">
        <f>IF(A1850="","",IFERROR(XLOOKUP(D1850,Setup!$E$15:$E$79,Setup!$F$15:$F$79),"Miscellaneous"))</f>
      </c>
      <c r="I1850">
        <f>IF(A1850="","",IFERROR(XLOOKUP(D1850,Setup!$E$15:$E$79,Setup!$G$15:$G$79),"Uncategorized"))</f>
      </c>
      <c r="J1850">
        <f>IF(A1850="","",IF(OR(H1850="Transfers",H1850="Income",D1850="Transfer",D1850="Category Pending",F1850="Pending"),"No","Yes"))</f>
      </c>
      <c r="K1850" s="4">
        <f>IF(A1850="","",TEXT(IF(DAY(A1850)&gt;=Setup!$B$9,DATE(YEAR(A1850),MONTH(A1850)+1,1),DATE(YEAR(A1850),MONTH(A1850),1)),"mmmm yyyy"))</f>
      </c>
      <c r="L1850" s="47">
        <f>IF(A1850="",0,IF(AND(J1850="Yes",E1850&lt;0),-E1850,0))</f>
      </c>
      <c r="M1850" s="47">
        <f>IF(A1850="",0,IF(AND(J1850="Yes",E1850&gt;0),E1850,0))</f>
      </c>
      <c r="N1850">
        <f>IF(A1850="","",IF(D1850="Category Pending","Needs categorization",IF(COUNTIFS($A$2:A1850,A1850,$B$2:B1850,B1850,$E$2:E1850,E1850)&gt;1,"Possible duplicate","")))</f>
      </c>
    </row>
    <row r="1851" spans="3:14" x14ac:dyDescent="0.3">
      <c r="A1851"/>
      <c r="C1851" s="16"/>
      <c r="G1851" s="5">
        <f>IF(A1851="","","Checking")</f>
      </c>
      <c r="H1851">
        <f>IF(A1851="","",IFERROR(XLOOKUP(D1851,Setup!$E$15:$E$79,Setup!$F$15:$F$79),"Miscellaneous"))</f>
      </c>
      <c r="I1851">
        <f>IF(A1851="","",IFERROR(XLOOKUP(D1851,Setup!$E$15:$E$79,Setup!$G$15:$G$79),"Uncategorized"))</f>
      </c>
      <c r="J1851">
        <f>IF(A1851="","",IF(OR(H1851="Transfers",H1851="Income",D1851="Transfer",D1851="Category Pending",F1851="Pending"),"No","Yes"))</f>
      </c>
      <c r="K1851" s="4">
        <f>IF(A1851="","",TEXT(IF(DAY(A1851)&gt;=Setup!$B$9,DATE(YEAR(A1851),MONTH(A1851)+1,1),DATE(YEAR(A1851),MONTH(A1851),1)),"mmmm yyyy"))</f>
      </c>
      <c r="L1851" s="47">
        <f>IF(A1851="",0,IF(AND(J1851="Yes",E1851&lt;0),-E1851,0))</f>
      </c>
      <c r="M1851" s="47">
        <f>IF(A1851="",0,IF(AND(J1851="Yes",E1851&gt;0),E1851,0))</f>
      </c>
      <c r="N1851">
        <f>IF(A1851="","",IF(D1851="Category Pending","Needs categorization",IF(COUNTIFS($A$2:A1851,A1851,$B$2:B1851,B1851,$E$2:E1851,E1851)&gt;1,"Possible duplicate","")))</f>
      </c>
    </row>
    <row r="1852" spans="3:14" x14ac:dyDescent="0.3">
      <c r="A1852"/>
      <c r="C1852" s="16"/>
      <c r="G1852" s="5">
        <f>IF(A1852="","","Checking")</f>
      </c>
      <c r="H1852">
        <f>IF(A1852="","",IFERROR(XLOOKUP(D1852,Setup!$E$15:$E$79,Setup!$F$15:$F$79),"Miscellaneous"))</f>
      </c>
      <c r="I1852">
        <f>IF(A1852="","",IFERROR(XLOOKUP(D1852,Setup!$E$15:$E$79,Setup!$G$15:$G$79),"Uncategorized"))</f>
      </c>
      <c r="J1852">
        <f>IF(A1852="","",IF(OR(H1852="Transfers",H1852="Income",D1852="Transfer",D1852="Category Pending",F1852="Pending"),"No","Yes"))</f>
      </c>
      <c r="K1852" s="4">
        <f>IF(A1852="","",TEXT(IF(DAY(A1852)&gt;=Setup!$B$9,DATE(YEAR(A1852),MONTH(A1852)+1,1),DATE(YEAR(A1852),MONTH(A1852),1)),"mmmm yyyy"))</f>
      </c>
      <c r="L1852" s="47">
        <f>IF(A1852="",0,IF(AND(J1852="Yes",E1852&lt;0),-E1852,0))</f>
      </c>
      <c r="M1852" s="47">
        <f>IF(A1852="",0,IF(AND(J1852="Yes",E1852&gt;0),E1852,0))</f>
      </c>
      <c r="N1852">
        <f>IF(A1852="","",IF(D1852="Category Pending","Needs categorization",IF(COUNTIFS($A$2:A1852,A1852,$B$2:B1852,B1852,$E$2:E1852,E1852)&gt;1,"Possible duplicate","")))</f>
      </c>
    </row>
    <row r="1853" spans="3:14" x14ac:dyDescent="0.3">
      <c r="A1853"/>
      <c r="C1853" s="16"/>
      <c r="G1853" s="5">
        <f>IF(A1853="","","Checking")</f>
      </c>
      <c r="H1853">
        <f>IF(A1853="","",IFERROR(XLOOKUP(D1853,Setup!$E$15:$E$79,Setup!$F$15:$F$79),"Miscellaneous"))</f>
      </c>
      <c r="I1853">
        <f>IF(A1853="","",IFERROR(XLOOKUP(D1853,Setup!$E$15:$E$79,Setup!$G$15:$G$79),"Uncategorized"))</f>
      </c>
      <c r="J1853">
        <f>IF(A1853="","",IF(OR(H1853="Transfers",H1853="Income",D1853="Transfer",D1853="Category Pending",F1853="Pending"),"No","Yes"))</f>
      </c>
      <c r="K1853" s="4">
        <f>IF(A1853="","",TEXT(IF(DAY(A1853)&gt;=Setup!$B$9,DATE(YEAR(A1853),MONTH(A1853)+1,1),DATE(YEAR(A1853),MONTH(A1853),1)),"mmmm yyyy"))</f>
      </c>
      <c r="L1853" s="47">
        <f>IF(A1853="",0,IF(AND(J1853="Yes",E1853&lt;0),-E1853,0))</f>
      </c>
      <c r="M1853" s="47">
        <f>IF(A1853="",0,IF(AND(J1853="Yes",E1853&gt;0),E1853,0))</f>
      </c>
      <c r="N1853">
        <f>IF(A1853="","",IF(D1853="Category Pending","Needs categorization",IF(COUNTIFS($A$2:A1853,A1853,$B$2:B1853,B1853,$E$2:E1853,E1853)&gt;1,"Possible duplicate","")))</f>
      </c>
    </row>
    <row r="1854" spans="3:14" x14ac:dyDescent="0.3">
      <c r="A1854"/>
      <c r="C1854" s="16"/>
      <c r="G1854" s="5">
        <f>IF(A1854="","","Checking")</f>
      </c>
      <c r="H1854">
        <f>IF(A1854="","",IFERROR(XLOOKUP(D1854,Setup!$E$15:$E$79,Setup!$F$15:$F$79),"Miscellaneous"))</f>
      </c>
      <c r="I1854">
        <f>IF(A1854="","",IFERROR(XLOOKUP(D1854,Setup!$E$15:$E$79,Setup!$G$15:$G$79),"Uncategorized"))</f>
      </c>
      <c r="J1854">
        <f>IF(A1854="","",IF(OR(H1854="Transfers",H1854="Income",D1854="Transfer",D1854="Category Pending",F1854="Pending"),"No","Yes"))</f>
      </c>
      <c r="K1854" s="4">
        <f>IF(A1854="","",TEXT(IF(DAY(A1854)&gt;=Setup!$B$9,DATE(YEAR(A1854),MONTH(A1854)+1,1),DATE(YEAR(A1854),MONTH(A1854),1)),"mmmm yyyy"))</f>
      </c>
      <c r="L1854" s="47">
        <f>IF(A1854="",0,IF(AND(J1854="Yes",E1854&lt;0),-E1854,0))</f>
      </c>
      <c r="M1854" s="47">
        <f>IF(A1854="",0,IF(AND(J1854="Yes",E1854&gt;0),E1854,0))</f>
      </c>
      <c r="N1854">
        <f>IF(A1854="","",IF(D1854="Category Pending","Needs categorization",IF(COUNTIFS($A$2:A1854,A1854,$B$2:B1854,B1854,$E$2:E1854,E1854)&gt;1,"Possible duplicate","")))</f>
      </c>
    </row>
    <row r="1855" spans="3:14" x14ac:dyDescent="0.3">
      <c r="A1855"/>
      <c r="C1855" s="16"/>
      <c r="G1855" s="5">
        <f>IF(A1855="","","Checking")</f>
      </c>
      <c r="H1855">
        <f>IF(A1855="","",IFERROR(XLOOKUP(D1855,Setup!$E$15:$E$79,Setup!$F$15:$F$79),"Miscellaneous"))</f>
      </c>
      <c r="I1855">
        <f>IF(A1855="","",IFERROR(XLOOKUP(D1855,Setup!$E$15:$E$79,Setup!$G$15:$G$79),"Uncategorized"))</f>
      </c>
      <c r="J1855">
        <f>IF(A1855="","",IF(OR(H1855="Transfers",H1855="Income",D1855="Transfer",D1855="Category Pending",F1855="Pending"),"No","Yes"))</f>
      </c>
      <c r="K1855" s="4">
        <f>IF(A1855="","",TEXT(IF(DAY(A1855)&gt;=Setup!$B$9,DATE(YEAR(A1855),MONTH(A1855)+1,1),DATE(YEAR(A1855),MONTH(A1855),1)),"mmmm yyyy"))</f>
      </c>
      <c r="L1855" s="47">
        <f>IF(A1855="",0,IF(AND(J1855="Yes",E1855&lt;0),-E1855,0))</f>
      </c>
      <c r="M1855" s="47">
        <f>IF(A1855="",0,IF(AND(J1855="Yes",E1855&gt;0),E1855,0))</f>
      </c>
      <c r="N1855">
        <f>IF(A1855="","",IF(D1855="Category Pending","Needs categorization",IF(COUNTIFS($A$2:A1855,A1855,$B$2:B1855,B1855,$E$2:E1855,E1855)&gt;1,"Possible duplicate","")))</f>
      </c>
    </row>
    <row r="1856" spans="3:14" x14ac:dyDescent="0.3">
      <c r="A1856"/>
      <c r="C1856" s="16"/>
      <c r="G1856" s="5">
        <f>IF(A1856="","","Checking")</f>
      </c>
      <c r="H1856">
        <f>IF(A1856="","",IFERROR(XLOOKUP(D1856,Setup!$E$15:$E$79,Setup!$F$15:$F$79),"Miscellaneous"))</f>
      </c>
      <c r="I1856">
        <f>IF(A1856="","",IFERROR(XLOOKUP(D1856,Setup!$E$15:$E$79,Setup!$G$15:$G$79),"Uncategorized"))</f>
      </c>
      <c r="J1856">
        <f>IF(A1856="","",IF(OR(H1856="Transfers",H1856="Income",D1856="Transfer",D1856="Category Pending",F1856="Pending"),"No","Yes"))</f>
      </c>
      <c r="K1856" s="4">
        <f>IF(A1856="","",TEXT(IF(DAY(A1856)&gt;=Setup!$B$9,DATE(YEAR(A1856),MONTH(A1856)+1,1),DATE(YEAR(A1856),MONTH(A1856),1)),"mmmm yyyy"))</f>
      </c>
      <c r="L1856" s="47">
        <f>IF(A1856="",0,IF(AND(J1856="Yes",E1856&lt;0),-E1856,0))</f>
      </c>
      <c r="M1856" s="47">
        <f>IF(A1856="",0,IF(AND(J1856="Yes",E1856&gt;0),E1856,0))</f>
      </c>
      <c r="N1856">
        <f>IF(A1856="","",IF(D1856="Category Pending","Needs categorization",IF(COUNTIFS($A$2:A1856,A1856,$B$2:B1856,B1856,$E$2:E1856,E1856)&gt;1,"Possible duplicate","")))</f>
      </c>
    </row>
    <row r="1857" spans="3:14" x14ac:dyDescent="0.3">
      <c r="A1857"/>
      <c r="C1857" s="16"/>
      <c r="G1857" s="5">
        <f>IF(A1857="","","Checking")</f>
      </c>
      <c r="H1857">
        <f>IF(A1857="","",IFERROR(XLOOKUP(D1857,Setup!$E$15:$E$79,Setup!$F$15:$F$79),"Miscellaneous"))</f>
      </c>
      <c r="I1857">
        <f>IF(A1857="","",IFERROR(XLOOKUP(D1857,Setup!$E$15:$E$79,Setup!$G$15:$G$79),"Uncategorized"))</f>
      </c>
      <c r="J1857">
        <f>IF(A1857="","",IF(OR(H1857="Transfers",H1857="Income",D1857="Transfer",D1857="Category Pending",F1857="Pending"),"No","Yes"))</f>
      </c>
      <c r="K1857" s="4">
        <f>IF(A1857="","",TEXT(IF(DAY(A1857)&gt;=Setup!$B$9,DATE(YEAR(A1857),MONTH(A1857)+1,1),DATE(YEAR(A1857),MONTH(A1857),1)),"mmmm yyyy"))</f>
      </c>
      <c r="L1857" s="47">
        <f>IF(A1857="",0,IF(AND(J1857="Yes",E1857&lt;0),-E1857,0))</f>
      </c>
      <c r="M1857" s="47">
        <f>IF(A1857="",0,IF(AND(J1857="Yes",E1857&gt;0),E1857,0))</f>
      </c>
      <c r="N1857">
        <f>IF(A1857="","",IF(D1857="Category Pending","Needs categorization",IF(COUNTIFS($A$2:A1857,A1857,$B$2:B1857,B1857,$E$2:E1857,E1857)&gt;1,"Possible duplicate","")))</f>
      </c>
    </row>
    <row r="1858" spans="3:14" x14ac:dyDescent="0.3">
      <c r="A1858"/>
      <c r="C1858" s="16"/>
      <c r="G1858" s="5">
        <f>IF(A1858="","","Checking")</f>
      </c>
      <c r="H1858">
        <f>IF(A1858="","",IFERROR(XLOOKUP(D1858,Setup!$E$15:$E$79,Setup!$F$15:$F$79),"Miscellaneous"))</f>
      </c>
      <c r="I1858">
        <f>IF(A1858="","",IFERROR(XLOOKUP(D1858,Setup!$E$15:$E$79,Setup!$G$15:$G$79),"Uncategorized"))</f>
      </c>
      <c r="J1858">
        <f>IF(A1858="","",IF(OR(H1858="Transfers",H1858="Income",D1858="Transfer",D1858="Category Pending",F1858="Pending"),"No","Yes"))</f>
      </c>
      <c r="K1858" s="4">
        <f>IF(A1858="","",TEXT(IF(DAY(A1858)&gt;=Setup!$B$9,DATE(YEAR(A1858),MONTH(A1858)+1,1),DATE(YEAR(A1858),MONTH(A1858),1)),"mmmm yyyy"))</f>
      </c>
      <c r="L1858" s="47">
        <f>IF(A1858="",0,IF(AND(J1858="Yes",E1858&lt;0),-E1858,0))</f>
      </c>
      <c r="M1858" s="47">
        <f>IF(A1858="",0,IF(AND(J1858="Yes",E1858&gt;0),E1858,0))</f>
      </c>
      <c r="N1858">
        <f>IF(A1858="","",IF(D1858="Category Pending","Needs categorization",IF(COUNTIFS($A$2:A1858,A1858,$B$2:B1858,B1858,$E$2:E1858,E1858)&gt;1,"Possible duplicate","")))</f>
      </c>
    </row>
    <row r="1859" spans="3:14" x14ac:dyDescent="0.3">
      <c r="A1859"/>
      <c r="C1859" s="16"/>
      <c r="G1859" s="5">
        <f>IF(A1859="","","Checking")</f>
      </c>
      <c r="H1859">
        <f>IF(A1859="","",IFERROR(XLOOKUP(D1859,Setup!$E$15:$E$79,Setup!$F$15:$F$79),"Miscellaneous"))</f>
      </c>
      <c r="I1859">
        <f>IF(A1859="","",IFERROR(XLOOKUP(D1859,Setup!$E$15:$E$79,Setup!$G$15:$G$79),"Uncategorized"))</f>
      </c>
      <c r="J1859">
        <f>IF(A1859="","",IF(OR(H1859="Transfers",H1859="Income",D1859="Transfer",D1859="Category Pending",F1859="Pending"),"No","Yes"))</f>
      </c>
      <c r="K1859" s="4">
        <f>IF(A1859="","",TEXT(IF(DAY(A1859)&gt;=Setup!$B$9,DATE(YEAR(A1859),MONTH(A1859)+1,1),DATE(YEAR(A1859),MONTH(A1859),1)),"mmmm yyyy"))</f>
      </c>
      <c r="L1859" s="47">
        <f>IF(A1859="",0,IF(AND(J1859="Yes",E1859&lt;0),-E1859,0))</f>
      </c>
      <c r="M1859" s="47">
        <f>IF(A1859="",0,IF(AND(J1859="Yes",E1859&gt;0),E1859,0))</f>
      </c>
      <c r="N1859">
        <f>IF(A1859="","",IF(D1859="Category Pending","Needs categorization",IF(COUNTIFS($A$2:A1859,A1859,$B$2:B1859,B1859,$E$2:E1859,E1859)&gt;1,"Possible duplicate","")))</f>
      </c>
    </row>
    <row r="1860" spans="3:14" x14ac:dyDescent="0.3">
      <c r="A1860"/>
      <c r="C1860" s="16"/>
      <c r="G1860" s="5">
        <f>IF(A1860="","","Checking")</f>
      </c>
      <c r="H1860">
        <f>IF(A1860="","",IFERROR(XLOOKUP(D1860,Setup!$E$15:$E$79,Setup!$F$15:$F$79),"Miscellaneous"))</f>
      </c>
      <c r="I1860">
        <f>IF(A1860="","",IFERROR(XLOOKUP(D1860,Setup!$E$15:$E$79,Setup!$G$15:$G$79),"Uncategorized"))</f>
      </c>
      <c r="J1860">
        <f>IF(A1860="","",IF(OR(H1860="Transfers",H1860="Income",D1860="Transfer",D1860="Category Pending",F1860="Pending"),"No","Yes"))</f>
      </c>
      <c r="K1860" s="4">
        <f>IF(A1860="","",TEXT(IF(DAY(A1860)&gt;=Setup!$B$9,DATE(YEAR(A1860),MONTH(A1860)+1,1),DATE(YEAR(A1860),MONTH(A1860),1)),"mmmm yyyy"))</f>
      </c>
      <c r="L1860" s="47">
        <f>IF(A1860="",0,IF(AND(J1860="Yes",E1860&lt;0),-E1860,0))</f>
      </c>
      <c r="M1860" s="47">
        <f>IF(A1860="",0,IF(AND(J1860="Yes",E1860&gt;0),E1860,0))</f>
      </c>
      <c r="N1860">
        <f>IF(A1860="","",IF(D1860="Category Pending","Needs categorization",IF(COUNTIFS($A$2:A1860,A1860,$B$2:B1860,B1860,$E$2:E1860,E1860)&gt;1,"Possible duplicate","")))</f>
      </c>
    </row>
    <row r="1861" spans="3:14" x14ac:dyDescent="0.3">
      <c r="A1861"/>
      <c r="C1861" s="16"/>
      <c r="G1861" s="5">
        <f>IF(A1861="","","Checking")</f>
      </c>
      <c r="H1861">
        <f>IF(A1861="","",IFERROR(XLOOKUP(D1861,Setup!$E$15:$E$79,Setup!$F$15:$F$79),"Miscellaneous"))</f>
      </c>
      <c r="I1861">
        <f>IF(A1861="","",IFERROR(XLOOKUP(D1861,Setup!$E$15:$E$79,Setup!$G$15:$G$79),"Uncategorized"))</f>
      </c>
      <c r="J1861">
        <f>IF(A1861="","",IF(OR(H1861="Transfers",H1861="Income",D1861="Transfer",D1861="Category Pending",F1861="Pending"),"No","Yes"))</f>
      </c>
      <c r="K1861" s="4">
        <f>IF(A1861="","",TEXT(IF(DAY(A1861)&gt;=Setup!$B$9,DATE(YEAR(A1861),MONTH(A1861)+1,1),DATE(YEAR(A1861),MONTH(A1861),1)),"mmmm yyyy"))</f>
      </c>
      <c r="L1861" s="47">
        <f>IF(A1861="",0,IF(AND(J1861="Yes",E1861&lt;0),-E1861,0))</f>
      </c>
      <c r="M1861" s="47">
        <f>IF(A1861="",0,IF(AND(J1861="Yes",E1861&gt;0),E1861,0))</f>
      </c>
      <c r="N1861">
        <f>IF(A1861="","",IF(D1861="Category Pending","Needs categorization",IF(COUNTIFS($A$2:A1861,A1861,$B$2:B1861,B1861,$E$2:E1861,E1861)&gt;1,"Possible duplicate","")))</f>
      </c>
    </row>
    <row r="1862" spans="3:14" x14ac:dyDescent="0.3">
      <c r="A1862"/>
      <c r="C1862" s="16"/>
      <c r="G1862" s="5">
        <f>IF(A1862="","","Checking")</f>
      </c>
      <c r="H1862">
        <f>IF(A1862="","",IFERROR(XLOOKUP(D1862,Setup!$E$15:$E$79,Setup!$F$15:$F$79),"Miscellaneous"))</f>
      </c>
      <c r="I1862">
        <f>IF(A1862="","",IFERROR(XLOOKUP(D1862,Setup!$E$15:$E$79,Setup!$G$15:$G$79),"Uncategorized"))</f>
      </c>
      <c r="J1862">
        <f>IF(A1862="","",IF(OR(H1862="Transfers",H1862="Income",D1862="Transfer",D1862="Category Pending",F1862="Pending"),"No","Yes"))</f>
      </c>
      <c r="K1862" s="4">
        <f>IF(A1862="","",TEXT(IF(DAY(A1862)&gt;=Setup!$B$9,DATE(YEAR(A1862),MONTH(A1862)+1,1),DATE(YEAR(A1862),MONTH(A1862),1)),"mmmm yyyy"))</f>
      </c>
      <c r="L1862" s="47">
        <f>IF(A1862="",0,IF(AND(J1862="Yes",E1862&lt;0),-E1862,0))</f>
      </c>
      <c r="M1862" s="47">
        <f>IF(A1862="",0,IF(AND(J1862="Yes",E1862&gt;0),E1862,0))</f>
      </c>
      <c r="N1862">
        <f>IF(A1862="","",IF(D1862="Category Pending","Needs categorization",IF(COUNTIFS($A$2:A1862,A1862,$B$2:B1862,B1862,$E$2:E1862,E1862)&gt;1,"Possible duplicate","")))</f>
      </c>
    </row>
    <row r="1863" spans="3:14" x14ac:dyDescent="0.3">
      <c r="A1863"/>
      <c r="C1863" s="16"/>
      <c r="G1863" s="5">
        <f>IF(A1863="","","Checking")</f>
      </c>
      <c r="H1863">
        <f>IF(A1863="","",IFERROR(XLOOKUP(D1863,Setup!$E$15:$E$79,Setup!$F$15:$F$79),"Miscellaneous"))</f>
      </c>
      <c r="I1863">
        <f>IF(A1863="","",IFERROR(XLOOKUP(D1863,Setup!$E$15:$E$79,Setup!$G$15:$G$79),"Uncategorized"))</f>
      </c>
      <c r="J1863">
        <f>IF(A1863="","",IF(OR(H1863="Transfers",H1863="Income",D1863="Transfer",D1863="Category Pending",F1863="Pending"),"No","Yes"))</f>
      </c>
      <c r="K1863" s="4">
        <f>IF(A1863="","",TEXT(IF(DAY(A1863)&gt;=Setup!$B$9,DATE(YEAR(A1863),MONTH(A1863)+1,1),DATE(YEAR(A1863),MONTH(A1863),1)),"mmmm yyyy"))</f>
      </c>
      <c r="L1863" s="47">
        <f>IF(A1863="",0,IF(AND(J1863="Yes",E1863&lt;0),-E1863,0))</f>
      </c>
      <c r="M1863" s="47">
        <f>IF(A1863="",0,IF(AND(J1863="Yes",E1863&gt;0),E1863,0))</f>
      </c>
      <c r="N1863">
        <f>IF(A1863="","",IF(D1863="Category Pending","Needs categorization",IF(COUNTIFS($A$2:A1863,A1863,$B$2:B1863,B1863,$E$2:E1863,E1863)&gt;1,"Possible duplicate","")))</f>
      </c>
    </row>
    <row r="1864" spans="3:14" x14ac:dyDescent="0.3">
      <c r="A1864"/>
      <c r="C1864" s="16"/>
      <c r="G1864" s="5">
        <f>IF(A1864="","","Checking")</f>
      </c>
      <c r="H1864">
        <f>IF(A1864="","",IFERROR(XLOOKUP(D1864,Setup!$E$15:$E$79,Setup!$F$15:$F$79),"Miscellaneous"))</f>
      </c>
      <c r="I1864">
        <f>IF(A1864="","",IFERROR(XLOOKUP(D1864,Setup!$E$15:$E$79,Setup!$G$15:$G$79),"Uncategorized"))</f>
      </c>
      <c r="J1864">
        <f>IF(A1864="","",IF(OR(H1864="Transfers",H1864="Income",D1864="Transfer",D1864="Category Pending",F1864="Pending"),"No","Yes"))</f>
      </c>
      <c r="K1864" s="4">
        <f>IF(A1864="","",TEXT(IF(DAY(A1864)&gt;=Setup!$B$9,DATE(YEAR(A1864),MONTH(A1864)+1,1),DATE(YEAR(A1864),MONTH(A1864),1)),"mmmm yyyy"))</f>
      </c>
      <c r="L1864" s="47">
        <f>IF(A1864="",0,IF(AND(J1864="Yes",E1864&lt;0),-E1864,0))</f>
      </c>
      <c r="M1864" s="47">
        <f>IF(A1864="",0,IF(AND(J1864="Yes",E1864&gt;0),E1864,0))</f>
      </c>
      <c r="N1864">
        <f>IF(A1864="","",IF(D1864="Category Pending","Needs categorization",IF(COUNTIFS($A$2:A1864,A1864,$B$2:B1864,B1864,$E$2:E1864,E1864)&gt;1,"Possible duplicate","")))</f>
      </c>
    </row>
    <row r="1865" spans="3:14" x14ac:dyDescent="0.3">
      <c r="A1865"/>
      <c r="C1865" s="16"/>
      <c r="G1865" s="5">
        <f>IF(A1865="","","Checking")</f>
      </c>
      <c r="H1865">
        <f>IF(A1865="","",IFERROR(XLOOKUP(D1865,Setup!$E$15:$E$79,Setup!$F$15:$F$79),"Miscellaneous"))</f>
      </c>
      <c r="I1865">
        <f>IF(A1865="","",IFERROR(XLOOKUP(D1865,Setup!$E$15:$E$79,Setup!$G$15:$G$79),"Uncategorized"))</f>
      </c>
      <c r="J1865">
        <f>IF(A1865="","",IF(OR(H1865="Transfers",H1865="Income",D1865="Transfer",D1865="Category Pending",F1865="Pending"),"No","Yes"))</f>
      </c>
      <c r="K1865" s="4">
        <f>IF(A1865="","",TEXT(IF(DAY(A1865)&gt;=Setup!$B$9,DATE(YEAR(A1865),MONTH(A1865)+1,1),DATE(YEAR(A1865),MONTH(A1865),1)),"mmmm yyyy"))</f>
      </c>
      <c r="L1865" s="47">
        <f>IF(A1865="",0,IF(AND(J1865="Yes",E1865&lt;0),-E1865,0))</f>
      </c>
      <c r="M1865" s="47">
        <f>IF(A1865="",0,IF(AND(J1865="Yes",E1865&gt;0),E1865,0))</f>
      </c>
      <c r="N1865">
        <f>IF(A1865="","",IF(D1865="Category Pending","Needs categorization",IF(COUNTIFS($A$2:A1865,A1865,$B$2:B1865,B1865,$E$2:E1865,E1865)&gt;1,"Possible duplicate","")))</f>
      </c>
    </row>
    <row r="1866" spans="3:14" x14ac:dyDescent="0.3">
      <c r="A1866"/>
      <c r="C1866" s="16"/>
      <c r="G1866" s="5">
        <f>IF(A1866="","","Checking")</f>
      </c>
      <c r="H1866">
        <f>IF(A1866="","",IFERROR(XLOOKUP(D1866,Setup!$E$15:$E$79,Setup!$F$15:$F$79),"Miscellaneous"))</f>
      </c>
      <c r="I1866">
        <f>IF(A1866="","",IFERROR(XLOOKUP(D1866,Setup!$E$15:$E$79,Setup!$G$15:$G$79),"Uncategorized"))</f>
      </c>
      <c r="J1866">
        <f>IF(A1866="","",IF(OR(H1866="Transfers",H1866="Income",D1866="Transfer",D1866="Category Pending",F1866="Pending"),"No","Yes"))</f>
      </c>
      <c r="K1866" s="4">
        <f>IF(A1866="","",TEXT(IF(DAY(A1866)&gt;=Setup!$B$9,DATE(YEAR(A1866),MONTH(A1866)+1,1),DATE(YEAR(A1866),MONTH(A1866),1)),"mmmm yyyy"))</f>
      </c>
      <c r="L1866" s="47">
        <f>IF(A1866="",0,IF(AND(J1866="Yes",E1866&lt;0),-E1866,0))</f>
      </c>
      <c r="M1866" s="47">
        <f>IF(A1866="",0,IF(AND(J1866="Yes",E1866&gt;0),E1866,0))</f>
      </c>
      <c r="N1866">
        <f>IF(A1866="","",IF(D1866="Category Pending","Needs categorization",IF(COUNTIFS($A$2:A1866,A1866,$B$2:B1866,B1866,$E$2:E1866,E1866)&gt;1,"Possible duplicate","")))</f>
      </c>
    </row>
    <row r="1867" spans="3:14" x14ac:dyDescent="0.3">
      <c r="A1867"/>
      <c r="C1867" s="16"/>
      <c r="G1867" s="5">
        <f>IF(A1867="","","Checking")</f>
      </c>
      <c r="H1867">
        <f>IF(A1867="","",IFERROR(XLOOKUP(D1867,Setup!$E$15:$E$79,Setup!$F$15:$F$79),"Miscellaneous"))</f>
      </c>
      <c r="I1867">
        <f>IF(A1867="","",IFERROR(XLOOKUP(D1867,Setup!$E$15:$E$79,Setup!$G$15:$G$79),"Uncategorized"))</f>
      </c>
      <c r="J1867">
        <f>IF(A1867="","",IF(OR(H1867="Transfers",H1867="Income",D1867="Transfer",D1867="Category Pending",F1867="Pending"),"No","Yes"))</f>
      </c>
      <c r="K1867" s="4">
        <f>IF(A1867="","",TEXT(IF(DAY(A1867)&gt;=Setup!$B$9,DATE(YEAR(A1867),MONTH(A1867)+1,1),DATE(YEAR(A1867),MONTH(A1867),1)),"mmmm yyyy"))</f>
      </c>
      <c r="L1867" s="47">
        <f>IF(A1867="",0,IF(AND(J1867="Yes",E1867&lt;0),-E1867,0))</f>
      </c>
      <c r="M1867" s="47">
        <f>IF(A1867="",0,IF(AND(J1867="Yes",E1867&gt;0),E1867,0))</f>
      </c>
      <c r="N1867">
        <f>IF(A1867="","",IF(D1867="Category Pending","Needs categorization",IF(COUNTIFS($A$2:A1867,A1867,$B$2:B1867,B1867,$E$2:E1867,E1867)&gt;1,"Possible duplicate","")))</f>
      </c>
    </row>
    <row r="1868" spans="3:14" x14ac:dyDescent="0.3">
      <c r="A1868"/>
      <c r="C1868" s="16"/>
      <c r="G1868" s="5">
        <f>IF(A1868="","","Checking")</f>
      </c>
      <c r="H1868">
        <f>IF(A1868="","",IFERROR(XLOOKUP(D1868,Setup!$E$15:$E$79,Setup!$F$15:$F$79),"Miscellaneous"))</f>
      </c>
      <c r="I1868">
        <f>IF(A1868="","",IFERROR(XLOOKUP(D1868,Setup!$E$15:$E$79,Setup!$G$15:$G$79),"Uncategorized"))</f>
      </c>
      <c r="J1868">
        <f>IF(A1868="","",IF(OR(H1868="Transfers",H1868="Income",D1868="Transfer",D1868="Category Pending",F1868="Pending"),"No","Yes"))</f>
      </c>
      <c r="K1868" s="4">
        <f>IF(A1868="","",TEXT(IF(DAY(A1868)&gt;=Setup!$B$9,DATE(YEAR(A1868),MONTH(A1868)+1,1),DATE(YEAR(A1868),MONTH(A1868),1)),"mmmm yyyy"))</f>
      </c>
      <c r="L1868" s="47">
        <f>IF(A1868="",0,IF(AND(J1868="Yes",E1868&lt;0),-E1868,0))</f>
      </c>
      <c r="M1868" s="47">
        <f>IF(A1868="",0,IF(AND(J1868="Yes",E1868&gt;0),E1868,0))</f>
      </c>
      <c r="N1868">
        <f>IF(A1868="","",IF(D1868="Category Pending","Needs categorization",IF(COUNTIFS($A$2:A1868,A1868,$B$2:B1868,B1868,$E$2:E1868,E1868)&gt;1,"Possible duplicate","")))</f>
      </c>
    </row>
    <row r="1869" spans="3:14" x14ac:dyDescent="0.3">
      <c r="A1869"/>
      <c r="C1869" s="16"/>
      <c r="G1869" s="5">
        <f>IF(A1869="","","Checking")</f>
      </c>
      <c r="H1869">
        <f>IF(A1869="","",IFERROR(XLOOKUP(D1869,Setup!$E$15:$E$79,Setup!$F$15:$F$79),"Miscellaneous"))</f>
      </c>
      <c r="I1869">
        <f>IF(A1869="","",IFERROR(XLOOKUP(D1869,Setup!$E$15:$E$79,Setup!$G$15:$G$79),"Uncategorized"))</f>
      </c>
      <c r="J1869">
        <f>IF(A1869="","",IF(OR(H1869="Transfers",H1869="Income",D1869="Transfer",D1869="Category Pending",F1869="Pending"),"No","Yes"))</f>
      </c>
      <c r="K1869" s="4">
        <f>IF(A1869="","",TEXT(IF(DAY(A1869)&gt;=Setup!$B$9,DATE(YEAR(A1869),MONTH(A1869)+1,1),DATE(YEAR(A1869),MONTH(A1869),1)),"mmmm yyyy"))</f>
      </c>
      <c r="L1869" s="47">
        <f>IF(A1869="",0,IF(AND(J1869="Yes",E1869&lt;0),-E1869,0))</f>
      </c>
      <c r="M1869" s="47">
        <f>IF(A1869="",0,IF(AND(J1869="Yes",E1869&gt;0),E1869,0))</f>
      </c>
      <c r="N1869">
        <f>IF(A1869="","",IF(D1869="Category Pending","Needs categorization",IF(COUNTIFS($A$2:A1869,A1869,$B$2:B1869,B1869,$E$2:E1869,E1869)&gt;1,"Possible duplicate","")))</f>
      </c>
    </row>
    <row r="1870" spans="3:14" x14ac:dyDescent="0.3">
      <c r="A1870"/>
      <c r="C1870" s="16"/>
      <c r="G1870" s="5">
        <f>IF(A1870="","","Checking")</f>
      </c>
      <c r="H1870">
        <f>IF(A1870="","",IFERROR(XLOOKUP(D1870,Setup!$E$15:$E$79,Setup!$F$15:$F$79),"Miscellaneous"))</f>
      </c>
      <c r="I1870">
        <f>IF(A1870="","",IFERROR(XLOOKUP(D1870,Setup!$E$15:$E$79,Setup!$G$15:$G$79),"Uncategorized"))</f>
      </c>
      <c r="J1870">
        <f>IF(A1870="","",IF(OR(H1870="Transfers",H1870="Income",D1870="Transfer",D1870="Category Pending",F1870="Pending"),"No","Yes"))</f>
      </c>
      <c r="K1870" s="4">
        <f>IF(A1870="","",TEXT(IF(DAY(A1870)&gt;=Setup!$B$9,DATE(YEAR(A1870),MONTH(A1870)+1,1),DATE(YEAR(A1870),MONTH(A1870),1)),"mmmm yyyy"))</f>
      </c>
      <c r="L1870" s="47">
        <f>IF(A1870="",0,IF(AND(J1870="Yes",E1870&lt;0),-E1870,0))</f>
      </c>
      <c r="M1870" s="47">
        <f>IF(A1870="",0,IF(AND(J1870="Yes",E1870&gt;0),E1870,0))</f>
      </c>
      <c r="N1870">
        <f>IF(A1870="","",IF(D1870="Category Pending","Needs categorization",IF(COUNTIFS($A$2:A1870,A1870,$B$2:B1870,B1870,$E$2:E1870,E1870)&gt;1,"Possible duplicate","")))</f>
      </c>
    </row>
    <row r="1871" spans="3:14" x14ac:dyDescent="0.3">
      <c r="A1871"/>
      <c r="C1871" s="16"/>
      <c r="G1871" s="5">
        <f>IF(A1871="","","Checking")</f>
      </c>
      <c r="H1871">
        <f>IF(A1871="","",IFERROR(XLOOKUP(D1871,Setup!$E$15:$E$79,Setup!$F$15:$F$79),"Miscellaneous"))</f>
      </c>
      <c r="I1871">
        <f>IF(A1871="","",IFERROR(XLOOKUP(D1871,Setup!$E$15:$E$79,Setup!$G$15:$G$79),"Uncategorized"))</f>
      </c>
      <c r="J1871">
        <f>IF(A1871="","",IF(OR(H1871="Transfers",H1871="Income",D1871="Transfer",D1871="Category Pending",F1871="Pending"),"No","Yes"))</f>
      </c>
      <c r="K1871" s="4">
        <f>IF(A1871="","",TEXT(IF(DAY(A1871)&gt;=Setup!$B$9,DATE(YEAR(A1871),MONTH(A1871)+1,1),DATE(YEAR(A1871),MONTH(A1871),1)),"mmmm yyyy"))</f>
      </c>
      <c r="L1871" s="47">
        <f>IF(A1871="",0,IF(AND(J1871="Yes",E1871&lt;0),-E1871,0))</f>
      </c>
      <c r="M1871" s="47">
        <f>IF(A1871="",0,IF(AND(J1871="Yes",E1871&gt;0),E1871,0))</f>
      </c>
      <c r="N1871">
        <f>IF(A1871="","",IF(D1871="Category Pending","Needs categorization",IF(COUNTIFS($A$2:A1871,A1871,$B$2:B1871,B1871,$E$2:E1871,E1871)&gt;1,"Possible duplicate","")))</f>
      </c>
    </row>
    <row r="1872" spans="3:14" x14ac:dyDescent="0.3">
      <c r="A1872"/>
      <c r="C1872" s="16"/>
      <c r="G1872" s="5">
        <f>IF(A1872="","","Checking")</f>
      </c>
      <c r="H1872">
        <f>IF(A1872="","",IFERROR(XLOOKUP(D1872,Setup!$E$15:$E$79,Setup!$F$15:$F$79),"Miscellaneous"))</f>
      </c>
      <c r="I1872">
        <f>IF(A1872="","",IFERROR(XLOOKUP(D1872,Setup!$E$15:$E$79,Setup!$G$15:$G$79),"Uncategorized"))</f>
      </c>
      <c r="J1872">
        <f>IF(A1872="","",IF(OR(H1872="Transfers",H1872="Income",D1872="Transfer",D1872="Category Pending",F1872="Pending"),"No","Yes"))</f>
      </c>
      <c r="K1872" s="4">
        <f>IF(A1872="","",TEXT(IF(DAY(A1872)&gt;=Setup!$B$9,DATE(YEAR(A1872),MONTH(A1872)+1,1),DATE(YEAR(A1872),MONTH(A1872),1)),"mmmm yyyy"))</f>
      </c>
      <c r="L1872" s="47">
        <f>IF(A1872="",0,IF(AND(J1872="Yes",E1872&lt;0),-E1872,0))</f>
      </c>
      <c r="M1872" s="47">
        <f>IF(A1872="",0,IF(AND(J1872="Yes",E1872&gt;0),E1872,0))</f>
      </c>
      <c r="N1872">
        <f>IF(A1872="","",IF(D1872="Category Pending","Needs categorization",IF(COUNTIFS($A$2:A1872,A1872,$B$2:B1872,B1872,$E$2:E1872,E1872)&gt;1,"Possible duplicate","")))</f>
      </c>
    </row>
    <row r="1873" spans="3:14" x14ac:dyDescent="0.3">
      <c r="A1873"/>
      <c r="C1873" s="16"/>
      <c r="G1873" s="5">
        <f>IF(A1873="","","Checking")</f>
      </c>
      <c r="H1873">
        <f>IF(A1873="","",IFERROR(XLOOKUP(D1873,Setup!$E$15:$E$79,Setup!$F$15:$F$79),"Miscellaneous"))</f>
      </c>
      <c r="I1873">
        <f>IF(A1873="","",IFERROR(XLOOKUP(D1873,Setup!$E$15:$E$79,Setup!$G$15:$G$79),"Uncategorized"))</f>
      </c>
      <c r="J1873">
        <f>IF(A1873="","",IF(OR(H1873="Transfers",H1873="Income",D1873="Transfer",D1873="Category Pending",F1873="Pending"),"No","Yes"))</f>
      </c>
      <c r="K1873" s="4">
        <f>IF(A1873="","",TEXT(IF(DAY(A1873)&gt;=Setup!$B$9,DATE(YEAR(A1873),MONTH(A1873)+1,1),DATE(YEAR(A1873),MONTH(A1873),1)),"mmmm yyyy"))</f>
      </c>
      <c r="L1873" s="47">
        <f>IF(A1873="",0,IF(AND(J1873="Yes",E1873&lt;0),-E1873,0))</f>
      </c>
      <c r="M1873" s="47">
        <f>IF(A1873="",0,IF(AND(J1873="Yes",E1873&gt;0),E1873,0))</f>
      </c>
      <c r="N1873">
        <f>IF(A1873="","",IF(D1873="Category Pending","Needs categorization",IF(COUNTIFS($A$2:A1873,A1873,$B$2:B1873,B1873,$E$2:E1873,E1873)&gt;1,"Possible duplicate","")))</f>
      </c>
    </row>
    <row r="1874" spans="3:14" x14ac:dyDescent="0.3">
      <c r="A1874"/>
      <c r="C1874" s="16"/>
      <c r="G1874" s="5">
        <f>IF(A1874="","","Checking")</f>
      </c>
      <c r="H1874">
        <f>IF(A1874="","",IFERROR(XLOOKUP(D1874,Setup!$E$15:$E$79,Setup!$F$15:$F$79),"Miscellaneous"))</f>
      </c>
      <c r="I1874">
        <f>IF(A1874="","",IFERROR(XLOOKUP(D1874,Setup!$E$15:$E$79,Setup!$G$15:$G$79),"Uncategorized"))</f>
      </c>
      <c r="J1874">
        <f>IF(A1874="","",IF(OR(H1874="Transfers",H1874="Income",D1874="Transfer",D1874="Category Pending",F1874="Pending"),"No","Yes"))</f>
      </c>
      <c r="K1874" s="4">
        <f>IF(A1874="","",TEXT(IF(DAY(A1874)&gt;=Setup!$B$9,DATE(YEAR(A1874),MONTH(A1874)+1,1),DATE(YEAR(A1874),MONTH(A1874),1)),"mmmm yyyy"))</f>
      </c>
      <c r="L1874" s="47">
        <f>IF(A1874="",0,IF(AND(J1874="Yes",E1874&lt;0),-E1874,0))</f>
      </c>
      <c r="M1874" s="47">
        <f>IF(A1874="",0,IF(AND(J1874="Yes",E1874&gt;0),E1874,0))</f>
      </c>
      <c r="N1874">
        <f>IF(A1874="","",IF(D1874="Category Pending","Needs categorization",IF(COUNTIFS($A$2:A1874,A1874,$B$2:B1874,B1874,$E$2:E1874,E1874)&gt;1,"Possible duplicate","")))</f>
      </c>
    </row>
    <row r="1875" spans="3:14" x14ac:dyDescent="0.3">
      <c r="A1875"/>
      <c r="C1875" s="16"/>
      <c r="G1875" s="5">
        <f>IF(A1875="","","Checking")</f>
      </c>
      <c r="H1875">
        <f>IF(A1875="","",IFERROR(XLOOKUP(D1875,Setup!$E$15:$E$79,Setup!$F$15:$F$79),"Miscellaneous"))</f>
      </c>
      <c r="I1875">
        <f>IF(A1875="","",IFERROR(XLOOKUP(D1875,Setup!$E$15:$E$79,Setup!$G$15:$G$79),"Uncategorized"))</f>
      </c>
      <c r="J1875">
        <f>IF(A1875="","",IF(OR(H1875="Transfers",H1875="Income",D1875="Transfer",D1875="Category Pending",F1875="Pending"),"No","Yes"))</f>
      </c>
      <c r="K1875" s="4">
        <f>IF(A1875="","",TEXT(IF(DAY(A1875)&gt;=Setup!$B$9,DATE(YEAR(A1875),MONTH(A1875)+1,1),DATE(YEAR(A1875),MONTH(A1875),1)),"mmmm yyyy"))</f>
      </c>
      <c r="L1875" s="47">
        <f>IF(A1875="",0,IF(AND(J1875="Yes",E1875&lt;0),-E1875,0))</f>
      </c>
      <c r="M1875" s="47">
        <f>IF(A1875="",0,IF(AND(J1875="Yes",E1875&gt;0),E1875,0))</f>
      </c>
      <c r="N1875">
        <f>IF(A1875="","",IF(D1875="Category Pending","Needs categorization",IF(COUNTIFS($A$2:A1875,A1875,$B$2:B1875,B1875,$E$2:E1875,E1875)&gt;1,"Possible duplicate","")))</f>
      </c>
    </row>
    <row r="1876" spans="3:14" x14ac:dyDescent="0.3">
      <c r="A1876"/>
      <c r="C1876" s="16"/>
      <c r="G1876" s="5">
        <f>IF(A1876="","","Checking")</f>
      </c>
      <c r="H1876">
        <f>IF(A1876="","",IFERROR(XLOOKUP(D1876,Setup!$E$15:$E$79,Setup!$F$15:$F$79),"Miscellaneous"))</f>
      </c>
      <c r="I1876">
        <f>IF(A1876="","",IFERROR(XLOOKUP(D1876,Setup!$E$15:$E$79,Setup!$G$15:$G$79),"Uncategorized"))</f>
      </c>
      <c r="J1876">
        <f>IF(A1876="","",IF(OR(H1876="Transfers",H1876="Income",D1876="Transfer",D1876="Category Pending",F1876="Pending"),"No","Yes"))</f>
      </c>
      <c r="K1876" s="4">
        <f>IF(A1876="","",TEXT(IF(DAY(A1876)&gt;=Setup!$B$9,DATE(YEAR(A1876),MONTH(A1876)+1,1),DATE(YEAR(A1876),MONTH(A1876),1)),"mmmm yyyy"))</f>
      </c>
      <c r="L1876" s="47">
        <f>IF(A1876="",0,IF(AND(J1876="Yes",E1876&lt;0),-E1876,0))</f>
      </c>
      <c r="M1876" s="47">
        <f>IF(A1876="",0,IF(AND(J1876="Yes",E1876&gt;0),E1876,0))</f>
      </c>
      <c r="N1876">
        <f>IF(A1876="","",IF(D1876="Category Pending","Needs categorization",IF(COUNTIFS($A$2:A1876,A1876,$B$2:B1876,B1876,$E$2:E1876,E1876)&gt;1,"Possible duplicate","")))</f>
      </c>
    </row>
    <row r="1877" spans="3:14" x14ac:dyDescent="0.3">
      <c r="A1877"/>
      <c r="C1877" s="16"/>
      <c r="G1877" s="5">
        <f>IF(A1877="","","Checking")</f>
      </c>
      <c r="H1877">
        <f>IF(A1877="","",IFERROR(XLOOKUP(D1877,Setup!$E$15:$E$79,Setup!$F$15:$F$79),"Miscellaneous"))</f>
      </c>
      <c r="I1877">
        <f>IF(A1877="","",IFERROR(XLOOKUP(D1877,Setup!$E$15:$E$79,Setup!$G$15:$G$79),"Uncategorized"))</f>
      </c>
      <c r="J1877">
        <f>IF(A1877="","",IF(OR(H1877="Transfers",H1877="Income",D1877="Transfer",D1877="Category Pending",F1877="Pending"),"No","Yes"))</f>
      </c>
      <c r="K1877" s="4">
        <f>IF(A1877="","",TEXT(IF(DAY(A1877)&gt;=Setup!$B$9,DATE(YEAR(A1877),MONTH(A1877)+1,1),DATE(YEAR(A1877),MONTH(A1877),1)),"mmmm yyyy"))</f>
      </c>
      <c r="L1877" s="47">
        <f>IF(A1877="",0,IF(AND(J1877="Yes",E1877&lt;0),-E1877,0))</f>
      </c>
      <c r="M1877" s="47">
        <f>IF(A1877="",0,IF(AND(J1877="Yes",E1877&gt;0),E1877,0))</f>
      </c>
      <c r="N1877">
        <f>IF(A1877="","",IF(D1877="Category Pending","Needs categorization",IF(COUNTIFS($A$2:A1877,A1877,$B$2:B1877,B1877,$E$2:E1877,E1877)&gt;1,"Possible duplicate","")))</f>
      </c>
    </row>
    <row r="1878" spans="3:14" x14ac:dyDescent="0.3">
      <c r="A1878"/>
      <c r="C1878" s="16"/>
      <c r="G1878" s="5">
        <f>IF(A1878="","","Checking")</f>
      </c>
      <c r="H1878">
        <f>IF(A1878="","",IFERROR(XLOOKUP(D1878,Setup!$E$15:$E$79,Setup!$F$15:$F$79),"Miscellaneous"))</f>
      </c>
      <c r="I1878">
        <f>IF(A1878="","",IFERROR(XLOOKUP(D1878,Setup!$E$15:$E$79,Setup!$G$15:$G$79),"Uncategorized"))</f>
      </c>
      <c r="J1878">
        <f>IF(A1878="","",IF(OR(H1878="Transfers",H1878="Income",D1878="Transfer",D1878="Category Pending",F1878="Pending"),"No","Yes"))</f>
      </c>
      <c r="K1878" s="4">
        <f>IF(A1878="","",TEXT(IF(DAY(A1878)&gt;=Setup!$B$9,DATE(YEAR(A1878),MONTH(A1878)+1,1),DATE(YEAR(A1878),MONTH(A1878),1)),"mmmm yyyy"))</f>
      </c>
      <c r="L1878" s="47">
        <f>IF(A1878="",0,IF(AND(J1878="Yes",E1878&lt;0),-E1878,0))</f>
      </c>
      <c r="M1878" s="47">
        <f>IF(A1878="",0,IF(AND(J1878="Yes",E1878&gt;0),E1878,0))</f>
      </c>
      <c r="N1878">
        <f>IF(A1878="","",IF(D1878="Category Pending","Needs categorization",IF(COUNTIFS($A$2:A1878,A1878,$B$2:B1878,B1878,$E$2:E1878,E1878)&gt;1,"Possible duplicate","")))</f>
      </c>
    </row>
    <row r="1879" spans="3:14" x14ac:dyDescent="0.3">
      <c r="A1879"/>
      <c r="C1879" s="16"/>
      <c r="G1879" s="5">
        <f>IF(A1879="","","Checking")</f>
      </c>
      <c r="H1879">
        <f>IF(A1879="","",IFERROR(XLOOKUP(D1879,Setup!$E$15:$E$79,Setup!$F$15:$F$79),"Miscellaneous"))</f>
      </c>
      <c r="I1879">
        <f>IF(A1879="","",IFERROR(XLOOKUP(D1879,Setup!$E$15:$E$79,Setup!$G$15:$G$79),"Uncategorized"))</f>
      </c>
      <c r="J1879">
        <f>IF(A1879="","",IF(OR(H1879="Transfers",H1879="Income",D1879="Transfer",D1879="Category Pending",F1879="Pending"),"No","Yes"))</f>
      </c>
      <c r="K1879" s="4">
        <f>IF(A1879="","",TEXT(IF(DAY(A1879)&gt;=Setup!$B$9,DATE(YEAR(A1879),MONTH(A1879)+1,1),DATE(YEAR(A1879),MONTH(A1879),1)),"mmmm yyyy"))</f>
      </c>
      <c r="L1879" s="47">
        <f>IF(A1879="",0,IF(AND(J1879="Yes",E1879&lt;0),-E1879,0))</f>
      </c>
      <c r="M1879" s="47">
        <f>IF(A1879="",0,IF(AND(J1879="Yes",E1879&gt;0),E1879,0))</f>
      </c>
      <c r="N1879">
        <f>IF(A1879="","",IF(D1879="Category Pending","Needs categorization",IF(COUNTIFS($A$2:A1879,A1879,$B$2:B1879,B1879,$E$2:E1879,E1879)&gt;1,"Possible duplicate","")))</f>
      </c>
    </row>
    <row r="1880" spans="3:14" x14ac:dyDescent="0.3">
      <c r="A1880"/>
      <c r="C1880" s="16"/>
      <c r="G1880" s="5">
        <f>IF(A1880="","","Checking")</f>
      </c>
      <c r="H1880">
        <f>IF(A1880="","",IFERROR(XLOOKUP(D1880,Setup!$E$15:$E$79,Setup!$F$15:$F$79),"Miscellaneous"))</f>
      </c>
      <c r="I1880">
        <f>IF(A1880="","",IFERROR(XLOOKUP(D1880,Setup!$E$15:$E$79,Setup!$G$15:$G$79),"Uncategorized"))</f>
      </c>
      <c r="J1880">
        <f>IF(A1880="","",IF(OR(H1880="Transfers",H1880="Income",D1880="Transfer",D1880="Category Pending",F1880="Pending"),"No","Yes"))</f>
      </c>
      <c r="K1880" s="4">
        <f>IF(A1880="","",TEXT(IF(DAY(A1880)&gt;=Setup!$B$9,DATE(YEAR(A1880),MONTH(A1880)+1,1),DATE(YEAR(A1880),MONTH(A1880),1)),"mmmm yyyy"))</f>
      </c>
      <c r="L1880" s="47">
        <f>IF(A1880="",0,IF(AND(J1880="Yes",E1880&lt;0),-E1880,0))</f>
      </c>
      <c r="M1880" s="47">
        <f>IF(A1880="",0,IF(AND(J1880="Yes",E1880&gt;0),E1880,0))</f>
      </c>
      <c r="N1880">
        <f>IF(A1880="","",IF(D1880="Category Pending","Needs categorization",IF(COUNTIFS($A$2:A1880,A1880,$B$2:B1880,B1880,$E$2:E1880,E1880)&gt;1,"Possible duplicate","")))</f>
      </c>
    </row>
    <row r="1881" spans="3:14" x14ac:dyDescent="0.3">
      <c r="A1881"/>
      <c r="C1881" s="16"/>
      <c r="G1881" s="5">
        <f>IF(A1881="","","Checking")</f>
      </c>
      <c r="H1881">
        <f>IF(A1881="","",IFERROR(XLOOKUP(D1881,Setup!$E$15:$E$79,Setup!$F$15:$F$79),"Miscellaneous"))</f>
      </c>
      <c r="I1881">
        <f>IF(A1881="","",IFERROR(XLOOKUP(D1881,Setup!$E$15:$E$79,Setup!$G$15:$G$79),"Uncategorized"))</f>
      </c>
      <c r="J1881">
        <f>IF(A1881="","",IF(OR(H1881="Transfers",H1881="Income",D1881="Transfer",D1881="Category Pending",F1881="Pending"),"No","Yes"))</f>
      </c>
      <c r="K1881" s="4">
        <f>IF(A1881="","",TEXT(IF(DAY(A1881)&gt;=Setup!$B$9,DATE(YEAR(A1881),MONTH(A1881)+1,1),DATE(YEAR(A1881),MONTH(A1881),1)),"mmmm yyyy"))</f>
      </c>
      <c r="L1881" s="47">
        <f>IF(A1881="",0,IF(AND(J1881="Yes",E1881&lt;0),-E1881,0))</f>
      </c>
      <c r="M1881" s="47">
        <f>IF(A1881="",0,IF(AND(J1881="Yes",E1881&gt;0),E1881,0))</f>
      </c>
      <c r="N1881">
        <f>IF(A1881="","",IF(D1881="Category Pending","Needs categorization",IF(COUNTIFS($A$2:A1881,A1881,$B$2:B1881,B1881,$E$2:E1881,E1881)&gt;1,"Possible duplicate","")))</f>
      </c>
    </row>
    <row r="1882" spans="3:14" x14ac:dyDescent="0.3">
      <c r="A1882"/>
      <c r="C1882" s="16"/>
      <c r="G1882" s="5">
        <f>IF(A1882="","","Checking")</f>
      </c>
      <c r="H1882">
        <f>IF(A1882="","",IFERROR(XLOOKUP(D1882,Setup!$E$15:$E$79,Setup!$F$15:$F$79),"Miscellaneous"))</f>
      </c>
      <c r="I1882">
        <f>IF(A1882="","",IFERROR(XLOOKUP(D1882,Setup!$E$15:$E$79,Setup!$G$15:$G$79),"Uncategorized"))</f>
      </c>
      <c r="J1882">
        <f>IF(A1882="","",IF(OR(H1882="Transfers",H1882="Income",D1882="Transfer",D1882="Category Pending",F1882="Pending"),"No","Yes"))</f>
      </c>
      <c r="K1882" s="4">
        <f>IF(A1882="","",TEXT(IF(DAY(A1882)&gt;=Setup!$B$9,DATE(YEAR(A1882),MONTH(A1882)+1,1),DATE(YEAR(A1882),MONTH(A1882),1)),"mmmm yyyy"))</f>
      </c>
      <c r="L1882" s="47">
        <f>IF(A1882="",0,IF(AND(J1882="Yes",E1882&lt;0),-E1882,0))</f>
      </c>
      <c r="M1882" s="47">
        <f>IF(A1882="",0,IF(AND(J1882="Yes",E1882&gt;0),E1882,0))</f>
      </c>
      <c r="N1882">
        <f>IF(A1882="","",IF(D1882="Category Pending","Needs categorization",IF(COUNTIFS($A$2:A1882,A1882,$B$2:B1882,B1882,$E$2:E1882,E1882)&gt;1,"Possible duplicate","")))</f>
      </c>
    </row>
    <row r="1883" spans="3:14" x14ac:dyDescent="0.3">
      <c r="A1883"/>
      <c r="C1883" s="16"/>
      <c r="G1883" s="5">
        <f>IF(A1883="","","Checking")</f>
      </c>
      <c r="H1883">
        <f>IF(A1883="","",IFERROR(XLOOKUP(D1883,Setup!$E$15:$E$79,Setup!$F$15:$F$79),"Miscellaneous"))</f>
      </c>
      <c r="I1883">
        <f>IF(A1883="","",IFERROR(XLOOKUP(D1883,Setup!$E$15:$E$79,Setup!$G$15:$G$79),"Uncategorized"))</f>
      </c>
      <c r="J1883">
        <f>IF(A1883="","",IF(OR(H1883="Transfers",H1883="Income",D1883="Transfer",D1883="Category Pending",F1883="Pending"),"No","Yes"))</f>
      </c>
      <c r="K1883" s="4">
        <f>IF(A1883="","",TEXT(IF(DAY(A1883)&gt;=Setup!$B$9,DATE(YEAR(A1883),MONTH(A1883)+1,1),DATE(YEAR(A1883),MONTH(A1883),1)),"mmmm yyyy"))</f>
      </c>
      <c r="L1883" s="47">
        <f>IF(A1883="",0,IF(AND(J1883="Yes",E1883&lt;0),-E1883,0))</f>
      </c>
      <c r="M1883" s="47">
        <f>IF(A1883="",0,IF(AND(J1883="Yes",E1883&gt;0),E1883,0))</f>
      </c>
      <c r="N1883">
        <f>IF(A1883="","",IF(D1883="Category Pending","Needs categorization",IF(COUNTIFS($A$2:A1883,A1883,$B$2:B1883,B1883,$E$2:E1883,E1883)&gt;1,"Possible duplicate","")))</f>
      </c>
    </row>
    <row r="1884" spans="3:14" x14ac:dyDescent="0.3">
      <c r="A1884"/>
      <c r="C1884" s="16"/>
      <c r="G1884" s="5">
        <f>IF(A1884="","","Checking")</f>
      </c>
      <c r="H1884">
        <f>IF(A1884="","",IFERROR(XLOOKUP(D1884,Setup!$E$15:$E$79,Setup!$F$15:$F$79),"Miscellaneous"))</f>
      </c>
      <c r="I1884">
        <f>IF(A1884="","",IFERROR(XLOOKUP(D1884,Setup!$E$15:$E$79,Setup!$G$15:$G$79),"Uncategorized"))</f>
      </c>
      <c r="J1884">
        <f>IF(A1884="","",IF(OR(H1884="Transfers",H1884="Income",D1884="Transfer",D1884="Category Pending",F1884="Pending"),"No","Yes"))</f>
      </c>
      <c r="K1884" s="4">
        <f>IF(A1884="","",TEXT(IF(DAY(A1884)&gt;=Setup!$B$9,DATE(YEAR(A1884),MONTH(A1884)+1,1),DATE(YEAR(A1884),MONTH(A1884),1)),"mmmm yyyy"))</f>
      </c>
      <c r="L1884" s="47">
        <f>IF(A1884="",0,IF(AND(J1884="Yes",E1884&lt;0),-E1884,0))</f>
      </c>
      <c r="M1884" s="47">
        <f>IF(A1884="",0,IF(AND(J1884="Yes",E1884&gt;0),E1884,0))</f>
      </c>
      <c r="N1884">
        <f>IF(A1884="","",IF(D1884="Category Pending","Needs categorization",IF(COUNTIFS($A$2:A1884,A1884,$B$2:B1884,B1884,$E$2:E1884,E1884)&gt;1,"Possible duplicate","")))</f>
      </c>
    </row>
    <row r="1885" spans="3:14" x14ac:dyDescent="0.3">
      <c r="A1885"/>
      <c r="C1885" s="16"/>
      <c r="G1885" s="5">
        <f>IF(A1885="","","Checking")</f>
      </c>
      <c r="H1885">
        <f>IF(A1885="","",IFERROR(XLOOKUP(D1885,Setup!$E$15:$E$79,Setup!$F$15:$F$79),"Miscellaneous"))</f>
      </c>
      <c r="I1885">
        <f>IF(A1885="","",IFERROR(XLOOKUP(D1885,Setup!$E$15:$E$79,Setup!$G$15:$G$79),"Uncategorized"))</f>
      </c>
      <c r="J1885">
        <f>IF(A1885="","",IF(OR(H1885="Transfers",H1885="Income",D1885="Transfer",D1885="Category Pending",F1885="Pending"),"No","Yes"))</f>
      </c>
      <c r="K1885" s="4">
        <f>IF(A1885="","",TEXT(IF(DAY(A1885)&gt;=Setup!$B$9,DATE(YEAR(A1885),MONTH(A1885)+1,1),DATE(YEAR(A1885),MONTH(A1885),1)),"mmmm yyyy"))</f>
      </c>
      <c r="L1885" s="47">
        <f>IF(A1885="",0,IF(AND(J1885="Yes",E1885&lt;0),-E1885,0))</f>
      </c>
      <c r="M1885" s="47">
        <f>IF(A1885="",0,IF(AND(J1885="Yes",E1885&gt;0),E1885,0))</f>
      </c>
      <c r="N1885">
        <f>IF(A1885="","",IF(D1885="Category Pending","Needs categorization",IF(COUNTIFS($A$2:A1885,A1885,$B$2:B1885,B1885,$E$2:E1885,E1885)&gt;1,"Possible duplicate","")))</f>
      </c>
    </row>
    <row r="1886" spans="3:14" x14ac:dyDescent="0.3">
      <c r="A1886"/>
      <c r="C1886" s="16"/>
      <c r="G1886" s="5">
        <f>IF(A1886="","","Checking")</f>
      </c>
      <c r="H1886">
        <f>IF(A1886="","",IFERROR(XLOOKUP(D1886,Setup!$E$15:$E$79,Setup!$F$15:$F$79),"Miscellaneous"))</f>
      </c>
      <c r="I1886">
        <f>IF(A1886="","",IFERROR(XLOOKUP(D1886,Setup!$E$15:$E$79,Setup!$G$15:$G$79),"Uncategorized"))</f>
      </c>
      <c r="J1886">
        <f>IF(A1886="","",IF(OR(H1886="Transfers",H1886="Income",D1886="Transfer",D1886="Category Pending",F1886="Pending"),"No","Yes"))</f>
      </c>
      <c r="K1886" s="4">
        <f>IF(A1886="","",TEXT(IF(DAY(A1886)&gt;=Setup!$B$9,DATE(YEAR(A1886),MONTH(A1886)+1,1),DATE(YEAR(A1886),MONTH(A1886),1)),"mmmm yyyy"))</f>
      </c>
      <c r="L1886" s="47">
        <f>IF(A1886="",0,IF(AND(J1886="Yes",E1886&lt;0),-E1886,0))</f>
      </c>
      <c r="M1886" s="47">
        <f>IF(A1886="",0,IF(AND(J1886="Yes",E1886&gt;0),E1886,0))</f>
      </c>
      <c r="N1886">
        <f>IF(A1886="","",IF(D1886="Category Pending","Needs categorization",IF(COUNTIFS($A$2:A1886,A1886,$B$2:B1886,B1886,$E$2:E1886,E1886)&gt;1,"Possible duplicate","")))</f>
      </c>
    </row>
    <row r="1887" spans="3:14" x14ac:dyDescent="0.3">
      <c r="A1887"/>
      <c r="C1887" s="16"/>
      <c r="G1887" s="5">
        <f>IF(A1887="","","Checking")</f>
      </c>
      <c r="H1887">
        <f>IF(A1887="","",IFERROR(XLOOKUP(D1887,Setup!$E$15:$E$79,Setup!$F$15:$F$79),"Miscellaneous"))</f>
      </c>
      <c r="I1887">
        <f>IF(A1887="","",IFERROR(XLOOKUP(D1887,Setup!$E$15:$E$79,Setup!$G$15:$G$79),"Uncategorized"))</f>
      </c>
      <c r="J1887">
        <f>IF(A1887="","",IF(OR(H1887="Transfers",H1887="Income",D1887="Transfer",D1887="Category Pending",F1887="Pending"),"No","Yes"))</f>
      </c>
      <c r="K1887" s="4">
        <f>IF(A1887="","",TEXT(IF(DAY(A1887)&gt;=Setup!$B$9,DATE(YEAR(A1887),MONTH(A1887)+1,1),DATE(YEAR(A1887),MONTH(A1887),1)),"mmmm yyyy"))</f>
      </c>
      <c r="L1887" s="47">
        <f>IF(A1887="",0,IF(AND(J1887="Yes",E1887&lt;0),-E1887,0))</f>
      </c>
      <c r="M1887" s="47">
        <f>IF(A1887="",0,IF(AND(J1887="Yes",E1887&gt;0),E1887,0))</f>
      </c>
      <c r="N1887">
        <f>IF(A1887="","",IF(D1887="Category Pending","Needs categorization",IF(COUNTIFS($A$2:A1887,A1887,$B$2:B1887,B1887,$E$2:E1887,E1887)&gt;1,"Possible duplicate","")))</f>
      </c>
    </row>
    <row r="1888" spans="3:14" x14ac:dyDescent="0.3">
      <c r="A1888"/>
      <c r="C1888" s="16"/>
      <c r="G1888" s="5">
        <f>IF(A1888="","","Checking")</f>
      </c>
      <c r="H1888">
        <f>IF(A1888="","",IFERROR(XLOOKUP(D1888,Setup!$E$15:$E$79,Setup!$F$15:$F$79),"Miscellaneous"))</f>
      </c>
      <c r="I1888">
        <f>IF(A1888="","",IFERROR(XLOOKUP(D1888,Setup!$E$15:$E$79,Setup!$G$15:$G$79),"Uncategorized"))</f>
      </c>
      <c r="J1888">
        <f>IF(A1888="","",IF(OR(H1888="Transfers",H1888="Income",D1888="Transfer",D1888="Category Pending",F1888="Pending"),"No","Yes"))</f>
      </c>
      <c r="K1888" s="4">
        <f>IF(A1888="","",TEXT(IF(DAY(A1888)&gt;=Setup!$B$9,DATE(YEAR(A1888),MONTH(A1888)+1,1),DATE(YEAR(A1888),MONTH(A1888),1)),"mmmm yyyy"))</f>
      </c>
      <c r="L1888" s="47">
        <f>IF(A1888="",0,IF(AND(J1888="Yes",E1888&lt;0),-E1888,0))</f>
      </c>
      <c r="M1888" s="47">
        <f>IF(A1888="",0,IF(AND(J1888="Yes",E1888&gt;0),E1888,0))</f>
      </c>
      <c r="N1888">
        <f>IF(A1888="","",IF(D1888="Category Pending","Needs categorization",IF(COUNTIFS($A$2:A1888,A1888,$B$2:B1888,B1888,$E$2:E1888,E1888)&gt;1,"Possible duplicate","")))</f>
      </c>
    </row>
    <row r="1889" spans="3:14" x14ac:dyDescent="0.3">
      <c r="A1889"/>
      <c r="C1889" s="16"/>
      <c r="G1889" s="5">
        <f>IF(A1889="","","Checking")</f>
      </c>
      <c r="H1889">
        <f>IF(A1889="","",IFERROR(XLOOKUP(D1889,Setup!$E$15:$E$79,Setup!$F$15:$F$79),"Miscellaneous"))</f>
      </c>
      <c r="I1889">
        <f>IF(A1889="","",IFERROR(XLOOKUP(D1889,Setup!$E$15:$E$79,Setup!$G$15:$G$79),"Uncategorized"))</f>
      </c>
      <c r="J1889">
        <f>IF(A1889="","",IF(OR(H1889="Transfers",H1889="Income",D1889="Transfer",D1889="Category Pending",F1889="Pending"),"No","Yes"))</f>
      </c>
      <c r="K1889" s="4">
        <f>IF(A1889="","",TEXT(IF(DAY(A1889)&gt;=Setup!$B$9,DATE(YEAR(A1889),MONTH(A1889)+1,1),DATE(YEAR(A1889),MONTH(A1889),1)),"mmmm yyyy"))</f>
      </c>
      <c r="L1889" s="47">
        <f>IF(A1889="",0,IF(AND(J1889="Yes",E1889&lt;0),-E1889,0))</f>
      </c>
      <c r="M1889" s="47">
        <f>IF(A1889="",0,IF(AND(J1889="Yes",E1889&gt;0),E1889,0))</f>
      </c>
      <c r="N1889">
        <f>IF(A1889="","",IF(D1889="Category Pending","Needs categorization",IF(COUNTIFS($A$2:A1889,A1889,$B$2:B1889,B1889,$E$2:E1889,E1889)&gt;1,"Possible duplicate","")))</f>
      </c>
    </row>
    <row r="1890" spans="3:14" x14ac:dyDescent="0.3">
      <c r="A1890"/>
      <c r="C1890" s="16"/>
      <c r="G1890" s="5">
        <f>IF(A1890="","","Checking")</f>
      </c>
      <c r="H1890">
        <f>IF(A1890="","",IFERROR(XLOOKUP(D1890,Setup!$E$15:$E$79,Setup!$F$15:$F$79),"Miscellaneous"))</f>
      </c>
      <c r="I1890">
        <f>IF(A1890="","",IFERROR(XLOOKUP(D1890,Setup!$E$15:$E$79,Setup!$G$15:$G$79),"Uncategorized"))</f>
      </c>
      <c r="J1890">
        <f>IF(A1890="","",IF(OR(H1890="Transfers",H1890="Income",D1890="Transfer",D1890="Category Pending",F1890="Pending"),"No","Yes"))</f>
      </c>
      <c r="K1890" s="4">
        <f>IF(A1890="","",TEXT(IF(DAY(A1890)&gt;=Setup!$B$9,DATE(YEAR(A1890),MONTH(A1890)+1,1),DATE(YEAR(A1890),MONTH(A1890),1)),"mmmm yyyy"))</f>
      </c>
      <c r="L1890" s="47">
        <f>IF(A1890="",0,IF(AND(J1890="Yes",E1890&lt;0),-E1890,0))</f>
      </c>
      <c r="M1890" s="47">
        <f>IF(A1890="",0,IF(AND(J1890="Yes",E1890&gt;0),E1890,0))</f>
      </c>
      <c r="N1890">
        <f>IF(A1890="","",IF(D1890="Category Pending","Needs categorization",IF(COUNTIFS($A$2:A1890,A1890,$B$2:B1890,B1890,$E$2:E1890,E1890)&gt;1,"Possible duplicate","")))</f>
      </c>
    </row>
    <row r="1891" spans="3:14" x14ac:dyDescent="0.3">
      <c r="A1891"/>
      <c r="C1891" s="16"/>
      <c r="G1891" s="5">
        <f>IF(A1891="","","Checking")</f>
      </c>
      <c r="H1891">
        <f>IF(A1891="","",IFERROR(XLOOKUP(D1891,Setup!$E$15:$E$79,Setup!$F$15:$F$79),"Miscellaneous"))</f>
      </c>
      <c r="I1891">
        <f>IF(A1891="","",IFERROR(XLOOKUP(D1891,Setup!$E$15:$E$79,Setup!$G$15:$G$79),"Uncategorized"))</f>
      </c>
      <c r="J1891">
        <f>IF(A1891="","",IF(OR(H1891="Transfers",H1891="Income",D1891="Transfer",D1891="Category Pending",F1891="Pending"),"No","Yes"))</f>
      </c>
      <c r="K1891" s="4">
        <f>IF(A1891="","",TEXT(IF(DAY(A1891)&gt;=Setup!$B$9,DATE(YEAR(A1891),MONTH(A1891)+1,1),DATE(YEAR(A1891),MONTH(A1891),1)),"mmmm yyyy"))</f>
      </c>
      <c r="L1891" s="47">
        <f>IF(A1891="",0,IF(AND(J1891="Yes",E1891&lt;0),-E1891,0))</f>
      </c>
      <c r="M1891" s="47">
        <f>IF(A1891="",0,IF(AND(J1891="Yes",E1891&gt;0),E1891,0))</f>
      </c>
      <c r="N1891">
        <f>IF(A1891="","",IF(D1891="Category Pending","Needs categorization",IF(COUNTIFS($A$2:A1891,A1891,$B$2:B1891,B1891,$E$2:E1891,E1891)&gt;1,"Possible duplicate","")))</f>
      </c>
    </row>
    <row r="1892" spans="3:14" x14ac:dyDescent="0.3">
      <c r="A1892"/>
      <c r="C1892" s="16"/>
      <c r="G1892" s="5">
        <f>IF(A1892="","","Checking")</f>
      </c>
      <c r="H1892">
        <f>IF(A1892="","",IFERROR(XLOOKUP(D1892,Setup!$E$15:$E$79,Setup!$F$15:$F$79),"Miscellaneous"))</f>
      </c>
      <c r="I1892">
        <f>IF(A1892="","",IFERROR(XLOOKUP(D1892,Setup!$E$15:$E$79,Setup!$G$15:$G$79),"Uncategorized"))</f>
      </c>
      <c r="J1892">
        <f>IF(A1892="","",IF(OR(H1892="Transfers",H1892="Income",D1892="Transfer",D1892="Category Pending",F1892="Pending"),"No","Yes"))</f>
      </c>
      <c r="K1892" s="4">
        <f>IF(A1892="","",TEXT(IF(DAY(A1892)&gt;=Setup!$B$9,DATE(YEAR(A1892),MONTH(A1892)+1,1),DATE(YEAR(A1892),MONTH(A1892),1)),"mmmm yyyy"))</f>
      </c>
      <c r="L1892" s="47">
        <f>IF(A1892="",0,IF(AND(J1892="Yes",E1892&lt;0),-E1892,0))</f>
      </c>
      <c r="M1892" s="47">
        <f>IF(A1892="",0,IF(AND(J1892="Yes",E1892&gt;0),E1892,0))</f>
      </c>
      <c r="N1892">
        <f>IF(A1892="","",IF(D1892="Category Pending","Needs categorization",IF(COUNTIFS($A$2:A1892,A1892,$B$2:B1892,B1892,$E$2:E1892,E1892)&gt;1,"Possible duplicate","")))</f>
      </c>
    </row>
    <row r="1893" spans="3:14" x14ac:dyDescent="0.3">
      <c r="A1893"/>
      <c r="C1893" s="16"/>
      <c r="G1893" s="5">
        <f>IF(A1893="","","Checking")</f>
      </c>
      <c r="H1893">
        <f>IF(A1893="","",IFERROR(XLOOKUP(D1893,Setup!$E$15:$E$79,Setup!$F$15:$F$79),"Miscellaneous"))</f>
      </c>
      <c r="I1893">
        <f>IF(A1893="","",IFERROR(XLOOKUP(D1893,Setup!$E$15:$E$79,Setup!$G$15:$G$79),"Uncategorized"))</f>
      </c>
      <c r="J1893">
        <f>IF(A1893="","",IF(OR(H1893="Transfers",H1893="Income",D1893="Transfer",D1893="Category Pending",F1893="Pending"),"No","Yes"))</f>
      </c>
      <c r="K1893" s="4">
        <f>IF(A1893="","",TEXT(IF(DAY(A1893)&gt;=Setup!$B$9,DATE(YEAR(A1893),MONTH(A1893)+1,1),DATE(YEAR(A1893),MONTH(A1893),1)),"mmmm yyyy"))</f>
      </c>
      <c r="L1893" s="47">
        <f>IF(A1893="",0,IF(AND(J1893="Yes",E1893&lt;0),-E1893,0))</f>
      </c>
      <c r="M1893" s="47">
        <f>IF(A1893="",0,IF(AND(J1893="Yes",E1893&gt;0),E1893,0))</f>
      </c>
      <c r="N1893">
        <f>IF(A1893="","",IF(D1893="Category Pending","Needs categorization",IF(COUNTIFS($A$2:A1893,A1893,$B$2:B1893,B1893,$E$2:E1893,E1893)&gt;1,"Possible duplicate","")))</f>
      </c>
    </row>
    <row r="1894" spans="3:14" x14ac:dyDescent="0.3">
      <c r="A1894"/>
      <c r="C1894" s="16"/>
      <c r="G1894" s="5">
        <f>IF(A1894="","","Checking")</f>
      </c>
      <c r="H1894">
        <f>IF(A1894="","",IFERROR(XLOOKUP(D1894,Setup!$E$15:$E$79,Setup!$F$15:$F$79),"Miscellaneous"))</f>
      </c>
      <c r="I1894">
        <f>IF(A1894="","",IFERROR(XLOOKUP(D1894,Setup!$E$15:$E$79,Setup!$G$15:$G$79),"Uncategorized"))</f>
      </c>
      <c r="J1894">
        <f>IF(A1894="","",IF(OR(H1894="Transfers",H1894="Income",D1894="Transfer",D1894="Category Pending",F1894="Pending"),"No","Yes"))</f>
      </c>
      <c r="K1894" s="4">
        <f>IF(A1894="","",TEXT(IF(DAY(A1894)&gt;=Setup!$B$9,DATE(YEAR(A1894),MONTH(A1894)+1,1),DATE(YEAR(A1894),MONTH(A1894),1)),"mmmm yyyy"))</f>
      </c>
      <c r="L1894" s="47">
        <f>IF(A1894="",0,IF(AND(J1894="Yes",E1894&lt;0),-E1894,0))</f>
      </c>
      <c r="M1894" s="47">
        <f>IF(A1894="",0,IF(AND(J1894="Yes",E1894&gt;0),E1894,0))</f>
      </c>
      <c r="N1894">
        <f>IF(A1894="","",IF(D1894="Category Pending","Needs categorization",IF(COUNTIFS($A$2:A1894,A1894,$B$2:B1894,B1894,$E$2:E1894,E1894)&gt;1,"Possible duplicate","")))</f>
      </c>
    </row>
    <row r="1895" spans="3:14" x14ac:dyDescent="0.3">
      <c r="A1895"/>
      <c r="C1895" s="16"/>
      <c r="G1895" s="5">
        <f>IF(A1895="","","Checking")</f>
      </c>
      <c r="H1895">
        <f>IF(A1895="","",IFERROR(XLOOKUP(D1895,Setup!$E$15:$E$79,Setup!$F$15:$F$79),"Miscellaneous"))</f>
      </c>
      <c r="I1895">
        <f>IF(A1895="","",IFERROR(XLOOKUP(D1895,Setup!$E$15:$E$79,Setup!$G$15:$G$79),"Uncategorized"))</f>
      </c>
      <c r="J1895">
        <f>IF(A1895="","",IF(OR(H1895="Transfers",H1895="Income",D1895="Transfer",D1895="Category Pending",F1895="Pending"),"No","Yes"))</f>
      </c>
      <c r="K1895" s="4">
        <f>IF(A1895="","",TEXT(IF(DAY(A1895)&gt;=Setup!$B$9,DATE(YEAR(A1895),MONTH(A1895)+1,1),DATE(YEAR(A1895),MONTH(A1895),1)),"mmmm yyyy"))</f>
      </c>
      <c r="L1895" s="47">
        <f>IF(A1895="",0,IF(AND(J1895="Yes",E1895&lt;0),-E1895,0))</f>
      </c>
      <c r="M1895" s="47">
        <f>IF(A1895="",0,IF(AND(J1895="Yes",E1895&gt;0),E1895,0))</f>
      </c>
      <c r="N1895">
        <f>IF(A1895="","",IF(D1895="Category Pending","Needs categorization",IF(COUNTIFS($A$2:A1895,A1895,$B$2:B1895,B1895,$E$2:E1895,E1895)&gt;1,"Possible duplicate","")))</f>
      </c>
    </row>
    <row r="1896" spans="3:14" x14ac:dyDescent="0.3">
      <c r="A1896"/>
      <c r="C1896" s="16"/>
      <c r="G1896" s="5">
        <f>IF(A1896="","","Checking")</f>
      </c>
      <c r="H1896">
        <f>IF(A1896="","",IFERROR(XLOOKUP(D1896,Setup!$E$15:$E$79,Setup!$F$15:$F$79),"Miscellaneous"))</f>
      </c>
      <c r="I1896">
        <f>IF(A1896="","",IFERROR(XLOOKUP(D1896,Setup!$E$15:$E$79,Setup!$G$15:$G$79),"Uncategorized"))</f>
      </c>
      <c r="J1896">
        <f>IF(A1896="","",IF(OR(H1896="Transfers",H1896="Income",D1896="Transfer",D1896="Category Pending",F1896="Pending"),"No","Yes"))</f>
      </c>
      <c r="K1896" s="4">
        <f>IF(A1896="","",TEXT(IF(DAY(A1896)&gt;=Setup!$B$9,DATE(YEAR(A1896),MONTH(A1896)+1,1),DATE(YEAR(A1896),MONTH(A1896),1)),"mmmm yyyy"))</f>
      </c>
      <c r="L1896" s="47">
        <f>IF(A1896="",0,IF(AND(J1896="Yes",E1896&lt;0),-E1896,0))</f>
      </c>
      <c r="M1896" s="47">
        <f>IF(A1896="",0,IF(AND(J1896="Yes",E1896&gt;0),E1896,0))</f>
      </c>
      <c r="N1896">
        <f>IF(A1896="","",IF(D1896="Category Pending","Needs categorization",IF(COUNTIFS($A$2:A1896,A1896,$B$2:B1896,B1896,$E$2:E1896,E1896)&gt;1,"Possible duplicate","")))</f>
      </c>
    </row>
    <row r="1897" spans="3:14" x14ac:dyDescent="0.3">
      <c r="A1897"/>
      <c r="C1897" s="16"/>
      <c r="G1897" s="5">
        <f>IF(A1897="","","Checking")</f>
      </c>
      <c r="H1897">
        <f>IF(A1897="","",IFERROR(XLOOKUP(D1897,Setup!$E$15:$E$79,Setup!$F$15:$F$79),"Miscellaneous"))</f>
      </c>
      <c r="I1897">
        <f>IF(A1897="","",IFERROR(XLOOKUP(D1897,Setup!$E$15:$E$79,Setup!$G$15:$G$79),"Uncategorized"))</f>
      </c>
      <c r="J1897">
        <f>IF(A1897="","",IF(OR(H1897="Transfers",H1897="Income",D1897="Transfer",D1897="Category Pending",F1897="Pending"),"No","Yes"))</f>
      </c>
      <c r="K1897" s="4">
        <f>IF(A1897="","",TEXT(IF(DAY(A1897)&gt;=Setup!$B$9,DATE(YEAR(A1897),MONTH(A1897)+1,1),DATE(YEAR(A1897),MONTH(A1897),1)),"mmmm yyyy"))</f>
      </c>
      <c r="L1897" s="47">
        <f>IF(A1897="",0,IF(AND(J1897="Yes",E1897&lt;0),-E1897,0))</f>
      </c>
      <c r="M1897" s="47">
        <f>IF(A1897="",0,IF(AND(J1897="Yes",E1897&gt;0),E1897,0))</f>
      </c>
      <c r="N1897">
        <f>IF(A1897="","",IF(D1897="Category Pending","Needs categorization",IF(COUNTIFS($A$2:A1897,A1897,$B$2:B1897,B1897,$E$2:E1897,E1897)&gt;1,"Possible duplicate","")))</f>
      </c>
    </row>
    <row r="1898" spans="3:14" x14ac:dyDescent="0.3">
      <c r="A1898"/>
      <c r="C1898" s="16"/>
      <c r="G1898" s="5">
        <f>IF(A1898="","","Checking")</f>
      </c>
      <c r="H1898">
        <f>IF(A1898="","",IFERROR(XLOOKUP(D1898,Setup!$E$15:$E$79,Setup!$F$15:$F$79),"Miscellaneous"))</f>
      </c>
      <c r="I1898">
        <f>IF(A1898="","",IFERROR(XLOOKUP(D1898,Setup!$E$15:$E$79,Setup!$G$15:$G$79),"Uncategorized"))</f>
      </c>
      <c r="J1898">
        <f>IF(A1898="","",IF(OR(H1898="Transfers",H1898="Income",D1898="Transfer",D1898="Category Pending",F1898="Pending"),"No","Yes"))</f>
      </c>
      <c r="K1898" s="4">
        <f>IF(A1898="","",TEXT(IF(DAY(A1898)&gt;=Setup!$B$9,DATE(YEAR(A1898),MONTH(A1898)+1,1),DATE(YEAR(A1898),MONTH(A1898),1)),"mmmm yyyy"))</f>
      </c>
      <c r="L1898" s="47">
        <f>IF(A1898="",0,IF(AND(J1898="Yes",E1898&lt;0),-E1898,0))</f>
      </c>
      <c r="M1898" s="47">
        <f>IF(A1898="",0,IF(AND(J1898="Yes",E1898&gt;0),E1898,0))</f>
      </c>
      <c r="N1898">
        <f>IF(A1898="","",IF(D1898="Category Pending","Needs categorization",IF(COUNTIFS($A$2:A1898,A1898,$B$2:B1898,B1898,$E$2:E1898,E1898)&gt;1,"Possible duplicate","")))</f>
      </c>
    </row>
    <row r="1899" spans="3:14" x14ac:dyDescent="0.3">
      <c r="A1899"/>
      <c r="C1899" s="16"/>
      <c r="G1899" s="5">
        <f>IF(A1899="","","Checking")</f>
      </c>
      <c r="H1899">
        <f>IF(A1899="","",IFERROR(XLOOKUP(D1899,Setup!$E$15:$E$79,Setup!$F$15:$F$79),"Miscellaneous"))</f>
      </c>
      <c r="I1899">
        <f>IF(A1899="","",IFERROR(XLOOKUP(D1899,Setup!$E$15:$E$79,Setup!$G$15:$G$79),"Uncategorized"))</f>
      </c>
      <c r="J1899">
        <f>IF(A1899="","",IF(OR(H1899="Transfers",H1899="Income",D1899="Transfer",D1899="Category Pending",F1899="Pending"),"No","Yes"))</f>
      </c>
      <c r="K1899" s="4">
        <f>IF(A1899="","",TEXT(IF(DAY(A1899)&gt;=Setup!$B$9,DATE(YEAR(A1899),MONTH(A1899)+1,1),DATE(YEAR(A1899),MONTH(A1899),1)),"mmmm yyyy"))</f>
      </c>
      <c r="L1899" s="47">
        <f>IF(A1899="",0,IF(AND(J1899="Yes",E1899&lt;0),-E1899,0))</f>
      </c>
      <c r="M1899" s="47">
        <f>IF(A1899="",0,IF(AND(J1899="Yes",E1899&gt;0),E1899,0))</f>
      </c>
      <c r="N1899">
        <f>IF(A1899="","",IF(D1899="Category Pending","Needs categorization",IF(COUNTIFS($A$2:A1899,A1899,$B$2:B1899,B1899,$E$2:E1899,E1899)&gt;1,"Possible duplicate","")))</f>
      </c>
    </row>
    <row r="1900" spans="3:14" x14ac:dyDescent="0.3">
      <c r="A1900"/>
      <c r="C1900" s="16"/>
      <c r="G1900" s="5">
        <f>IF(A1900="","","Checking")</f>
      </c>
      <c r="H1900">
        <f>IF(A1900="","",IFERROR(XLOOKUP(D1900,Setup!$E$15:$E$79,Setup!$F$15:$F$79),"Miscellaneous"))</f>
      </c>
      <c r="I1900">
        <f>IF(A1900="","",IFERROR(XLOOKUP(D1900,Setup!$E$15:$E$79,Setup!$G$15:$G$79),"Uncategorized"))</f>
      </c>
      <c r="J1900">
        <f>IF(A1900="","",IF(OR(H1900="Transfers",H1900="Income",D1900="Transfer",D1900="Category Pending",F1900="Pending"),"No","Yes"))</f>
      </c>
      <c r="K1900" s="4">
        <f>IF(A1900="","",TEXT(IF(DAY(A1900)&gt;=Setup!$B$9,DATE(YEAR(A1900),MONTH(A1900)+1,1),DATE(YEAR(A1900),MONTH(A1900),1)),"mmmm yyyy"))</f>
      </c>
      <c r="L1900" s="47">
        <f>IF(A1900="",0,IF(AND(J1900="Yes",E1900&lt;0),-E1900,0))</f>
      </c>
      <c r="M1900" s="47">
        <f>IF(A1900="",0,IF(AND(J1900="Yes",E1900&gt;0),E1900,0))</f>
      </c>
      <c r="N1900">
        <f>IF(A1900="","",IF(D1900="Category Pending","Needs categorization",IF(COUNTIFS($A$2:A1900,A1900,$B$2:B1900,B1900,$E$2:E1900,E1900)&gt;1,"Possible duplicate","")))</f>
      </c>
    </row>
    <row r="1901" spans="3:14" x14ac:dyDescent="0.3">
      <c r="A1901"/>
      <c r="C1901" s="16"/>
      <c r="G1901" s="5">
        <f>IF(A1901="","","Checking")</f>
      </c>
      <c r="H1901">
        <f>IF(A1901="","",IFERROR(XLOOKUP(D1901,Setup!$E$15:$E$79,Setup!$F$15:$F$79),"Miscellaneous"))</f>
      </c>
      <c r="I1901">
        <f>IF(A1901="","",IFERROR(XLOOKUP(D1901,Setup!$E$15:$E$79,Setup!$G$15:$G$79),"Uncategorized"))</f>
      </c>
      <c r="J1901">
        <f>IF(A1901="","",IF(OR(H1901="Transfers",H1901="Income",D1901="Transfer",D1901="Category Pending",F1901="Pending"),"No","Yes"))</f>
      </c>
      <c r="K1901" s="4">
        <f>IF(A1901="","",TEXT(IF(DAY(A1901)&gt;=Setup!$B$9,DATE(YEAR(A1901),MONTH(A1901)+1,1),DATE(YEAR(A1901),MONTH(A1901),1)),"mmmm yyyy"))</f>
      </c>
      <c r="L1901" s="47">
        <f>IF(A1901="",0,IF(AND(J1901="Yes",E1901&lt;0),-E1901,0))</f>
      </c>
      <c r="M1901" s="47">
        <f>IF(A1901="",0,IF(AND(J1901="Yes",E1901&gt;0),E1901,0))</f>
      </c>
      <c r="N1901">
        <f>IF(A1901="","",IF(D1901="Category Pending","Needs categorization",IF(COUNTIFS($A$2:A1901,A1901,$B$2:B1901,B1901,$E$2:E1901,E1901)&gt;1,"Possible duplicate","")))</f>
      </c>
    </row>
    <row r="1902" spans="3:14" x14ac:dyDescent="0.3">
      <c r="A1902"/>
      <c r="C1902" s="16"/>
      <c r="G1902" s="5">
        <f>IF(A1902="","","Checking")</f>
      </c>
      <c r="H1902">
        <f>IF(A1902="","",IFERROR(XLOOKUP(D1902,Setup!$E$15:$E$79,Setup!$F$15:$F$79),"Miscellaneous"))</f>
      </c>
      <c r="I1902">
        <f>IF(A1902="","",IFERROR(XLOOKUP(D1902,Setup!$E$15:$E$79,Setup!$G$15:$G$79),"Uncategorized"))</f>
      </c>
      <c r="J1902">
        <f>IF(A1902="","",IF(OR(H1902="Transfers",H1902="Income",D1902="Transfer",D1902="Category Pending",F1902="Pending"),"No","Yes"))</f>
      </c>
      <c r="K1902" s="4">
        <f>IF(A1902="","",TEXT(IF(DAY(A1902)&gt;=Setup!$B$9,DATE(YEAR(A1902),MONTH(A1902)+1,1),DATE(YEAR(A1902),MONTH(A1902),1)),"mmmm yyyy"))</f>
      </c>
      <c r="L1902" s="47">
        <f>IF(A1902="",0,IF(AND(J1902="Yes",E1902&lt;0),-E1902,0))</f>
      </c>
      <c r="M1902" s="47">
        <f>IF(A1902="",0,IF(AND(J1902="Yes",E1902&gt;0),E1902,0))</f>
      </c>
      <c r="N1902">
        <f>IF(A1902="","",IF(D1902="Category Pending","Needs categorization",IF(COUNTIFS($A$2:A1902,A1902,$B$2:B1902,B1902,$E$2:E1902,E1902)&gt;1,"Possible duplicate","")))</f>
      </c>
    </row>
    <row r="1903">
      <c r="A1903"/>
    </row>
    <row r="1904">
      <c r="A1904"/>
    </row>
    <row r="1905">
      <c r="A1905"/>
    </row>
    <row r="1906">
      <c r="A1906"/>
    </row>
    <row r="1907">
      <c r="A1907"/>
    </row>
    <row r="1908">
      <c r="A1908"/>
    </row>
    <row r="1909">
      <c r="A1909"/>
    </row>
    <row r="1910">
      <c r="A1910"/>
    </row>
    <row r="1911">
      <c r="A1911"/>
    </row>
    <row r="1912">
      <c r="A1912"/>
    </row>
    <row r="1913">
      <c r="A1913"/>
    </row>
    <row r="1914">
      <c r="A1914"/>
    </row>
    <row r="1915">
      <c r="A1915"/>
    </row>
    <row r="1916">
      <c r="A1916"/>
    </row>
    <row r="1917">
      <c r="A1917"/>
    </row>
    <row r="1918">
      <c r="A1918"/>
    </row>
    <row r="1919">
      <c r="A1919"/>
    </row>
    <row r="1920">
      <c r="A1920"/>
    </row>
    <row r="1921">
      <c r="A1921"/>
    </row>
    <row r="1922">
      <c r="A1922"/>
    </row>
    <row r="1923">
      <c r="A1923"/>
    </row>
    <row r="1924">
      <c r="A1924"/>
    </row>
    <row r="1925">
      <c r="A1925"/>
    </row>
    <row r="1926">
      <c r="A1926"/>
    </row>
    <row r="1927">
      <c r="A1927"/>
    </row>
    <row r="1928">
      <c r="A1928"/>
    </row>
    <row r="1929">
      <c r="A1929"/>
    </row>
    <row r="1930">
      <c r="A1930"/>
    </row>
    <row r="1931">
      <c r="A1931"/>
    </row>
    <row r="1932">
      <c r="A1932"/>
    </row>
    <row r="1933">
      <c r="A1933"/>
    </row>
    <row r="1934">
      <c r="A1934"/>
    </row>
    <row r="1935">
      <c r="A1935"/>
    </row>
    <row r="1936">
      <c r="A1936"/>
    </row>
    <row r="1937">
      <c r="A1937"/>
    </row>
    <row r="1938">
      <c r="A1938"/>
    </row>
    <row r="1939">
      <c r="A1939"/>
    </row>
    <row r="1940">
      <c r="A1940"/>
    </row>
    <row r="1941">
      <c r="A1941"/>
    </row>
    <row r="1942">
      <c r="A1942"/>
    </row>
    <row r="1943">
      <c r="A1943"/>
    </row>
    <row r="1944">
      <c r="A1944"/>
    </row>
    <row r="1945">
      <c r="A1945"/>
    </row>
    <row r="1946">
      <c r="A1946"/>
    </row>
    <row r="1947">
      <c r="A1947"/>
    </row>
    <row r="1948">
      <c r="A1948"/>
    </row>
    <row r="1949">
      <c r="A1949"/>
    </row>
    <row r="1950">
      <c r="A1950"/>
    </row>
    <row r="1951">
      <c r="A1951"/>
    </row>
    <row r="1952">
      <c r="A1952"/>
    </row>
    <row r="1953">
      <c r="A1953"/>
    </row>
    <row r="1954">
      <c r="A1954"/>
    </row>
    <row r="1955">
      <c r="A1955"/>
    </row>
    <row r="1956">
      <c r="A1956"/>
    </row>
    <row r="1957">
      <c r="A1957"/>
    </row>
    <row r="1958">
      <c r="A1958"/>
    </row>
    <row r="1959">
      <c r="A1959"/>
    </row>
    <row r="1960">
      <c r="A1960"/>
    </row>
    <row r="1961">
      <c r="A1961"/>
    </row>
    <row r="1962">
      <c r="A1962"/>
    </row>
    <row r="1963">
      <c r="A1963"/>
    </row>
    <row r="1964">
      <c r="A1964"/>
    </row>
    <row r="1965">
      <c r="A1965"/>
    </row>
    <row r="1966">
      <c r="A1966"/>
    </row>
    <row r="1967">
      <c r="A1967"/>
    </row>
    <row r="1968">
      <c r="A1968"/>
    </row>
    <row r="1969">
      <c r="A1969"/>
    </row>
    <row r="1970">
      <c r="A1970"/>
    </row>
    <row r="1971">
      <c r="A1971"/>
    </row>
    <row r="1972">
      <c r="A1972"/>
    </row>
    <row r="1973">
      <c r="A1973"/>
    </row>
    <row r="1974">
      <c r="A1974"/>
    </row>
    <row r="1975">
      <c r="A1975"/>
    </row>
    <row r="1976">
      <c r="A1976"/>
    </row>
    <row r="1977">
      <c r="A1977"/>
    </row>
    <row r="1978">
      <c r="A1978"/>
    </row>
    <row r="1979">
      <c r="A1979"/>
    </row>
    <row r="1980">
      <c r="A1980"/>
    </row>
    <row r="1981">
      <c r="A1981"/>
    </row>
    <row r="1982">
      <c r="A1982"/>
    </row>
    <row r="1983">
      <c r="A1983"/>
    </row>
    <row r="1984">
      <c r="A1984"/>
    </row>
    <row r="1985">
      <c r="A1985"/>
    </row>
    <row r="1986">
      <c r="A1986"/>
    </row>
    <row r="1987">
      <c r="A1987"/>
    </row>
    <row r="1988">
      <c r="A1988"/>
    </row>
    <row r="1989">
      <c r="A1989"/>
    </row>
    <row r="1990">
      <c r="A1990"/>
    </row>
    <row r="1991">
      <c r="A1991"/>
    </row>
    <row r="1992">
      <c r="A1992"/>
    </row>
    <row r="1993">
      <c r="A1993"/>
    </row>
    <row r="1994">
      <c r="A1994"/>
    </row>
    <row r="1995">
      <c r="A1995"/>
    </row>
    <row r="1996">
      <c r="A1996"/>
    </row>
    <row r="1997">
      <c r="A1997"/>
    </row>
    <row r="1998">
      <c r="A1998"/>
    </row>
    <row r="1999">
      <c r="A1999"/>
    </row>
    <row r="2000">
      <c r="A2000"/>
    </row>
    <row r="2001">
      <c r="A2001"/>
    </row>
    <row r="2002">
      <c r="A2002"/>
    </row>
    <row r="2003">
      <c r="A2003"/>
    </row>
    <row r="2004">
      <c r="A2004"/>
    </row>
    <row r="2005">
      <c r="A2005"/>
    </row>
    <row r="2006">
      <c r="A2006"/>
    </row>
    <row r="2007">
      <c r="A2007"/>
    </row>
    <row r="2008">
      <c r="A2008"/>
    </row>
    <row r="2009">
      <c r="A2009"/>
    </row>
    <row r="2010">
      <c r="A2010"/>
    </row>
    <row r="2011">
      <c r="A2011"/>
    </row>
    <row r="2012">
      <c r="A2012"/>
    </row>
    <row r="2013">
      <c r="A2013"/>
    </row>
    <row r="2014">
      <c r="A2014"/>
    </row>
    <row r="2015">
      <c r="A2015"/>
    </row>
    <row r="2016">
      <c r="A2016"/>
    </row>
    <row r="2017">
      <c r="A2017"/>
    </row>
    <row r="2018">
      <c r="A2018"/>
    </row>
    <row r="2019">
      <c r="A2019"/>
    </row>
    <row r="2020">
      <c r="A2020"/>
    </row>
    <row r="2021">
      <c r="A2021"/>
    </row>
    <row r="2022">
      <c r="A2022"/>
    </row>
    <row r="2023">
      <c r="A2023"/>
    </row>
    <row r="2024">
      <c r="A2024"/>
    </row>
    <row r="2025">
      <c r="A2025"/>
    </row>
    <row r="2026">
      <c r="A2026"/>
    </row>
    <row r="2027">
      <c r="A2027"/>
    </row>
    <row r="2028">
      <c r="A2028"/>
    </row>
    <row r="2029">
      <c r="A2029"/>
    </row>
    <row r="2030">
      <c r="A2030"/>
    </row>
    <row r="2031">
      <c r="A2031"/>
    </row>
    <row r="2032">
      <c r="A2032"/>
    </row>
    <row r="2033">
      <c r="A2033"/>
    </row>
    <row r="2034">
      <c r="A2034"/>
    </row>
    <row r="2035">
      <c r="A2035"/>
    </row>
    <row r="2036">
      <c r="A2036"/>
    </row>
    <row r="2037">
      <c r="A2037"/>
    </row>
    <row r="2038">
      <c r="A2038"/>
    </row>
    <row r="2039">
      <c r="A2039"/>
    </row>
    <row r="2040">
      <c r="A2040"/>
    </row>
    <row r="2041">
      <c r="A2041"/>
    </row>
    <row r="2042">
      <c r="A2042"/>
    </row>
    <row r="2043">
      <c r="A2043"/>
    </row>
    <row r="2044">
      <c r="A2044"/>
    </row>
    <row r="2045">
      <c r="A2045"/>
    </row>
    <row r="2046">
      <c r="A2046"/>
    </row>
    <row r="2047">
      <c r="A2047"/>
    </row>
    <row r="2048">
      <c r="A2048"/>
    </row>
    <row r="2049">
      <c r="A2049"/>
    </row>
    <row r="2050">
      <c r="A2050"/>
    </row>
    <row r="2051">
      <c r="A2051"/>
    </row>
    <row r="2052">
      <c r="A2052"/>
    </row>
    <row r="2053">
      <c r="A2053"/>
    </row>
    <row r="2054">
      <c r="A2054"/>
    </row>
    <row r="2055">
      <c r="A2055"/>
    </row>
    <row r="2056">
      <c r="A2056"/>
    </row>
    <row r="2057">
      <c r="A2057"/>
    </row>
    <row r="2058">
      <c r="A2058"/>
    </row>
    <row r="2059">
      <c r="A2059"/>
    </row>
    <row r="2060">
      <c r="A2060"/>
    </row>
    <row r="2061">
      <c r="A2061"/>
    </row>
    <row r="2062">
      <c r="A2062"/>
    </row>
    <row r="2063">
      <c r="A2063"/>
    </row>
    <row r="2064">
      <c r="A2064"/>
    </row>
    <row r="2065">
      <c r="A2065"/>
    </row>
    <row r="2066">
      <c r="A2066"/>
    </row>
    <row r="2067">
      <c r="A2067"/>
    </row>
    <row r="2068">
      <c r="A2068"/>
    </row>
    <row r="2069">
      <c r="A2069"/>
    </row>
    <row r="2070">
      <c r="A2070"/>
    </row>
    <row r="2071">
      <c r="A2071"/>
    </row>
    <row r="2072">
      <c r="A2072"/>
    </row>
    <row r="2073">
      <c r="A2073"/>
    </row>
    <row r="2074">
      <c r="A2074"/>
    </row>
    <row r="2075">
      <c r="A2075"/>
    </row>
    <row r="2076">
      <c r="A2076"/>
    </row>
    <row r="2077">
      <c r="A2077"/>
    </row>
    <row r="2078">
      <c r="A2078"/>
    </row>
    <row r="2079">
      <c r="A2079"/>
    </row>
    <row r="2080">
      <c r="A2080"/>
    </row>
    <row r="2081">
      <c r="A2081"/>
    </row>
    <row r="2082">
      <c r="A2082"/>
    </row>
    <row r="2083">
      <c r="A2083"/>
    </row>
    <row r="2084">
      <c r="A2084"/>
    </row>
    <row r="2085">
      <c r="A2085"/>
    </row>
    <row r="2086">
      <c r="A2086"/>
    </row>
    <row r="2087">
      <c r="A2087"/>
    </row>
    <row r="2088">
      <c r="A2088"/>
    </row>
    <row r="2089">
      <c r="A2089"/>
    </row>
    <row r="2090">
      <c r="A2090"/>
    </row>
    <row r="2091">
      <c r="A2091"/>
    </row>
    <row r="2092">
      <c r="A2092"/>
    </row>
    <row r="2093">
      <c r="A2093"/>
    </row>
    <row r="2094">
      <c r="A2094"/>
    </row>
    <row r="2095">
      <c r="A2095"/>
    </row>
    <row r="2096">
      <c r="A2096"/>
    </row>
    <row r="2097">
      <c r="A2097"/>
    </row>
    <row r="2098">
      <c r="A2098"/>
    </row>
    <row r="2099">
      <c r="A2099"/>
    </row>
    <row r="2100">
      <c r="A2100"/>
    </row>
    <row r="2101">
      <c r="A2101"/>
    </row>
    <row r="2102">
      <c r="A2102"/>
    </row>
    <row r="2103">
      <c r="A2103"/>
    </row>
    <row r="2104">
      <c r="A2104"/>
    </row>
    <row r="2105">
      <c r="A2105"/>
    </row>
    <row r="2106">
      <c r="A2106"/>
    </row>
    <row r="2107">
      <c r="A2107"/>
    </row>
    <row r="2108">
      <c r="A2108"/>
    </row>
    <row r="2109">
      <c r="A2109"/>
    </row>
    <row r="2110">
      <c r="A2110"/>
    </row>
    <row r="2111">
      <c r="A2111"/>
    </row>
    <row r="2112">
      <c r="A2112"/>
    </row>
    <row r="2113">
      <c r="A2113"/>
    </row>
    <row r="2114">
      <c r="A2114"/>
    </row>
    <row r="2115">
      <c r="A2115"/>
    </row>
    <row r="2116">
      <c r="A2116"/>
    </row>
    <row r="2117">
      <c r="A2117"/>
    </row>
    <row r="2118">
      <c r="A2118"/>
    </row>
    <row r="2119">
      <c r="A2119"/>
    </row>
    <row r="2120">
      <c r="A2120"/>
    </row>
    <row r="2121">
      <c r="A2121"/>
    </row>
    <row r="2122">
      <c r="A2122"/>
    </row>
    <row r="2123">
      <c r="A2123"/>
    </row>
    <row r="2124">
      <c r="A2124"/>
    </row>
    <row r="2125">
      <c r="A2125"/>
    </row>
    <row r="2126">
      <c r="A2126"/>
    </row>
    <row r="2127">
      <c r="A2127"/>
    </row>
    <row r="2128">
      <c r="A2128"/>
    </row>
    <row r="2129">
      <c r="A2129"/>
    </row>
    <row r="2130">
      <c r="A2130"/>
    </row>
    <row r="2131">
      <c r="A2131"/>
    </row>
    <row r="2132">
      <c r="A2132"/>
    </row>
    <row r="2133">
      <c r="A2133"/>
    </row>
    <row r="2134">
      <c r="A2134"/>
    </row>
    <row r="2135">
      <c r="A2135"/>
    </row>
    <row r="2136">
      <c r="A2136"/>
    </row>
    <row r="2137">
      <c r="A2137"/>
    </row>
    <row r="2138">
      <c r="A2138"/>
    </row>
    <row r="2139">
      <c r="A2139"/>
    </row>
    <row r="2140">
      <c r="A2140"/>
    </row>
    <row r="2141">
      <c r="A2141"/>
    </row>
    <row r="2142">
      <c r="A2142"/>
    </row>
    <row r="2143">
      <c r="A2143"/>
    </row>
    <row r="2144">
      <c r="A2144"/>
    </row>
    <row r="2145">
      <c r="A2145"/>
    </row>
    <row r="2146">
      <c r="A2146"/>
    </row>
    <row r="2147">
      <c r="A2147"/>
    </row>
    <row r="2148">
      <c r="A2148"/>
    </row>
    <row r="2149">
      <c r="A2149"/>
    </row>
    <row r="2150">
      <c r="A2150"/>
    </row>
    <row r="2151">
      <c r="A2151"/>
    </row>
    <row r="2152">
      <c r="A2152"/>
    </row>
    <row r="2153">
      <c r="A2153"/>
    </row>
    <row r="2154">
      <c r="A2154"/>
    </row>
    <row r="2155">
      <c r="A2155"/>
    </row>
    <row r="2156">
      <c r="A2156"/>
    </row>
    <row r="2157">
      <c r="A2157"/>
    </row>
    <row r="2158">
      <c r="A2158"/>
    </row>
    <row r="2159">
      <c r="A2159"/>
    </row>
    <row r="2160">
      <c r="A2160"/>
    </row>
    <row r="2161">
      <c r="A2161"/>
    </row>
    <row r="2162">
      <c r="A2162"/>
    </row>
    <row r="2163">
      <c r="A2163"/>
    </row>
    <row r="2164">
      <c r="A2164"/>
    </row>
    <row r="2165">
      <c r="A2165"/>
    </row>
    <row r="2166">
      <c r="A2166"/>
    </row>
    <row r="2167">
      <c r="A2167"/>
    </row>
    <row r="2168">
      <c r="A2168"/>
    </row>
    <row r="2169">
      <c r="A2169"/>
    </row>
    <row r="2170">
      <c r="A2170"/>
    </row>
    <row r="2171">
      <c r="A2171"/>
    </row>
    <row r="2172">
      <c r="A2172"/>
    </row>
    <row r="2173">
      <c r="A2173"/>
    </row>
    <row r="2174">
      <c r="A2174"/>
    </row>
    <row r="2175">
      <c r="A2175"/>
    </row>
    <row r="2176">
      <c r="A2176"/>
    </row>
    <row r="2177">
      <c r="A2177"/>
    </row>
    <row r="2178">
      <c r="A2178"/>
    </row>
    <row r="2179">
      <c r="A2179"/>
    </row>
    <row r="2180">
      <c r="A2180"/>
    </row>
    <row r="2181">
      <c r="A2181"/>
    </row>
    <row r="2182">
      <c r="A2182"/>
    </row>
    <row r="2183">
      <c r="A2183"/>
    </row>
    <row r="2184">
      <c r="A2184"/>
    </row>
    <row r="2185">
      <c r="A2185"/>
    </row>
    <row r="2186">
      <c r="A2186"/>
    </row>
    <row r="2187">
      <c r="A2187"/>
    </row>
    <row r="2188">
      <c r="A2188"/>
    </row>
    <row r="2189">
      <c r="A2189"/>
    </row>
    <row r="2190">
      <c r="A2190"/>
    </row>
    <row r="2191">
      <c r="A2191"/>
    </row>
    <row r="2192">
      <c r="A2192"/>
    </row>
    <row r="2193">
      <c r="A2193"/>
    </row>
    <row r="2194">
      <c r="A2194"/>
    </row>
    <row r="2195">
      <c r="A2195"/>
    </row>
    <row r="2196">
      <c r="A2196"/>
    </row>
    <row r="2197">
      <c r="A2197"/>
    </row>
    <row r="2198">
      <c r="A2198"/>
    </row>
    <row r="2199">
      <c r="A2199"/>
    </row>
    <row r="2200">
      <c r="A2200"/>
    </row>
    <row r="2201">
      <c r="A2201"/>
    </row>
    <row r="2202">
      <c r="A2202"/>
    </row>
    <row r="2203">
      <c r="A2203"/>
    </row>
    <row r="2204">
      <c r="A2204"/>
    </row>
    <row r="2205">
      <c r="A2205"/>
    </row>
    <row r="2206">
      <c r="A2206"/>
    </row>
    <row r="2207">
      <c r="A2207"/>
    </row>
    <row r="2208">
      <c r="A2208"/>
    </row>
    <row r="2209">
      <c r="A2209"/>
    </row>
    <row r="2210">
      <c r="A2210"/>
    </row>
    <row r="2211">
      <c r="A2211"/>
    </row>
    <row r="2212">
      <c r="A2212"/>
    </row>
    <row r="2213">
      <c r="A2213"/>
    </row>
    <row r="2214">
      <c r="A2214"/>
    </row>
    <row r="2215">
      <c r="A2215"/>
    </row>
    <row r="2216">
      <c r="A2216"/>
    </row>
    <row r="2217">
      <c r="A2217"/>
    </row>
    <row r="2218">
      <c r="A2218"/>
    </row>
    <row r="2219">
      <c r="A2219"/>
    </row>
    <row r="2220">
      <c r="A2220"/>
    </row>
    <row r="2221">
      <c r="A2221"/>
    </row>
    <row r="2222">
      <c r="A2222"/>
    </row>
    <row r="2223">
      <c r="A2223"/>
    </row>
    <row r="2224">
      <c r="A2224"/>
    </row>
    <row r="2225">
      <c r="A2225"/>
    </row>
    <row r="2226">
      <c r="A2226"/>
    </row>
    <row r="2227">
      <c r="A2227"/>
    </row>
    <row r="2228">
      <c r="A2228"/>
    </row>
    <row r="2229">
      <c r="A2229"/>
    </row>
    <row r="2230">
      <c r="A2230"/>
    </row>
    <row r="2231">
      <c r="A2231"/>
    </row>
    <row r="2232">
      <c r="A2232"/>
    </row>
    <row r="2233">
      <c r="A2233"/>
    </row>
    <row r="2234">
      <c r="A2234"/>
    </row>
    <row r="2235">
      <c r="A2235"/>
    </row>
    <row r="2236">
      <c r="A2236"/>
    </row>
    <row r="2237">
      <c r="A2237"/>
    </row>
    <row r="2238">
      <c r="A2238"/>
    </row>
    <row r="2239">
      <c r="A2239"/>
    </row>
    <row r="2240">
      <c r="A2240"/>
    </row>
    <row r="2241">
      <c r="A2241"/>
    </row>
    <row r="2242">
      <c r="A2242"/>
    </row>
    <row r="2243">
      <c r="A2243"/>
    </row>
    <row r="2244">
      <c r="A2244"/>
    </row>
    <row r="2245">
      <c r="A2245"/>
    </row>
    <row r="2246">
      <c r="A2246"/>
    </row>
    <row r="2247">
      <c r="A2247"/>
    </row>
    <row r="2248">
      <c r="A2248"/>
    </row>
    <row r="2249">
      <c r="A2249"/>
    </row>
    <row r="2250">
      <c r="A2250"/>
    </row>
    <row r="2251">
      <c r="A2251"/>
    </row>
    <row r="2252">
      <c r="A2252"/>
    </row>
    <row r="2253">
      <c r="A2253"/>
    </row>
    <row r="2254">
      <c r="A2254"/>
    </row>
    <row r="2255">
      <c r="A2255"/>
    </row>
    <row r="2256">
      <c r="A2256"/>
    </row>
    <row r="2257">
      <c r="A2257"/>
    </row>
    <row r="2258">
      <c r="A2258"/>
    </row>
    <row r="2259">
      <c r="A2259"/>
    </row>
    <row r="2260">
      <c r="A2260"/>
    </row>
    <row r="2261">
      <c r="A2261"/>
    </row>
    <row r="2262">
      <c r="A2262"/>
    </row>
    <row r="2263">
      <c r="A2263"/>
    </row>
    <row r="2264">
      <c r="A2264"/>
    </row>
    <row r="2265">
      <c r="A2265"/>
    </row>
    <row r="2266">
      <c r="A2266"/>
    </row>
    <row r="2267">
      <c r="A2267"/>
    </row>
    <row r="2268">
      <c r="A2268"/>
    </row>
    <row r="2269">
      <c r="A2269"/>
    </row>
    <row r="2270">
      <c r="A2270"/>
    </row>
    <row r="2271">
      <c r="A2271"/>
    </row>
    <row r="2272">
      <c r="A2272"/>
    </row>
    <row r="2273">
      <c r="A2273"/>
    </row>
    <row r="2274">
      <c r="A2274"/>
    </row>
    <row r="2275">
      <c r="A2275"/>
    </row>
    <row r="2276">
      <c r="A2276"/>
    </row>
    <row r="2277">
      <c r="A2277"/>
    </row>
    <row r="2278">
      <c r="A2278"/>
    </row>
    <row r="2279">
      <c r="A2279"/>
    </row>
    <row r="2280">
      <c r="A2280"/>
    </row>
    <row r="2281">
      <c r="A2281"/>
    </row>
    <row r="2282">
      <c r="A2282"/>
    </row>
    <row r="2283">
      <c r="A2283"/>
    </row>
    <row r="2284">
      <c r="A2284"/>
    </row>
    <row r="2285">
      <c r="A2285"/>
    </row>
    <row r="2286">
      <c r="A2286"/>
    </row>
    <row r="2287">
      <c r="A2287"/>
    </row>
    <row r="2288">
      <c r="A2288"/>
    </row>
    <row r="2289">
      <c r="A2289"/>
    </row>
    <row r="2290">
      <c r="A2290"/>
    </row>
    <row r="2291">
      <c r="A2291"/>
    </row>
    <row r="2292">
      <c r="A2292"/>
    </row>
    <row r="2293">
      <c r="A2293"/>
    </row>
    <row r="2294">
      <c r="A2294"/>
    </row>
    <row r="2295">
      <c r="A2295"/>
    </row>
    <row r="2296">
      <c r="A2296"/>
    </row>
    <row r="2297">
      <c r="A2297"/>
    </row>
    <row r="2298">
      <c r="A2298"/>
    </row>
    <row r="2299">
      <c r="A2299"/>
    </row>
    <row r="2300">
      <c r="A2300"/>
    </row>
    <row r="2301">
      <c r="A2301"/>
    </row>
    <row r="2302">
      <c r="A2302"/>
    </row>
    <row r="2303">
      <c r="A2303"/>
    </row>
    <row r="2304">
      <c r="A2304"/>
    </row>
    <row r="2305">
      <c r="A2305"/>
    </row>
    <row r="2306">
      <c r="A2306"/>
    </row>
    <row r="2307">
      <c r="A2307"/>
    </row>
    <row r="2308">
      <c r="A2308"/>
    </row>
    <row r="2309">
      <c r="A2309"/>
    </row>
    <row r="2310">
      <c r="A2310"/>
    </row>
    <row r="2311">
      <c r="A2311"/>
    </row>
    <row r="2312">
      <c r="A2312"/>
    </row>
    <row r="2313">
      <c r="A2313"/>
    </row>
    <row r="2314">
      <c r="A2314"/>
    </row>
    <row r="2315">
      <c r="A2315"/>
    </row>
    <row r="2316">
      <c r="A2316"/>
    </row>
    <row r="2317">
      <c r="A2317"/>
    </row>
    <row r="2318">
      <c r="A2318"/>
    </row>
    <row r="2319">
      <c r="A2319"/>
    </row>
    <row r="2320">
      <c r="A2320"/>
    </row>
    <row r="2321">
      <c r="A2321"/>
    </row>
    <row r="2322">
      <c r="A2322"/>
    </row>
    <row r="2323">
      <c r="A2323"/>
    </row>
    <row r="2324">
      <c r="A2324"/>
    </row>
    <row r="2325">
      <c r="A2325"/>
    </row>
    <row r="2326">
      <c r="A2326"/>
    </row>
    <row r="2327">
      <c r="A2327"/>
    </row>
    <row r="2328">
      <c r="A2328"/>
    </row>
    <row r="2329">
      <c r="A2329"/>
    </row>
    <row r="2330">
      <c r="A2330"/>
    </row>
    <row r="2331">
      <c r="A2331"/>
    </row>
    <row r="2332">
      <c r="A2332"/>
    </row>
    <row r="2333">
      <c r="A2333"/>
    </row>
    <row r="2334">
      <c r="A2334"/>
    </row>
    <row r="2335">
      <c r="A2335"/>
    </row>
    <row r="2336">
      <c r="A2336"/>
    </row>
    <row r="2337">
      <c r="A2337"/>
    </row>
    <row r="2338">
      <c r="A2338"/>
    </row>
    <row r="2339">
      <c r="A2339"/>
    </row>
    <row r="2340">
      <c r="A2340"/>
    </row>
    <row r="2341">
      <c r="A2341"/>
    </row>
    <row r="2342">
      <c r="A2342"/>
    </row>
    <row r="2343">
      <c r="A2343"/>
    </row>
    <row r="2344">
      <c r="A2344"/>
    </row>
    <row r="2345">
      <c r="A2345"/>
    </row>
    <row r="2346">
      <c r="A2346"/>
    </row>
    <row r="2347">
      <c r="A2347"/>
    </row>
    <row r="2348">
      <c r="A2348"/>
    </row>
    <row r="2349">
      <c r="A2349"/>
    </row>
    <row r="2350">
      <c r="A2350"/>
    </row>
    <row r="2351">
      <c r="A2351"/>
    </row>
    <row r="2352">
      <c r="A2352"/>
    </row>
    <row r="2353">
      <c r="A2353"/>
    </row>
    <row r="2354">
      <c r="A2354"/>
    </row>
    <row r="2355">
      <c r="A2355"/>
    </row>
    <row r="2356">
      <c r="A2356"/>
    </row>
    <row r="2357">
      <c r="A2357"/>
    </row>
    <row r="2358">
      <c r="A2358"/>
    </row>
    <row r="2359">
      <c r="A2359"/>
    </row>
    <row r="2360">
      <c r="A2360"/>
    </row>
    <row r="2361">
      <c r="A2361"/>
    </row>
    <row r="2362">
      <c r="A2362"/>
    </row>
    <row r="2363">
      <c r="A2363"/>
    </row>
    <row r="2364">
      <c r="A2364"/>
    </row>
    <row r="2365">
      <c r="A2365"/>
    </row>
    <row r="2366">
      <c r="A2366"/>
    </row>
    <row r="2367">
      <c r="A2367"/>
    </row>
    <row r="2368">
      <c r="A2368"/>
    </row>
    <row r="2369">
      <c r="A2369"/>
    </row>
    <row r="2370">
      <c r="A2370"/>
    </row>
    <row r="2371">
      <c r="A2371"/>
    </row>
    <row r="2372">
      <c r="A2372"/>
    </row>
    <row r="2373">
      <c r="A2373"/>
    </row>
    <row r="2374">
      <c r="A2374"/>
    </row>
    <row r="2375">
      <c r="A2375"/>
    </row>
    <row r="2376">
      <c r="A2376"/>
    </row>
    <row r="2377">
      <c r="A2377"/>
    </row>
    <row r="2378">
      <c r="A2378"/>
    </row>
    <row r="2379">
      <c r="A2379"/>
    </row>
    <row r="2380">
      <c r="A2380"/>
    </row>
    <row r="2381">
      <c r="A2381"/>
    </row>
    <row r="2382">
      <c r="A2382"/>
    </row>
    <row r="2383">
      <c r="A2383"/>
    </row>
    <row r="2384">
      <c r="A2384"/>
    </row>
    <row r="2385">
      <c r="A2385"/>
    </row>
    <row r="2386">
      <c r="A2386"/>
    </row>
    <row r="2387">
      <c r="A2387"/>
    </row>
    <row r="2388">
      <c r="A2388"/>
    </row>
    <row r="2389">
      <c r="A2389"/>
    </row>
    <row r="2390">
      <c r="A2390"/>
    </row>
    <row r="2391">
      <c r="A2391"/>
    </row>
    <row r="2392">
      <c r="A2392"/>
    </row>
    <row r="2393">
      <c r="A2393"/>
    </row>
    <row r="2394">
      <c r="A2394"/>
    </row>
    <row r="2395">
      <c r="A2395"/>
    </row>
    <row r="2396">
      <c r="A2396"/>
    </row>
    <row r="2397">
      <c r="A2397"/>
    </row>
    <row r="2398">
      <c r="A2398"/>
    </row>
    <row r="2399">
      <c r="A2399"/>
    </row>
    <row r="2400">
      <c r="A2400"/>
    </row>
    <row r="2401">
      <c r="A2401"/>
    </row>
    <row r="2402">
      <c r="A2402"/>
    </row>
    <row r="2403">
      <c r="A2403"/>
    </row>
    <row r="2404">
      <c r="A2404"/>
    </row>
    <row r="2405">
      <c r="A2405"/>
    </row>
    <row r="2406">
      <c r="A2406"/>
    </row>
    <row r="2407">
      <c r="A2407"/>
    </row>
    <row r="2408">
      <c r="A2408"/>
    </row>
    <row r="2409">
      <c r="A2409"/>
    </row>
    <row r="2410">
      <c r="A2410"/>
    </row>
    <row r="2411">
      <c r="A2411"/>
    </row>
    <row r="2412">
      <c r="A2412"/>
    </row>
    <row r="2413">
      <c r="A2413"/>
    </row>
    <row r="2414">
      <c r="A2414"/>
    </row>
    <row r="2415">
      <c r="A2415"/>
    </row>
    <row r="2416">
      <c r="A2416"/>
    </row>
    <row r="2417">
      <c r="A2417"/>
    </row>
    <row r="2418">
      <c r="A2418"/>
    </row>
    <row r="2419">
      <c r="A2419"/>
    </row>
    <row r="2420">
      <c r="A2420"/>
    </row>
    <row r="2421">
      <c r="A2421"/>
    </row>
    <row r="2422">
      <c r="A2422"/>
    </row>
    <row r="2423">
      <c r="A2423"/>
    </row>
    <row r="2424">
      <c r="A2424"/>
    </row>
    <row r="2425">
      <c r="A2425"/>
    </row>
    <row r="2426">
      <c r="A2426"/>
    </row>
    <row r="2427">
      <c r="A2427"/>
    </row>
    <row r="2428">
      <c r="A2428"/>
    </row>
    <row r="2429">
      <c r="A2429"/>
    </row>
    <row r="2430">
      <c r="A2430"/>
    </row>
    <row r="2431">
      <c r="A2431"/>
    </row>
    <row r="2432">
      <c r="A2432"/>
    </row>
    <row r="2433">
      <c r="A2433"/>
    </row>
    <row r="2434">
      <c r="A2434"/>
    </row>
    <row r="2435">
      <c r="A2435"/>
    </row>
    <row r="2436">
      <c r="A2436"/>
    </row>
    <row r="2437">
      <c r="A2437"/>
    </row>
    <row r="2438">
      <c r="A2438"/>
    </row>
    <row r="2439">
      <c r="A2439"/>
    </row>
    <row r="2440">
      <c r="A2440"/>
    </row>
    <row r="2441">
      <c r="A2441"/>
    </row>
    <row r="2442">
      <c r="A2442"/>
    </row>
    <row r="2443">
      <c r="A2443"/>
    </row>
    <row r="2444">
      <c r="A2444"/>
    </row>
    <row r="2445">
      <c r="A2445"/>
    </row>
    <row r="2446">
      <c r="A2446"/>
    </row>
    <row r="2447">
      <c r="A2447"/>
    </row>
    <row r="2448">
      <c r="A2448"/>
    </row>
    <row r="2449">
      <c r="A2449"/>
    </row>
    <row r="2450">
      <c r="A2450"/>
    </row>
    <row r="2451">
      <c r="A2451"/>
    </row>
    <row r="2452">
      <c r="A2452"/>
    </row>
    <row r="2453">
      <c r="A2453"/>
    </row>
    <row r="2454">
      <c r="A2454"/>
    </row>
    <row r="2455">
      <c r="A2455"/>
    </row>
    <row r="2456">
      <c r="A2456"/>
    </row>
    <row r="2457">
      <c r="A2457"/>
    </row>
    <row r="2458">
      <c r="A2458"/>
    </row>
    <row r="2459">
      <c r="A2459"/>
    </row>
    <row r="2460">
      <c r="A2460"/>
    </row>
    <row r="2461">
      <c r="A2461"/>
    </row>
    <row r="2462">
      <c r="A2462"/>
    </row>
    <row r="2463">
      <c r="A2463"/>
    </row>
    <row r="2464">
      <c r="A2464"/>
    </row>
    <row r="2465">
      <c r="A2465"/>
    </row>
    <row r="2466">
      <c r="A2466"/>
    </row>
    <row r="2467">
      <c r="A2467"/>
    </row>
    <row r="2468">
      <c r="A2468"/>
    </row>
    <row r="2469">
      <c r="A2469"/>
    </row>
    <row r="2470">
      <c r="A2470"/>
    </row>
    <row r="2471">
      <c r="A2471"/>
    </row>
    <row r="2472">
      <c r="A2472"/>
    </row>
    <row r="2473">
      <c r="A2473"/>
    </row>
    <row r="2474">
      <c r="A2474"/>
    </row>
    <row r="2475">
      <c r="A2475"/>
    </row>
    <row r="2476">
      <c r="A2476"/>
    </row>
    <row r="2477">
      <c r="A2477"/>
    </row>
    <row r="2478">
      <c r="A2478"/>
    </row>
    <row r="2479">
      <c r="A2479"/>
    </row>
    <row r="2480">
      <c r="A2480"/>
    </row>
    <row r="2481">
      <c r="A2481"/>
    </row>
    <row r="2482">
      <c r="A2482"/>
    </row>
    <row r="2483">
      <c r="A2483"/>
    </row>
    <row r="2484">
      <c r="A2484"/>
    </row>
    <row r="2485">
      <c r="A2485"/>
    </row>
    <row r="2486">
      <c r="A2486"/>
    </row>
    <row r="2487">
      <c r="A2487"/>
    </row>
    <row r="2488">
      <c r="A2488"/>
    </row>
    <row r="2489">
      <c r="A2489"/>
    </row>
    <row r="2490">
      <c r="A2490"/>
    </row>
    <row r="2491">
      <c r="A2491"/>
    </row>
    <row r="2492">
      <c r="A2492"/>
    </row>
    <row r="2493">
      <c r="A2493"/>
    </row>
    <row r="2494">
      <c r="A2494"/>
    </row>
    <row r="2495">
      <c r="A2495"/>
    </row>
    <row r="2496">
      <c r="A2496"/>
    </row>
    <row r="2497">
      <c r="A2497"/>
    </row>
    <row r="2498">
      <c r="A2498"/>
    </row>
    <row r="2499">
      <c r="A2499"/>
    </row>
    <row r="2500">
      <c r="A2500"/>
    </row>
    <row r="2501">
      <c r="A2501"/>
    </row>
    <row r="2502">
      <c r="A2502"/>
    </row>
    <row r="2503">
      <c r="A2503"/>
    </row>
    <row r="2504">
      <c r="A2504"/>
    </row>
    <row r="2505">
      <c r="A2505"/>
    </row>
    <row r="2506">
      <c r="A2506"/>
    </row>
    <row r="2507">
      <c r="A2507"/>
    </row>
    <row r="2508">
      <c r="A2508"/>
    </row>
    <row r="2509">
      <c r="A2509"/>
    </row>
    <row r="2510">
      <c r="A2510"/>
    </row>
    <row r="2511">
      <c r="A2511"/>
    </row>
    <row r="2512">
      <c r="A2512"/>
    </row>
    <row r="2513">
      <c r="A2513"/>
    </row>
    <row r="2514">
      <c r="A2514"/>
    </row>
    <row r="2515">
      <c r="A2515"/>
    </row>
    <row r="2516">
      <c r="A2516"/>
    </row>
    <row r="2517">
      <c r="A2517"/>
    </row>
    <row r="2518">
      <c r="A2518"/>
    </row>
    <row r="2519">
      <c r="A2519"/>
    </row>
    <row r="2520">
      <c r="A2520"/>
    </row>
    <row r="2521">
      <c r="A2521"/>
    </row>
    <row r="2522">
      <c r="A2522"/>
    </row>
    <row r="2523">
      <c r="A2523"/>
    </row>
    <row r="2524">
      <c r="A2524"/>
    </row>
    <row r="2525">
      <c r="A2525"/>
    </row>
    <row r="2526">
      <c r="A2526"/>
    </row>
    <row r="2527">
      <c r="A2527"/>
    </row>
    <row r="2528">
      <c r="A2528"/>
    </row>
    <row r="2529">
      <c r="A2529"/>
    </row>
    <row r="2530">
      <c r="A2530"/>
    </row>
    <row r="2531">
      <c r="A2531"/>
    </row>
    <row r="2532">
      <c r="A2532"/>
    </row>
    <row r="2533">
      <c r="A2533"/>
    </row>
    <row r="2534">
      <c r="A2534"/>
    </row>
    <row r="2535">
      <c r="A2535"/>
    </row>
    <row r="2536">
      <c r="A2536"/>
    </row>
    <row r="2537">
      <c r="A2537"/>
    </row>
    <row r="2538">
      <c r="A2538"/>
    </row>
    <row r="2539">
      <c r="A2539"/>
    </row>
    <row r="2540">
      <c r="A2540"/>
    </row>
    <row r="2541">
      <c r="A2541"/>
    </row>
    <row r="2542">
      <c r="A2542"/>
    </row>
    <row r="2543">
      <c r="A2543"/>
    </row>
    <row r="2544">
      <c r="A2544"/>
    </row>
    <row r="2545">
      <c r="A2545"/>
    </row>
    <row r="2546">
      <c r="A2546"/>
    </row>
    <row r="2547">
      <c r="A2547"/>
    </row>
    <row r="2548">
      <c r="A2548"/>
    </row>
    <row r="2549">
      <c r="A2549"/>
    </row>
    <row r="2550">
      <c r="A2550"/>
    </row>
    <row r="2551">
      <c r="A2551"/>
    </row>
    <row r="2552">
      <c r="A2552"/>
    </row>
    <row r="2553">
      <c r="A2553"/>
    </row>
    <row r="2554">
      <c r="A2554"/>
    </row>
    <row r="2555">
      <c r="A2555"/>
    </row>
    <row r="2556">
      <c r="A2556"/>
    </row>
    <row r="2557">
      <c r="A2557"/>
    </row>
    <row r="2558">
      <c r="A2558"/>
    </row>
    <row r="2559">
      <c r="A2559"/>
    </row>
    <row r="2560">
      <c r="A2560"/>
    </row>
    <row r="2561">
      <c r="A2561"/>
    </row>
    <row r="2562">
      <c r="A2562"/>
    </row>
    <row r="2563">
      <c r="A2563"/>
    </row>
    <row r="2564">
      <c r="A2564"/>
    </row>
    <row r="2565">
      <c r="A2565"/>
    </row>
    <row r="2566">
      <c r="A2566"/>
    </row>
    <row r="2567">
      <c r="A2567"/>
    </row>
    <row r="2568">
      <c r="A2568"/>
    </row>
    <row r="2569">
      <c r="A2569"/>
    </row>
    <row r="2570">
      <c r="A2570"/>
    </row>
    <row r="2571">
      <c r="A2571"/>
    </row>
    <row r="2572">
      <c r="A2572"/>
    </row>
    <row r="2573">
      <c r="A2573"/>
    </row>
    <row r="2574">
      <c r="A2574"/>
    </row>
    <row r="2575">
      <c r="A2575"/>
    </row>
    <row r="2576">
      <c r="A2576"/>
    </row>
    <row r="2577">
      <c r="A2577"/>
    </row>
    <row r="2578">
      <c r="A2578"/>
    </row>
    <row r="2579">
      <c r="A2579"/>
    </row>
    <row r="2580">
      <c r="A2580"/>
    </row>
    <row r="2581">
      <c r="A2581"/>
    </row>
    <row r="2582">
      <c r="A2582"/>
    </row>
    <row r="2583">
      <c r="A2583"/>
    </row>
    <row r="2584">
      <c r="A2584"/>
    </row>
    <row r="2585">
      <c r="A2585"/>
    </row>
    <row r="2586">
      <c r="A2586"/>
    </row>
    <row r="2587">
      <c r="A2587"/>
    </row>
    <row r="2588">
      <c r="A2588"/>
    </row>
    <row r="2589">
      <c r="A2589"/>
    </row>
    <row r="2590">
      <c r="A2590"/>
    </row>
    <row r="2591">
      <c r="A2591"/>
    </row>
    <row r="2592">
      <c r="A2592"/>
    </row>
    <row r="2593">
      <c r="A2593"/>
    </row>
    <row r="2594">
      <c r="A2594"/>
    </row>
    <row r="2595">
      <c r="A2595"/>
    </row>
    <row r="2596">
      <c r="A2596"/>
    </row>
    <row r="2597">
      <c r="A2597"/>
    </row>
    <row r="2598">
      <c r="A2598"/>
    </row>
    <row r="2599">
      <c r="A2599"/>
    </row>
    <row r="2600">
      <c r="A2600"/>
    </row>
    <row r="2601">
      <c r="A2601"/>
    </row>
    <row r="2602">
      <c r="A2602"/>
    </row>
    <row r="2603">
      <c r="A2603"/>
    </row>
    <row r="2604">
      <c r="A2604"/>
    </row>
    <row r="2605">
      <c r="A2605"/>
    </row>
    <row r="2606">
      <c r="A2606"/>
    </row>
    <row r="2607">
      <c r="A2607"/>
    </row>
    <row r="2608">
      <c r="A2608"/>
    </row>
    <row r="2609">
      <c r="A2609"/>
    </row>
    <row r="2610">
      <c r="A2610"/>
    </row>
    <row r="2611">
      <c r="A2611"/>
    </row>
    <row r="2612">
      <c r="A2612"/>
    </row>
    <row r="2613">
      <c r="A2613"/>
    </row>
    <row r="2614">
      <c r="A2614"/>
    </row>
    <row r="2615">
      <c r="A2615"/>
    </row>
    <row r="2616">
      <c r="A2616"/>
    </row>
    <row r="2617">
      <c r="A2617"/>
    </row>
    <row r="2618">
      <c r="A2618"/>
    </row>
    <row r="2619">
      <c r="A2619"/>
    </row>
    <row r="2620">
      <c r="A2620"/>
    </row>
    <row r="2621">
      <c r="A2621"/>
    </row>
    <row r="2622">
      <c r="A2622"/>
    </row>
    <row r="2623">
      <c r="A2623"/>
    </row>
    <row r="2624">
      <c r="A2624"/>
    </row>
    <row r="2625">
      <c r="A2625"/>
    </row>
    <row r="2626">
      <c r="A2626"/>
    </row>
    <row r="2627">
      <c r="A2627"/>
    </row>
    <row r="2628">
      <c r="A2628"/>
    </row>
    <row r="2629">
      <c r="A2629"/>
    </row>
    <row r="2630">
      <c r="A2630"/>
    </row>
    <row r="2631">
      <c r="A2631"/>
    </row>
    <row r="2632">
      <c r="A2632"/>
    </row>
    <row r="2633">
      <c r="A2633"/>
    </row>
    <row r="2634">
      <c r="A2634"/>
    </row>
    <row r="2635">
      <c r="A2635"/>
    </row>
    <row r="2636">
      <c r="A2636"/>
    </row>
    <row r="2637">
      <c r="A2637"/>
    </row>
    <row r="2638">
      <c r="A2638"/>
    </row>
    <row r="2639">
      <c r="A2639"/>
    </row>
    <row r="2640">
      <c r="A2640"/>
    </row>
    <row r="2641">
      <c r="A2641"/>
    </row>
    <row r="2642">
      <c r="A2642"/>
    </row>
    <row r="2643">
      <c r="A2643"/>
    </row>
    <row r="2644">
      <c r="A2644"/>
    </row>
    <row r="2645">
      <c r="A2645"/>
    </row>
    <row r="2646">
      <c r="A2646"/>
    </row>
    <row r="2647">
      <c r="A2647"/>
    </row>
    <row r="2648">
      <c r="A2648"/>
    </row>
    <row r="2649">
      <c r="A2649"/>
    </row>
    <row r="2650">
      <c r="A2650"/>
    </row>
    <row r="2651">
      <c r="A2651"/>
    </row>
    <row r="2652">
      <c r="A2652"/>
    </row>
    <row r="2653">
      <c r="A2653"/>
    </row>
    <row r="2654">
      <c r="A2654"/>
    </row>
    <row r="2655">
      <c r="A2655"/>
    </row>
    <row r="2656">
      <c r="A2656"/>
    </row>
    <row r="2657">
      <c r="A2657"/>
    </row>
    <row r="2658">
      <c r="A2658"/>
    </row>
    <row r="2659">
      <c r="A2659"/>
    </row>
    <row r="2660">
      <c r="A2660"/>
    </row>
    <row r="2661">
      <c r="A2661"/>
    </row>
    <row r="2662">
      <c r="A2662"/>
    </row>
    <row r="2663">
      <c r="A2663"/>
    </row>
    <row r="2664">
      <c r="A2664"/>
    </row>
    <row r="2665">
      <c r="A2665"/>
    </row>
    <row r="2666">
      <c r="A2666"/>
    </row>
    <row r="2667">
      <c r="A2667"/>
    </row>
    <row r="2668">
      <c r="A2668"/>
    </row>
    <row r="2669">
      <c r="A2669"/>
    </row>
    <row r="2670">
      <c r="A2670"/>
    </row>
    <row r="2671">
      <c r="A2671"/>
    </row>
    <row r="2672">
      <c r="A2672"/>
    </row>
    <row r="2673">
      <c r="A2673"/>
    </row>
    <row r="2674">
      <c r="A2674"/>
    </row>
    <row r="2675">
      <c r="A2675"/>
    </row>
    <row r="2676">
      <c r="A2676"/>
    </row>
    <row r="2677">
      <c r="A2677"/>
    </row>
    <row r="2678">
      <c r="A2678"/>
    </row>
    <row r="2679">
      <c r="A2679"/>
    </row>
    <row r="2680">
      <c r="A2680"/>
    </row>
    <row r="2681">
      <c r="A2681"/>
    </row>
    <row r="2682">
      <c r="A2682"/>
    </row>
    <row r="2683">
      <c r="A2683"/>
    </row>
    <row r="2684">
      <c r="A2684"/>
    </row>
    <row r="2685">
      <c r="A2685"/>
    </row>
    <row r="2686">
      <c r="A2686"/>
    </row>
    <row r="2687">
      <c r="A2687"/>
    </row>
    <row r="2688">
      <c r="A2688"/>
    </row>
    <row r="2689">
      <c r="A2689"/>
    </row>
    <row r="2690">
      <c r="A2690"/>
    </row>
    <row r="2691">
      <c r="A2691"/>
    </row>
    <row r="2692">
      <c r="A2692"/>
    </row>
    <row r="2693">
      <c r="A2693"/>
    </row>
    <row r="2694">
      <c r="A2694"/>
    </row>
    <row r="2695">
      <c r="A2695"/>
    </row>
    <row r="2696">
      <c r="A2696"/>
    </row>
    <row r="2697">
      <c r="A2697"/>
    </row>
    <row r="2698">
      <c r="A2698"/>
    </row>
    <row r="2699">
      <c r="A2699"/>
    </row>
    <row r="2700">
      <c r="A2700"/>
    </row>
    <row r="2701">
      <c r="A2701"/>
    </row>
    <row r="2702">
      <c r="A2702"/>
    </row>
    <row r="2703">
      <c r="A2703"/>
    </row>
    <row r="2704">
      <c r="A2704"/>
    </row>
    <row r="2705">
      <c r="A2705"/>
    </row>
    <row r="2706">
      <c r="A2706"/>
    </row>
    <row r="2707">
      <c r="A2707"/>
    </row>
    <row r="2708">
      <c r="A2708"/>
    </row>
    <row r="2709">
      <c r="A2709"/>
    </row>
    <row r="2710">
      <c r="A2710"/>
    </row>
    <row r="2711">
      <c r="A2711"/>
    </row>
    <row r="2712">
      <c r="A2712"/>
    </row>
    <row r="2713">
      <c r="A2713"/>
    </row>
    <row r="2714">
      <c r="A2714"/>
    </row>
    <row r="2715">
      <c r="A2715"/>
    </row>
    <row r="2716">
      <c r="A2716"/>
    </row>
    <row r="2717">
      <c r="A2717"/>
    </row>
    <row r="2718">
      <c r="A2718"/>
    </row>
    <row r="2719">
      <c r="A2719"/>
    </row>
    <row r="2720">
      <c r="A2720"/>
    </row>
    <row r="2721">
      <c r="A2721"/>
    </row>
    <row r="2722">
      <c r="A2722"/>
    </row>
    <row r="2723">
      <c r="A2723"/>
    </row>
    <row r="2724">
      <c r="A2724"/>
    </row>
    <row r="2725">
      <c r="A2725"/>
    </row>
    <row r="2726">
      <c r="A2726"/>
    </row>
    <row r="2727">
      <c r="A2727"/>
    </row>
    <row r="2728">
      <c r="A2728"/>
    </row>
    <row r="2729">
      <c r="A2729"/>
    </row>
    <row r="2730">
      <c r="A2730"/>
    </row>
    <row r="2731">
      <c r="A2731"/>
    </row>
    <row r="2732">
      <c r="A2732"/>
    </row>
    <row r="2733">
      <c r="A2733"/>
    </row>
    <row r="2734">
      <c r="A2734"/>
    </row>
    <row r="2735">
      <c r="A2735"/>
    </row>
    <row r="2736">
      <c r="A2736"/>
    </row>
    <row r="2737">
      <c r="A2737"/>
    </row>
    <row r="2738">
      <c r="A2738"/>
    </row>
    <row r="2739">
      <c r="A2739"/>
    </row>
    <row r="2740">
      <c r="A2740"/>
    </row>
    <row r="2741">
      <c r="A2741"/>
    </row>
    <row r="2742">
      <c r="A2742"/>
    </row>
    <row r="2743">
      <c r="A2743"/>
    </row>
    <row r="2744">
      <c r="A2744"/>
    </row>
    <row r="2745">
      <c r="A2745"/>
    </row>
    <row r="2746">
      <c r="A2746"/>
    </row>
    <row r="2747">
      <c r="A2747"/>
    </row>
    <row r="2748">
      <c r="A2748"/>
    </row>
    <row r="2749">
      <c r="A2749"/>
    </row>
    <row r="2750">
      <c r="A2750"/>
    </row>
    <row r="2751">
      <c r="A2751"/>
    </row>
    <row r="2752">
      <c r="A2752"/>
    </row>
    <row r="2753">
      <c r="A2753"/>
    </row>
    <row r="2754">
      <c r="A2754"/>
    </row>
    <row r="2755">
      <c r="A2755"/>
    </row>
    <row r="2756">
      <c r="A2756"/>
    </row>
    <row r="2757">
      <c r="A2757"/>
    </row>
    <row r="2758">
      <c r="A2758"/>
    </row>
    <row r="2759">
      <c r="A2759"/>
    </row>
    <row r="2760">
      <c r="A2760"/>
    </row>
    <row r="2761">
      <c r="A2761"/>
    </row>
    <row r="2762">
      <c r="A2762"/>
    </row>
    <row r="2763">
      <c r="A2763"/>
    </row>
    <row r="2764">
      <c r="A2764"/>
    </row>
    <row r="2765">
      <c r="A2765"/>
    </row>
    <row r="2766">
      <c r="A2766"/>
    </row>
    <row r="2767">
      <c r="A2767"/>
    </row>
    <row r="2768">
      <c r="A2768"/>
    </row>
    <row r="2769">
      <c r="A2769"/>
    </row>
    <row r="2770">
      <c r="A2770"/>
    </row>
    <row r="2771">
      <c r="A2771"/>
    </row>
    <row r="2772">
      <c r="A2772"/>
    </row>
    <row r="2773">
      <c r="A2773"/>
    </row>
    <row r="2774">
      <c r="A2774"/>
    </row>
    <row r="2775">
      <c r="A2775"/>
    </row>
    <row r="2776">
      <c r="A2776"/>
    </row>
    <row r="2777">
      <c r="A2777"/>
    </row>
    <row r="2778">
      <c r="A2778"/>
    </row>
    <row r="2779">
      <c r="A2779"/>
    </row>
    <row r="2780">
      <c r="A2780"/>
    </row>
    <row r="2781">
      <c r="A2781"/>
    </row>
    <row r="2782">
      <c r="A2782"/>
    </row>
    <row r="2783">
      <c r="A2783"/>
    </row>
    <row r="2784">
      <c r="A2784"/>
    </row>
    <row r="2785">
      <c r="A2785"/>
    </row>
    <row r="2786">
      <c r="A2786"/>
    </row>
    <row r="2787">
      <c r="A2787"/>
    </row>
    <row r="2788">
      <c r="A2788"/>
    </row>
    <row r="2789">
      <c r="A2789"/>
    </row>
    <row r="2790">
      <c r="A2790"/>
    </row>
    <row r="2791">
      <c r="A2791"/>
    </row>
    <row r="2792">
      <c r="A2792"/>
    </row>
    <row r="2793">
      <c r="A2793"/>
    </row>
    <row r="2794">
      <c r="A2794"/>
    </row>
    <row r="2795">
      <c r="A2795"/>
    </row>
    <row r="2796">
      <c r="A2796"/>
    </row>
    <row r="2797">
      <c r="A2797"/>
    </row>
    <row r="2798">
      <c r="A2798"/>
    </row>
    <row r="2799">
      <c r="A2799"/>
    </row>
    <row r="2800">
      <c r="A2800"/>
    </row>
    <row r="2801">
      <c r="A2801"/>
    </row>
    <row r="2802">
      <c r="A2802"/>
    </row>
    <row r="2803">
      <c r="A2803"/>
    </row>
    <row r="2804">
      <c r="A2804"/>
    </row>
    <row r="2805">
      <c r="A2805"/>
    </row>
    <row r="2806">
      <c r="A2806"/>
    </row>
    <row r="2807">
      <c r="A2807"/>
    </row>
    <row r="2808">
      <c r="A2808"/>
    </row>
    <row r="2809">
      <c r="A2809"/>
    </row>
    <row r="2810">
      <c r="A2810"/>
    </row>
    <row r="2811">
      <c r="A2811"/>
    </row>
    <row r="2812">
      <c r="A2812"/>
    </row>
    <row r="2813">
      <c r="A2813"/>
    </row>
    <row r="2814">
      <c r="A2814"/>
    </row>
    <row r="2815">
      <c r="A2815"/>
    </row>
    <row r="2816">
      <c r="A2816"/>
    </row>
    <row r="2817">
      <c r="A2817"/>
    </row>
    <row r="2818">
      <c r="A2818"/>
    </row>
    <row r="2819">
      <c r="A2819"/>
    </row>
    <row r="2820">
      <c r="A2820"/>
    </row>
    <row r="2821">
      <c r="A2821"/>
    </row>
    <row r="2822">
      <c r="A2822"/>
    </row>
    <row r="2823">
      <c r="A2823"/>
    </row>
    <row r="2824">
      <c r="A2824"/>
    </row>
    <row r="2825">
      <c r="A2825"/>
    </row>
    <row r="2826">
      <c r="A2826"/>
    </row>
    <row r="2827">
      <c r="A2827"/>
    </row>
    <row r="2828">
      <c r="A2828"/>
    </row>
    <row r="2829">
      <c r="A2829"/>
    </row>
    <row r="2830">
      <c r="A2830"/>
    </row>
    <row r="2831">
      <c r="A2831"/>
    </row>
    <row r="2832">
      <c r="A2832"/>
    </row>
    <row r="2833">
      <c r="A2833"/>
    </row>
    <row r="2834">
      <c r="A2834"/>
    </row>
    <row r="2835">
      <c r="A2835"/>
    </row>
    <row r="2836">
      <c r="A2836"/>
    </row>
    <row r="2837">
      <c r="A2837"/>
    </row>
    <row r="2838">
      <c r="A2838"/>
    </row>
    <row r="2839">
      <c r="A2839"/>
    </row>
    <row r="2840">
      <c r="A2840"/>
    </row>
    <row r="2841">
      <c r="A2841"/>
    </row>
    <row r="2842">
      <c r="A2842"/>
    </row>
    <row r="2843">
      <c r="A2843"/>
    </row>
    <row r="2844">
      <c r="A2844"/>
    </row>
    <row r="2845">
      <c r="A2845"/>
    </row>
    <row r="2846">
      <c r="A2846"/>
    </row>
    <row r="2847">
      <c r="A2847"/>
    </row>
    <row r="2848">
      <c r="A2848"/>
    </row>
    <row r="2849">
      <c r="A2849"/>
    </row>
    <row r="2850">
      <c r="A2850"/>
    </row>
    <row r="2851">
      <c r="A2851"/>
    </row>
    <row r="2852">
      <c r="A2852"/>
    </row>
    <row r="2853">
      <c r="A2853"/>
    </row>
    <row r="2854">
      <c r="A2854"/>
    </row>
    <row r="2855">
      <c r="A2855"/>
    </row>
    <row r="2856">
      <c r="A2856"/>
    </row>
    <row r="2857">
      <c r="A2857"/>
    </row>
    <row r="2858">
      <c r="A2858"/>
    </row>
    <row r="2859">
      <c r="A2859"/>
    </row>
    <row r="2860">
      <c r="A2860"/>
    </row>
    <row r="2861">
      <c r="A2861"/>
    </row>
    <row r="2862">
      <c r="A2862"/>
    </row>
    <row r="2863">
      <c r="A2863"/>
    </row>
    <row r="2864">
      <c r="A2864"/>
    </row>
    <row r="2865">
      <c r="A2865"/>
    </row>
    <row r="2866">
      <c r="A2866"/>
    </row>
    <row r="2867">
      <c r="A2867"/>
    </row>
    <row r="2868">
      <c r="A2868"/>
    </row>
    <row r="2869">
      <c r="A2869"/>
    </row>
    <row r="2870">
      <c r="A2870"/>
    </row>
    <row r="2871">
      <c r="A2871"/>
    </row>
    <row r="2872">
      <c r="A2872"/>
    </row>
    <row r="2873">
      <c r="A2873"/>
    </row>
    <row r="2874">
      <c r="A2874"/>
    </row>
    <row r="2875">
      <c r="A2875"/>
    </row>
    <row r="2876">
      <c r="A2876"/>
    </row>
    <row r="2877">
      <c r="A2877"/>
    </row>
    <row r="2878">
      <c r="A2878"/>
    </row>
    <row r="2879">
      <c r="A2879"/>
    </row>
    <row r="2880">
      <c r="A2880"/>
    </row>
    <row r="2881">
      <c r="A2881"/>
    </row>
    <row r="2882">
      <c r="A2882"/>
    </row>
    <row r="2883">
      <c r="A2883"/>
    </row>
    <row r="2884">
      <c r="A2884"/>
    </row>
    <row r="2885">
      <c r="A2885"/>
    </row>
    <row r="2886">
      <c r="A2886"/>
    </row>
    <row r="2887">
      <c r="A2887"/>
    </row>
    <row r="2888">
      <c r="A2888"/>
    </row>
    <row r="2889">
      <c r="A2889"/>
    </row>
    <row r="2890">
      <c r="A2890"/>
    </row>
    <row r="2891">
      <c r="A2891"/>
    </row>
    <row r="2892">
      <c r="A2892"/>
    </row>
    <row r="2893">
      <c r="A2893"/>
    </row>
    <row r="2894">
      <c r="A2894"/>
    </row>
    <row r="2895">
      <c r="A2895"/>
    </row>
    <row r="2896">
      <c r="A2896"/>
    </row>
    <row r="2897">
      <c r="A2897"/>
    </row>
    <row r="2898">
      <c r="A2898"/>
    </row>
    <row r="2899">
      <c r="A2899"/>
    </row>
    <row r="2900">
      <c r="A2900"/>
    </row>
    <row r="2901">
      <c r="A2901"/>
    </row>
    <row r="2902">
      <c r="A2902"/>
    </row>
    <row r="2903">
      <c r="A2903"/>
    </row>
    <row r="2904">
      <c r="A2904"/>
    </row>
    <row r="2905">
      <c r="A2905"/>
    </row>
    <row r="2906">
      <c r="A2906"/>
    </row>
    <row r="2907">
      <c r="A2907"/>
    </row>
    <row r="2908">
      <c r="A2908"/>
    </row>
    <row r="2909">
      <c r="A2909"/>
    </row>
    <row r="2910">
      <c r="A2910"/>
    </row>
    <row r="2911">
      <c r="A2911"/>
    </row>
    <row r="2912">
      <c r="A2912"/>
    </row>
    <row r="2913">
      <c r="A2913"/>
    </row>
    <row r="2914">
      <c r="A2914"/>
    </row>
    <row r="2915">
      <c r="A2915"/>
    </row>
    <row r="2916">
      <c r="A2916"/>
    </row>
    <row r="2917">
      <c r="A2917"/>
    </row>
    <row r="2918">
      <c r="A2918"/>
    </row>
    <row r="2919">
      <c r="A2919"/>
    </row>
    <row r="2920">
      <c r="A2920"/>
    </row>
    <row r="2921">
      <c r="A2921"/>
    </row>
    <row r="2922">
      <c r="A2922"/>
    </row>
    <row r="2923">
      <c r="A2923"/>
    </row>
    <row r="2924">
      <c r="A2924"/>
    </row>
    <row r="2925">
      <c r="A2925"/>
    </row>
    <row r="2926">
      <c r="A2926"/>
    </row>
    <row r="2927">
      <c r="A2927"/>
    </row>
    <row r="2928">
      <c r="A2928"/>
    </row>
    <row r="2929">
      <c r="A2929"/>
    </row>
    <row r="2930">
      <c r="A2930"/>
    </row>
    <row r="2931">
      <c r="A2931"/>
    </row>
    <row r="2932">
      <c r="A2932"/>
    </row>
    <row r="2933">
      <c r="A2933"/>
    </row>
    <row r="2934">
      <c r="A2934"/>
    </row>
    <row r="2935">
      <c r="A2935"/>
    </row>
    <row r="2936">
      <c r="A2936"/>
    </row>
    <row r="2937">
      <c r="A2937"/>
    </row>
    <row r="2938">
      <c r="A2938"/>
    </row>
    <row r="2939">
      <c r="A2939"/>
    </row>
    <row r="2940">
      <c r="A2940"/>
    </row>
    <row r="2941">
      <c r="A2941"/>
    </row>
    <row r="2942">
      <c r="A2942"/>
    </row>
    <row r="2943">
      <c r="A2943"/>
    </row>
    <row r="2944">
      <c r="A2944"/>
    </row>
    <row r="2945">
      <c r="A2945"/>
    </row>
    <row r="2946">
      <c r="A2946"/>
    </row>
    <row r="2947">
      <c r="A2947"/>
    </row>
    <row r="2948">
      <c r="A2948"/>
    </row>
    <row r="2949">
      <c r="A2949"/>
    </row>
    <row r="2950">
      <c r="A2950"/>
    </row>
    <row r="2951">
      <c r="A2951"/>
    </row>
    <row r="2952">
      <c r="A2952"/>
    </row>
    <row r="2953">
      <c r="A2953"/>
    </row>
    <row r="2954">
      <c r="A2954"/>
    </row>
    <row r="2955">
      <c r="A2955"/>
    </row>
    <row r="2956">
      <c r="A2956"/>
    </row>
    <row r="2957">
      <c r="A2957"/>
    </row>
    <row r="2958">
      <c r="A2958"/>
    </row>
    <row r="2959">
      <c r="A2959"/>
    </row>
    <row r="2960">
      <c r="A2960"/>
    </row>
    <row r="2961">
      <c r="A2961"/>
    </row>
    <row r="2962">
      <c r="A2962"/>
    </row>
    <row r="2963">
      <c r="A2963"/>
    </row>
    <row r="2964">
      <c r="A2964"/>
    </row>
    <row r="2965">
      <c r="A2965"/>
    </row>
    <row r="2966">
      <c r="A2966"/>
    </row>
    <row r="2967">
      <c r="A2967"/>
    </row>
    <row r="2968">
      <c r="A2968"/>
    </row>
    <row r="2969">
      <c r="A2969"/>
    </row>
    <row r="2970">
      <c r="A2970"/>
    </row>
    <row r="2971">
      <c r="A2971"/>
    </row>
    <row r="2972">
      <c r="A2972"/>
    </row>
    <row r="2973">
      <c r="A2973"/>
    </row>
    <row r="2974">
      <c r="A2974"/>
    </row>
    <row r="2975">
      <c r="A2975"/>
    </row>
    <row r="2976">
      <c r="A2976"/>
    </row>
    <row r="2977">
      <c r="A2977"/>
    </row>
    <row r="2978">
      <c r="A2978"/>
    </row>
    <row r="2979">
      <c r="A2979"/>
    </row>
    <row r="2980">
      <c r="A2980"/>
    </row>
    <row r="2981">
      <c r="A2981"/>
    </row>
    <row r="2982">
      <c r="A2982"/>
    </row>
    <row r="2983">
      <c r="A2983"/>
    </row>
    <row r="2984">
      <c r="A2984"/>
    </row>
    <row r="2985">
      <c r="A2985"/>
    </row>
    <row r="2986">
      <c r="A2986"/>
    </row>
    <row r="2987">
      <c r="A2987"/>
    </row>
    <row r="2988">
      <c r="A2988"/>
    </row>
    <row r="2989">
      <c r="A2989"/>
    </row>
    <row r="2990">
      <c r="A2990"/>
    </row>
    <row r="2991">
      <c r="A2991"/>
    </row>
    <row r="2992">
      <c r="A2992"/>
    </row>
    <row r="2993">
      <c r="A2993"/>
    </row>
    <row r="2994">
      <c r="A2994"/>
    </row>
    <row r="2995">
      <c r="A2995"/>
    </row>
    <row r="2996">
      <c r="A2996"/>
    </row>
    <row r="2997">
      <c r="A2997"/>
    </row>
    <row r="2998">
      <c r="A2998"/>
    </row>
    <row r="2999">
      <c r="A2999"/>
    </row>
    <row r="3000">
      <c r="A3000"/>
    </row>
    <row r="3001">
      <c r="A3001"/>
    </row>
    <row r="3002">
      <c r="A3002"/>
    </row>
    <row r="3003">
      <c r="A3003"/>
    </row>
    <row r="3004">
      <c r="A3004"/>
    </row>
    <row r="3005">
      <c r="A3005"/>
    </row>
    <row r="3006">
      <c r="A3006"/>
    </row>
    <row r="3007">
      <c r="A3007"/>
    </row>
    <row r="3008">
      <c r="A3008"/>
    </row>
    <row r="3009">
      <c r="A3009"/>
    </row>
    <row r="3010">
      <c r="A3010"/>
    </row>
    <row r="3011">
      <c r="A3011"/>
    </row>
    <row r="3012">
      <c r="A3012"/>
    </row>
    <row r="3013">
      <c r="A3013"/>
    </row>
    <row r="3014">
      <c r="A3014"/>
    </row>
    <row r="3015">
      <c r="A3015"/>
    </row>
    <row r="3016">
      <c r="A3016"/>
    </row>
    <row r="3017">
      <c r="A3017"/>
    </row>
    <row r="3018">
      <c r="A3018"/>
    </row>
    <row r="3019">
      <c r="A3019"/>
    </row>
    <row r="3020">
      <c r="A3020"/>
    </row>
    <row r="3021">
      <c r="A3021"/>
    </row>
    <row r="3022">
      <c r="A3022"/>
    </row>
    <row r="3023">
      <c r="A3023"/>
    </row>
    <row r="3024">
      <c r="A3024"/>
    </row>
    <row r="3025">
      <c r="A3025"/>
    </row>
    <row r="3026">
      <c r="A3026"/>
    </row>
    <row r="3027">
      <c r="A3027"/>
    </row>
    <row r="3028">
      <c r="A3028"/>
    </row>
    <row r="3029">
      <c r="A3029"/>
    </row>
    <row r="3030">
      <c r="A3030"/>
    </row>
    <row r="3031">
      <c r="A3031"/>
    </row>
    <row r="3032">
      <c r="A3032"/>
    </row>
    <row r="3033">
      <c r="A3033"/>
    </row>
    <row r="3034">
      <c r="A3034"/>
    </row>
    <row r="3035">
      <c r="A3035"/>
    </row>
    <row r="3036">
      <c r="A3036"/>
    </row>
    <row r="3037">
      <c r="A3037"/>
    </row>
    <row r="3038">
      <c r="A3038"/>
    </row>
    <row r="3039">
      <c r="A3039"/>
    </row>
    <row r="3040">
      <c r="A3040"/>
    </row>
    <row r="3041">
      <c r="A3041"/>
    </row>
    <row r="3042">
      <c r="A3042"/>
    </row>
    <row r="3043">
      <c r="A3043"/>
    </row>
    <row r="3044">
      <c r="A3044"/>
    </row>
    <row r="3045">
      <c r="A3045"/>
    </row>
    <row r="3046">
      <c r="A3046"/>
    </row>
    <row r="3047">
      <c r="A3047"/>
    </row>
    <row r="3048">
      <c r="A3048"/>
    </row>
    <row r="3049">
      <c r="A3049"/>
    </row>
    <row r="3050">
      <c r="A3050"/>
    </row>
    <row r="3051">
      <c r="A3051"/>
    </row>
    <row r="3052">
      <c r="A3052"/>
    </row>
    <row r="3053">
      <c r="A3053"/>
    </row>
    <row r="3054">
      <c r="A3054"/>
    </row>
    <row r="3055">
      <c r="A3055"/>
    </row>
    <row r="3056">
      <c r="A3056"/>
    </row>
    <row r="3057">
      <c r="A3057"/>
    </row>
    <row r="3058">
      <c r="A3058"/>
    </row>
    <row r="3059">
      <c r="A3059"/>
    </row>
    <row r="3060">
      <c r="A3060"/>
    </row>
    <row r="3061">
      <c r="A3061"/>
    </row>
    <row r="3062">
      <c r="A3062"/>
    </row>
    <row r="3063">
      <c r="A3063"/>
    </row>
    <row r="3064">
      <c r="A3064"/>
    </row>
    <row r="3065">
      <c r="A3065"/>
    </row>
    <row r="3066">
      <c r="A3066"/>
    </row>
    <row r="3067">
      <c r="A3067"/>
    </row>
    <row r="3068">
      <c r="A3068"/>
    </row>
    <row r="3069">
      <c r="A3069"/>
    </row>
    <row r="3070">
      <c r="A3070"/>
    </row>
    <row r="3071">
      <c r="A3071"/>
    </row>
    <row r="3072">
      <c r="A3072"/>
    </row>
    <row r="3073">
      <c r="A3073"/>
    </row>
    <row r="3074">
      <c r="A3074"/>
    </row>
    <row r="3075">
      <c r="A3075"/>
    </row>
    <row r="3076">
      <c r="A3076"/>
    </row>
    <row r="3077">
      <c r="A3077"/>
    </row>
    <row r="3078">
      <c r="A3078"/>
    </row>
    <row r="3079">
      <c r="A3079"/>
    </row>
    <row r="3080">
      <c r="A3080"/>
    </row>
    <row r="3081">
      <c r="A3081"/>
    </row>
    <row r="3082">
      <c r="A3082"/>
    </row>
    <row r="3083">
      <c r="A3083"/>
    </row>
    <row r="3084">
      <c r="A3084"/>
    </row>
    <row r="3085">
      <c r="A3085"/>
    </row>
    <row r="3086">
      <c r="A3086"/>
    </row>
    <row r="3087">
      <c r="A3087"/>
    </row>
    <row r="3088">
      <c r="A3088"/>
    </row>
    <row r="3089">
      <c r="A3089"/>
    </row>
    <row r="3090">
      <c r="A3090"/>
    </row>
    <row r="3091">
      <c r="A3091"/>
    </row>
    <row r="3092">
      <c r="A3092"/>
    </row>
    <row r="3093">
      <c r="A3093"/>
    </row>
    <row r="3094">
      <c r="A3094"/>
    </row>
    <row r="3095">
      <c r="A3095"/>
    </row>
    <row r="3096">
      <c r="A3096"/>
    </row>
    <row r="3097">
      <c r="A3097"/>
    </row>
    <row r="3098">
      <c r="A3098"/>
    </row>
    <row r="3099">
      <c r="A3099"/>
    </row>
    <row r="3100">
      <c r="A3100"/>
    </row>
    <row r="3101">
      <c r="A3101"/>
    </row>
    <row r="3102">
      <c r="A3102"/>
    </row>
    <row r="3103">
      <c r="A3103"/>
    </row>
    <row r="3104">
      <c r="A3104"/>
    </row>
    <row r="3105">
      <c r="A3105"/>
    </row>
    <row r="3106">
      <c r="A3106"/>
    </row>
    <row r="3107">
      <c r="A3107"/>
    </row>
    <row r="3108">
      <c r="A3108"/>
    </row>
    <row r="3109">
      <c r="A3109"/>
    </row>
    <row r="3110">
      <c r="A3110"/>
    </row>
    <row r="3111">
      <c r="A3111"/>
    </row>
    <row r="3112">
      <c r="A3112"/>
    </row>
    <row r="3113">
      <c r="A3113"/>
    </row>
    <row r="3114">
      <c r="A3114"/>
    </row>
    <row r="3115">
      <c r="A3115"/>
    </row>
    <row r="3116">
      <c r="A3116"/>
    </row>
    <row r="3117">
      <c r="A3117"/>
    </row>
    <row r="3118">
      <c r="A3118"/>
    </row>
    <row r="3119">
      <c r="A3119"/>
    </row>
    <row r="3120">
      <c r="A3120"/>
    </row>
    <row r="3121">
      <c r="A3121"/>
    </row>
    <row r="3122">
      <c r="A3122"/>
    </row>
    <row r="3123">
      <c r="A3123"/>
    </row>
    <row r="3124">
      <c r="A3124"/>
    </row>
    <row r="3125">
      <c r="A3125"/>
    </row>
    <row r="3126">
      <c r="A3126"/>
    </row>
    <row r="3127">
      <c r="A3127"/>
    </row>
    <row r="3128">
      <c r="A3128"/>
    </row>
    <row r="3129">
      <c r="A3129"/>
    </row>
    <row r="3130">
      <c r="A3130"/>
    </row>
    <row r="3131">
      <c r="A3131"/>
    </row>
    <row r="3132">
      <c r="A3132"/>
    </row>
    <row r="3133">
      <c r="A3133"/>
    </row>
    <row r="3134">
      <c r="A3134"/>
    </row>
    <row r="3135">
      <c r="A3135"/>
    </row>
    <row r="3136">
      <c r="A3136"/>
    </row>
    <row r="3137">
      <c r="A3137"/>
    </row>
    <row r="3138">
      <c r="A3138"/>
    </row>
    <row r="3139">
      <c r="A3139"/>
    </row>
    <row r="3140">
      <c r="A3140"/>
    </row>
    <row r="3141">
      <c r="A3141"/>
    </row>
    <row r="3142">
      <c r="A3142"/>
    </row>
    <row r="3143">
      <c r="A3143"/>
    </row>
    <row r="3144">
      <c r="A3144"/>
    </row>
    <row r="3145">
      <c r="A3145"/>
    </row>
    <row r="3146">
      <c r="A3146"/>
    </row>
    <row r="3147">
      <c r="A3147"/>
    </row>
    <row r="3148">
      <c r="A3148"/>
    </row>
    <row r="3149">
      <c r="A3149"/>
    </row>
    <row r="3150">
      <c r="A3150"/>
    </row>
    <row r="3151">
      <c r="A3151"/>
    </row>
    <row r="3152">
      <c r="A3152"/>
    </row>
    <row r="3153">
      <c r="A3153"/>
    </row>
    <row r="3154">
      <c r="A3154"/>
    </row>
    <row r="3155">
      <c r="A3155"/>
    </row>
    <row r="3156">
      <c r="A3156"/>
    </row>
    <row r="3157">
      <c r="A3157"/>
    </row>
    <row r="3158">
      <c r="A3158"/>
    </row>
    <row r="3159">
      <c r="A3159"/>
    </row>
    <row r="3160">
      <c r="A3160"/>
    </row>
    <row r="3161">
      <c r="A3161"/>
    </row>
    <row r="3162">
      <c r="A3162"/>
    </row>
    <row r="3163">
      <c r="A3163"/>
    </row>
    <row r="3164">
      <c r="A3164"/>
    </row>
    <row r="3165">
      <c r="A3165"/>
    </row>
    <row r="3166">
      <c r="A3166"/>
    </row>
    <row r="3167">
      <c r="A3167"/>
    </row>
    <row r="3168">
      <c r="A3168"/>
    </row>
    <row r="3169">
      <c r="A3169"/>
    </row>
    <row r="3170">
      <c r="A3170"/>
    </row>
    <row r="3171">
      <c r="A3171"/>
    </row>
    <row r="3172">
      <c r="A3172"/>
    </row>
    <row r="3173">
      <c r="A3173"/>
    </row>
    <row r="3174">
      <c r="A3174"/>
    </row>
    <row r="3175">
      <c r="A3175"/>
    </row>
    <row r="3176">
      <c r="A3176"/>
    </row>
    <row r="3177">
      <c r="A3177"/>
    </row>
    <row r="3178">
      <c r="A3178"/>
    </row>
    <row r="3179">
      <c r="A3179"/>
    </row>
    <row r="3180">
      <c r="A3180"/>
    </row>
    <row r="3181">
      <c r="A3181"/>
    </row>
    <row r="3182">
      <c r="A3182"/>
    </row>
    <row r="3183">
      <c r="A3183"/>
    </row>
    <row r="3184">
      <c r="A3184"/>
    </row>
    <row r="3185">
      <c r="A3185"/>
    </row>
    <row r="3186">
      <c r="A3186"/>
    </row>
    <row r="3187">
      <c r="A3187"/>
    </row>
    <row r="3188">
      <c r="A3188"/>
    </row>
    <row r="3189">
      <c r="A3189"/>
    </row>
    <row r="3190">
      <c r="A3190"/>
    </row>
    <row r="3191">
      <c r="A3191"/>
    </row>
    <row r="3192">
      <c r="A3192"/>
    </row>
    <row r="3193">
      <c r="A3193"/>
    </row>
    <row r="3194">
      <c r="A3194"/>
    </row>
    <row r="3195">
      <c r="A3195"/>
    </row>
    <row r="3196">
      <c r="A3196"/>
    </row>
    <row r="3197">
      <c r="A3197"/>
    </row>
    <row r="3198">
      <c r="A3198"/>
    </row>
    <row r="3199">
      <c r="A3199"/>
    </row>
    <row r="3200">
      <c r="A3200"/>
    </row>
    <row r="3201">
      <c r="A3201"/>
    </row>
    <row r="3202">
      <c r="A3202"/>
    </row>
    <row r="3203">
      <c r="A3203"/>
    </row>
    <row r="3204">
      <c r="A3204"/>
    </row>
    <row r="3205">
      <c r="A3205"/>
    </row>
    <row r="3206">
      <c r="A3206"/>
    </row>
    <row r="3207">
      <c r="A3207"/>
    </row>
    <row r="3208">
      <c r="A3208"/>
    </row>
    <row r="3209">
      <c r="A3209"/>
    </row>
    <row r="3210">
      <c r="A3210"/>
    </row>
    <row r="3211">
      <c r="A3211"/>
    </row>
    <row r="3212">
      <c r="A3212"/>
    </row>
    <row r="3213">
      <c r="A3213"/>
    </row>
    <row r="3214">
      <c r="A3214"/>
    </row>
    <row r="3215">
      <c r="A3215"/>
    </row>
    <row r="3216">
      <c r="A3216"/>
    </row>
    <row r="3217">
      <c r="A3217"/>
    </row>
    <row r="3218">
      <c r="A3218"/>
    </row>
    <row r="3219">
      <c r="A3219"/>
    </row>
    <row r="3220">
      <c r="A3220"/>
    </row>
    <row r="3221">
      <c r="A3221"/>
    </row>
    <row r="3222">
      <c r="A3222"/>
    </row>
    <row r="3223">
      <c r="A3223"/>
    </row>
    <row r="3224">
      <c r="A3224"/>
    </row>
    <row r="3225">
      <c r="A3225"/>
    </row>
    <row r="3226">
      <c r="A3226"/>
    </row>
    <row r="3227">
      <c r="A3227"/>
    </row>
    <row r="3228">
      <c r="A3228"/>
    </row>
    <row r="3229">
      <c r="A3229"/>
    </row>
    <row r="3230">
      <c r="A3230"/>
    </row>
    <row r="3231">
      <c r="A3231"/>
    </row>
    <row r="3232">
      <c r="A3232"/>
    </row>
    <row r="3233">
      <c r="A3233"/>
    </row>
    <row r="3234">
      <c r="A3234"/>
    </row>
    <row r="3235">
      <c r="A3235"/>
    </row>
    <row r="3236">
      <c r="A3236"/>
    </row>
    <row r="3237">
      <c r="A3237"/>
    </row>
    <row r="3238">
      <c r="A3238"/>
    </row>
    <row r="3239">
      <c r="A3239"/>
    </row>
    <row r="3240">
      <c r="A3240"/>
    </row>
    <row r="3241">
      <c r="A3241"/>
    </row>
    <row r="3242">
      <c r="A3242"/>
    </row>
    <row r="3243">
      <c r="A3243"/>
    </row>
    <row r="3244">
      <c r="A3244"/>
    </row>
    <row r="3245">
      <c r="A3245"/>
    </row>
    <row r="3246">
      <c r="A3246"/>
    </row>
    <row r="3247">
      <c r="A3247"/>
    </row>
    <row r="3248">
      <c r="A3248"/>
    </row>
    <row r="3249">
      <c r="A3249"/>
    </row>
    <row r="3250">
      <c r="A3250"/>
    </row>
    <row r="3251">
      <c r="A3251"/>
    </row>
    <row r="3252">
      <c r="A3252"/>
    </row>
    <row r="3253">
      <c r="A3253"/>
    </row>
    <row r="3254">
      <c r="A3254"/>
    </row>
    <row r="3255">
      <c r="A3255"/>
    </row>
    <row r="3256">
      <c r="A3256"/>
    </row>
    <row r="3257">
      <c r="A3257"/>
    </row>
    <row r="3258">
      <c r="A3258"/>
    </row>
    <row r="3259">
      <c r="A3259"/>
    </row>
    <row r="3260">
      <c r="A3260"/>
    </row>
    <row r="3261">
      <c r="A3261"/>
    </row>
    <row r="3262">
      <c r="A3262"/>
    </row>
    <row r="3263">
      <c r="A3263"/>
    </row>
    <row r="3264">
      <c r="A3264"/>
    </row>
    <row r="3265">
      <c r="A3265"/>
    </row>
    <row r="3266">
      <c r="A3266"/>
    </row>
    <row r="3267">
      <c r="A3267"/>
    </row>
    <row r="3268">
      <c r="A3268"/>
    </row>
    <row r="3269">
      <c r="A3269"/>
    </row>
    <row r="3270">
      <c r="A3270"/>
    </row>
    <row r="3271">
      <c r="A3271"/>
    </row>
    <row r="3272">
      <c r="A3272"/>
    </row>
    <row r="3273">
      <c r="A3273"/>
    </row>
    <row r="3274">
      <c r="A3274"/>
    </row>
    <row r="3275">
      <c r="A3275"/>
    </row>
    <row r="3276">
      <c r="A3276"/>
    </row>
    <row r="3277">
      <c r="A3277"/>
    </row>
    <row r="3278">
      <c r="A3278"/>
    </row>
    <row r="3279">
      <c r="A3279"/>
    </row>
    <row r="3280">
      <c r="A3280"/>
    </row>
    <row r="3281">
      <c r="A3281"/>
    </row>
    <row r="3282">
      <c r="A3282"/>
    </row>
    <row r="3283">
      <c r="A3283"/>
    </row>
    <row r="3284">
      <c r="A3284"/>
    </row>
    <row r="3285">
      <c r="A3285"/>
    </row>
    <row r="3286">
      <c r="A3286"/>
    </row>
    <row r="3287">
      <c r="A3287"/>
    </row>
    <row r="3288">
      <c r="A3288"/>
    </row>
    <row r="3289">
      <c r="A3289"/>
    </row>
    <row r="3290">
      <c r="A3290"/>
    </row>
    <row r="3291">
      <c r="A3291"/>
    </row>
    <row r="3292">
      <c r="A3292"/>
    </row>
    <row r="3293">
      <c r="A3293"/>
    </row>
    <row r="3294">
      <c r="A3294"/>
    </row>
    <row r="3295">
      <c r="A3295"/>
    </row>
    <row r="3296">
      <c r="A3296"/>
    </row>
    <row r="3297">
      <c r="A3297"/>
    </row>
    <row r="3298">
      <c r="A3298"/>
    </row>
    <row r="3299">
      <c r="A3299"/>
    </row>
    <row r="3300">
      <c r="A3300"/>
    </row>
    <row r="3301">
      <c r="A3301"/>
    </row>
    <row r="3302">
      <c r="A3302"/>
    </row>
    <row r="3303">
      <c r="A3303"/>
    </row>
    <row r="3304">
      <c r="A3304"/>
    </row>
    <row r="3305">
      <c r="A3305"/>
    </row>
    <row r="3306">
      <c r="A3306"/>
    </row>
    <row r="3307">
      <c r="A3307"/>
    </row>
    <row r="3308">
      <c r="A3308"/>
    </row>
    <row r="3309">
      <c r="A3309"/>
    </row>
    <row r="3310">
      <c r="A3310"/>
    </row>
    <row r="3311">
      <c r="A3311"/>
    </row>
    <row r="3312">
      <c r="A3312"/>
    </row>
    <row r="3313">
      <c r="A3313"/>
    </row>
    <row r="3314">
      <c r="A3314"/>
    </row>
    <row r="3315">
      <c r="A3315"/>
    </row>
    <row r="3316">
      <c r="A3316"/>
    </row>
    <row r="3317">
      <c r="A3317"/>
    </row>
    <row r="3318">
      <c r="A3318"/>
    </row>
    <row r="3319">
      <c r="A3319"/>
    </row>
    <row r="3320">
      <c r="A3320"/>
    </row>
    <row r="3321">
      <c r="A3321"/>
    </row>
    <row r="3322">
      <c r="A3322"/>
    </row>
    <row r="3323">
      <c r="A3323"/>
    </row>
    <row r="3324">
      <c r="A3324"/>
    </row>
    <row r="3325">
      <c r="A3325"/>
    </row>
    <row r="3326">
      <c r="A3326"/>
    </row>
    <row r="3327">
      <c r="A3327"/>
    </row>
    <row r="3328">
      <c r="A3328"/>
    </row>
    <row r="3329">
      <c r="A3329"/>
    </row>
    <row r="3330">
      <c r="A3330"/>
    </row>
    <row r="3331">
      <c r="A3331"/>
    </row>
    <row r="3332">
      <c r="A3332"/>
    </row>
    <row r="3333">
      <c r="A3333"/>
    </row>
    <row r="3334">
      <c r="A3334"/>
    </row>
    <row r="3335">
      <c r="A3335"/>
    </row>
    <row r="3336">
      <c r="A3336"/>
    </row>
    <row r="3337">
      <c r="A3337"/>
    </row>
    <row r="3338">
      <c r="A3338"/>
    </row>
    <row r="3339">
      <c r="A3339"/>
    </row>
    <row r="3340">
      <c r="A3340"/>
    </row>
    <row r="3341">
      <c r="A3341"/>
    </row>
    <row r="3342">
      <c r="A3342"/>
    </row>
    <row r="3343">
      <c r="A3343"/>
    </row>
    <row r="3344">
      <c r="A3344"/>
    </row>
    <row r="3345">
      <c r="A3345"/>
    </row>
    <row r="3346">
      <c r="A3346"/>
    </row>
    <row r="3347">
      <c r="A3347"/>
    </row>
    <row r="3348">
      <c r="A3348"/>
    </row>
    <row r="3349">
      <c r="A3349"/>
    </row>
    <row r="3350">
      <c r="A3350"/>
    </row>
    <row r="3351">
      <c r="A3351"/>
    </row>
    <row r="3352">
      <c r="A3352"/>
    </row>
    <row r="3353">
      <c r="A3353"/>
    </row>
    <row r="3354">
      <c r="A3354"/>
    </row>
    <row r="3355">
      <c r="A3355"/>
    </row>
    <row r="3356">
      <c r="A3356"/>
    </row>
    <row r="3357">
      <c r="A3357"/>
    </row>
    <row r="3358">
      <c r="A3358"/>
    </row>
    <row r="3359">
      <c r="A3359"/>
    </row>
    <row r="3360">
      <c r="A3360"/>
    </row>
    <row r="3361">
      <c r="A3361"/>
    </row>
    <row r="3362">
      <c r="A3362"/>
    </row>
    <row r="3363">
      <c r="A3363"/>
    </row>
    <row r="3364">
      <c r="A3364"/>
    </row>
    <row r="3365">
      <c r="A3365"/>
    </row>
    <row r="3366">
      <c r="A3366"/>
    </row>
    <row r="3367">
      <c r="A3367"/>
    </row>
    <row r="3368">
      <c r="A3368"/>
    </row>
    <row r="3369">
      <c r="A3369"/>
    </row>
    <row r="3370">
      <c r="A3370"/>
    </row>
    <row r="3371">
      <c r="A3371"/>
    </row>
    <row r="3372">
      <c r="A3372"/>
    </row>
    <row r="3373">
      <c r="A3373"/>
    </row>
    <row r="3374">
      <c r="A3374"/>
    </row>
    <row r="3375">
      <c r="A3375"/>
    </row>
    <row r="3376">
      <c r="A3376"/>
    </row>
    <row r="3377">
      <c r="A3377"/>
    </row>
    <row r="3378">
      <c r="A3378"/>
    </row>
    <row r="3379">
      <c r="A3379"/>
    </row>
    <row r="3380">
      <c r="A3380"/>
    </row>
    <row r="3381">
      <c r="A3381"/>
    </row>
    <row r="3382">
      <c r="A3382"/>
    </row>
    <row r="3383">
      <c r="A3383"/>
    </row>
    <row r="3384">
      <c r="A3384"/>
    </row>
    <row r="3385">
      <c r="A3385"/>
    </row>
    <row r="3386">
      <c r="A3386"/>
    </row>
    <row r="3387">
      <c r="A3387"/>
    </row>
    <row r="3388">
      <c r="A3388"/>
    </row>
    <row r="3389">
      <c r="A3389"/>
    </row>
    <row r="3390">
      <c r="A3390"/>
    </row>
    <row r="3391">
      <c r="A3391"/>
    </row>
    <row r="3392">
      <c r="A3392"/>
    </row>
    <row r="3393">
      <c r="A3393"/>
    </row>
    <row r="3394">
      <c r="A3394"/>
    </row>
    <row r="3395">
      <c r="A3395"/>
    </row>
    <row r="3396">
      <c r="A3396"/>
    </row>
    <row r="3397">
      <c r="A3397"/>
    </row>
    <row r="3398">
      <c r="A3398"/>
    </row>
    <row r="3399">
      <c r="A3399"/>
    </row>
    <row r="3400">
      <c r="A3400"/>
    </row>
    <row r="3401">
      <c r="A3401"/>
    </row>
    <row r="3402">
      <c r="A3402"/>
    </row>
    <row r="3403">
      <c r="A3403"/>
    </row>
    <row r="3404">
      <c r="A3404"/>
    </row>
    <row r="3405">
      <c r="A3405"/>
    </row>
    <row r="3406">
      <c r="A3406"/>
    </row>
    <row r="3407">
      <c r="A3407"/>
    </row>
    <row r="3408">
      <c r="A3408"/>
    </row>
    <row r="3409">
      <c r="A3409"/>
    </row>
    <row r="3410">
      <c r="A3410"/>
    </row>
    <row r="3411">
      <c r="A3411"/>
    </row>
    <row r="3412">
      <c r="A3412"/>
    </row>
    <row r="3413">
      <c r="A3413"/>
    </row>
    <row r="3414">
      <c r="A3414"/>
    </row>
    <row r="3415">
      <c r="A3415"/>
    </row>
    <row r="3416">
      <c r="A3416"/>
    </row>
    <row r="3417">
      <c r="A3417"/>
    </row>
    <row r="3418">
      <c r="A3418"/>
    </row>
    <row r="3419">
      <c r="A3419"/>
    </row>
    <row r="3420">
      <c r="A3420"/>
    </row>
    <row r="3421">
      <c r="A3421"/>
    </row>
    <row r="3422">
      <c r="A3422"/>
    </row>
    <row r="3423">
      <c r="A3423"/>
    </row>
    <row r="3424">
      <c r="A3424"/>
    </row>
    <row r="3425">
      <c r="A3425"/>
    </row>
    <row r="3426">
      <c r="A3426"/>
    </row>
    <row r="3427">
      <c r="A3427"/>
    </row>
    <row r="3428">
      <c r="A3428"/>
    </row>
    <row r="3429">
      <c r="A3429"/>
    </row>
    <row r="3430">
      <c r="A3430"/>
    </row>
    <row r="3431">
      <c r="A3431"/>
    </row>
    <row r="3432">
      <c r="A3432"/>
    </row>
    <row r="3433">
      <c r="A3433"/>
    </row>
    <row r="3434">
      <c r="A3434"/>
    </row>
    <row r="3435">
      <c r="A3435"/>
    </row>
    <row r="3436">
      <c r="A3436"/>
    </row>
    <row r="3437">
      <c r="A3437"/>
    </row>
    <row r="3438">
      <c r="A3438"/>
    </row>
    <row r="3439">
      <c r="A3439"/>
    </row>
    <row r="3440">
      <c r="A3440"/>
    </row>
    <row r="3441">
      <c r="A3441"/>
    </row>
    <row r="3442">
      <c r="A3442"/>
    </row>
    <row r="3443">
      <c r="A3443"/>
    </row>
    <row r="3444">
      <c r="A3444"/>
    </row>
    <row r="3445">
      <c r="A3445"/>
    </row>
    <row r="3446">
      <c r="A3446"/>
    </row>
    <row r="3447">
      <c r="A3447"/>
    </row>
    <row r="3448">
      <c r="A3448"/>
    </row>
    <row r="3449">
      <c r="A3449"/>
    </row>
    <row r="3450">
      <c r="A3450"/>
    </row>
    <row r="3451">
      <c r="A3451"/>
    </row>
    <row r="3452">
      <c r="A3452"/>
    </row>
    <row r="3453">
      <c r="A3453"/>
    </row>
    <row r="3454">
      <c r="A3454"/>
    </row>
    <row r="3455">
      <c r="A3455"/>
    </row>
    <row r="3456">
      <c r="A3456"/>
    </row>
    <row r="3457">
      <c r="A3457"/>
    </row>
    <row r="3458">
      <c r="A3458"/>
    </row>
    <row r="3459">
      <c r="A3459"/>
    </row>
    <row r="3460">
      <c r="A3460"/>
    </row>
    <row r="3461">
      <c r="A3461"/>
    </row>
    <row r="3462">
      <c r="A3462"/>
    </row>
    <row r="3463">
      <c r="A3463"/>
    </row>
    <row r="3464">
      <c r="A3464"/>
    </row>
    <row r="3465">
      <c r="A3465"/>
    </row>
    <row r="3466">
      <c r="A3466"/>
    </row>
    <row r="3467">
      <c r="A3467"/>
    </row>
    <row r="3468">
      <c r="A3468"/>
    </row>
    <row r="3469">
      <c r="A3469"/>
    </row>
    <row r="3470">
      <c r="A3470"/>
    </row>
    <row r="3471">
      <c r="A3471"/>
    </row>
    <row r="3472">
      <c r="A3472"/>
    </row>
    <row r="3473">
      <c r="A3473"/>
    </row>
    <row r="3474">
      <c r="A3474"/>
    </row>
    <row r="3475">
      <c r="A3475"/>
    </row>
    <row r="3476">
      <c r="A3476"/>
    </row>
    <row r="3477">
      <c r="A3477"/>
    </row>
    <row r="3478">
      <c r="A3478"/>
    </row>
    <row r="3479">
      <c r="A3479"/>
    </row>
    <row r="3480">
      <c r="A3480"/>
    </row>
    <row r="3481">
      <c r="A3481"/>
    </row>
    <row r="3482">
      <c r="A3482"/>
    </row>
    <row r="3483">
      <c r="A3483"/>
    </row>
    <row r="3484">
      <c r="A3484"/>
    </row>
    <row r="3485">
      <c r="A3485"/>
    </row>
    <row r="3486">
      <c r="A3486"/>
    </row>
    <row r="3487">
      <c r="A3487"/>
    </row>
    <row r="3488">
      <c r="A3488"/>
    </row>
    <row r="3489">
      <c r="A3489"/>
    </row>
    <row r="3490">
      <c r="A3490"/>
    </row>
    <row r="3491">
      <c r="A3491"/>
    </row>
    <row r="3492">
      <c r="A3492"/>
    </row>
    <row r="3493">
      <c r="A3493"/>
    </row>
    <row r="3494">
      <c r="A3494"/>
    </row>
    <row r="3495">
      <c r="A3495"/>
    </row>
    <row r="3496">
      <c r="A3496"/>
    </row>
    <row r="3497">
      <c r="A3497"/>
    </row>
    <row r="3498">
      <c r="A3498"/>
    </row>
    <row r="3499">
      <c r="A3499"/>
    </row>
    <row r="3500">
      <c r="A3500"/>
    </row>
    <row r="3501">
      <c r="A3501"/>
    </row>
    <row r="3502">
      <c r="A3502"/>
    </row>
    <row r="3503">
      <c r="A3503"/>
    </row>
    <row r="3504">
      <c r="A3504"/>
    </row>
    <row r="3505">
      <c r="A3505"/>
    </row>
    <row r="3506">
      <c r="A3506"/>
    </row>
    <row r="3507">
      <c r="A3507"/>
    </row>
    <row r="3508">
      <c r="A3508"/>
    </row>
    <row r="3509">
      <c r="A3509"/>
    </row>
    <row r="3510">
      <c r="A3510"/>
    </row>
    <row r="3511">
      <c r="A3511"/>
    </row>
    <row r="3512">
      <c r="A3512"/>
    </row>
    <row r="3513">
      <c r="A3513"/>
    </row>
    <row r="3514">
      <c r="A3514"/>
    </row>
    <row r="3515">
      <c r="A3515"/>
    </row>
    <row r="3516">
      <c r="A3516"/>
    </row>
    <row r="3517">
      <c r="A3517"/>
    </row>
    <row r="3518">
      <c r="A3518"/>
    </row>
    <row r="3519">
      <c r="A3519"/>
    </row>
    <row r="3520">
      <c r="A3520"/>
    </row>
    <row r="3521">
      <c r="A3521"/>
    </row>
    <row r="3522">
      <c r="A3522"/>
    </row>
    <row r="3523">
      <c r="A3523"/>
    </row>
    <row r="3524">
      <c r="A3524"/>
    </row>
    <row r="3525">
      <c r="A3525"/>
    </row>
    <row r="3526">
      <c r="A3526"/>
    </row>
    <row r="3527">
      <c r="A3527"/>
    </row>
    <row r="3528">
      <c r="A3528"/>
    </row>
    <row r="3529">
      <c r="A3529"/>
    </row>
    <row r="3530">
      <c r="A3530"/>
    </row>
    <row r="3531">
      <c r="A3531"/>
    </row>
    <row r="3532">
      <c r="A3532"/>
    </row>
    <row r="3533">
      <c r="A3533"/>
    </row>
    <row r="3534">
      <c r="A3534"/>
    </row>
    <row r="3535">
      <c r="A3535"/>
    </row>
    <row r="3536">
      <c r="A3536"/>
    </row>
    <row r="3537">
      <c r="A3537"/>
    </row>
    <row r="3538">
      <c r="A3538"/>
    </row>
    <row r="3539">
      <c r="A3539"/>
    </row>
    <row r="3540">
      <c r="A3540"/>
    </row>
    <row r="3541">
      <c r="A3541"/>
    </row>
    <row r="3542">
      <c r="A3542"/>
    </row>
    <row r="3543">
      <c r="A3543"/>
    </row>
    <row r="3544">
      <c r="A3544"/>
    </row>
    <row r="3545">
      <c r="A3545"/>
    </row>
    <row r="3546">
      <c r="A3546"/>
    </row>
    <row r="3547">
      <c r="A3547"/>
    </row>
    <row r="3548">
      <c r="A3548"/>
    </row>
    <row r="3549">
      <c r="A3549"/>
    </row>
    <row r="3550">
      <c r="A3550"/>
    </row>
    <row r="3551">
      <c r="A3551"/>
    </row>
    <row r="3552">
      <c r="A3552"/>
    </row>
    <row r="3553">
      <c r="A3553"/>
    </row>
    <row r="3554">
      <c r="A3554"/>
    </row>
    <row r="3555">
      <c r="A3555"/>
    </row>
    <row r="3556">
      <c r="A3556"/>
    </row>
    <row r="3557">
      <c r="A3557"/>
    </row>
    <row r="3558">
      <c r="A3558"/>
    </row>
    <row r="3559">
      <c r="A3559"/>
    </row>
    <row r="3560">
      <c r="A3560"/>
    </row>
    <row r="3561">
      <c r="A3561"/>
    </row>
    <row r="3562">
      <c r="A3562"/>
    </row>
    <row r="3563">
      <c r="A3563"/>
    </row>
    <row r="3564">
      <c r="A3564"/>
    </row>
    <row r="3565">
      <c r="A3565"/>
    </row>
    <row r="3566">
      <c r="A3566"/>
    </row>
    <row r="3567">
      <c r="A3567"/>
    </row>
    <row r="3568">
      <c r="A3568"/>
    </row>
    <row r="3569">
      <c r="A3569"/>
    </row>
    <row r="3570">
      <c r="A3570"/>
    </row>
    <row r="3571">
      <c r="A3571"/>
    </row>
    <row r="3572">
      <c r="A3572"/>
    </row>
    <row r="3573">
      <c r="A3573"/>
    </row>
    <row r="3574">
      <c r="A3574"/>
    </row>
    <row r="3575">
      <c r="A3575"/>
    </row>
    <row r="3576">
      <c r="A3576"/>
    </row>
    <row r="3577">
      <c r="A3577"/>
    </row>
    <row r="3578">
      <c r="A3578"/>
    </row>
    <row r="3579">
      <c r="A3579"/>
    </row>
    <row r="3580">
      <c r="A3580"/>
    </row>
    <row r="3581">
      <c r="A3581"/>
    </row>
    <row r="3582">
      <c r="A3582"/>
    </row>
    <row r="3583">
      <c r="A3583"/>
    </row>
    <row r="3584">
      <c r="A3584"/>
    </row>
    <row r="3585">
      <c r="A3585"/>
    </row>
    <row r="3586">
      <c r="A3586"/>
    </row>
    <row r="3587">
      <c r="A3587"/>
    </row>
    <row r="3588">
      <c r="A3588"/>
    </row>
    <row r="3589">
      <c r="A3589"/>
    </row>
    <row r="3590">
      <c r="A3590"/>
    </row>
    <row r="3591">
      <c r="A3591"/>
    </row>
    <row r="3592">
      <c r="A3592"/>
    </row>
    <row r="3593">
      <c r="A3593"/>
    </row>
    <row r="3594">
      <c r="A3594"/>
    </row>
    <row r="3595">
      <c r="A3595"/>
    </row>
    <row r="3596">
      <c r="A3596"/>
    </row>
    <row r="3597">
      <c r="A3597"/>
    </row>
    <row r="3598">
      <c r="A3598"/>
    </row>
    <row r="3599">
      <c r="A3599"/>
    </row>
    <row r="3600">
      <c r="A3600"/>
    </row>
    <row r="3601">
      <c r="A3601"/>
    </row>
    <row r="3602">
      <c r="A3602"/>
    </row>
    <row r="3603">
      <c r="A3603"/>
    </row>
    <row r="3604">
      <c r="A3604"/>
    </row>
    <row r="3605">
      <c r="A3605"/>
    </row>
    <row r="3606">
      <c r="A3606"/>
    </row>
    <row r="3607">
      <c r="A3607"/>
    </row>
    <row r="3608">
      <c r="A3608"/>
    </row>
    <row r="3609">
      <c r="A3609"/>
    </row>
    <row r="3610">
      <c r="A3610"/>
    </row>
    <row r="3611">
      <c r="A3611"/>
    </row>
    <row r="3612">
      <c r="A3612"/>
    </row>
    <row r="3613">
      <c r="A3613"/>
    </row>
    <row r="3614">
      <c r="A3614"/>
    </row>
    <row r="3615">
      <c r="A3615"/>
    </row>
    <row r="3616">
      <c r="A3616"/>
    </row>
    <row r="3617">
      <c r="A3617"/>
    </row>
    <row r="3618">
      <c r="A3618"/>
    </row>
    <row r="3619">
      <c r="A3619"/>
    </row>
    <row r="3620">
      <c r="A3620"/>
    </row>
    <row r="3621">
      <c r="A3621"/>
    </row>
    <row r="3622">
      <c r="A3622"/>
    </row>
    <row r="3623">
      <c r="A3623"/>
    </row>
    <row r="3624">
      <c r="A3624"/>
    </row>
    <row r="3625">
      <c r="A3625"/>
    </row>
    <row r="3626">
      <c r="A3626"/>
    </row>
    <row r="3627">
      <c r="A3627"/>
    </row>
    <row r="3628">
      <c r="A3628"/>
    </row>
    <row r="3629">
      <c r="A3629"/>
    </row>
    <row r="3630">
      <c r="A3630"/>
    </row>
    <row r="3631">
      <c r="A3631"/>
    </row>
    <row r="3632">
      <c r="A3632"/>
    </row>
    <row r="3633">
      <c r="A3633"/>
    </row>
    <row r="3634">
      <c r="A3634"/>
    </row>
    <row r="3635">
      <c r="A3635"/>
    </row>
    <row r="3636">
      <c r="A3636"/>
    </row>
    <row r="3637">
      <c r="A3637"/>
    </row>
    <row r="3638">
      <c r="A3638"/>
    </row>
    <row r="3639">
      <c r="A3639"/>
    </row>
    <row r="3640">
      <c r="A3640"/>
    </row>
    <row r="3641">
      <c r="A3641"/>
    </row>
    <row r="3642">
      <c r="A3642"/>
    </row>
    <row r="3643">
      <c r="A3643"/>
    </row>
    <row r="3644">
      <c r="A3644"/>
    </row>
    <row r="3645">
      <c r="A3645"/>
    </row>
    <row r="3646">
      <c r="A3646"/>
    </row>
    <row r="3647">
      <c r="A3647"/>
    </row>
    <row r="3648">
      <c r="A3648"/>
    </row>
    <row r="3649">
      <c r="A3649"/>
    </row>
    <row r="3650">
      <c r="A3650"/>
    </row>
    <row r="3651">
      <c r="A3651"/>
    </row>
    <row r="3652">
      <c r="A3652"/>
    </row>
    <row r="3653">
      <c r="A3653"/>
    </row>
    <row r="3654">
      <c r="A3654"/>
    </row>
    <row r="3655">
      <c r="A3655"/>
    </row>
    <row r="3656">
      <c r="A3656"/>
    </row>
    <row r="3657">
      <c r="A3657"/>
    </row>
    <row r="3658">
      <c r="A3658"/>
    </row>
    <row r="3659">
      <c r="A3659"/>
    </row>
    <row r="3660">
      <c r="A3660"/>
    </row>
    <row r="3661">
      <c r="A3661"/>
    </row>
    <row r="3662">
      <c r="A3662"/>
    </row>
    <row r="3663">
      <c r="A3663"/>
    </row>
    <row r="3664">
      <c r="A3664"/>
    </row>
    <row r="3665">
      <c r="A3665"/>
    </row>
    <row r="3666">
      <c r="A3666"/>
    </row>
    <row r="3667">
      <c r="A3667"/>
    </row>
    <row r="3668">
      <c r="A3668"/>
    </row>
    <row r="3669">
      <c r="A3669"/>
    </row>
    <row r="3670">
      <c r="A3670"/>
    </row>
    <row r="3671">
      <c r="A3671"/>
    </row>
    <row r="3672">
      <c r="A3672"/>
    </row>
    <row r="3673">
      <c r="A3673"/>
    </row>
    <row r="3674">
      <c r="A3674"/>
    </row>
    <row r="3675">
      <c r="A3675"/>
    </row>
    <row r="3676">
      <c r="A3676"/>
    </row>
    <row r="3677">
      <c r="A3677"/>
    </row>
    <row r="3678">
      <c r="A3678"/>
    </row>
    <row r="3679">
      <c r="A3679"/>
    </row>
    <row r="3680">
      <c r="A3680"/>
    </row>
    <row r="3681">
      <c r="A3681"/>
    </row>
    <row r="3682">
      <c r="A3682"/>
    </row>
    <row r="3683">
      <c r="A3683"/>
    </row>
    <row r="3684">
      <c r="A3684"/>
    </row>
    <row r="3685">
      <c r="A3685"/>
    </row>
    <row r="3686">
      <c r="A3686"/>
    </row>
    <row r="3687">
      <c r="A3687"/>
    </row>
    <row r="3688">
      <c r="A3688"/>
    </row>
    <row r="3689">
      <c r="A3689"/>
    </row>
    <row r="3690">
      <c r="A3690"/>
    </row>
    <row r="3691">
      <c r="A3691"/>
    </row>
    <row r="3692">
      <c r="A3692"/>
    </row>
    <row r="3693">
      <c r="A3693"/>
    </row>
    <row r="3694">
      <c r="A3694"/>
    </row>
    <row r="3695">
      <c r="A3695"/>
    </row>
    <row r="3696">
      <c r="A3696"/>
    </row>
    <row r="3697">
      <c r="A3697"/>
    </row>
    <row r="3698">
      <c r="A3698"/>
    </row>
    <row r="3699">
      <c r="A3699"/>
    </row>
    <row r="3700">
      <c r="A3700"/>
    </row>
    <row r="3701">
      <c r="A3701"/>
    </row>
    <row r="3702">
      <c r="A3702"/>
    </row>
    <row r="3703">
      <c r="A3703"/>
    </row>
    <row r="3704">
      <c r="A3704"/>
    </row>
    <row r="3705">
      <c r="A3705"/>
    </row>
    <row r="3706">
      <c r="A3706"/>
    </row>
    <row r="3707">
      <c r="A3707"/>
    </row>
    <row r="3708">
      <c r="A3708"/>
    </row>
    <row r="3709">
      <c r="A3709"/>
    </row>
    <row r="3710">
      <c r="A3710"/>
    </row>
    <row r="3711">
      <c r="A3711"/>
    </row>
    <row r="3712">
      <c r="A3712"/>
    </row>
    <row r="3713">
      <c r="A3713"/>
    </row>
    <row r="3714">
      <c r="A3714"/>
    </row>
    <row r="3715">
      <c r="A3715"/>
    </row>
    <row r="3716">
      <c r="A3716"/>
    </row>
    <row r="3717">
      <c r="A3717"/>
    </row>
    <row r="3718">
      <c r="A3718"/>
    </row>
    <row r="3719">
      <c r="A3719"/>
    </row>
    <row r="3720">
      <c r="A3720"/>
    </row>
    <row r="3721">
      <c r="A3721"/>
    </row>
    <row r="3722">
      <c r="A3722"/>
    </row>
    <row r="3723">
      <c r="A3723"/>
    </row>
    <row r="3724">
      <c r="A3724"/>
    </row>
    <row r="3725">
      <c r="A3725"/>
    </row>
    <row r="3726">
      <c r="A3726"/>
    </row>
    <row r="3727">
      <c r="A3727"/>
    </row>
    <row r="3728">
      <c r="A3728"/>
    </row>
    <row r="3729">
      <c r="A3729"/>
    </row>
    <row r="3730">
      <c r="A3730"/>
    </row>
    <row r="3731">
      <c r="A3731"/>
    </row>
    <row r="3732">
      <c r="A3732"/>
    </row>
    <row r="3733">
      <c r="A3733"/>
    </row>
    <row r="3734">
      <c r="A3734"/>
    </row>
    <row r="3735">
      <c r="A3735"/>
    </row>
    <row r="3736">
      <c r="A3736"/>
    </row>
    <row r="3737">
      <c r="A3737"/>
    </row>
    <row r="3738">
      <c r="A3738"/>
    </row>
    <row r="3739">
      <c r="A3739"/>
    </row>
    <row r="3740">
      <c r="A3740"/>
    </row>
    <row r="3741">
      <c r="A3741"/>
    </row>
    <row r="3742">
      <c r="A3742"/>
    </row>
    <row r="3743">
      <c r="A3743"/>
    </row>
    <row r="3744">
      <c r="A3744"/>
    </row>
    <row r="3745">
      <c r="A3745"/>
    </row>
    <row r="3746">
      <c r="A3746"/>
    </row>
    <row r="3747">
      <c r="A3747"/>
    </row>
    <row r="3748">
      <c r="A3748"/>
    </row>
    <row r="3749">
      <c r="A3749"/>
    </row>
    <row r="3750">
      <c r="A3750"/>
    </row>
    <row r="3751">
      <c r="A3751"/>
    </row>
    <row r="3752">
      <c r="A3752"/>
    </row>
    <row r="3753">
      <c r="A3753"/>
    </row>
    <row r="3754">
      <c r="A3754"/>
    </row>
    <row r="3755">
      <c r="A3755"/>
    </row>
    <row r="3756">
      <c r="A3756"/>
    </row>
    <row r="3757">
      <c r="A3757"/>
    </row>
    <row r="3758">
      <c r="A3758"/>
    </row>
    <row r="3759">
      <c r="A3759"/>
    </row>
    <row r="3760">
      <c r="A3760"/>
    </row>
    <row r="3761">
      <c r="A3761"/>
    </row>
    <row r="3762">
      <c r="A3762"/>
    </row>
    <row r="3763">
      <c r="A3763"/>
    </row>
    <row r="3764">
      <c r="A3764"/>
    </row>
    <row r="3765">
      <c r="A3765"/>
    </row>
    <row r="3766">
      <c r="A3766"/>
    </row>
    <row r="3767">
      <c r="A3767"/>
    </row>
    <row r="3768">
      <c r="A3768"/>
    </row>
    <row r="3769">
      <c r="A3769"/>
    </row>
    <row r="3770">
      <c r="A3770"/>
    </row>
    <row r="3771">
      <c r="A3771"/>
    </row>
    <row r="3772">
      <c r="A3772"/>
    </row>
    <row r="3773">
      <c r="A3773"/>
    </row>
    <row r="3774">
      <c r="A3774"/>
    </row>
    <row r="3775">
      <c r="A3775"/>
    </row>
    <row r="3776">
      <c r="A3776"/>
    </row>
    <row r="3777">
      <c r="A3777"/>
    </row>
    <row r="3778">
      <c r="A3778"/>
    </row>
    <row r="3779">
      <c r="A3779"/>
    </row>
    <row r="3780">
      <c r="A3780"/>
    </row>
    <row r="3781">
      <c r="A3781"/>
    </row>
    <row r="3782">
      <c r="A3782"/>
    </row>
    <row r="3783">
      <c r="A3783"/>
    </row>
    <row r="3784">
      <c r="A3784"/>
    </row>
    <row r="3785">
      <c r="A3785"/>
    </row>
    <row r="3786">
      <c r="A3786"/>
    </row>
    <row r="3787">
      <c r="A3787"/>
    </row>
    <row r="3788">
      <c r="A3788"/>
    </row>
    <row r="3789">
      <c r="A3789"/>
    </row>
    <row r="3790">
      <c r="A3790"/>
    </row>
    <row r="3791">
      <c r="A3791"/>
    </row>
    <row r="3792">
      <c r="A3792"/>
    </row>
    <row r="3793">
      <c r="A3793"/>
    </row>
    <row r="3794">
      <c r="A3794"/>
    </row>
    <row r="3795">
      <c r="A3795"/>
    </row>
    <row r="3796">
      <c r="A3796"/>
    </row>
    <row r="3797">
      <c r="A3797"/>
    </row>
    <row r="3798">
      <c r="A3798"/>
    </row>
    <row r="3799">
      <c r="A3799"/>
    </row>
    <row r="3800">
      <c r="A3800"/>
    </row>
    <row r="3801">
      <c r="A3801"/>
    </row>
    <row r="3802">
      <c r="A3802"/>
    </row>
    <row r="3803">
      <c r="A3803"/>
    </row>
    <row r="3804">
      <c r="A3804"/>
    </row>
    <row r="3805">
      <c r="A3805"/>
    </row>
    <row r="3806">
      <c r="A3806"/>
    </row>
    <row r="3807">
      <c r="A3807"/>
    </row>
    <row r="3808">
      <c r="A3808"/>
    </row>
    <row r="3809">
      <c r="A3809"/>
    </row>
    <row r="3810">
      <c r="A3810"/>
    </row>
    <row r="3811">
      <c r="A3811"/>
    </row>
    <row r="3812">
      <c r="A3812"/>
    </row>
    <row r="3813">
      <c r="A3813"/>
    </row>
    <row r="3814">
      <c r="A3814"/>
    </row>
    <row r="3815">
      <c r="A3815"/>
    </row>
    <row r="3816">
      <c r="A3816"/>
    </row>
    <row r="3817">
      <c r="A3817"/>
    </row>
    <row r="3818">
      <c r="A3818"/>
    </row>
    <row r="3819">
      <c r="A3819"/>
    </row>
    <row r="3820">
      <c r="A3820"/>
    </row>
    <row r="3821">
      <c r="A3821"/>
    </row>
    <row r="3822">
      <c r="A3822"/>
    </row>
    <row r="3823">
      <c r="A3823"/>
    </row>
    <row r="3824">
      <c r="A3824"/>
    </row>
    <row r="3825">
      <c r="A3825"/>
    </row>
    <row r="3826">
      <c r="A3826"/>
    </row>
    <row r="3827">
      <c r="A3827"/>
    </row>
    <row r="3828">
      <c r="A3828"/>
    </row>
    <row r="3829">
      <c r="A3829"/>
    </row>
    <row r="3830">
      <c r="A3830"/>
    </row>
    <row r="3831">
      <c r="A3831"/>
    </row>
    <row r="3832">
      <c r="A3832"/>
    </row>
    <row r="3833">
      <c r="A3833"/>
    </row>
    <row r="3834">
      <c r="A3834"/>
    </row>
    <row r="3835">
      <c r="A3835"/>
    </row>
    <row r="3836">
      <c r="A3836"/>
    </row>
    <row r="3837">
      <c r="A3837"/>
    </row>
    <row r="3838">
      <c r="A3838"/>
    </row>
    <row r="3839">
      <c r="A3839"/>
    </row>
    <row r="3840">
      <c r="A3840"/>
    </row>
    <row r="3841">
      <c r="A3841"/>
    </row>
    <row r="3842">
      <c r="A3842"/>
    </row>
    <row r="3843">
      <c r="A3843"/>
    </row>
    <row r="3844">
      <c r="A3844"/>
    </row>
    <row r="3845">
      <c r="A3845"/>
    </row>
    <row r="3846">
      <c r="A3846"/>
    </row>
    <row r="3847">
      <c r="A3847"/>
    </row>
    <row r="3848">
      <c r="A3848"/>
    </row>
    <row r="3849">
      <c r="A3849"/>
    </row>
    <row r="3850">
      <c r="A3850"/>
    </row>
    <row r="3851">
      <c r="A3851"/>
    </row>
    <row r="3852">
      <c r="A3852"/>
    </row>
    <row r="3853">
      <c r="A3853"/>
    </row>
    <row r="3854">
      <c r="A3854"/>
    </row>
    <row r="3855">
      <c r="A3855"/>
    </row>
    <row r="3856">
      <c r="A3856"/>
    </row>
    <row r="3857">
      <c r="A3857"/>
    </row>
    <row r="3858">
      <c r="A3858"/>
    </row>
    <row r="3859">
      <c r="A3859"/>
    </row>
    <row r="3860">
      <c r="A3860"/>
    </row>
    <row r="3861">
      <c r="A3861"/>
    </row>
    <row r="3862">
      <c r="A3862"/>
    </row>
    <row r="3863">
      <c r="A3863"/>
    </row>
    <row r="3864">
      <c r="A3864"/>
    </row>
    <row r="3865">
      <c r="A3865"/>
    </row>
    <row r="3866">
      <c r="A3866"/>
    </row>
    <row r="3867">
      <c r="A3867"/>
    </row>
    <row r="3868">
      <c r="A3868"/>
    </row>
    <row r="3869">
      <c r="A3869"/>
    </row>
    <row r="3870">
      <c r="A3870"/>
    </row>
    <row r="3871">
      <c r="A3871"/>
    </row>
    <row r="3872">
      <c r="A3872"/>
    </row>
    <row r="3873">
      <c r="A3873"/>
    </row>
    <row r="3874">
      <c r="A3874"/>
    </row>
    <row r="3875">
      <c r="A3875"/>
    </row>
    <row r="3876">
      <c r="A3876"/>
    </row>
    <row r="3877">
      <c r="A3877"/>
    </row>
    <row r="3878">
      <c r="A3878"/>
    </row>
    <row r="3879">
      <c r="A3879"/>
    </row>
    <row r="3880">
      <c r="A3880"/>
    </row>
    <row r="3881">
      <c r="A3881"/>
    </row>
    <row r="3882">
      <c r="A3882"/>
    </row>
    <row r="3883">
      <c r="A3883"/>
    </row>
    <row r="3884">
      <c r="A3884"/>
    </row>
    <row r="3885">
      <c r="A3885"/>
    </row>
    <row r="3886">
      <c r="A3886"/>
    </row>
    <row r="3887">
      <c r="A3887"/>
    </row>
    <row r="3888">
      <c r="A3888"/>
    </row>
    <row r="3889">
      <c r="A3889"/>
    </row>
    <row r="3890">
      <c r="A3890"/>
    </row>
    <row r="3891">
      <c r="A3891"/>
    </row>
    <row r="3892">
      <c r="A3892"/>
    </row>
    <row r="3893">
      <c r="A3893"/>
    </row>
    <row r="3894">
      <c r="A3894"/>
    </row>
    <row r="3895">
      <c r="A3895"/>
    </row>
    <row r="3896">
      <c r="A3896"/>
    </row>
    <row r="3897">
      <c r="A3897"/>
    </row>
    <row r="3898">
      <c r="A3898"/>
    </row>
    <row r="3899">
      <c r="A3899"/>
    </row>
    <row r="3900">
      <c r="A3900"/>
    </row>
    <row r="3901">
      <c r="A3901"/>
    </row>
    <row r="3902">
      <c r="A3902"/>
    </row>
    <row r="3903">
      <c r="A3903"/>
    </row>
    <row r="3904">
      <c r="A3904"/>
    </row>
    <row r="3905">
      <c r="A3905"/>
    </row>
    <row r="3906">
      <c r="A3906"/>
    </row>
    <row r="3907">
      <c r="A3907"/>
    </row>
    <row r="3908">
      <c r="A3908"/>
    </row>
    <row r="3909">
      <c r="A3909"/>
    </row>
    <row r="3910">
      <c r="A3910"/>
    </row>
    <row r="3911">
      <c r="A3911"/>
    </row>
    <row r="3912">
      <c r="A3912"/>
    </row>
    <row r="3913">
      <c r="A3913"/>
    </row>
    <row r="3914">
      <c r="A3914"/>
    </row>
    <row r="3915">
      <c r="A3915"/>
    </row>
    <row r="3916">
      <c r="A3916"/>
    </row>
    <row r="3917">
      <c r="A3917"/>
    </row>
    <row r="3918">
      <c r="A3918"/>
    </row>
    <row r="3919">
      <c r="A3919"/>
    </row>
    <row r="3920">
      <c r="A3920"/>
    </row>
    <row r="3921">
      <c r="A3921"/>
    </row>
    <row r="3922">
      <c r="A3922"/>
    </row>
    <row r="3923">
      <c r="A3923"/>
    </row>
    <row r="3924">
      <c r="A3924"/>
    </row>
    <row r="3925">
      <c r="A3925"/>
    </row>
    <row r="3926">
      <c r="A3926"/>
    </row>
    <row r="3927">
      <c r="A3927"/>
    </row>
    <row r="3928">
      <c r="A3928"/>
    </row>
    <row r="3929">
      <c r="A3929"/>
    </row>
    <row r="3930">
      <c r="A3930"/>
    </row>
    <row r="3931">
      <c r="A3931"/>
    </row>
    <row r="3932">
      <c r="A3932"/>
    </row>
    <row r="3933">
      <c r="A3933"/>
    </row>
    <row r="3934">
      <c r="A3934"/>
    </row>
    <row r="3935">
      <c r="A3935"/>
    </row>
    <row r="3936">
      <c r="A3936"/>
    </row>
    <row r="3937">
      <c r="A3937"/>
    </row>
    <row r="3938">
      <c r="A3938"/>
    </row>
    <row r="3939">
      <c r="A3939"/>
    </row>
    <row r="3940">
      <c r="A3940"/>
    </row>
    <row r="3941">
      <c r="A3941"/>
    </row>
    <row r="3942">
      <c r="A3942"/>
    </row>
    <row r="3943">
      <c r="A3943"/>
    </row>
    <row r="3944">
      <c r="A3944"/>
    </row>
    <row r="3945">
      <c r="A3945"/>
    </row>
    <row r="3946">
      <c r="A3946"/>
    </row>
    <row r="3947">
      <c r="A3947"/>
    </row>
    <row r="3948">
      <c r="A3948"/>
    </row>
    <row r="3949">
      <c r="A3949"/>
    </row>
    <row r="3950">
      <c r="A3950"/>
    </row>
    <row r="3951">
      <c r="A3951"/>
    </row>
    <row r="3952">
      <c r="A3952"/>
    </row>
    <row r="3953">
      <c r="A3953"/>
    </row>
    <row r="3954">
      <c r="A3954"/>
    </row>
    <row r="3955">
      <c r="A3955"/>
    </row>
    <row r="3956">
      <c r="A3956"/>
    </row>
    <row r="3957">
      <c r="A3957"/>
    </row>
    <row r="3958">
      <c r="A3958"/>
    </row>
    <row r="3959">
      <c r="A3959"/>
    </row>
    <row r="3960">
      <c r="A3960"/>
    </row>
    <row r="3961">
      <c r="A3961"/>
    </row>
    <row r="3962">
      <c r="A3962"/>
    </row>
    <row r="3963">
      <c r="A3963"/>
    </row>
    <row r="3964">
      <c r="A3964"/>
    </row>
    <row r="3965">
      <c r="A3965"/>
    </row>
    <row r="3966">
      <c r="A3966"/>
    </row>
    <row r="3967">
      <c r="A3967"/>
    </row>
    <row r="3968">
      <c r="A3968"/>
    </row>
    <row r="3969">
      <c r="A3969"/>
    </row>
    <row r="3970">
      <c r="A3970"/>
    </row>
    <row r="3971">
      <c r="A3971"/>
    </row>
    <row r="3972">
      <c r="A3972"/>
    </row>
    <row r="3973">
      <c r="A3973"/>
    </row>
    <row r="3974">
      <c r="A3974"/>
    </row>
    <row r="3975">
      <c r="A3975"/>
    </row>
    <row r="3976">
      <c r="A3976"/>
    </row>
    <row r="3977">
      <c r="A3977"/>
    </row>
    <row r="3978">
      <c r="A3978"/>
    </row>
    <row r="3979">
      <c r="A3979"/>
    </row>
    <row r="3980">
      <c r="A3980"/>
    </row>
    <row r="3981">
      <c r="A3981"/>
    </row>
    <row r="3982">
      <c r="A3982"/>
    </row>
    <row r="3983">
      <c r="A3983"/>
    </row>
    <row r="3984">
      <c r="A3984"/>
    </row>
    <row r="3985">
      <c r="A3985"/>
    </row>
    <row r="3986">
      <c r="A3986"/>
    </row>
    <row r="3987">
      <c r="A3987"/>
    </row>
    <row r="3988">
      <c r="A3988"/>
    </row>
    <row r="3989">
      <c r="A3989"/>
    </row>
    <row r="3990">
      <c r="A3990"/>
    </row>
    <row r="3991">
      <c r="A3991"/>
    </row>
    <row r="3992">
      <c r="A3992"/>
    </row>
    <row r="3993">
      <c r="A3993"/>
    </row>
    <row r="3994">
      <c r="A3994"/>
    </row>
    <row r="3995">
      <c r="A3995"/>
    </row>
    <row r="3996">
      <c r="A3996"/>
    </row>
    <row r="3997">
      <c r="A3997"/>
    </row>
    <row r="3998">
      <c r="A3998"/>
    </row>
    <row r="3999">
      <c r="A3999"/>
    </row>
    <row r="4000">
      <c r="A4000"/>
    </row>
    <row r="4001">
      <c r="A4001"/>
    </row>
    <row r="4002">
      <c r="A4002"/>
    </row>
    <row r="4003">
      <c r="A4003"/>
    </row>
    <row r="4004">
      <c r="A4004"/>
    </row>
    <row r="4005">
      <c r="A4005"/>
    </row>
    <row r="4006">
      <c r="A4006"/>
    </row>
    <row r="4007">
      <c r="A4007"/>
    </row>
    <row r="4008">
      <c r="A4008"/>
    </row>
    <row r="4009">
      <c r="A4009"/>
    </row>
    <row r="4010">
      <c r="A4010"/>
    </row>
    <row r="4011">
      <c r="A4011"/>
    </row>
    <row r="4012">
      <c r="A4012"/>
    </row>
    <row r="4013">
      <c r="A4013"/>
    </row>
    <row r="4014">
      <c r="A4014"/>
    </row>
    <row r="4015">
      <c r="A4015"/>
    </row>
    <row r="4016">
      <c r="A4016"/>
    </row>
    <row r="4017">
      <c r="A4017"/>
    </row>
    <row r="4018">
      <c r="A4018"/>
    </row>
    <row r="4019">
      <c r="A4019"/>
    </row>
    <row r="4020">
      <c r="A4020"/>
    </row>
    <row r="4021">
      <c r="A4021"/>
    </row>
    <row r="4022">
      <c r="A4022"/>
    </row>
    <row r="4023">
      <c r="A4023"/>
    </row>
    <row r="4024">
      <c r="A4024"/>
    </row>
    <row r="4025">
      <c r="A4025"/>
    </row>
    <row r="4026">
      <c r="A4026"/>
    </row>
    <row r="4027">
      <c r="A4027"/>
    </row>
    <row r="4028">
      <c r="A4028"/>
    </row>
    <row r="4029">
      <c r="A4029"/>
    </row>
    <row r="4030">
      <c r="A4030"/>
    </row>
    <row r="4031">
      <c r="A4031"/>
    </row>
    <row r="4032">
      <c r="A4032"/>
    </row>
    <row r="4033">
      <c r="A4033"/>
    </row>
    <row r="4034">
      <c r="A4034"/>
    </row>
    <row r="4035">
      <c r="A4035"/>
    </row>
    <row r="4036">
      <c r="A4036"/>
    </row>
    <row r="4037">
      <c r="A4037"/>
    </row>
    <row r="4038">
      <c r="A4038"/>
    </row>
    <row r="4039">
      <c r="A4039"/>
    </row>
    <row r="4040">
      <c r="A4040"/>
    </row>
    <row r="4041">
      <c r="A4041"/>
    </row>
    <row r="4042">
      <c r="A4042"/>
    </row>
    <row r="4043">
      <c r="A4043"/>
    </row>
    <row r="4044">
      <c r="A4044"/>
    </row>
    <row r="4045">
      <c r="A4045"/>
    </row>
    <row r="4046">
      <c r="A4046"/>
    </row>
    <row r="4047">
      <c r="A4047"/>
    </row>
    <row r="4048">
      <c r="A4048"/>
    </row>
    <row r="4049">
      <c r="A4049"/>
    </row>
    <row r="4050">
      <c r="A4050"/>
    </row>
    <row r="4051">
      <c r="A4051"/>
    </row>
    <row r="4052">
      <c r="A4052"/>
    </row>
    <row r="4053">
      <c r="A4053"/>
    </row>
    <row r="4054">
      <c r="A4054"/>
    </row>
    <row r="4055">
      <c r="A4055"/>
    </row>
    <row r="4056">
      <c r="A4056"/>
    </row>
    <row r="4057">
      <c r="A4057"/>
    </row>
    <row r="4058">
      <c r="A4058"/>
    </row>
    <row r="4059">
      <c r="A4059"/>
    </row>
    <row r="4060">
      <c r="A4060"/>
    </row>
    <row r="4061">
      <c r="A4061"/>
    </row>
    <row r="4062">
      <c r="A4062"/>
    </row>
    <row r="4063">
      <c r="A4063"/>
    </row>
    <row r="4064">
      <c r="A4064"/>
    </row>
    <row r="4065">
      <c r="A4065"/>
    </row>
    <row r="4066">
      <c r="A4066"/>
    </row>
    <row r="4067">
      <c r="A4067"/>
    </row>
    <row r="4068">
      <c r="A4068"/>
    </row>
    <row r="4069">
      <c r="A4069"/>
    </row>
    <row r="4070">
      <c r="A4070"/>
    </row>
    <row r="4071">
      <c r="A4071"/>
    </row>
    <row r="4072">
      <c r="A4072"/>
    </row>
    <row r="4073">
      <c r="A4073"/>
    </row>
    <row r="4074">
      <c r="A4074"/>
    </row>
    <row r="4075">
      <c r="A4075"/>
    </row>
    <row r="4076">
      <c r="A4076"/>
    </row>
    <row r="4077">
      <c r="A4077"/>
    </row>
    <row r="4078">
      <c r="A4078"/>
    </row>
    <row r="4079">
      <c r="A4079"/>
    </row>
    <row r="4080">
      <c r="A4080"/>
    </row>
    <row r="4081">
      <c r="A4081"/>
    </row>
    <row r="4082">
      <c r="A4082"/>
    </row>
    <row r="4083">
      <c r="A4083"/>
    </row>
    <row r="4084">
      <c r="A4084"/>
    </row>
    <row r="4085">
      <c r="A4085"/>
    </row>
    <row r="4086">
      <c r="A4086"/>
    </row>
    <row r="4087">
      <c r="A4087"/>
    </row>
    <row r="4088">
      <c r="A4088"/>
    </row>
    <row r="4089">
      <c r="A4089"/>
    </row>
    <row r="4090">
      <c r="A4090"/>
    </row>
    <row r="4091">
      <c r="A4091"/>
    </row>
    <row r="4092">
      <c r="A4092"/>
    </row>
    <row r="4093">
      <c r="A4093"/>
    </row>
    <row r="4094">
      <c r="A4094"/>
    </row>
    <row r="4095">
      <c r="A4095"/>
    </row>
    <row r="4096">
      <c r="A4096"/>
    </row>
    <row r="4097">
      <c r="A4097"/>
    </row>
    <row r="4098">
      <c r="A4098"/>
    </row>
    <row r="4099">
      <c r="A4099"/>
    </row>
    <row r="4100">
      <c r="A4100"/>
    </row>
    <row r="4101">
      <c r="A4101"/>
    </row>
    <row r="4102">
      <c r="A4102"/>
    </row>
    <row r="4103">
      <c r="A4103"/>
    </row>
    <row r="4104">
      <c r="A4104"/>
    </row>
    <row r="4105">
      <c r="A4105"/>
    </row>
    <row r="4106">
      <c r="A4106"/>
    </row>
    <row r="4107">
      <c r="A4107"/>
    </row>
    <row r="4108">
      <c r="A4108"/>
    </row>
    <row r="4109">
      <c r="A4109"/>
    </row>
    <row r="4110">
      <c r="A4110"/>
    </row>
    <row r="4111">
      <c r="A4111"/>
    </row>
    <row r="4112">
      <c r="A4112"/>
    </row>
    <row r="4113">
      <c r="A4113"/>
    </row>
    <row r="4114">
      <c r="A4114"/>
    </row>
    <row r="4115">
      <c r="A4115"/>
    </row>
    <row r="4116">
      <c r="A4116"/>
    </row>
    <row r="4117">
      <c r="A4117"/>
    </row>
    <row r="4118">
      <c r="A4118"/>
    </row>
    <row r="4119">
      <c r="A4119"/>
    </row>
    <row r="4120">
      <c r="A4120"/>
    </row>
    <row r="4121">
      <c r="A4121"/>
    </row>
    <row r="4122">
      <c r="A4122"/>
    </row>
    <row r="4123">
      <c r="A4123"/>
    </row>
    <row r="4124">
      <c r="A4124"/>
    </row>
    <row r="4125">
      <c r="A4125"/>
    </row>
    <row r="4126">
      <c r="A4126"/>
    </row>
    <row r="4127">
      <c r="A4127"/>
    </row>
    <row r="4128">
      <c r="A4128"/>
    </row>
    <row r="4129">
      <c r="A4129"/>
    </row>
    <row r="4130">
      <c r="A4130"/>
    </row>
    <row r="4131">
      <c r="A4131"/>
    </row>
    <row r="4132">
      <c r="A4132"/>
    </row>
    <row r="4133">
      <c r="A4133"/>
    </row>
    <row r="4134">
      <c r="A4134"/>
    </row>
    <row r="4135">
      <c r="A4135"/>
    </row>
    <row r="4136">
      <c r="A4136"/>
    </row>
    <row r="4137">
      <c r="A4137"/>
    </row>
    <row r="4138">
      <c r="A4138"/>
    </row>
    <row r="4139">
      <c r="A4139"/>
    </row>
    <row r="4140">
      <c r="A4140"/>
    </row>
    <row r="4141">
      <c r="A4141"/>
    </row>
    <row r="4142">
      <c r="A4142"/>
    </row>
    <row r="4143">
      <c r="A4143"/>
    </row>
    <row r="4144">
      <c r="A4144"/>
    </row>
    <row r="4145">
      <c r="A4145"/>
    </row>
    <row r="4146">
      <c r="A4146"/>
    </row>
    <row r="4147">
      <c r="A4147"/>
    </row>
    <row r="4148">
      <c r="A4148"/>
    </row>
    <row r="4149">
      <c r="A4149"/>
    </row>
    <row r="4150">
      <c r="A4150"/>
    </row>
    <row r="4151">
      <c r="A4151"/>
    </row>
    <row r="4152">
      <c r="A4152"/>
    </row>
    <row r="4153">
      <c r="A4153"/>
    </row>
    <row r="4154">
      <c r="A4154"/>
    </row>
    <row r="4155">
      <c r="A4155"/>
    </row>
    <row r="4156">
      <c r="A4156"/>
    </row>
    <row r="4157">
      <c r="A4157"/>
    </row>
    <row r="4158">
      <c r="A4158"/>
    </row>
    <row r="4159">
      <c r="A4159"/>
    </row>
    <row r="4160">
      <c r="A4160"/>
    </row>
    <row r="4161">
      <c r="A4161"/>
    </row>
    <row r="4162">
      <c r="A4162"/>
    </row>
    <row r="4163">
      <c r="A4163"/>
    </row>
    <row r="4164">
      <c r="A4164"/>
    </row>
    <row r="4165">
      <c r="A4165"/>
    </row>
    <row r="4166">
      <c r="A4166"/>
    </row>
    <row r="4167">
      <c r="A4167"/>
    </row>
    <row r="4168">
      <c r="A4168"/>
    </row>
    <row r="4169">
      <c r="A4169"/>
    </row>
    <row r="4170">
      <c r="A4170"/>
    </row>
    <row r="4171">
      <c r="A4171"/>
    </row>
    <row r="4172">
      <c r="A4172"/>
    </row>
    <row r="4173">
      <c r="A4173"/>
    </row>
    <row r="4174">
      <c r="A4174"/>
    </row>
    <row r="4175">
      <c r="A4175"/>
    </row>
    <row r="4176">
      <c r="A4176"/>
    </row>
    <row r="4177">
      <c r="A4177"/>
    </row>
    <row r="4178">
      <c r="A4178"/>
    </row>
    <row r="4179">
      <c r="A4179"/>
    </row>
    <row r="4180">
      <c r="A4180"/>
    </row>
    <row r="4181">
      <c r="A4181"/>
    </row>
    <row r="4182">
      <c r="A4182"/>
    </row>
    <row r="4183">
      <c r="A4183"/>
    </row>
    <row r="4184">
      <c r="A4184"/>
    </row>
    <row r="4185">
      <c r="A4185"/>
    </row>
    <row r="4186">
      <c r="A4186"/>
    </row>
    <row r="4187">
      <c r="A4187"/>
    </row>
    <row r="4188">
      <c r="A4188"/>
    </row>
    <row r="4189">
      <c r="A4189"/>
    </row>
    <row r="4190">
      <c r="A4190"/>
    </row>
    <row r="4191">
      <c r="A4191"/>
    </row>
    <row r="4192">
      <c r="A4192"/>
    </row>
    <row r="4193">
      <c r="A4193"/>
    </row>
    <row r="4194">
      <c r="A4194"/>
    </row>
    <row r="4195">
      <c r="A4195"/>
    </row>
    <row r="4196">
      <c r="A4196"/>
    </row>
    <row r="4197">
      <c r="A4197"/>
    </row>
    <row r="4198">
      <c r="A4198"/>
    </row>
    <row r="4199">
      <c r="A4199"/>
    </row>
    <row r="4200">
      <c r="A4200"/>
    </row>
    <row r="4201">
      <c r="A4201"/>
    </row>
    <row r="4202">
      <c r="A4202"/>
    </row>
    <row r="4203">
      <c r="A4203"/>
    </row>
    <row r="4204">
      <c r="A4204"/>
    </row>
    <row r="4205">
      <c r="A4205"/>
    </row>
    <row r="4206">
      <c r="A4206"/>
    </row>
    <row r="4207">
      <c r="A4207"/>
    </row>
    <row r="4208">
      <c r="A4208"/>
    </row>
    <row r="4209">
      <c r="A4209"/>
    </row>
    <row r="4210">
      <c r="A4210"/>
    </row>
    <row r="4211">
      <c r="A4211"/>
    </row>
    <row r="4212">
      <c r="A4212"/>
    </row>
    <row r="4213">
      <c r="A4213"/>
    </row>
    <row r="4214">
      <c r="A4214"/>
    </row>
    <row r="4215">
      <c r="A4215"/>
    </row>
    <row r="4216">
      <c r="A4216"/>
    </row>
    <row r="4217">
      <c r="A4217"/>
    </row>
    <row r="4218">
      <c r="A4218"/>
    </row>
    <row r="4219">
      <c r="A4219"/>
    </row>
    <row r="4220">
      <c r="A4220"/>
    </row>
    <row r="4221">
      <c r="A4221"/>
    </row>
    <row r="4222">
      <c r="A4222"/>
    </row>
    <row r="4223">
      <c r="A4223"/>
    </row>
    <row r="4224">
      <c r="A4224"/>
    </row>
    <row r="4225">
      <c r="A4225"/>
    </row>
    <row r="4226">
      <c r="A4226"/>
    </row>
    <row r="4227">
      <c r="A4227"/>
    </row>
    <row r="4228">
      <c r="A4228"/>
    </row>
    <row r="4229">
      <c r="A4229"/>
    </row>
    <row r="4230">
      <c r="A4230"/>
    </row>
    <row r="4231">
      <c r="A4231"/>
    </row>
    <row r="4232">
      <c r="A4232"/>
    </row>
    <row r="4233">
      <c r="A4233"/>
    </row>
    <row r="4234">
      <c r="A4234"/>
    </row>
    <row r="4235">
      <c r="A4235"/>
    </row>
    <row r="4236">
      <c r="A4236"/>
    </row>
    <row r="4237">
      <c r="A4237"/>
    </row>
    <row r="4238">
      <c r="A4238"/>
    </row>
    <row r="4239">
      <c r="A4239"/>
    </row>
    <row r="4240">
      <c r="A4240"/>
    </row>
    <row r="4241">
      <c r="A4241"/>
    </row>
    <row r="4242">
      <c r="A4242"/>
    </row>
    <row r="4243">
      <c r="A4243"/>
    </row>
    <row r="4244">
      <c r="A4244"/>
    </row>
    <row r="4245">
      <c r="A4245"/>
    </row>
    <row r="4246">
      <c r="A4246"/>
    </row>
    <row r="4247">
      <c r="A4247"/>
    </row>
    <row r="4248">
      <c r="A4248"/>
    </row>
    <row r="4249">
      <c r="A4249"/>
    </row>
    <row r="4250">
      <c r="A4250"/>
    </row>
    <row r="4251">
      <c r="A4251"/>
    </row>
    <row r="4252">
      <c r="A4252"/>
    </row>
    <row r="4253">
      <c r="A4253"/>
    </row>
    <row r="4254">
      <c r="A4254"/>
    </row>
    <row r="4255">
      <c r="A4255"/>
    </row>
    <row r="4256">
      <c r="A4256"/>
    </row>
    <row r="4257">
      <c r="A4257"/>
    </row>
    <row r="4258">
      <c r="A4258"/>
    </row>
    <row r="4259">
      <c r="A4259"/>
    </row>
    <row r="4260">
      <c r="A4260"/>
    </row>
    <row r="4261">
      <c r="A4261"/>
    </row>
    <row r="4262">
      <c r="A4262"/>
    </row>
    <row r="4263">
      <c r="A4263"/>
    </row>
    <row r="4264">
      <c r="A4264"/>
    </row>
    <row r="4265">
      <c r="A4265"/>
    </row>
    <row r="4266">
      <c r="A4266"/>
    </row>
    <row r="4267">
      <c r="A4267"/>
    </row>
    <row r="4268">
      <c r="A4268"/>
    </row>
    <row r="4269">
      <c r="A4269"/>
    </row>
    <row r="4270">
      <c r="A4270"/>
    </row>
    <row r="4271">
      <c r="A4271"/>
    </row>
    <row r="4272">
      <c r="A4272"/>
    </row>
    <row r="4273">
      <c r="A4273"/>
    </row>
    <row r="4274">
      <c r="A4274"/>
    </row>
    <row r="4275">
      <c r="A4275"/>
    </row>
    <row r="4276">
      <c r="A4276"/>
    </row>
    <row r="4277">
      <c r="A4277"/>
    </row>
    <row r="4278">
      <c r="A4278"/>
    </row>
    <row r="4279">
      <c r="A4279"/>
    </row>
    <row r="4280">
      <c r="A4280"/>
    </row>
    <row r="4281">
      <c r="A4281"/>
    </row>
    <row r="4282">
      <c r="A4282"/>
    </row>
    <row r="4283">
      <c r="A4283"/>
    </row>
    <row r="4284">
      <c r="A4284"/>
    </row>
    <row r="4285">
      <c r="A4285"/>
    </row>
    <row r="4286">
      <c r="A4286"/>
    </row>
    <row r="4287">
      <c r="A4287"/>
    </row>
    <row r="4288">
      <c r="A4288"/>
    </row>
    <row r="4289">
      <c r="A4289"/>
    </row>
    <row r="4290">
      <c r="A4290"/>
    </row>
    <row r="4291">
      <c r="A4291"/>
    </row>
    <row r="4292">
      <c r="A4292"/>
    </row>
    <row r="4293">
      <c r="A4293"/>
    </row>
    <row r="4294">
      <c r="A4294"/>
    </row>
    <row r="4295">
      <c r="A4295"/>
    </row>
    <row r="4296">
      <c r="A4296"/>
    </row>
    <row r="4297">
      <c r="A4297"/>
    </row>
    <row r="4298">
      <c r="A4298"/>
    </row>
    <row r="4299">
      <c r="A4299"/>
    </row>
    <row r="4300">
      <c r="A4300"/>
    </row>
    <row r="4301">
      <c r="A4301"/>
    </row>
    <row r="4302">
      <c r="A4302"/>
    </row>
    <row r="4303">
      <c r="A4303"/>
    </row>
    <row r="4304">
      <c r="A4304"/>
    </row>
    <row r="4305">
      <c r="A4305"/>
    </row>
    <row r="4306">
      <c r="A4306"/>
    </row>
    <row r="4307">
      <c r="A4307"/>
    </row>
    <row r="4308">
      <c r="A4308"/>
    </row>
    <row r="4309">
      <c r="A4309"/>
    </row>
    <row r="4310">
      <c r="A4310"/>
    </row>
    <row r="4311">
      <c r="A4311"/>
    </row>
    <row r="4312">
      <c r="A4312"/>
    </row>
    <row r="4313">
      <c r="A4313"/>
    </row>
    <row r="4314">
      <c r="A4314"/>
    </row>
    <row r="4315">
      <c r="A4315"/>
    </row>
    <row r="4316">
      <c r="A4316"/>
    </row>
    <row r="4317">
      <c r="A4317"/>
    </row>
    <row r="4318">
      <c r="A4318"/>
    </row>
    <row r="4319">
      <c r="A4319"/>
    </row>
    <row r="4320">
      <c r="A4320"/>
    </row>
    <row r="4321">
      <c r="A4321"/>
    </row>
    <row r="4322">
      <c r="A4322"/>
    </row>
    <row r="4323">
      <c r="A4323"/>
    </row>
    <row r="4324">
      <c r="A4324"/>
    </row>
    <row r="4325">
      <c r="A4325"/>
    </row>
    <row r="4326">
      <c r="A4326"/>
    </row>
    <row r="4327">
      <c r="A4327"/>
    </row>
    <row r="4328">
      <c r="A4328"/>
    </row>
    <row r="4329">
      <c r="A4329"/>
    </row>
    <row r="4330">
      <c r="A4330"/>
    </row>
    <row r="4331">
      <c r="A4331"/>
    </row>
    <row r="4332">
      <c r="A4332"/>
    </row>
    <row r="4333">
      <c r="A4333"/>
    </row>
    <row r="4334">
      <c r="A4334"/>
    </row>
    <row r="4335">
      <c r="A4335"/>
    </row>
    <row r="4336">
      <c r="A4336"/>
    </row>
    <row r="4337">
      <c r="A4337"/>
    </row>
    <row r="4338">
      <c r="A4338"/>
    </row>
    <row r="4339">
      <c r="A4339"/>
    </row>
    <row r="4340">
      <c r="A4340"/>
    </row>
    <row r="4341">
      <c r="A4341"/>
    </row>
    <row r="4342">
      <c r="A4342"/>
    </row>
    <row r="4343">
      <c r="A4343"/>
    </row>
    <row r="4344">
      <c r="A4344"/>
    </row>
    <row r="4345">
      <c r="A4345"/>
    </row>
    <row r="4346">
      <c r="A4346"/>
    </row>
    <row r="4347">
      <c r="A4347"/>
    </row>
    <row r="4348">
      <c r="A4348"/>
    </row>
    <row r="4349">
      <c r="A4349"/>
    </row>
    <row r="4350">
      <c r="A4350"/>
    </row>
    <row r="4351">
      <c r="A4351"/>
    </row>
    <row r="4352">
      <c r="A4352"/>
    </row>
    <row r="4353">
      <c r="A4353"/>
    </row>
    <row r="4354">
      <c r="A4354"/>
    </row>
    <row r="4355">
      <c r="A4355"/>
    </row>
    <row r="4356">
      <c r="A4356"/>
    </row>
    <row r="4357">
      <c r="A4357"/>
    </row>
    <row r="4358">
      <c r="A4358"/>
    </row>
    <row r="4359">
      <c r="A4359"/>
    </row>
    <row r="4360">
      <c r="A4360"/>
    </row>
    <row r="4361">
      <c r="A4361"/>
    </row>
    <row r="4362">
      <c r="A4362"/>
    </row>
    <row r="4363">
      <c r="A4363"/>
    </row>
    <row r="4364">
      <c r="A4364"/>
    </row>
    <row r="4365">
      <c r="A4365"/>
    </row>
    <row r="4366">
      <c r="A4366"/>
    </row>
    <row r="4367">
      <c r="A4367"/>
    </row>
    <row r="4368">
      <c r="A4368"/>
    </row>
    <row r="4369">
      <c r="A4369"/>
    </row>
    <row r="4370">
      <c r="A4370"/>
    </row>
    <row r="4371">
      <c r="A4371"/>
    </row>
    <row r="4372">
      <c r="A4372"/>
    </row>
    <row r="4373">
      <c r="A4373"/>
    </row>
    <row r="4374">
      <c r="A4374"/>
    </row>
    <row r="4375">
      <c r="A4375"/>
    </row>
    <row r="4376">
      <c r="A4376"/>
    </row>
    <row r="4377">
      <c r="A4377"/>
    </row>
    <row r="4378">
      <c r="A4378"/>
    </row>
    <row r="4379">
      <c r="A4379"/>
    </row>
    <row r="4380">
      <c r="A4380"/>
    </row>
    <row r="4381">
      <c r="A4381"/>
    </row>
    <row r="4382">
      <c r="A4382"/>
    </row>
    <row r="4383">
      <c r="A4383"/>
    </row>
    <row r="4384">
      <c r="A4384"/>
    </row>
    <row r="4385">
      <c r="A4385"/>
    </row>
    <row r="4386">
      <c r="A4386"/>
    </row>
    <row r="4387">
      <c r="A4387"/>
    </row>
    <row r="4388">
      <c r="A4388"/>
    </row>
    <row r="4389">
      <c r="A4389"/>
    </row>
    <row r="4390">
      <c r="A4390"/>
    </row>
    <row r="4391">
      <c r="A4391"/>
    </row>
    <row r="4392">
      <c r="A4392"/>
    </row>
    <row r="4393">
      <c r="A4393"/>
    </row>
    <row r="4394">
      <c r="A4394"/>
    </row>
    <row r="4395">
      <c r="A4395"/>
    </row>
    <row r="4396">
      <c r="A4396"/>
    </row>
    <row r="4397">
      <c r="A4397"/>
    </row>
    <row r="4398">
      <c r="A4398"/>
    </row>
    <row r="4399">
      <c r="A4399"/>
    </row>
    <row r="4400">
      <c r="A4400"/>
    </row>
    <row r="4401">
      <c r="A4401"/>
    </row>
    <row r="4402">
      <c r="A4402"/>
    </row>
    <row r="4403">
      <c r="A4403"/>
    </row>
    <row r="4404">
      <c r="A4404"/>
    </row>
    <row r="4405">
      <c r="A4405"/>
    </row>
    <row r="4406">
      <c r="A4406"/>
    </row>
    <row r="4407">
      <c r="A4407"/>
    </row>
    <row r="4408">
      <c r="A4408"/>
    </row>
    <row r="4409">
      <c r="A4409"/>
    </row>
    <row r="4410">
      <c r="A4410"/>
    </row>
    <row r="4411">
      <c r="A4411"/>
    </row>
    <row r="4412">
      <c r="A4412"/>
    </row>
    <row r="4413">
      <c r="A4413"/>
    </row>
    <row r="4414">
      <c r="A4414"/>
    </row>
    <row r="4415">
      <c r="A4415"/>
    </row>
    <row r="4416">
      <c r="A4416"/>
    </row>
    <row r="4417">
      <c r="A4417"/>
    </row>
    <row r="4418">
      <c r="A4418"/>
    </row>
    <row r="4419">
      <c r="A4419"/>
    </row>
    <row r="4420">
      <c r="A4420"/>
    </row>
    <row r="4421">
      <c r="A4421"/>
    </row>
    <row r="4422">
      <c r="A4422"/>
    </row>
    <row r="4423">
      <c r="A4423"/>
    </row>
    <row r="4424">
      <c r="A4424"/>
    </row>
    <row r="4425">
      <c r="A4425"/>
    </row>
    <row r="4426">
      <c r="A4426"/>
    </row>
    <row r="4427">
      <c r="A4427"/>
    </row>
    <row r="4428">
      <c r="A4428"/>
    </row>
    <row r="4429">
      <c r="A4429"/>
    </row>
    <row r="4430">
      <c r="A4430"/>
    </row>
    <row r="4431">
      <c r="A4431"/>
    </row>
    <row r="4432">
      <c r="A4432"/>
    </row>
    <row r="4433">
      <c r="A4433"/>
    </row>
    <row r="4434">
      <c r="A4434"/>
    </row>
    <row r="4435">
      <c r="A4435"/>
    </row>
    <row r="4436">
      <c r="A4436"/>
    </row>
    <row r="4437">
      <c r="A4437"/>
    </row>
    <row r="4438">
      <c r="A4438"/>
    </row>
    <row r="4439">
      <c r="A4439"/>
    </row>
    <row r="4440">
      <c r="A4440"/>
    </row>
    <row r="4441">
      <c r="A4441"/>
    </row>
    <row r="4442">
      <c r="A4442"/>
    </row>
    <row r="4443">
      <c r="A4443"/>
    </row>
    <row r="4444">
      <c r="A4444"/>
    </row>
    <row r="4445">
      <c r="A4445"/>
    </row>
    <row r="4446">
      <c r="A4446"/>
    </row>
    <row r="4447">
      <c r="A4447"/>
    </row>
    <row r="4448">
      <c r="A4448"/>
    </row>
    <row r="4449">
      <c r="A4449"/>
    </row>
    <row r="4450">
      <c r="A4450"/>
    </row>
    <row r="4451">
      <c r="A4451"/>
    </row>
    <row r="4452">
      <c r="A4452"/>
    </row>
    <row r="4453">
      <c r="A4453"/>
    </row>
    <row r="4454">
      <c r="A4454"/>
    </row>
    <row r="4455">
      <c r="A4455"/>
    </row>
    <row r="4456">
      <c r="A4456"/>
    </row>
    <row r="4457">
      <c r="A4457"/>
    </row>
    <row r="4458">
      <c r="A4458"/>
    </row>
    <row r="4459">
      <c r="A4459"/>
    </row>
    <row r="4460">
      <c r="A4460"/>
    </row>
    <row r="4461">
      <c r="A4461"/>
    </row>
    <row r="4462">
      <c r="A4462"/>
    </row>
    <row r="4463">
      <c r="A4463"/>
    </row>
    <row r="4464">
      <c r="A4464"/>
    </row>
    <row r="4465">
      <c r="A4465"/>
    </row>
    <row r="4466">
      <c r="A4466"/>
    </row>
    <row r="4467">
      <c r="A4467"/>
    </row>
    <row r="4468">
      <c r="A4468"/>
    </row>
    <row r="4469">
      <c r="A4469"/>
    </row>
    <row r="4470">
      <c r="A4470"/>
    </row>
    <row r="4471">
      <c r="A4471"/>
    </row>
    <row r="4472">
      <c r="A4472"/>
    </row>
    <row r="4473">
      <c r="A4473"/>
    </row>
    <row r="4474">
      <c r="A4474"/>
    </row>
    <row r="4475">
      <c r="A4475"/>
    </row>
    <row r="4476">
      <c r="A4476"/>
    </row>
    <row r="4477">
      <c r="A4477"/>
    </row>
    <row r="4478">
      <c r="A4478"/>
    </row>
    <row r="4479">
      <c r="A4479"/>
    </row>
    <row r="4480">
      <c r="A4480"/>
    </row>
    <row r="4481">
      <c r="A4481"/>
    </row>
    <row r="4482">
      <c r="A4482"/>
    </row>
    <row r="4483">
      <c r="A4483"/>
    </row>
    <row r="4484">
      <c r="A4484"/>
    </row>
    <row r="4485">
      <c r="A4485"/>
    </row>
    <row r="4486">
      <c r="A4486"/>
    </row>
    <row r="4487">
      <c r="A4487"/>
    </row>
    <row r="4488">
      <c r="A4488"/>
    </row>
    <row r="4489">
      <c r="A4489"/>
    </row>
    <row r="4490">
      <c r="A4490"/>
    </row>
    <row r="4491">
      <c r="A4491"/>
    </row>
    <row r="4492">
      <c r="A4492"/>
    </row>
    <row r="4493">
      <c r="A4493"/>
    </row>
    <row r="4494">
      <c r="A4494"/>
    </row>
    <row r="4495">
      <c r="A4495"/>
    </row>
    <row r="4496">
      <c r="A4496"/>
    </row>
    <row r="4497">
      <c r="A4497"/>
    </row>
    <row r="4498">
      <c r="A4498"/>
    </row>
    <row r="4499">
      <c r="A4499"/>
    </row>
    <row r="4500">
      <c r="A4500"/>
    </row>
    <row r="4501">
      <c r="A4501"/>
    </row>
    <row r="4502">
      <c r="A4502"/>
    </row>
    <row r="4503">
      <c r="A4503"/>
    </row>
    <row r="4504">
      <c r="A4504"/>
    </row>
    <row r="4505">
      <c r="A4505"/>
    </row>
    <row r="4506">
      <c r="A4506"/>
    </row>
    <row r="4507">
      <c r="A4507"/>
    </row>
    <row r="4508">
      <c r="A4508"/>
    </row>
    <row r="4509">
      <c r="A4509"/>
    </row>
    <row r="4510">
      <c r="A4510"/>
    </row>
    <row r="4511">
      <c r="A4511"/>
    </row>
    <row r="4512">
      <c r="A4512"/>
    </row>
    <row r="4513">
      <c r="A4513"/>
    </row>
    <row r="4514">
      <c r="A4514"/>
    </row>
    <row r="4515">
      <c r="A4515"/>
    </row>
    <row r="4516">
      <c r="A4516"/>
    </row>
    <row r="4517">
      <c r="A4517"/>
    </row>
    <row r="4518">
      <c r="A4518"/>
    </row>
    <row r="4519">
      <c r="A4519"/>
    </row>
    <row r="4520">
      <c r="A4520"/>
    </row>
    <row r="4521">
      <c r="A4521"/>
    </row>
    <row r="4522">
      <c r="A4522"/>
    </row>
    <row r="4523">
      <c r="A4523"/>
    </row>
    <row r="4524">
      <c r="A4524"/>
    </row>
    <row r="4525">
      <c r="A4525"/>
    </row>
    <row r="4526">
      <c r="A4526"/>
    </row>
    <row r="4527">
      <c r="A4527"/>
    </row>
    <row r="4528">
      <c r="A4528"/>
    </row>
    <row r="4529">
      <c r="A4529"/>
    </row>
    <row r="4530">
      <c r="A4530"/>
    </row>
    <row r="4531">
      <c r="A4531"/>
    </row>
    <row r="4532">
      <c r="A4532"/>
    </row>
    <row r="4533">
      <c r="A4533"/>
    </row>
    <row r="4534">
      <c r="A4534"/>
    </row>
    <row r="4535">
      <c r="A4535"/>
    </row>
    <row r="4536">
      <c r="A4536"/>
    </row>
    <row r="4537">
      <c r="A4537"/>
    </row>
    <row r="4538">
      <c r="A4538"/>
    </row>
    <row r="4539">
      <c r="A4539"/>
    </row>
    <row r="4540">
      <c r="A4540"/>
    </row>
    <row r="4541">
      <c r="A4541"/>
    </row>
    <row r="4542">
      <c r="A4542"/>
    </row>
    <row r="4543">
      <c r="A4543"/>
    </row>
    <row r="4544">
      <c r="A4544"/>
    </row>
    <row r="4545">
      <c r="A4545"/>
    </row>
    <row r="4546">
      <c r="A4546"/>
    </row>
    <row r="4547">
      <c r="A4547"/>
    </row>
    <row r="4548">
      <c r="A4548"/>
    </row>
    <row r="4549">
      <c r="A4549"/>
    </row>
    <row r="4550">
      <c r="A4550"/>
    </row>
    <row r="4551">
      <c r="A4551"/>
    </row>
    <row r="4552">
      <c r="A4552"/>
    </row>
    <row r="4553">
      <c r="A4553"/>
    </row>
    <row r="4554">
      <c r="A4554"/>
    </row>
    <row r="4555">
      <c r="A4555"/>
    </row>
    <row r="4556">
      <c r="A4556"/>
    </row>
    <row r="4557">
      <c r="A4557"/>
    </row>
    <row r="4558">
      <c r="A4558"/>
    </row>
    <row r="4559">
      <c r="A4559"/>
    </row>
    <row r="4560">
      <c r="A4560"/>
    </row>
    <row r="4561">
      <c r="A4561"/>
    </row>
    <row r="4562">
      <c r="A4562"/>
    </row>
    <row r="4563">
      <c r="A4563"/>
    </row>
    <row r="4564">
      <c r="A4564"/>
    </row>
    <row r="4565">
      <c r="A4565"/>
    </row>
    <row r="4566">
      <c r="A4566"/>
    </row>
    <row r="4567">
      <c r="A4567"/>
    </row>
    <row r="4568">
      <c r="A4568"/>
    </row>
    <row r="4569">
      <c r="A4569"/>
    </row>
    <row r="4570">
      <c r="A4570"/>
    </row>
    <row r="4571">
      <c r="A4571"/>
    </row>
    <row r="4572">
      <c r="A4572"/>
    </row>
    <row r="4573">
      <c r="A4573"/>
    </row>
    <row r="4574">
      <c r="A4574"/>
    </row>
    <row r="4575">
      <c r="A4575"/>
    </row>
    <row r="4576">
      <c r="A4576"/>
    </row>
    <row r="4577">
      <c r="A4577"/>
    </row>
    <row r="4578">
      <c r="A4578"/>
    </row>
    <row r="4579">
      <c r="A4579"/>
    </row>
    <row r="4580">
      <c r="A4580"/>
    </row>
    <row r="4581">
      <c r="A4581"/>
    </row>
    <row r="4582">
      <c r="A4582"/>
    </row>
    <row r="4583">
      <c r="A4583"/>
    </row>
    <row r="4584">
      <c r="A4584"/>
    </row>
    <row r="4585">
      <c r="A4585"/>
    </row>
    <row r="4586">
      <c r="A4586"/>
    </row>
    <row r="4587">
      <c r="A4587"/>
    </row>
    <row r="4588">
      <c r="A4588"/>
    </row>
    <row r="4589">
      <c r="A4589"/>
    </row>
    <row r="4590">
      <c r="A4590"/>
    </row>
    <row r="4591">
      <c r="A4591"/>
    </row>
    <row r="4592">
      <c r="A4592"/>
    </row>
    <row r="4593">
      <c r="A4593"/>
    </row>
    <row r="4594">
      <c r="A4594"/>
    </row>
    <row r="4595">
      <c r="A4595"/>
    </row>
    <row r="4596">
      <c r="A4596"/>
    </row>
    <row r="4597">
      <c r="A4597"/>
    </row>
    <row r="4598">
      <c r="A4598"/>
    </row>
    <row r="4599">
      <c r="A4599"/>
    </row>
    <row r="4600">
      <c r="A4600"/>
    </row>
    <row r="4601">
      <c r="A4601"/>
    </row>
    <row r="4602">
      <c r="A4602"/>
    </row>
    <row r="4603">
      <c r="A4603"/>
    </row>
    <row r="4604">
      <c r="A4604"/>
    </row>
    <row r="4605">
      <c r="A4605"/>
    </row>
    <row r="4606">
      <c r="A4606"/>
    </row>
    <row r="4607">
      <c r="A4607"/>
    </row>
    <row r="4608">
      <c r="A4608"/>
    </row>
    <row r="4609">
      <c r="A4609"/>
    </row>
    <row r="4610">
      <c r="A4610"/>
    </row>
    <row r="4611">
      <c r="A4611"/>
    </row>
    <row r="4612">
      <c r="A4612"/>
    </row>
    <row r="4613">
      <c r="A4613"/>
    </row>
    <row r="4614">
      <c r="A4614"/>
    </row>
    <row r="4615">
      <c r="A4615"/>
    </row>
    <row r="4616">
      <c r="A4616"/>
    </row>
    <row r="4617">
      <c r="A4617"/>
    </row>
    <row r="4618">
      <c r="A4618"/>
    </row>
    <row r="4619">
      <c r="A4619"/>
    </row>
    <row r="4620">
      <c r="A4620"/>
    </row>
    <row r="4621">
      <c r="A4621"/>
    </row>
    <row r="4622">
      <c r="A4622"/>
    </row>
    <row r="4623">
      <c r="A4623"/>
    </row>
    <row r="4624">
      <c r="A4624"/>
    </row>
    <row r="4625">
      <c r="A4625"/>
    </row>
    <row r="4626">
      <c r="A4626"/>
    </row>
    <row r="4627">
      <c r="A4627"/>
    </row>
    <row r="4628">
      <c r="A4628"/>
    </row>
    <row r="4629">
      <c r="A4629"/>
    </row>
    <row r="4630">
      <c r="A4630"/>
    </row>
    <row r="4631">
      <c r="A4631"/>
    </row>
    <row r="4632">
      <c r="A4632"/>
    </row>
    <row r="4633">
      <c r="A4633"/>
    </row>
    <row r="4634">
      <c r="A4634"/>
    </row>
    <row r="4635">
      <c r="A4635"/>
    </row>
    <row r="4636">
      <c r="A4636"/>
    </row>
    <row r="4637">
      <c r="A4637"/>
    </row>
    <row r="4638">
      <c r="A4638"/>
    </row>
    <row r="4639">
      <c r="A4639"/>
    </row>
    <row r="4640">
      <c r="A4640"/>
    </row>
    <row r="4641">
      <c r="A4641"/>
    </row>
    <row r="4642">
      <c r="A4642"/>
    </row>
    <row r="4643">
      <c r="A4643"/>
    </row>
    <row r="4644">
      <c r="A4644"/>
    </row>
    <row r="4645">
      <c r="A4645"/>
    </row>
    <row r="4646">
      <c r="A4646"/>
    </row>
    <row r="4647">
      <c r="A4647"/>
    </row>
    <row r="4648">
      <c r="A4648"/>
    </row>
    <row r="4649">
      <c r="A4649"/>
    </row>
    <row r="4650">
      <c r="A4650"/>
    </row>
    <row r="4651">
      <c r="A4651"/>
    </row>
    <row r="4652">
      <c r="A4652"/>
    </row>
    <row r="4653">
      <c r="A4653"/>
    </row>
    <row r="4654">
      <c r="A4654"/>
    </row>
    <row r="4655">
      <c r="A4655"/>
    </row>
    <row r="4656">
      <c r="A4656"/>
    </row>
    <row r="4657">
      <c r="A4657"/>
    </row>
    <row r="4658">
      <c r="A4658"/>
    </row>
    <row r="4659">
      <c r="A4659"/>
    </row>
    <row r="4660">
      <c r="A4660"/>
    </row>
    <row r="4661">
      <c r="A4661"/>
    </row>
    <row r="4662">
      <c r="A4662"/>
    </row>
    <row r="4663">
      <c r="A4663"/>
    </row>
    <row r="4664">
      <c r="A4664"/>
    </row>
    <row r="4665">
      <c r="A4665"/>
    </row>
    <row r="4666">
      <c r="A4666"/>
    </row>
    <row r="4667">
      <c r="A4667"/>
    </row>
    <row r="4668">
      <c r="A4668"/>
    </row>
    <row r="4669">
      <c r="A4669"/>
    </row>
    <row r="4670">
      <c r="A4670"/>
    </row>
    <row r="4671">
      <c r="A4671"/>
    </row>
    <row r="4672">
      <c r="A4672"/>
    </row>
    <row r="4673">
      <c r="A4673"/>
    </row>
    <row r="4674">
      <c r="A4674"/>
    </row>
    <row r="4675">
      <c r="A4675"/>
    </row>
    <row r="4676">
      <c r="A4676"/>
    </row>
    <row r="4677">
      <c r="A4677"/>
    </row>
    <row r="4678">
      <c r="A4678"/>
    </row>
    <row r="4679">
      <c r="A4679"/>
    </row>
    <row r="4680">
      <c r="A4680"/>
    </row>
    <row r="4681">
      <c r="A4681"/>
    </row>
    <row r="4682">
      <c r="A4682"/>
    </row>
    <row r="4683">
      <c r="A4683"/>
    </row>
    <row r="4684">
      <c r="A4684"/>
    </row>
    <row r="4685">
      <c r="A4685"/>
    </row>
    <row r="4686">
      <c r="A4686"/>
    </row>
    <row r="4687">
      <c r="A4687"/>
    </row>
    <row r="4688">
      <c r="A4688"/>
    </row>
    <row r="4689">
      <c r="A4689"/>
    </row>
    <row r="4690">
      <c r="A4690"/>
    </row>
    <row r="4691">
      <c r="A4691"/>
    </row>
    <row r="4692">
      <c r="A4692"/>
    </row>
    <row r="4693">
      <c r="A4693"/>
    </row>
    <row r="4694">
      <c r="A4694"/>
    </row>
    <row r="4695">
      <c r="A4695"/>
    </row>
    <row r="4696">
      <c r="A4696"/>
    </row>
    <row r="4697">
      <c r="A4697"/>
    </row>
    <row r="4698">
      <c r="A4698"/>
    </row>
    <row r="4699">
      <c r="A4699"/>
    </row>
    <row r="4700">
      <c r="A4700"/>
    </row>
    <row r="4701">
      <c r="A4701"/>
    </row>
    <row r="4702">
      <c r="A4702"/>
    </row>
    <row r="4703">
      <c r="A4703"/>
    </row>
    <row r="4704">
      <c r="A4704"/>
    </row>
    <row r="4705">
      <c r="A4705"/>
    </row>
    <row r="4706">
      <c r="A4706"/>
    </row>
    <row r="4707">
      <c r="A4707"/>
    </row>
    <row r="4708">
      <c r="A4708"/>
    </row>
    <row r="4709">
      <c r="A4709"/>
    </row>
    <row r="4710">
      <c r="A4710"/>
    </row>
    <row r="4711">
      <c r="A4711"/>
    </row>
    <row r="4712">
      <c r="A4712"/>
    </row>
    <row r="4713">
      <c r="A4713"/>
    </row>
    <row r="4714">
      <c r="A4714"/>
    </row>
    <row r="4715">
      <c r="A4715"/>
    </row>
    <row r="4716">
      <c r="A4716"/>
    </row>
    <row r="4717">
      <c r="A4717"/>
    </row>
    <row r="4718">
      <c r="A4718"/>
    </row>
    <row r="4719">
      <c r="A4719"/>
    </row>
    <row r="4720">
      <c r="A4720"/>
    </row>
    <row r="4721">
      <c r="A4721"/>
    </row>
    <row r="4722">
      <c r="A4722"/>
    </row>
    <row r="4723">
      <c r="A4723"/>
    </row>
    <row r="4724">
      <c r="A4724"/>
    </row>
    <row r="4725">
      <c r="A4725"/>
    </row>
    <row r="4726">
      <c r="A4726"/>
    </row>
    <row r="4727">
      <c r="A4727"/>
    </row>
    <row r="4728">
      <c r="A4728"/>
    </row>
    <row r="4729">
      <c r="A4729"/>
    </row>
    <row r="4730">
      <c r="A4730"/>
    </row>
    <row r="4731">
      <c r="A4731"/>
    </row>
    <row r="4732">
      <c r="A4732"/>
    </row>
    <row r="4733">
      <c r="A4733"/>
    </row>
    <row r="4734">
      <c r="A4734"/>
    </row>
    <row r="4735">
      <c r="A4735"/>
    </row>
    <row r="4736">
      <c r="A4736"/>
    </row>
    <row r="4737">
      <c r="A4737"/>
    </row>
    <row r="4738">
      <c r="A4738"/>
    </row>
    <row r="4739">
      <c r="A4739"/>
    </row>
    <row r="4740">
      <c r="A4740"/>
    </row>
    <row r="4741">
      <c r="A4741"/>
    </row>
    <row r="4742">
      <c r="A4742"/>
    </row>
    <row r="4743">
      <c r="A4743"/>
    </row>
    <row r="4744">
      <c r="A4744"/>
    </row>
    <row r="4745">
      <c r="A4745"/>
    </row>
    <row r="4746">
      <c r="A4746"/>
    </row>
    <row r="4747">
      <c r="A4747"/>
    </row>
    <row r="4748">
      <c r="A4748"/>
    </row>
    <row r="4749">
      <c r="A4749"/>
    </row>
    <row r="4750">
      <c r="A4750"/>
    </row>
    <row r="4751">
      <c r="A4751"/>
    </row>
    <row r="4752">
      <c r="A4752"/>
    </row>
    <row r="4753">
      <c r="A4753"/>
    </row>
    <row r="4754">
      <c r="A4754"/>
    </row>
    <row r="4755">
      <c r="A4755"/>
    </row>
    <row r="4756">
      <c r="A4756"/>
    </row>
    <row r="4757">
      <c r="A4757"/>
    </row>
    <row r="4758">
      <c r="A4758"/>
    </row>
    <row r="4759">
      <c r="A4759"/>
    </row>
    <row r="4760">
      <c r="A4760"/>
    </row>
    <row r="4761">
      <c r="A4761"/>
    </row>
    <row r="4762">
      <c r="A4762"/>
    </row>
    <row r="4763">
      <c r="A4763"/>
    </row>
    <row r="4764">
      <c r="A4764"/>
    </row>
    <row r="4765">
      <c r="A4765"/>
    </row>
    <row r="4766">
      <c r="A4766"/>
    </row>
    <row r="4767">
      <c r="A4767"/>
    </row>
    <row r="4768">
      <c r="A4768"/>
    </row>
    <row r="4769">
      <c r="A4769"/>
    </row>
    <row r="4770">
      <c r="A4770"/>
    </row>
    <row r="4771">
      <c r="A4771"/>
    </row>
    <row r="4772">
      <c r="A4772"/>
    </row>
    <row r="4773">
      <c r="A4773"/>
    </row>
    <row r="4774">
      <c r="A4774"/>
    </row>
    <row r="4775">
      <c r="A4775"/>
    </row>
    <row r="4776">
      <c r="A4776"/>
    </row>
    <row r="4777">
      <c r="A4777"/>
    </row>
    <row r="4778">
      <c r="A4778"/>
    </row>
    <row r="4779">
      <c r="A4779"/>
    </row>
    <row r="4780">
      <c r="A4780"/>
    </row>
    <row r="4781">
      <c r="A4781"/>
    </row>
    <row r="4782">
      <c r="A4782"/>
    </row>
    <row r="4783">
      <c r="A4783"/>
    </row>
    <row r="4784">
      <c r="A4784"/>
    </row>
    <row r="4785">
      <c r="A4785"/>
    </row>
    <row r="4786">
      <c r="A4786"/>
    </row>
    <row r="4787">
      <c r="A4787"/>
    </row>
    <row r="4788">
      <c r="A4788"/>
    </row>
    <row r="4789">
      <c r="A4789"/>
    </row>
    <row r="4790">
      <c r="A4790"/>
    </row>
    <row r="4791">
      <c r="A4791"/>
    </row>
    <row r="4792">
      <c r="A4792"/>
    </row>
    <row r="4793">
      <c r="A4793"/>
    </row>
    <row r="4794">
      <c r="A4794"/>
    </row>
    <row r="4795">
      <c r="A4795"/>
    </row>
    <row r="4796">
      <c r="A4796"/>
    </row>
    <row r="4797">
      <c r="A4797"/>
    </row>
    <row r="4798">
      <c r="A4798"/>
    </row>
    <row r="4799">
      <c r="A4799"/>
    </row>
    <row r="4800">
      <c r="A4800"/>
    </row>
    <row r="4801">
      <c r="A4801"/>
    </row>
    <row r="4802">
      <c r="A4802"/>
    </row>
    <row r="4803">
      <c r="A4803"/>
    </row>
    <row r="4804">
      <c r="A4804"/>
    </row>
    <row r="4805">
      <c r="A4805"/>
    </row>
    <row r="4806">
      <c r="A4806"/>
    </row>
    <row r="4807">
      <c r="A4807"/>
    </row>
    <row r="4808">
      <c r="A4808"/>
    </row>
    <row r="4809">
      <c r="A4809"/>
    </row>
    <row r="4810">
      <c r="A4810"/>
    </row>
    <row r="4811">
      <c r="A4811"/>
    </row>
    <row r="4812">
      <c r="A4812"/>
    </row>
    <row r="4813">
      <c r="A4813"/>
    </row>
    <row r="4814">
      <c r="A4814"/>
    </row>
    <row r="4815">
      <c r="A4815"/>
    </row>
    <row r="4816">
      <c r="A4816"/>
    </row>
    <row r="4817">
      <c r="A4817"/>
    </row>
    <row r="4818">
      <c r="A4818"/>
    </row>
    <row r="4819">
      <c r="A4819"/>
    </row>
    <row r="4820">
      <c r="A4820"/>
    </row>
    <row r="4821">
      <c r="A4821"/>
    </row>
    <row r="4822">
      <c r="A4822"/>
    </row>
    <row r="4823">
      <c r="A4823"/>
    </row>
    <row r="4824">
      <c r="A4824"/>
    </row>
    <row r="4825">
      <c r="A4825"/>
    </row>
    <row r="4826">
      <c r="A4826"/>
    </row>
    <row r="4827">
      <c r="A4827"/>
    </row>
    <row r="4828">
      <c r="A4828"/>
    </row>
    <row r="4829">
      <c r="A4829"/>
    </row>
    <row r="4830">
      <c r="A4830"/>
    </row>
    <row r="4831">
      <c r="A4831"/>
    </row>
    <row r="4832">
      <c r="A4832"/>
    </row>
    <row r="4833">
      <c r="A4833"/>
    </row>
    <row r="4834">
      <c r="A4834"/>
    </row>
    <row r="4835">
      <c r="A4835"/>
    </row>
    <row r="4836">
      <c r="A4836"/>
    </row>
    <row r="4837">
      <c r="A4837"/>
    </row>
    <row r="4838">
      <c r="A4838"/>
    </row>
    <row r="4839">
      <c r="A4839"/>
    </row>
    <row r="4840">
      <c r="A4840"/>
    </row>
    <row r="4841">
      <c r="A4841"/>
    </row>
    <row r="4842">
      <c r="A4842"/>
    </row>
    <row r="4843">
      <c r="A4843"/>
    </row>
    <row r="4844">
      <c r="A4844"/>
    </row>
    <row r="4845">
      <c r="A4845"/>
    </row>
    <row r="4846">
      <c r="A4846"/>
    </row>
    <row r="4847">
      <c r="A4847"/>
    </row>
    <row r="4848">
      <c r="A4848"/>
    </row>
    <row r="4849">
      <c r="A4849"/>
    </row>
    <row r="4850">
      <c r="A4850"/>
    </row>
    <row r="4851">
      <c r="A4851"/>
    </row>
    <row r="4852">
      <c r="A4852"/>
    </row>
    <row r="4853">
      <c r="A4853"/>
    </row>
    <row r="4854">
      <c r="A4854"/>
    </row>
    <row r="4855">
      <c r="A4855"/>
    </row>
    <row r="4856">
      <c r="A4856"/>
    </row>
    <row r="4857">
      <c r="A4857"/>
    </row>
    <row r="4858">
      <c r="A4858"/>
    </row>
    <row r="4859">
      <c r="A4859"/>
    </row>
    <row r="4860">
      <c r="A4860"/>
    </row>
    <row r="4861">
      <c r="A4861"/>
    </row>
    <row r="4862">
      <c r="A4862"/>
    </row>
    <row r="4863">
      <c r="A4863"/>
    </row>
    <row r="4864">
      <c r="A4864"/>
    </row>
    <row r="4865">
      <c r="A4865"/>
    </row>
    <row r="4866">
      <c r="A4866"/>
    </row>
    <row r="4867">
      <c r="A4867"/>
    </row>
    <row r="4868">
      <c r="A4868"/>
    </row>
    <row r="4869">
      <c r="A4869"/>
    </row>
    <row r="4870">
      <c r="A4870"/>
    </row>
    <row r="4871">
      <c r="A4871"/>
    </row>
    <row r="4872">
      <c r="A4872"/>
    </row>
    <row r="4873">
      <c r="A4873"/>
    </row>
    <row r="4874">
      <c r="A4874"/>
    </row>
    <row r="4875">
      <c r="A4875"/>
    </row>
    <row r="4876">
      <c r="A4876"/>
    </row>
    <row r="4877">
      <c r="A4877"/>
    </row>
    <row r="4878">
      <c r="A4878"/>
    </row>
    <row r="4879">
      <c r="A4879"/>
    </row>
    <row r="4880">
      <c r="A4880"/>
    </row>
    <row r="4881">
      <c r="A4881"/>
    </row>
    <row r="4882">
      <c r="A4882"/>
    </row>
    <row r="4883">
      <c r="A4883"/>
    </row>
    <row r="4884">
      <c r="A4884"/>
    </row>
    <row r="4885">
      <c r="A4885"/>
    </row>
    <row r="4886">
      <c r="A4886"/>
    </row>
    <row r="4887">
      <c r="A4887"/>
    </row>
    <row r="4888">
      <c r="A4888"/>
    </row>
    <row r="4889">
      <c r="A4889"/>
    </row>
    <row r="4890">
      <c r="A4890"/>
    </row>
    <row r="4891">
      <c r="A4891"/>
    </row>
    <row r="4892">
      <c r="A4892"/>
    </row>
    <row r="4893">
      <c r="A4893"/>
    </row>
    <row r="4894">
      <c r="A4894"/>
    </row>
    <row r="4895">
      <c r="A4895"/>
    </row>
    <row r="4896">
      <c r="A4896"/>
    </row>
    <row r="4897">
      <c r="A4897"/>
    </row>
    <row r="4898">
      <c r="A4898"/>
    </row>
    <row r="4899">
      <c r="A4899"/>
    </row>
    <row r="4900">
      <c r="A4900"/>
    </row>
    <row r="4901">
      <c r="A4901"/>
    </row>
    <row r="4902">
      <c r="A4902"/>
    </row>
    <row r="4903">
      <c r="A4903"/>
    </row>
    <row r="4904">
      <c r="A4904"/>
    </row>
    <row r="4905">
      <c r="A4905"/>
    </row>
    <row r="4906">
      <c r="A4906"/>
    </row>
    <row r="4907">
      <c r="A4907"/>
    </row>
    <row r="4908">
      <c r="A4908"/>
    </row>
    <row r="4909">
      <c r="A4909"/>
    </row>
    <row r="4910">
      <c r="A4910"/>
    </row>
    <row r="4911">
      <c r="A4911"/>
    </row>
    <row r="4912">
      <c r="A4912"/>
    </row>
    <row r="4913">
      <c r="A4913"/>
    </row>
    <row r="4914">
      <c r="A4914"/>
    </row>
    <row r="4915">
      <c r="A4915"/>
    </row>
    <row r="4916">
      <c r="A4916"/>
    </row>
    <row r="4917">
      <c r="A4917"/>
    </row>
    <row r="4918">
      <c r="A4918"/>
    </row>
    <row r="4919">
      <c r="A4919"/>
    </row>
    <row r="4920">
      <c r="A4920"/>
    </row>
    <row r="4921">
      <c r="A4921"/>
    </row>
    <row r="4922">
      <c r="A4922"/>
    </row>
    <row r="4923">
      <c r="A4923"/>
    </row>
    <row r="4924">
      <c r="A4924"/>
    </row>
    <row r="4925">
      <c r="A4925"/>
    </row>
    <row r="4926">
      <c r="A4926"/>
    </row>
    <row r="4927">
      <c r="A4927"/>
    </row>
    <row r="4928">
      <c r="A4928"/>
    </row>
    <row r="4929">
      <c r="A4929"/>
    </row>
    <row r="4930">
      <c r="A4930"/>
    </row>
    <row r="4931">
      <c r="A4931"/>
    </row>
    <row r="4932">
      <c r="A4932"/>
    </row>
    <row r="4933">
      <c r="A4933"/>
    </row>
    <row r="4934">
      <c r="A4934"/>
    </row>
    <row r="4935">
      <c r="A4935"/>
    </row>
    <row r="4936">
      <c r="A4936"/>
    </row>
    <row r="4937">
      <c r="A4937"/>
    </row>
    <row r="4938">
      <c r="A4938"/>
    </row>
    <row r="4939">
      <c r="A4939"/>
    </row>
    <row r="4940">
      <c r="A4940"/>
    </row>
    <row r="4941">
      <c r="A4941"/>
    </row>
    <row r="4942">
      <c r="A4942"/>
    </row>
    <row r="4943">
      <c r="A4943"/>
    </row>
    <row r="4944">
      <c r="A4944"/>
    </row>
    <row r="4945">
      <c r="A4945"/>
    </row>
    <row r="4946">
      <c r="A4946"/>
    </row>
    <row r="4947">
      <c r="A4947"/>
    </row>
    <row r="4948">
      <c r="A4948"/>
    </row>
    <row r="4949">
      <c r="A4949"/>
    </row>
    <row r="4950">
      <c r="A4950"/>
    </row>
    <row r="4951">
      <c r="A4951"/>
    </row>
    <row r="4952">
      <c r="A4952"/>
    </row>
    <row r="4953">
      <c r="A4953"/>
    </row>
    <row r="4954">
      <c r="A4954"/>
    </row>
    <row r="4955">
      <c r="A4955"/>
    </row>
    <row r="4956">
      <c r="A4956"/>
    </row>
    <row r="4957">
      <c r="A4957"/>
    </row>
    <row r="4958">
      <c r="A4958"/>
    </row>
    <row r="4959">
      <c r="A4959"/>
    </row>
    <row r="4960">
      <c r="A4960"/>
    </row>
    <row r="4961">
      <c r="A4961"/>
    </row>
    <row r="4962">
      <c r="A4962"/>
    </row>
    <row r="4963">
      <c r="A4963"/>
    </row>
    <row r="4964">
      <c r="A4964"/>
    </row>
    <row r="4965">
      <c r="A4965"/>
    </row>
    <row r="4966">
      <c r="A4966"/>
    </row>
    <row r="4967">
      <c r="A4967"/>
    </row>
    <row r="4968">
      <c r="A4968"/>
    </row>
    <row r="4969">
      <c r="A4969"/>
    </row>
    <row r="4970">
      <c r="A4970"/>
    </row>
    <row r="4971">
      <c r="A4971"/>
    </row>
    <row r="4972">
      <c r="A4972"/>
    </row>
    <row r="4973">
      <c r="A4973"/>
    </row>
    <row r="4974">
      <c r="A4974"/>
    </row>
    <row r="4975">
      <c r="A4975"/>
    </row>
    <row r="4976">
      <c r="A4976"/>
    </row>
    <row r="4977">
      <c r="A4977"/>
    </row>
    <row r="4978">
      <c r="A4978"/>
    </row>
    <row r="4979">
      <c r="A4979"/>
    </row>
    <row r="4980">
      <c r="A4980"/>
    </row>
    <row r="4981">
      <c r="A4981"/>
    </row>
    <row r="4982">
      <c r="A4982"/>
    </row>
    <row r="4983">
      <c r="A4983"/>
    </row>
    <row r="4984">
      <c r="A4984"/>
    </row>
    <row r="4985">
      <c r="A4985"/>
    </row>
    <row r="4986">
      <c r="A4986"/>
    </row>
    <row r="4987">
      <c r="A4987"/>
    </row>
    <row r="4988">
      <c r="A4988"/>
    </row>
    <row r="4989">
      <c r="A4989"/>
    </row>
    <row r="4990">
      <c r="A4990"/>
    </row>
    <row r="4991">
      <c r="A4991"/>
    </row>
    <row r="4992">
      <c r="A4992"/>
    </row>
    <row r="4993">
      <c r="A4993"/>
    </row>
    <row r="4994">
      <c r="A4994"/>
    </row>
    <row r="4995">
      <c r="A4995"/>
    </row>
    <row r="4996">
      <c r="A4996"/>
    </row>
    <row r="4997">
      <c r="A4997"/>
    </row>
    <row r="4998">
      <c r="A4998"/>
    </row>
    <row r="4999">
      <c r="A4999"/>
    </row>
    <row r="5000">
      <c r="A5000"/>
    </row>
  </sheetData>
  <autoFilter ref="A1:N1902" xr:uid="{00000000-0001-0000-0200-000000000000}"/>
  <dataValidations count="4">
    <dataValidation type="list" allowBlank="1" showInputMessage="1" showErrorMessage="1" sqref="G2:G1902" xr:uid="{F941ACA9-6498-4A2C-B4CC-1F3C682DC14A}">
      <formula1>AccountList</formula1>
    </dataValidation>
    <dataValidation type="list" allowBlank="1" showInputMessage="1" showErrorMessage="1" sqref="H2:H1902" xr:uid="{3B08CB92-C685-44D1-992A-6E20609FD26D}">
      <formula1>CategoryList</formula1>
    </dataValidation>
    <dataValidation type="list" allowBlank="1" showInputMessage="1" showErrorMessage="1" sqref="J2:J1902" xr:uid="{F8F57A7F-CAAB-4175-ADE2-7690FF2B8116}">
      <formula1>"Yes,No"</formula1>
    </dataValidation>
    <dataValidation type="list" allowBlank="1" showInputMessage="1" showErrorMessage="1" sqref="I2:I1902" xr:uid="{38472C53-67DB-4104-9320-6D3D0AEF6D79}">
      <formula1>INDIRECT(SUBSTITUTE(H2," ","_"))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45" customWidth="1"/>
    <col min="2" max="2" width="18" customWidth="1"/>
    <col min="3" max="3" width="22" customWidth="1"/>
    <col min="4" max="4" width="30" customWidth="1"/>
  </cols>
  <sheetData>
    <row r="1">
      <c r="A1" t="s" s="75">
        <v>455</v>
      </c>
      <c r="B1" t="s" s="76">
        <v>216</v>
      </c>
      <c r="C1" t="s" s="77">
        <v>223</v>
      </c>
      <c r="D1" t="s" s="78">
        <v>121</v>
      </c>
    </row>
    <row r="2">
      <c r="A2" t="s">
        <v>456</v>
      </c>
      <c r="B2" t="s">
        <v>96</v>
      </c>
      <c r="C2" t="s">
        <v>167</v>
      </c>
      <c r="D2" t="s">
        <v>457</v>
      </c>
    </row>
    <row r="3">
      <c r="A3" t="s">
        <v>458</v>
      </c>
      <c r="B3" t="s">
        <v>96</v>
      </c>
      <c r="C3" t="s">
        <v>145</v>
      </c>
      <c r="D3" t="s">
        <v>457</v>
      </c>
    </row>
    <row r="4">
      <c r="A4" t="s">
        <v>459</v>
      </c>
      <c r="B4" t="s">
        <v>96</v>
      </c>
      <c r="C4" t="s">
        <v>198</v>
      </c>
      <c r="D4" t="s">
        <v>457</v>
      </c>
    </row>
    <row r="5">
      <c r="A5" t="s">
        <v>460</v>
      </c>
      <c r="B5" t="s">
        <v>96</v>
      </c>
      <c r="C5" t="s">
        <v>198</v>
      </c>
      <c r="D5" t="s">
        <v>457</v>
      </c>
    </row>
    <row r="6">
      <c r="A6" t="s">
        <v>461</v>
      </c>
      <c r="B6" t="s">
        <v>114</v>
      </c>
      <c r="C6" t="s">
        <v>151</v>
      </c>
      <c r="D6" t="s">
        <v>457</v>
      </c>
    </row>
    <row r="7">
      <c r="A7" t="s">
        <v>462</v>
      </c>
      <c r="B7" t="s">
        <v>114</v>
      </c>
      <c r="C7" t="s">
        <v>151</v>
      </c>
      <c r="D7" t="s">
        <v>457</v>
      </c>
    </row>
    <row r="8">
      <c r="A8" t="s">
        <v>463</v>
      </c>
      <c r="B8" t="s">
        <v>114</v>
      </c>
      <c r="C8" t="s">
        <v>200</v>
      </c>
      <c r="D8" t="s">
        <v>457</v>
      </c>
    </row>
    <row r="9">
      <c r="A9" t="s">
        <v>464</v>
      </c>
      <c r="B9" t="s">
        <v>100</v>
      </c>
      <c r="C9" t="s">
        <v>187</v>
      </c>
      <c r="D9" t="s">
        <v>457</v>
      </c>
    </row>
    <row r="10">
      <c r="A10" t="s">
        <v>465</v>
      </c>
      <c r="B10" t="s">
        <v>100</v>
      </c>
      <c r="C10" t="s">
        <v>187</v>
      </c>
      <c r="D10" t="s">
        <v>457</v>
      </c>
    </row>
    <row r="11">
      <c r="A11" t="s">
        <v>466</v>
      </c>
      <c r="B11" t="s">
        <v>100</v>
      </c>
      <c r="C11" t="s">
        <v>187</v>
      </c>
      <c r="D11" t="s">
        <v>457</v>
      </c>
    </row>
    <row r="12">
      <c r="A12" t="s">
        <v>383</v>
      </c>
      <c r="B12" t="s">
        <v>104</v>
      </c>
      <c r="C12" t="s">
        <v>147</v>
      </c>
      <c r="D12" t="s">
        <v>457</v>
      </c>
    </row>
    <row r="13">
      <c r="A13" t="s">
        <v>467</v>
      </c>
      <c r="B13" t="s">
        <v>104</v>
      </c>
      <c r="C13" t="s">
        <v>169</v>
      </c>
      <c r="D13" t="s">
        <v>457</v>
      </c>
    </row>
    <row r="14">
      <c r="A14" t="s">
        <v>468</v>
      </c>
      <c r="B14" t="s">
        <v>104</v>
      </c>
      <c r="C14" t="s">
        <v>169</v>
      </c>
      <c r="D14" t="s">
        <v>457</v>
      </c>
    </row>
    <row r="15">
      <c r="A15" t="s">
        <v>469</v>
      </c>
      <c r="B15" t="s">
        <v>104</v>
      </c>
      <c r="C15" t="s">
        <v>169</v>
      </c>
      <c r="D15" t="s">
        <v>457</v>
      </c>
    </row>
    <row r="16">
      <c r="A16" t="s">
        <v>470</v>
      </c>
      <c r="B16" t="s">
        <v>104</v>
      </c>
      <c r="C16" t="s">
        <v>169</v>
      </c>
      <c r="D16" t="s">
        <v>457</v>
      </c>
    </row>
    <row r="17">
      <c r="A17" t="s">
        <v>471</v>
      </c>
      <c r="B17" t="s">
        <v>104</v>
      </c>
      <c r="C17" t="s">
        <v>169</v>
      </c>
      <c r="D17" t="s">
        <v>457</v>
      </c>
    </row>
    <row r="18">
      <c r="A18" t="s">
        <v>472</v>
      </c>
      <c r="B18" t="s">
        <v>108</v>
      </c>
      <c r="C18" t="s">
        <v>154</v>
      </c>
      <c r="D18" t="s">
        <v>457</v>
      </c>
    </row>
    <row r="19">
      <c r="A19" t="s">
        <v>473</v>
      </c>
      <c r="B19" t="s">
        <v>92</v>
      </c>
      <c r="C19" t="s">
        <v>206</v>
      </c>
      <c r="D19" t="s">
        <v>457</v>
      </c>
    </row>
    <row r="20">
      <c r="A20" t="s">
        <v>474</v>
      </c>
      <c r="B20" t="s">
        <v>113</v>
      </c>
      <c r="C20" t="s">
        <v>113</v>
      </c>
      <c r="D20" t="s">
        <v>457</v>
      </c>
    </row>
    <row r="21">
      <c r="A21" t="s">
        <v>475</v>
      </c>
      <c r="B21" t="s">
        <v>235</v>
      </c>
      <c r="C21" t="s">
        <v>244</v>
      </c>
      <c r="D21" t="s">
        <v>457</v>
      </c>
    </row>
    <row r="22">
      <c r="A22"/>
    </row>
    <row r="23">
      <c r="A23"/>
    </row>
    <row r="24">
      <c r="A24"/>
    </row>
    <row r="25">
      <c r="A25"/>
    </row>
    <row r="26">
      <c r="A26"/>
    </row>
    <row r="27">
      <c r="A27"/>
    </row>
    <row r="28">
      <c r="A28"/>
    </row>
    <row r="29">
      <c r="A29"/>
    </row>
    <row r="30">
      <c r="A30"/>
    </row>
    <row r="31">
      <c r="A31"/>
    </row>
    <row r="32">
      <c r="A32"/>
    </row>
    <row r="33">
      <c r="A33"/>
    </row>
    <row r="34">
      <c r="A34"/>
    </row>
    <row r="35">
      <c r="A35"/>
    </row>
    <row r="36">
      <c r="A36"/>
    </row>
    <row r="37">
      <c r="A37"/>
    </row>
    <row r="38">
      <c r="A38"/>
    </row>
    <row r="39">
      <c r="A39"/>
    </row>
    <row r="40">
      <c r="A40"/>
    </row>
    <row r="41">
      <c r="A41"/>
    </row>
    <row r="42">
      <c r="A42"/>
    </row>
    <row r="43">
      <c r="A43"/>
    </row>
    <row r="44">
      <c r="A44"/>
    </row>
    <row r="45">
      <c r="A45"/>
    </row>
    <row r="46">
      <c r="A46"/>
    </row>
    <row r="47">
      <c r="A47"/>
    </row>
    <row r="48">
      <c r="A48"/>
    </row>
    <row r="49">
      <c r="A49"/>
    </row>
    <row r="50">
      <c r="A50"/>
    </row>
    <row r="51">
      <c r="A51"/>
    </row>
    <row r="52">
      <c r="A52"/>
    </row>
    <row r="53">
      <c r="A53"/>
    </row>
    <row r="54">
      <c r="A54"/>
    </row>
    <row r="55">
      <c r="A55"/>
    </row>
    <row r="56">
      <c r="A56"/>
    </row>
    <row r="57">
      <c r="A57"/>
    </row>
    <row r="58">
      <c r="A58"/>
    </row>
    <row r="59">
      <c r="A59"/>
    </row>
    <row r="60">
      <c r="A60"/>
    </row>
    <row r="61">
      <c r="A61"/>
    </row>
    <row r="62">
      <c r="A62"/>
    </row>
    <row r="63">
      <c r="A63"/>
    </row>
    <row r="64">
      <c r="A64"/>
    </row>
    <row r="65">
      <c r="A65"/>
    </row>
    <row r="66">
      <c r="A66"/>
    </row>
    <row r="67">
      <c r="A67"/>
    </row>
    <row r="68">
      <c r="A68"/>
    </row>
    <row r="69">
      <c r="A69"/>
    </row>
    <row r="70">
      <c r="A70"/>
    </row>
    <row r="71">
      <c r="A71"/>
    </row>
    <row r="72">
      <c r="A72"/>
    </row>
    <row r="73">
      <c r="A73"/>
    </row>
    <row r="74">
      <c r="A74"/>
    </row>
    <row r="75">
      <c r="A75"/>
    </row>
    <row r="76">
      <c r="A76"/>
    </row>
    <row r="77">
      <c r="A77"/>
    </row>
    <row r="78">
      <c r="A78"/>
    </row>
    <row r="79">
      <c r="A79"/>
    </row>
    <row r="80">
      <c r="A80"/>
    </row>
    <row r="81">
      <c r="A81"/>
    </row>
    <row r="82">
      <c r="A82"/>
    </row>
    <row r="83">
      <c r="A83"/>
    </row>
    <row r="84">
      <c r="A84"/>
    </row>
    <row r="85">
      <c r="A85"/>
    </row>
    <row r="86">
      <c r="A86"/>
    </row>
    <row r="87">
      <c r="A87"/>
    </row>
    <row r="88">
      <c r="A88"/>
    </row>
    <row r="89">
      <c r="A89"/>
    </row>
    <row r="90">
      <c r="A90"/>
    </row>
    <row r="91">
      <c r="A91"/>
    </row>
    <row r="92">
      <c r="A92"/>
    </row>
    <row r="93">
      <c r="A93"/>
    </row>
    <row r="94">
      <c r="A94"/>
    </row>
    <row r="95">
      <c r="A95"/>
    </row>
    <row r="96">
      <c r="A96"/>
    </row>
    <row r="97">
      <c r="A97"/>
    </row>
    <row r="98">
      <c r="A98"/>
    </row>
    <row r="99">
      <c r="A99"/>
    </row>
    <row r="100">
      <c r="A100"/>
    </row>
    <row r="101">
      <c r="A101"/>
    </row>
    <row r="102">
      <c r="A102"/>
    </row>
    <row r="103">
      <c r="A103"/>
    </row>
    <row r="104">
      <c r="A104"/>
    </row>
    <row r="105">
      <c r="A105"/>
    </row>
    <row r="106">
      <c r="A106"/>
    </row>
    <row r="107">
      <c r="A107"/>
    </row>
    <row r="108">
      <c r="A108"/>
    </row>
    <row r="109">
      <c r="A109"/>
    </row>
    <row r="110">
      <c r="A110"/>
    </row>
    <row r="111">
      <c r="A111"/>
    </row>
    <row r="112">
      <c r="A112"/>
    </row>
    <row r="113">
      <c r="A113"/>
    </row>
    <row r="114">
      <c r="A114"/>
    </row>
    <row r="115">
      <c r="A115"/>
    </row>
    <row r="116">
      <c r="A116"/>
    </row>
    <row r="117">
      <c r="A117"/>
    </row>
    <row r="118">
      <c r="A118"/>
    </row>
    <row r="119">
      <c r="A119"/>
    </row>
    <row r="120">
      <c r="A120"/>
    </row>
    <row r="121">
      <c r="A121"/>
    </row>
    <row r="122">
      <c r="A122"/>
    </row>
    <row r="123">
      <c r="A123"/>
    </row>
    <row r="124">
      <c r="A124"/>
    </row>
    <row r="125">
      <c r="A125"/>
    </row>
    <row r="126">
      <c r="A126"/>
    </row>
    <row r="127">
      <c r="A127"/>
    </row>
    <row r="128">
      <c r="A128"/>
    </row>
    <row r="129">
      <c r="A129"/>
    </row>
    <row r="130">
      <c r="A130"/>
    </row>
    <row r="131">
      <c r="A131"/>
    </row>
    <row r="132">
      <c r="A132"/>
    </row>
    <row r="133">
      <c r="A133"/>
    </row>
    <row r="134">
      <c r="A134"/>
    </row>
    <row r="135">
      <c r="A135"/>
    </row>
    <row r="136">
      <c r="A136"/>
    </row>
    <row r="137">
      <c r="A137"/>
    </row>
    <row r="138">
      <c r="A138"/>
    </row>
    <row r="139">
      <c r="A139"/>
    </row>
    <row r="140">
      <c r="A140"/>
    </row>
    <row r="141">
      <c r="A141"/>
    </row>
    <row r="142">
      <c r="A142"/>
    </row>
    <row r="143">
      <c r="A143"/>
    </row>
    <row r="144">
      <c r="A144"/>
    </row>
    <row r="145">
      <c r="A145"/>
    </row>
    <row r="146">
      <c r="A146"/>
    </row>
    <row r="147">
      <c r="A147"/>
    </row>
    <row r="148">
      <c r="A148"/>
    </row>
    <row r="149">
      <c r="A149"/>
    </row>
    <row r="150">
      <c r="A150"/>
    </row>
    <row r="151">
      <c r="A151"/>
    </row>
    <row r="152">
      <c r="A152"/>
    </row>
    <row r="153">
      <c r="A153"/>
    </row>
    <row r="154">
      <c r="A154"/>
    </row>
    <row r="155">
      <c r="A155"/>
    </row>
    <row r="156">
      <c r="A156"/>
    </row>
    <row r="157">
      <c r="A157"/>
    </row>
    <row r="158">
      <c r="A158"/>
    </row>
    <row r="159">
      <c r="A159"/>
    </row>
    <row r="160">
      <c r="A160"/>
    </row>
    <row r="161">
      <c r="A161"/>
    </row>
    <row r="162">
      <c r="A162"/>
    </row>
    <row r="163">
      <c r="A163"/>
    </row>
    <row r="164">
      <c r="A164"/>
    </row>
    <row r="165">
      <c r="A165"/>
    </row>
    <row r="166">
      <c r="A166"/>
    </row>
    <row r="167">
      <c r="A167"/>
    </row>
    <row r="168">
      <c r="A168"/>
    </row>
    <row r="169">
      <c r="A169"/>
    </row>
    <row r="170">
      <c r="A170"/>
    </row>
    <row r="171">
      <c r="A171"/>
    </row>
    <row r="172">
      <c r="A172"/>
    </row>
    <row r="173">
      <c r="A173"/>
    </row>
    <row r="174">
      <c r="A174"/>
    </row>
    <row r="175">
      <c r="A175"/>
    </row>
    <row r="176">
      <c r="A176"/>
    </row>
    <row r="177">
      <c r="A177"/>
    </row>
    <row r="178">
      <c r="A178"/>
    </row>
    <row r="179">
      <c r="A179"/>
    </row>
    <row r="180">
      <c r="A180"/>
    </row>
    <row r="181">
      <c r="A181"/>
    </row>
    <row r="182">
      <c r="A182"/>
    </row>
    <row r="183">
      <c r="A183"/>
    </row>
    <row r="184">
      <c r="A184"/>
    </row>
    <row r="185">
      <c r="A185"/>
    </row>
    <row r="186">
      <c r="A186"/>
    </row>
    <row r="187">
      <c r="A187"/>
    </row>
    <row r="188">
      <c r="A188"/>
    </row>
    <row r="189">
      <c r="A189"/>
    </row>
    <row r="190">
      <c r="A190"/>
    </row>
    <row r="191">
      <c r="A191"/>
    </row>
    <row r="192">
      <c r="A192"/>
    </row>
    <row r="193">
      <c r="A193"/>
    </row>
    <row r="194">
      <c r="A194"/>
    </row>
    <row r="195">
      <c r="A195"/>
    </row>
    <row r="196">
      <c r="A196"/>
    </row>
    <row r="197">
      <c r="A197"/>
    </row>
    <row r="198">
      <c r="A198"/>
    </row>
    <row r="199">
      <c r="A199"/>
    </row>
    <row r="200">
      <c r="A200"/>
    </row>
    <row r="201">
      <c r="A201"/>
    </row>
    <row r="202">
      <c r="A202"/>
    </row>
    <row r="203">
      <c r="A203"/>
    </row>
    <row r="204">
      <c r="A204"/>
    </row>
    <row r="205">
      <c r="A205"/>
    </row>
    <row r="206">
      <c r="A206"/>
    </row>
    <row r="207">
      <c r="A207"/>
    </row>
    <row r="208">
      <c r="A208"/>
    </row>
    <row r="209">
      <c r="A209"/>
    </row>
    <row r="210">
      <c r="A210"/>
    </row>
    <row r="211">
      <c r="A211"/>
    </row>
    <row r="212">
      <c r="A212"/>
    </row>
    <row r="213">
      <c r="A213"/>
    </row>
    <row r="214">
      <c r="A214"/>
    </row>
    <row r="215">
      <c r="A215"/>
    </row>
    <row r="216">
      <c r="A216"/>
    </row>
    <row r="217">
      <c r="A217"/>
    </row>
    <row r="218">
      <c r="A218"/>
    </row>
    <row r="219">
      <c r="A219"/>
    </row>
    <row r="220">
      <c r="A220"/>
    </row>
    <row r="221">
      <c r="A221"/>
    </row>
    <row r="222">
      <c r="A222"/>
    </row>
    <row r="223">
      <c r="A223"/>
    </row>
    <row r="224">
      <c r="A224"/>
    </row>
    <row r="225">
      <c r="A225"/>
    </row>
    <row r="226">
      <c r="A226"/>
    </row>
    <row r="227">
      <c r="A227"/>
    </row>
    <row r="228">
      <c r="A228"/>
    </row>
    <row r="229">
      <c r="A229"/>
    </row>
    <row r="230">
      <c r="A230"/>
    </row>
    <row r="231">
      <c r="A231"/>
    </row>
    <row r="232">
      <c r="A232"/>
    </row>
    <row r="233">
      <c r="A233"/>
    </row>
    <row r="234">
      <c r="A234"/>
    </row>
    <row r="235">
      <c r="A235"/>
    </row>
    <row r="236">
      <c r="A236"/>
    </row>
    <row r="237">
      <c r="A237"/>
    </row>
    <row r="238">
      <c r="A238"/>
    </row>
    <row r="239">
      <c r="A239"/>
    </row>
    <row r="240">
      <c r="A240"/>
    </row>
    <row r="241">
      <c r="A241"/>
    </row>
    <row r="242">
      <c r="A242"/>
    </row>
    <row r="243">
      <c r="A243"/>
    </row>
    <row r="244">
      <c r="A244"/>
    </row>
    <row r="245">
      <c r="A245"/>
    </row>
    <row r="246">
      <c r="A246"/>
    </row>
    <row r="247">
      <c r="A247"/>
    </row>
    <row r="248">
      <c r="A248"/>
    </row>
    <row r="249">
      <c r="A249"/>
    </row>
    <row r="250">
      <c r="A250"/>
    </row>
    <row r="251">
      <c r="A251"/>
    </row>
    <row r="252">
      <c r="A252"/>
    </row>
    <row r="253">
      <c r="A253"/>
    </row>
    <row r="254">
      <c r="A254"/>
    </row>
    <row r="255">
      <c r="A255"/>
    </row>
    <row r="256">
      <c r="A256"/>
    </row>
    <row r="257">
      <c r="A257"/>
    </row>
    <row r="258">
      <c r="A258"/>
    </row>
    <row r="259">
      <c r="A259"/>
    </row>
    <row r="260">
      <c r="A260"/>
    </row>
    <row r="261">
      <c r="A261"/>
    </row>
    <row r="262">
      <c r="A262"/>
    </row>
    <row r="263">
      <c r="A263"/>
    </row>
    <row r="264">
      <c r="A264"/>
    </row>
    <row r="265">
      <c r="A265"/>
    </row>
    <row r="266">
      <c r="A266"/>
    </row>
    <row r="267">
      <c r="A267"/>
    </row>
    <row r="268">
      <c r="A268"/>
    </row>
    <row r="269">
      <c r="A269"/>
    </row>
    <row r="270">
      <c r="A270"/>
    </row>
    <row r="271">
      <c r="A271"/>
    </row>
    <row r="272">
      <c r="A272"/>
    </row>
    <row r="273">
      <c r="A273"/>
    </row>
    <row r="274">
      <c r="A274"/>
    </row>
    <row r="275">
      <c r="A275"/>
    </row>
    <row r="276">
      <c r="A276"/>
    </row>
    <row r="277">
      <c r="A277"/>
    </row>
    <row r="278">
      <c r="A278"/>
    </row>
    <row r="279">
      <c r="A279"/>
    </row>
    <row r="280">
      <c r="A280"/>
    </row>
    <row r="281">
      <c r="A281"/>
    </row>
    <row r="282">
      <c r="A282"/>
    </row>
    <row r="283">
      <c r="A283"/>
    </row>
    <row r="284">
      <c r="A284"/>
    </row>
    <row r="285">
      <c r="A285"/>
    </row>
    <row r="286">
      <c r="A286"/>
    </row>
    <row r="287">
      <c r="A287"/>
    </row>
    <row r="288">
      <c r="A288"/>
    </row>
    <row r="289">
      <c r="A289"/>
    </row>
    <row r="290">
      <c r="A290"/>
    </row>
    <row r="291">
      <c r="A291"/>
    </row>
    <row r="292">
      <c r="A292"/>
    </row>
    <row r="293">
      <c r="A293"/>
    </row>
    <row r="294">
      <c r="A294"/>
    </row>
    <row r="295">
      <c r="A295"/>
    </row>
    <row r="296">
      <c r="A296"/>
    </row>
    <row r="297">
      <c r="A297"/>
    </row>
    <row r="298">
      <c r="A298"/>
    </row>
    <row r="299">
      <c r="A299"/>
    </row>
    <row r="300">
      <c r="A300"/>
    </row>
    <row r="301">
      <c r="A301"/>
    </row>
    <row r="302">
      <c r="A302"/>
    </row>
    <row r="303">
      <c r="A303"/>
    </row>
    <row r="304">
      <c r="A304"/>
    </row>
    <row r="305">
      <c r="A305"/>
    </row>
    <row r="306">
      <c r="A306"/>
    </row>
    <row r="307">
      <c r="A307"/>
    </row>
    <row r="308">
      <c r="A308"/>
    </row>
    <row r="309">
      <c r="A309"/>
    </row>
    <row r="310">
      <c r="A310"/>
    </row>
    <row r="311">
      <c r="A311"/>
    </row>
    <row r="312">
      <c r="A312"/>
    </row>
    <row r="313">
      <c r="A313"/>
    </row>
    <row r="314">
      <c r="A314"/>
    </row>
    <row r="315">
      <c r="A315"/>
    </row>
    <row r="316">
      <c r="A316"/>
    </row>
    <row r="317">
      <c r="A317"/>
    </row>
    <row r="318">
      <c r="A318"/>
    </row>
    <row r="319">
      <c r="A319"/>
    </row>
    <row r="320">
      <c r="A320"/>
    </row>
    <row r="321">
      <c r="A321"/>
    </row>
    <row r="322">
      <c r="A322"/>
    </row>
    <row r="323">
      <c r="A323"/>
    </row>
    <row r="324">
      <c r="A324"/>
    </row>
    <row r="325">
      <c r="A325"/>
    </row>
    <row r="326">
      <c r="A326"/>
    </row>
    <row r="327">
      <c r="A327"/>
    </row>
    <row r="328">
      <c r="A328"/>
    </row>
    <row r="329">
      <c r="A329"/>
    </row>
    <row r="330">
      <c r="A330"/>
    </row>
    <row r="331">
      <c r="A331"/>
    </row>
    <row r="332">
      <c r="A332"/>
    </row>
    <row r="333">
      <c r="A333"/>
    </row>
    <row r="334">
      <c r="A334"/>
    </row>
    <row r="335">
      <c r="A335"/>
    </row>
    <row r="336">
      <c r="A336"/>
    </row>
    <row r="337">
      <c r="A337"/>
    </row>
    <row r="338">
      <c r="A338"/>
    </row>
    <row r="339">
      <c r="A339"/>
    </row>
    <row r="340">
      <c r="A340"/>
    </row>
    <row r="341">
      <c r="A341"/>
    </row>
    <row r="342">
      <c r="A342"/>
    </row>
    <row r="343">
      <c r="A343"/>
    </row>
    <row r="344">
      <c r="A344"/>
    </row>
    <row r="345">
      <c r="A345"/>
    </row>
    <row r="346">
      <c r="A346"/>
    </row>
    <row r="347">
      <c r="A347"/>
    </row>
    <row r="348">
      <c r="A348"/>
    </row>
    <row r="349">
      <c r="A349"/>
    </row>
    <row r="350">
      <c r="A350"/>
    </row>
    <row r="351">
      <c r="A351"/>
    </row>
    <row r="352">
      <c r="A352"/>
    </row>
    <row r="353">
      <c r="A353"/>
    </row>
    <row r="354">
      <c r="A354"/>
    </row>
    <row r="355">
      <c r="A355"/>
    </row>
    <row r="356">
      <c r="A356"/>
    </row>
    <row r="357">
      <c r="A357"/>
    </row>
    <row r="358">
      <c r="A358"/>
    </row>
    <row r="359">
      <c r="A359"/>
    </row>
    <row r="360">
      <c r="A360"/>
    </row>
    <row r="361">
      <c r="A361"/>
    </row>
    <row r="362">
      <c r="A362"/>
    </row>
    <row r="363">
      <c r="A363"/>
    </row>
    <row r="364">
      <c r="A364"/>
    </row>
    <row r="365">
      <c r="A365"/>
    </row>
    <row r="366">
      <c r="A366"/>
    </row>
    <row r="367">
      <c r="A367"/>
    </row>
    <row r="368">
      <c r="A368"/>
    </row>
    <row r="369">
      <c r="A369"/>
    </row>
    <row r="370">
      <c r="A370"/>
    </row>
    <row r="371">
      <c r="A371"/>
    </row>
    <row r="372">
      <c r="A372"/>
    </row>
    <row r="373">
      <c r="A373"/>
    </row>
    <row r="374">
      <c r="A374"/>
    </row>
    <row r="375">
      <c r="A375"/>
    </row>
    <row r="376">
      <c r="A376"/>
    </row>
    <row r="377">
      <c r="A377"/>
    </row>
    <row r="378">
      <c r="A378"/>
    </row>
    <row r="379">
      <c r="A379"/>
    </row>
    <row r="380">
      <c r="A380"/>
    </row>
    <row r="381">
      <c r="A381"/>
    </row>
    <row r="382">
      <c r="A382"/>
    </row>
    <row r="383">
      <c r="A383"/>
    </row>
    <row r="384">
      <c r="A384"/>
    </row>
    <row r="385">
      <c r="A385"/>
    </row>
    <row r="386">
      <c r="A386"/>
    </row>
    <row r="387">
      <c r="A387"/>
    </row>
    <row r="388">
      <c r="A388"/>
    </row>
    <row r="389">
      <c r="A389"/>
    </row>
    <row r="390">
      <c r="A390"/>
    </row>
    <row r="391">
      <c r="A391"/>
    </row>
    <row r="392">
      <c r="A392"/>
    </row>
    <row r="393">
      <c r="A393"/>
    </row>
    <row r="394">
      <c r="A394"/>
    </row>
    <row r="395">
      <c r="A395"/>
    </row>
    <row r="396">
      <c r="A396"/>
    </row>
    <row r="397">
      <c r="A397"/>
    </row>
    <row r="398">
      <c r="A398"/>
    </row>
    <row r="399">
      <c r="A399"/>
    </row>
    <row r="400">
      <c r="A400"/>
    </row>
    <row r="401">
      <c r="A401"/>
    </row>
    <row r="402">
      <c r="A402"/>
    </row>
    <row r="403">
      <c r="A403"/>
    </row>
    <row r="404">
      <c r="A404"/>
    </row>
    <row r="405">
      <c r="A405"/>
    </row>
    <row r="406">
      <c r="A406"/>
    </row>
    <row r="407">
      <c r="A407"/>
    </row>
    <row r="408">
      <c r="A408"/>
    </row>
    <row r="409">
      <c r="A409"/>
    </row>
    <row r="410">
      <c r="A410"/>
    </row>
    <row r="411">
      <c r="A411"/>
    </row>
    <row r="412">
      <c r="A412"/>
    </row>
    <row r="413">
      <c r="A413"/>
    </row>
    <row r="414">
      <c r="A414"/>
    </row>
    <row r="415">
      <c r="A415"/>
    </row>
    <row r="416">
      <c r="A416"/>
    </row>
    <row r="417">
      <c r="A417"/>
    </row>
    <row r="418">
      <c r="A418"/>
    </row>
    <row r="419">
      <c r="A419"/>
    </row>
    <row r="420">
      <c r="A420"/>
    </row>
    <row r="421">
      <c r="A421"/>
    </row>
    <row r="422">
      <c r="A422"/>
    </row>
    <row r="423">
      <c r="A423"/>
    </row>
    <row r="424">
      <c r="A424"/>
    </row>
    <row r="425">
      <c r="A425"/>
    </row>
    <row r="426">
      <c r="A426"/>
    </row>
    <row r="427">
      <c r="A427"/>
    </row>
    <row r="428">
      <c r="A428"/>
    </row>
    <row r="429">
      <c r="A429"/>
    </row>
    <row r="430">
      <c r="A430"/>
    </row>
    <row r="431">
      <c r="A431"/>
    </row>
    <row r="432">
      <c r="A432"/>
    </row>
    <row r="433">
      <c r="A433"/>
    </row>
    <row r="434">
      <c r="A434"/>
    </row>
    <row r="435">
      <c r="A435"/>
    </row>
    <row r="436">
      <c r="A436"/>
    </row>
    <row r="437">
      <c r="A437"/>
    </row>
    <row r="438">
      <c r="A438"/>
    </row>
    <row r="439">
      <c r="A439"/>
    </row>
    <row r="440">
      <c r="A440"/>
    </row>
    <row r="441">
      <c r="A441"/>
    </row>
    <row r="442">
      <c r="A442"/>
    </row>
    <row r="443">
      <c r="A443"/>
    </row>
    <row r="444">
      <c r="A444"/>
    </row>
    <row r="445">
      <c r="A445"/>
    </row>
    <row r="446">
      <c r="A446"/>
    </row>
    <row r="447">
      <c r="A447"/>
    </row>
    <row r="448">
      <c r="A448"/>
    </row>
    <row r="449">
      <c r="A449"/>
    </row>
    <row r="450">
      <c r="A450"/>
    </row>
    <row r="451">
      <c r="A451"/>
    </row>
    <row r="452">
      <c r="A452"/>
    </row>
    <row r="453">
      <c r="A453"/>
    </row>
    <row r="454">
      <c r="A454"/>
    </row>
    <row r="455">
      <c r="A455"/>
    </row>
    <row r="456">
      <c r="A456"/>
    </row>
    <row r="457">
      <c r="A457"/>
    </row>
    <row r="458">
      <c r="A458"/>
    </row>
    <row r="459">
      <c r="A459"/>
    </row>
    <row r="460">
      <c r="A460"/>
    </row>
    <row r="461">
      <c r="A461"/>
    </row>
    <row r="462">
      <c r="A462"/>
    </row>
    <row r="463">
      <c r="A463"/>
    </row>
    <row r="464">
      <c r="A464"/>
    </row>
    <row r="465">
      <c r="A465"/>
    </row>
    <row r="466">
      <c r="A466"/>
    </row>
    <row r="467">
      <c r="A467"/>
    </row>
    <row r="468">
      <c r="A468"/>
    </row>
    <row r="469">
      <c r="A469"/>
    </row>
    <row r="470">
      <c r="A470"/>
    </row>
    <row r="471">
      <c r="A471"/>
    </row>
    <row r="472">
      <c r="A472"/>
    </row>
    <row r="473">
      <c r="A473"/>
    </row>
    <row r="474">
      <c r="A474"/>
    </row>
    <row r="475">
      <c r="A475"/>
    </row>
    <row r="476">
      <c r="A476"/>
    </row>
    <row r="477">
      <c r="A477"/>
    </row>
    <row r="478">
      <c r="A478"/>
    </row>
    <row r="479">
      <c r="A479"/>
    </row>
    <row r="480">
      <c r="A480"/>
    </row>
    <row r="481">
      <c r="A481"/>
    </row>
    <row r="482">
      <c r="A482"/>
    </row>
    <row r="483">
      <c r="A483"/>
    </row>
    <row r="484">
      <c r="A484"/>
    </row>
    <row r="485">
      <c r="A485"/>
    </row>
    <row r="486">
      <c r="A486"/>
    </row>
    <row r="487">
      <c r="A487"/>
    </row>
    <row r="488">
      <c r="A488"/>
    </row>
    <row r="489">
      <c r="A489"/>
    </row>
    <row r="490">
      <c r="A490"/>
    </row>
    <row r="491">
      <c r="A491"/>
    </row>
    <row r="492">
      <c r="A492"/>
    </row>
    <row r="493">
      <c r="A493"/>
    </row>
    <row r="494">
      <c r="A494"/>
    </row>
    <row r="495">
      <c r="A495"/>
    </row>
    <row r="496">
      <c r="A496"/>
    </row>
    <row r="497">
      <c r="A497"/>
    </row>
    <row r="498">
      <c r="A498"/>
    </row>
    <row r="499">
      <c r="A499"/>
    </row>
    <row r="500">
      <c r="A50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B68272-7E3A-409B-BA1D-5017DE2A3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Instructions</vt:lpstr>
      <vt:lpstr>Dashboard</vt:lpstr>
      <vt:lpstr>Setup</vt:lpstr>
      <vt:lpstr>Budget Plan</vt:lpstr>
      <vt:lpstr>Manual Actuals</vt:lpstr>
      <vt:lpstr>Monthly Summary</vt:lpstr>
      <vt:lpstr>Goals</vt:lpstr>
      <vt:lpstr>Debts</vt:lpstr>
      <vt:lpstr>Reconciliation</vt:lpstr>
      <vt:lpstr>bk_download</vt:lpstr>
      <vt:lpstr>AccountList</vt:lpstr>
      <vt:lpstr>CategoryList</vt:lpstr>
      <vt:lpstr>Children</vt:lpstr>
      <vt:lpstr>Debt</vt:lpstr>
      <vt:lpstr>Entertainment</vt:lpstr>
      <vt:lpstr>Food</vt:lpstr>
      <vt:lpstr>Giving</vt:lpstr>
      <vt:lpstr>Housing</vt:lpstr>
      <vt:lpstr>Insurance</vt:lpstr>
      <vt:lpstr>Legal</vt:lpstr>
      <vt:lpstr>Medical</vt:lpstr>
      <vt:lpstr>Miscellaneous</vt:lpstr>
      <vt:lpstr>Personal_Care</vt:lpstr>
      <vt:lpstr>Pets</vt:lpstr>
      <vt:lpstr>Savings</vt:lpstr>
      <vt:lpstr>Subscriptions</vt:lpstr>
      <vt:lpstr>Taxes</vt:lpstr>
      <vt:lpstr>Utilities</vt:lpstr>
      <vt:lpstr>Vehicle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Gavin Anthony</dc:creator>
  <cp:keywords/>
  <dc:description/>
  <cp:lastModifiedBy>Gavin Anthony</cp:lastModifiedBy>
  <cp:revision/>
  <dcterms:created xsi:type="dcterms:W3CDTF">2026-08-10T01:05:20Z</dcterms:created>
  <dcterms:modified xsi:type="dcterms:W3CDTF">2026-08-10T01:52:11Z</dcterms:modified>
  <cp:category/>
  <cp:contentStatus/>
</cp:coreProperties>
</file>