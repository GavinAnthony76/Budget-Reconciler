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vin\Downloads\"/>
    </mc:Choice>
  </mc:AlternateContent>
  <xr:revisionPtr revIDLastSave="0" documentId="8_{0097B4A2-9F7F-4764-B749-12214829647C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Instructions" sheetId="11" r:id="rId1"/>
    <sheet name="Dashboard" sheetId="5" r:id="rId2"/>
    <sheet name="Setup" sheetId="6" r:id="rId3"/>
    <sheet name="Budget Plan" sheetId="7" r:id="rId4"/>
    <sheet name="Manual Actuals" sheetId="12" r:id="rId5"/>
    <sheet name="Monthly Summary" sheetId="10" r:id="rId6"/>
    <sheet name="Goals" sheetId="9" r:id="rId7"/>
    <sheet name="Debts" sheetId="8" r:id="rId8"/>
    <sheet name="Reconciliation" sheetId="13" r:id="rId9"/>
    <sheet name="bk_download" sheetId="3" r:id="rId10"/>
  </sheets>
  <definedNames>
    <definedName name="_xlnm._FilterDatabase" localSheetId="9" hidden="1">bk_download!$A$1:$N$1902</definedName>
    <definedName name="_xlnm._FilterDatabase" localSheetId="4" hidden="1">'Manual Actuals'!$A$1:$I$861</definedName>
    <definedName name="AccountList">Setup!$AA$2:$AA$3</definedName>
    <definedName name="CategoryList">Setup!$A$10:$A$28</definedName>
    <definedName name="Children">Setup!$P$2:$P$3</definedName>
    <definedName name="ColumnTitle1">#REF!</definedName>
    <definedName name="Debt">Setup!$V$2:$V$4</definedName>
    <definedName name="Entertainment">Setup!$R$2:$R$4</definedName>
    <definedName name="Food">Setup!$M$2:$M$4</definedName>
    <definedName name="Giving">Setup!$T$2:$T$3</definedName>
    <definedName name="Housing">Setup!$J$2:$J$7</definedName>
    <definedName name="Insurance">Setup!$N$2:$N$3</definedName>
    <definedName name="Legal">Setup!$Y$2</definedName>
    <definedName name="Medical">Setup!$O$2:$O$4</definedName>
    <definedName name="Miscellaneous">Setup!$Z$2:$Z$5</definedName>
    <definedName name="Personal_Care">Setup!$Q$2:$Q$4</definedName>
    <definedName name="Pets">Setup!$U$2</definedName>
    <definedName name="Savings">Setup!$W$2:$W$5</definedName>
    <definedName name="Subscriptions">Setup!$S$2:$S$5</definedName>
    <definedName name="Taxes">Setup!$X$2</definedName>
    <definedName name="Utilities">Setup!$K$2:$K$6</definedName>
    <definedName name="Vehicle">Setup!$L$2:$L$6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2" l="1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I21" i="5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H20" i="12"/>
  <c r="H19" i="12"/>
  <c r="H18" i="12"/>
  <c r="H17" i="12"/>
  <c r="H16" i="12"/>
  <c r="K54" i="7" s="1"/>
  <c r="H15" i="12"/>
  <c r="K15" i="7" s="1"/>
  <c r="D15" i="7" s="1"/>
  <c r="H14" i="12"/>
  <c r="H13" i="12"/>
  <c r="H12" i="12"/>
  <c r="H11" i="12"/>
  <c r="H10" i="12"/>
  <c r="K6" i="7" s="1"/>
  <c r="D6" i="7" s="1"/>
  <c r="H9" i="12"/>
  <c r="H8" i="12"/>
  <c r="H7" i="12"/>
  <c r="K17" i="7" s="1"/>
  <c r="H6" i="12"/>
  <c r="H5" i="12"/>
  <c r="H4" i="12"/>
  <c r="H3" i="12"/>
  <c r="H2" i="12"/>
  <c r="K11" i="7" s="1"/>
  <c r="D11" i="7" s="1"/>
  <c r="C43" i="7"/>
  <c r="C16" i="7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I43" i="3"/>
  <c r="H43" i="3"/>
  <c r="C10" i="7"/>
  <c r="J42" i="3"/>
  <c r="L42" i="3" s="1"/>
  <c r="J39" i="3"/>
  <c r="L39" i="3" s="1"/>
  <c r="J36" i="3"/>
  <c r="L36" i="3" s="1"/>
  <c r="N1902" i="3"/>
  <c r="J1902" i="3"/>
  <c r="M1902" i="3" s="1"/>
  <c r="G1902" i="3"/>
  <c r="N1901" i="3"/>
  <c r="J1901" i="3"/>
  <c r="G1901" i="3"/>
  <c r="N1900" i="3"/>
  <c r="J1900" i="3"/>
  <c r="L1900" i="3" s="1"/>
  <c r="G1900" i="3"/>
  <c r="N1899" i="3"/>
  <c r="J1899" i="3"/>
  <c r="G1899" i="3"/>
  <c r="N1898" i="3"/>
  <c r="J1898" i="3"/>
  <c r="G1898" i="3"/>
  <c r="N1897" i="3"/>
  <c r="J1897" i="3"/>
  <c r="L1897" i="3" s="1"/>
  <c r="G1897" i="3"/>
  <c r="N1896" i="3"/>
  <c r="J1896" i="3"/>
  <c r="M1896" i="3" s="1"/>
  <c r="G1896" i="3"/>
  <c r="N1895" i="3"/>
  <c r="J1895" i="3"/>
  <c r="G1895" i="3"/>
  <c r="N1894" i="3"/>
  <c r="J1894" i="3"/>
  <c r="L1894" i="3" s="1"/>
  <c r="G1894" i="3"/>
  <c r="N1893" i="3"/>
  <c r="J1893" i="3"/>
  <c r="G1893" i="3"/>
  <c r="N1892" i="3"/>
  <c r="J1892" i="3"/>
  <c r="L1892" i="3" s="1"/>
  <c r="G1892" i="3"/>
  <c r="N1891" i="3"/>
  <c r="J1891" i="3"/>
  <c r="L1891" i="3" s="1"/>
  <c r="G1891" i="3"/>
  <c r="N1890" i="3"/>
  <c r="J1890" i="3"/>
  <c r="M1890" i="3" s="1"/>
  <c r="G1890" i="3"/>
  <c r="N1889" i="3"/>
  <c r="J1889" i="3"/>
  <c r="G1889" i="3"/>
  <c r="N1888" i="3"/>
  <c r="J1888" i="3"/>
  <c r="L1888" i="3" s="1"/>
  <c r="G1888" i="3"/>
  <c r="N1887" i="3"/>
  <c r="J1887" i="3"/>
  <c r="M1887" i="3" s="1"/>
  <c r="G1887" i="3"/>
  <c r="N1886" i="3"/>
  <c r="J1886" i="3"/>
  <c r="G1886" i="3"/>
  <c r="N1885" i="3"/>
  <c r="J1885" i="3"/>
  <c r="L1885" i="3" s="1"/>
  <c r="G1885" i="3"/>
  <c r="N1884" i="3"/>
  <c r="J1884" i="3"/>
  <c r="M1884" i="3" s="1"/>
  <c r="G1884" i="3"/>
  <c r="N1883" i="3"/>
  <c r="J1883" i="3"/>
  <c r="G1883" i="3"/>
  <c r="N1882" i="3"/>
  <c r="J1882" i="3"/>
  <c r="L1882" i="3" s="1"/>
  <c r="G1882" i="3"/>
  <c r="N1881" i="3"/>
  <c r="L1881" i="3"/>
  <c r="J1881" i="3"/>
  <c r="M1881" i="3" s="1"/>
  <c r="G1881" i="3"/>
  <c r="N1880" i="3"/>
  <c r="J1880" i="3"/>
  <c r="M1880" i="3" s="1"/>
  <c r="G1880" i="3"/>
  <c r="N1879" i="3"/>
  <c r="J1879" i="3"/>
  <c r="L1879" i="3" s="1"/>
  <c r="G1879" i="3"/>
  <c r="N1878" i="3"/>
  <c r="J1878" i="3"/>
  <c r="M1878" i="3" s="1"/>
  <c r="G1878" i="3"/>
  <c r="N1877" i="3"/>
  <c r="J1877" i="3"/>
  <c r="G1877" i="3"/>
  <c r="N1876" i="3"/>
  <c r="J1876" i="3"/>
  <c r="L1876" i="3" s="1"/>
  <c r="G1876" i="3"/>
  <c r="N1875" i="3"/>
  <c r="J1875" i="3"/>
  <c r="G1875" i="3"/>
  <c r="N1874" i="3"/>
  <c r="J1874" i="3"/>
  <c r="G1874" i="3"/>
  <c r="N1873" i="3"/>
  <c r="J1873" i="3"/>
  <c r="L1873" i="3" s="1"/>
  <c r="G1873" i="3"/>
  <c r="N1872" i="3"/>
  <c r="J1872" i="3"/>
  <c r="M1872" i="3" s="1"/>
  <c r="G1872" i="3"/>
  <c r="N1871" i="3"/>
  <c r="J1871" i="3"/>
  <c r="G1871" i="3"/>
  <c r="N1870" i="3"/>
  <c r="J1870" i="3"/>
  <c r="L1870" i="3" s="1"/>
  <c r="G1870" i="3"/>
  <c r="N1869" i="3"/>
  <c r="J1869" i="3"/>
  <c r="M1869" i="3" s="1"/>
  <c r="G1869" i="3"/>
  <c r="N1868" i="3"/>
  <c r="J1868" i="3"/>
  <c r="L1868" i="3" s="1"/>
  <c r="G1868" i="3"/>
  <c r="N1867" i="3"/>
  <c r="J1867" i="3"/>
  <c r="L1867" i="3" s="1"/>
  <c r="G1867" i="3"/>
  <c r="N1866" i="3"/>
  <c r="J1866" i="3"/>
  <c r="M1866" i="3" s="1"/>
  <c r="G1866" i="3"/>
  <c r="N1865" i="3"/>
  <c r="J1865" i="3"/>
  <c r="G1865" i="3"/>
  <c r="N1864" i="3"/>
  <c r="J1864" i="3"/>
  <c r="L1864" i="3" s="1"/>
  <c r="G1864" i="3"/>
  <c r="N1863" i="3"/>
  <c r="J1863" i="3"/>
  <c r="G1863" i="3"/>
  <c r="N1862" i="3"/>
  <c r="J1862" i="3"/>
  <c r="G1862" i="3"/>
  <c r="N1861" i="3"/>
  <c r="J1861" i="3"/>
  <c r="L1861" i="3" s="1"/>
  <c r="G1861" i="3"/>
  <c r="N1860" i="3"/>
  <c r="J1860" i="3"/>
  <c r="M1860" i="3" s="1"/>
  <c r="G1860" i="3"/>
  <c r="N1859" i="3"/>
  <c r="J1859" i="3"/>
  <c r="G1859" i="3"/>
  <c r="N1858" i="3"/>
  <c r="J1858" i="3"/>
  <c r="L1858" i="3" s="1"/>
  <c r="G1858" i="3"/>
  <c r="N1857" i="3"/>
  <c r="J1857" i="3"/>
  <c r="M1857" i="3" s="1"/>
  <c r="G1857" i="3"/>
  <c r="N1856" i="3"/>
  <c r="J1856" i="3"/>
  <c r="L1856" i="3" s="1"/>
  <c r="G1856" i="3"/>
  <c r="N1855" i="3"/>
  <c r="J1855" i="3"/>
  <c r="L1855" i="3" s="1"/>
  <c r="G1855" i="3"/>
  <c r="N1854" i="3"/>
  <c r="J1854" i="3"/>
  <c r="M1854" i="3" s="1"/>
  <c r="G1854" i="3"/>
  <c r="N1853" i="3"/>
  <c r="J1853" i="3"/>
  <c r="G1853" i="3"/>
  <c r="N1852" i="3"/>
  <c r="J1852" i="3"/>
  <c r="L1852" i="3" s="1"/>
  <c r="G1852" i="3"/>
  <c r="N1851" i="3"/>
  <c r="J1851" i="3"/>
  <c r="G1851" i="3"/>
  <c r="N1850" i="3"/>
  <c r="J1850" i="3"/>
  <c r="G1850" i="3"/>
  <c r="N1849" i="3"/>
  <c r="J1849" i="3"/>
  <c r="L1849" i="3" s="1"/>
  <c r="G1849" i="3"/>
  <c r="N1848" i="3"/>
  <c r="J1848" i="3"/>
  <c r="M1848" i="3" s="1"/>
  <c r="G1848" i="3"/>
  <c r="N1847" i="3"/>
  <c r="J1847" i="3"/>
  <c r="G1847" i="3"/>
  <c r="N1846" i="3"/>
  <c r="J1846" i="3"/>
  <c r="L1846" i="3" s="1"/>
  <c r="G1846" i="3"/>
  <c r="N1845" i="3"/>
  <c r="J1845" i="3"/>
  <c r="M1845" i="3" s="1"/>
  <c r="G1845" i="3"/>
  <c r="N1844" i="3"/>
  <c r="J1844" i="3"/>
  <c r="L1844" i="3" s="1"/>
  <c r="G1844" i="3"/>
  <c r="N1843" i="3"/>
  <c r="J1843" i="3"/>
  <c r="L1843" i="3" s="1"/>
  <c r="G1843" i="3"/>
  <c r="N1842" i="3"/>
  <c r="J1842" i="3"/>
  <c r="M1842" i="3" s="1"/>
  <c r="G1842" i="3"/>
  <c r="N1841" i="3"/>
  <c r="J1841" i="3"/>
  <c r="G1841" i="3"/>
  <c r="N1840" i="3"/>
  <c r="J1840" i="3"/>
  <c r="L1840" i="3" s="1"/>
  <c r="G1840" i="3"/>
  <c r="N1839" i="3"/>
  <c r="J1839" i="3"/>
  <c r="G1839" i="3"/>
  <c r="N1838" i="3"/>
  <c r="J1838" i="3"/>
  <c r="G1838" i="3"/>
  <c r="N1837" i="3"/>
  <c r="J1837" i="3"/>
  <c r="L1837" i="3" s="1"/>
  <c r="G1837" i="3"/>
  <c r="N1836" i="3"/>
  <c r="J1836" i="3"/>
  <c r="M1836" i="3" s="1"/>
  <c r="G1836" i="3"/>
  <c r="N1835" i="3"/>
  <c r="J1835" i="3"/>
  <c r="G1835" i="3"/>
  <c r="N1834" i="3"/>
  <c r="J1834" i="3"/>
  <c r="L1834" i="3" s="1"/>
  <c r="G1834" i="3"/>
  <c r="N1833" i="3"/>
  <c r="J1833" i="3"/>
  <c r="M1833" i="3" s="1"/>
  <c r="G1833" i="3"/>
  <c r="N1832" i="3"/>
  <c r="J1832" i="3"/>
  <c r="M1832" i="3" s="1"/>
  <c r="G1832" i="3"/>
  <c r="N1831" i="3"/>
  <c r="J1831" i="3"/>
  <c r="L1831" i="3" s="1"/>
  <c r="G1831" i="3"/>
  <c r="N1830" i="3"/>
  <c r="J1830" i="3"/>
  <c r="M1830" i="3" s="1"/>
  <c r="G1830" i="3"/>
  <c r="N1829" i="3"/>
  <c r="J1829" i="3"/>
  <c r="G1829" i="3"/>
  <c r="N1828" i="3"/>
  <c r="J1828" i="3"/>
  <c r="L1828" i="3" s="1"/>
  <c r="G1828" i="3"/>
  <c r="N1827" i="3"/>
  <c r="J1827" i="3"/>
  <c r="G1827" i="3"/>
  <c r="N1826" i="3"/>
  <c r="J1826" i="3"/>
  <c r="G1826" i="3"/>
  <c r="N1825" i="3"/>
  <c r="J1825" i="3"/>
  <c r="L1825" i="3" s="1"/>
  <c r="G1825" i="3"/>
  <c r="N1824" i="3"/>
  <c r="J1824" i="3"/>
  <c r="M1824" i="3" s="1"/>
  <c r="G1824" i="3"/>
  <c r="N1823" i="3"/>
  <c r="J1823" i="3"/>
  <c r="G1823" i="3"/>
  <c r="N1822" i="3"/>
  <c r="J1822" i="3"/>
  <c r="L1822" i="3" s="1"/>
  <c r="G1822" i="3"/>
  <c r="N1821" i="3"/>
  <c r="J1821" i="3"/>
  <c r="M1821" i="3" s="1"/>
  <c r="G1821" i="3"/>
  <c r="N1820" i="3"/>
  <c r="J1820" i="3"/>
  <c r="L1820" i="3" s="1"/>
  <c r="G1820" i="3"/>
  <c r="N1819" i="3"/>
  <c r="J1819" i="3"/>
  <c r="L1819" i="3" s="1"/>
  <c r="G1819" i="3"/>
  <c r="N1818" i="3"/>
  <c r="J1818" i="3"/>
  <c r="M1818" i="3" s="1"/>
  <c r="G1818" i="3"/>
  <c r="N1817" i="3"/>
  <c r="J1817" i="3"/>
  <c r="G1817" i="3"/>
  <c r="N1816" i="3"/>
  <c r="J1816" i="3"/>
  <c r="L1816" i="3" s="1"/>
  <c r="G1816" i="3"/>
  <c r="N1815" i="3"/>
  <c r="J1815" i="3"/>
  <c r="G1815" i="3"/>
  <c r="N1814" i="3"/>
  <c r="J1814" i="3"/>
  <c r="G1814" i="3"/>
  <c r="N1813" i="3"/>
  <c r="J1813" i="3"/>
  <c r="L1813" i="3" s="1"/>
  <c r="G1813" i="3"/>
  <c r="N1812" i="3"/>
  <c r="J1812" i="3"/>
  <c r="M1812" i="3" s="1"/>
  <c r="G1812" i="3"/>
  <c r="N1811" i="3"/>
  <c r="J1811" i="3"/>
  <c r="G1811" i="3"/>
  <c r="N1810" i="3"/>
  <c r="J1810" i="3"/>
  <c r="L1810" i="3" s="1"/>
  <c r="G1810" i="3"/>
  <c r="N1809" i="3"/>
  <c r="J1809" i="3"/>
  <c r="M1809" i="3" s="1"/>
  <c r="G1809" i="3"/>
  <c r="N1808" i="3"/>
  <c r="J1808" i="3"/>
  <c r="M1808" i="3" s="1"/>
  <c r="G1808" i="3"/>
  <c r="N1807" i="3"/>
  <c r="J1807" i="3"/>
  <c r="L1807" i="3" s="1"/>
  <c r="G1807" i="3"/>
  <c r="N1806" i="3"/>
  <c r="J1806" i="3"/>
  <c r="M1806" i="3" s="1"/>
  <c r="G1806" i="3"/>
  <c r="N1805" i="3"/>
  <c r="J1805" i="3"/>
  <c r="G1805" i="3"/>
  <c r="N1804" i="3"/>
  <c r="J1804" i="3"/>
  <c r="L1804" i="3" s="1"/>
  <c r="G1804" i="3"/>
  <c r="N1803" i="3"/>
  <c r="J1803" i="3"/>
  <c r="G1803" i="3"/>
  <c r="N1802" i="3"/>
  <c r="J1802" i="3"/>
  <c r="G1802" i="3"/>
  <c r="N1801" i="3"/>
  <c r="J1801" i="3"/>
  <c r="L1801" i="3" s="1"/>
  <c r="G1801" i="3"/>
  <c r="N1800" i="3"/>
  <c r="J1800" i="3"/>
  <c r="M1800" i="3" s="1"/>
  <c r="G1800" i="3"/>
  <c r="N1799" i="3"/>
  <c r="J1799" i="3"/>
  <c r="G1799" i="3"/>
  <c r="N1798" i="3"/>
  <c r="J1798" i="3"/>
  <c r="L1798" i="3" s="1"/>
  <c r="G1798" i="3"/>
  <c r="N1797" i="3"/>
  <c r="J1797" i="3"/>
  <c r="M1797" i="3" s="1"/>
  <c r="G1797" i="3"/>
  <c r="N1796" i="3"/>
  <c r="J1796" i="3"/>
  <c r="L1796" i="3" s="1"/>
  <c r="G1796" i="3"/>
  <c r="N1795" i="3"/>
  <c r="J1795" i="3"/>
  <c r="G1795" i="3"/>
  <c r="N1794" i="3"/>
  <c r="J1794" i="3"/>
  <c r="M1794" i="3" s="1"/>
  <c r="G1794" i="3"/>
  <c r="N1793" i="3"/>
  <c r="J1793" i="3"/>
  <c r="G1793" i="3"/>
  <c r="N1792" i="3"/>
  <c r="J1792" i="3"/>
  <c r="G1792" i="3"/>
  <c r="N1791" i="3"/>
  <c r="J1791" i="3"/>
  <c r="G1791" i="3"/>
  <c r="N1790" i="3"/>
  <c r="J1790" i="3"/>
  <c r="G1790" i="3"/>
  <c r="N1789" i="3"/>
  <c r="J1789" i="3"/>
  <c r="G1789" i="3"/>
  <c r="N1788" i="3"/>
  <c r="J1788" i="3"/>
  <c r="M1788" i="3" s="1"/>
  <c r="G1788" i="3"/>
  <c r="N1787" i="3"/>
  <c r="J1787" i="3"/>
  <c r="G1787" i="3"/>
  <c r="N1786" i="3"/>
  <c r="J1786" i="3"/>
  <c r="G1786" i="3"/>
  <c r="N1785" i="3"/>
  <c r="J1785" i="3"/>
  <c r="M1785" i="3" s="1"/>
  <c r="G1785" i="3"/>
  <c r="N1784" i="3"/>
  <c r="J1784" i="3"/>
  <c r="M1784" i="3" s="1"/>
  <c r="G1784" i="3"/>
  <c r="N1783" i="3"/>
  <c r="J1783" i="3"/>
  <c r="G1783" i="3"/>
  <c r="N1782" i="3"/>
  <c r="J1782" i="3"/>
  <c r="M1782" i="3" s="1"/>
  <c r="G1782" i="3"/>
  <c r="N1781" i="3"/>
  <c r="J1781" i="3"/>
  <c r="G1781" i="3"/>
  <c r="N1780" i="3"/>
  <c r="J1780" i="3"/>
  <c r="G1780" i="3"/>
  <c r="N1779" i="3"/>
  <c r="J1779" i="3"/>
  <c r="G1779" i="3"/>
  <c r="N1778" i="3"/>
  <c r="J1778" i="3"/>
  <c r="G1778" i="3"/>
  <c r="N1777" i="3"/>
  <c r="J1777" i="3"/>
  <c r="G1777" i="3"/>
  <c r="N1776" i="3"/>
  <c r="J1776" i="3"/>
  <c r="M1776" i="3" s="1"/>
  <c r="G1776" i="3"/>
  <c r="N1775" i="3"/>
  <c r="J1775" i="3"/>
  <c r="G1775" i="3"/>
  <c r="N1774" i="3"/>
  <c r="J1774" i="3"/>
  <c r="G1774" i="3"/>
  <c r="N1773" i="3"/>
  <c r="J1773" i="3"/>
  <c r="M1773" i="3" s="1"/>
  <c r="G1773" i="3"/>
  <c r="N1772" i="3"/>
  <c r="J1772" i="3"/>
  <c r="L1772" i="3" s="1"/>
  <c r="G1772" i="3"/>
  <c r="N1771" i="3"/>
  <c r="J1771" i="3"/>
  <c r="G1771" i="3"/>
  <c r="N1770" i="3"/>
  <c r="J1770" i="3"/>
  <c r="M1770" i="3" s="1"/>
  <c r="G1770" i="3"/>
  <c r="N1769" i="3"/>
  <c r="J1769" i="3"/>
  <c r="G1769" i="3"/>
  <c r="N1768" i="3"/>
  <c r="J1768" i="3"/>
  <c r="G1768" i="3"/>
  <c r="N1767" i="3"/>
  <c r="J1767" i="3"/>
  <c r="G1767" i="3"/>
  <c r="N1766" i="3"/>
  <c r="J1766" i="3"/>
  <c r="G1766" i="3"/>
  <c r="N1765" i="3"/>
  <c r="J1765" i="3"/>
  <c r="G1765" i="3"/>
  <c r="N1764" i="3"/>
  <c r="J1764" i="3"/>
  <c r="M1764" i="3" s="1"/>
  <c r="G1764" i="3"/>
  <c r="N1763" i="3"/>
  <c r="J1763" i="3"/>
  <c r="G1763" i="3"/>
  <c r="N1762" i="3"/>
  <c r="J1762" i="3"/>
  <c r="G1762" i="3"/>
  <c r="N1761" i="3"/>
  <c r="J1761" i="3"/>
  <c r="G1761" i="3"/>
  <c r="N1760" i="3"/>
  <c r="J1760" i="3"/>
  <c r="M1760" i="3" s="1"/>
  <c r="G1760" i="3"/>
  <c r="N1759" i="3"/>
  <c r="J1759" i="3"/>
  <c r="G1759" i="3"/>
  <c r="N1758" i="3"/>
  <c r="J1758" i="3"/>
  <c r="M1758" i="3" s="1"/>
  <c r="G1758" i="3"/>
  <c r="N1757" i="3"/>
  <c r="J1757" i="3"/>
  <c r="M1757" i="3" s="1"/>
  <c r="G1757" i="3"/>
  <c r="N1756" i="3"/>
  <c r="J1756" i="3"/>
  <c r="G1756" i="3"/>
  <c r="N1755" i="3"/>
  <c r="J1755" i="3"/>
  <c r="G1755" i="3"/>
  <c r="N1754" i="3"/>
  <c r="J1754" i="3"/>
  <c r="M1754" i="3" s="1"/>
  <c r="G1754" i="3"/>
  <c r="N1753" i="3"/>
  <c r="J1753" i="3"/>
  <c r="G1753" i="3"/>
  <c r="N1752" i="3"/>
  <c r="J1752" i="3"/>
  <c r="M1752" i="3" s="1"/>
  <c r="G1752" i="3"/>
  <c r="N1751" i="3"/>
  <c r="J1751" i="3"/>
  <c r="G1751" i="3"/>
  <c r="N1750" i="3"/>
  <c r="J1750" i="3"/>
  <c r="G1750" i="3"/>
  <c r="N1749" i="3"/>
  <c r="J1749" i="3"/>
  <c r="M1749" i="3" s="1"/>
  <c r="G1749" i="3"/>
  <c r="N1748" i="3"/>
  <c r="J1748" i="3"/>
  <c r="G1748" i="3"/>
  <c r="N1747" i="3"/>
  <c r="J1747" i="3"/>
  <c r="G1747" i="3"/>
  <c r="N1746" i="3"/>
  <c r="J1746" i="3"/>
  <c r="M1746" i="3" s="1"/>
  <c r="G1746" i="3"/>
  <c r="N1745" i="3"/>
  <c r="J1745" i="3"/>
  <c r="L1745" i="3" s="1"/>
  <c r="G1745" i="3"/>
  <c r="N1744" i="3"/>
  <c r="J1744" i="3"/>
  <c r="G1744" i="3"/>
  <c r="N1743" i="3"/>
  <c r="J1743" i="3"/>
  <c r="G1743" i="3"/>
  <c r="N1742" i="3"/>
  <c r="J1742" i="3"/>
  <c r="G1742" i="3"/>
  <c r="N1741" i="3"/>
  <c r="J1741" i="3"/>
  <c r="G1741" i="3"/>
  <c r="N1740" i="3"/>
  <c r="J1740" i="3"/>
  <c r="M1740" i="3" s="1"/>
  <c r="G1740" i="3"/>
  <c r="N1739" i="3"/>
  <c r="J1739" i="3"/>
  <c r="L1739" i="3" s="1"/>
  <c r="G1739" i="3"/>
  <c r="N1738" i="3"/>
  <c r="J1738" i="3"/>
  <c r="G1738" i="3"/>
  <c r="N1737" i="3"/>
  <c r="J1737" i="3"/>
  <c r="M1737" i="3" s="1"/>
  <c r="G1737" i="3"/>
  <c r="N1736" i="3"/>
  <c r="J1736" i="3"/>
  <c r="M1736" i="3" s="1"/>
  <c r="G1736" i="3"/>
  <c r="N1735" i="3"/>
  <c r="J1735" i="3"/>
  <c r="G1735" i="3"/>
  <c r="N1734" i="3"/>
  <c r="J1734" i="3"/>
  <c r="M1734" i="3" s="1"/>
  <c r="G1734" i="3"/>
  <c r="N1733" i="3"/>
  <c r="J1733" i="3"/>
  <c r="G1733" i="3"/>
  <c r="N1732" i="3"/>
  <c r="J1732" i="3"/>
  <c r="G1732" i="3"/>
  <c r="N1731" i="3"/>
  <c r="J1731" i="3"/>
  <c r="M1731" i="3" s="1"/>
  <c r="G1731" i="3"/>
  <c r="N1730" i="3"/>
  <c r="J1730" i="3"/>
  <c r="M1730" i="3" s="1"/>
  <c r="G1730" i="3"/>
  <c r="N1729" i="3"/>
  <c r="J1729" i="3"/>
  <c r="G1729" i="3"/>
  <c r="N1728" i="3"/>
  <c r="J1728" i="3"/>
  <c r="M1728" i="3" s="1"/>
  <c r="G1728" i="3"/>
  <c r="N1727" i="3"/>
  <c r="J1727" i="3"/>
  <c r="G1727" i="3"/>
  <c r="N1726" i="3"/>
  <c r="J1726" i="3"/>
  <c r="G1726" i="3"/>
  <c r="N1725" i="3"/>
  <c r="J1725" i="3"/>
  <c r="G1725" i="3"/>
  <c r="N1724" i="3"/>
  <c r="J1724" i="3"/>
  <c r="L1724" i="3" s="1"/>
  <c r="G1724" i="3"/>
  <c r="N1723" i="3"/>
  <c r="J1723" i="3"/>
  <c r="G1723" i="3"/>
  <c r="N1722" i="3"/>
  <c r="J1722" i="3"/>
  <c r="M1722" i="3" s="1"/>
  <c r="G1722" i="3"/>
  <c r="N1721" i="3"/>
  <c r="J1721" i="3"/>
  <c r="M1721" i="3" s="1"/>
  <c r="G1721" i="3"/>
  <c r="N1720" i="3"/>
  <c r="J1720" i="3"/>
  <c r="G1720" i="3"/>
  <c r="N1719" i="3"/>
  <c r="J1719" i="3"/>
  <c r="G1719" i="3"/>
  <c r="N1718" i="3"/>
  <c r="J1718" i="3"/>
  <c r="L1718" i="3" s="1"/>
  <c r="G1718" i="3"/>
  <c r="N1717" i="3"/>
  <c r="J1717" i="3"/>
  <c r="G1717" i="3"/>
  <c r="N1716" i="3"/>
  <c r="J1716" i="3"/>
  <c r="M1716" i="3" s="1"/>
  <c r="G1716" i="3"/>
  <c r="N1715" i="3"/>
  <c r="J1715" i="3"/>
  <c r="M1715" i="3" s="1"/>
  <c r="G1715" i="3"/>
  <c r="N1714" i="3"/>
  <c r="J1714" i="3"/>
  <c r="G1714" i="3"/>
  <c r="N1713" i="3"/>
  <c r="J1713" i="3"/>
  <c r="M1713" i="3" s="1"/>
  <c r="G1713" i="3"/>
  <c r="N1712" i="3"/>
  <c r="J1712" i="3"/>
  <c r="G1712" i="3"/>
  <c r="N1711" i="3"/>
  <c r="J1711" i="3"/>
  <c r="G1711" i="3"/>
  <c r="N1710" i="3"/>
  <c r="J1710" i="3"/>
  <c r="M1710" i="3" s="1"/>
  <c r="G1710" i="3"/>
  <c r="N1709" i="3"/>
  <c r="J1709" i="3"/>
  <c r="G1709" i="3"/>
  <c r="N1708" i="3"/>
  <c r="J1708" i="3"/>
  <c r="G1708" i="3"/>
  <c r="N1707" i="3"/>
  <c r="J1707" i="3"/>
  <c r="M1707" i="3" s="1"/>
  <c r="G1707" i="3"/>
  <c r="N1706" i="3"/>
  <c r="J1706" i="3"/>
  <c r="G1706" i="3"/>
  <c r="N1705" i="3"/>
  <c r="J1705" i="3"/>
  <c r="G1705" i="3"/>
  <c r="N1704" i="3"/>
  <c r="J1704" i="3"/>
  <c r="M1704" i="3" s="1"/>
  <c r="G1704" i="3"/>
  <c r="N1703" i="3"/>
  <c r="J1703" i="3"/>
  <c r="L1703" i="3" s="1"/>
  <c r="G1703" i="3"/>
  <c r="N1702" i="3"/>
  <c r="J1702" i="3"/>
  <c r="G1702" i="3"/>
  <c r="N1701" i="3"/>
  <c r="J1701" i="3"/>
  <c r="G1701" i="3"/>
  <c r="N1700" i="3"/>
  <c r="J1700" i="3"/>
  <c r="M1700" i="3" s="1"/>
  <c r="G1700" i="3"/>
  <c r="N1699" i="3"/>
  <c r="J1699" i="3"/>
  <c r="G1699" i="3"/>
  <c r="N1698" i="3"/>
  <c r="J1698" i="3"/>
  <c r="M1698" i="3" s="1"/>
  <c r="G1698" i="3"/>
  <c r="N1697" i="3"/>
  <c r="J1697" i="3"/>
  <c r="G1697" i="3"/>
  <c r="N1696" i="3"/>
  <c r="J1696" i="3"/>
  <c r="G1696" i="3"/>
  <c r="N1695" i="3"/>
  <c r="J1695" i="3"/>
  <c r="G1695" i="3"/>
  <c r="N1694" i="3"/>
  <c r="J1694" i="3"/>
  <c r="G1694" i="3"/>
  <c r="N1693" i="3"/>
  <c r="J1693" i="3"/>
  <c r="G1693" i="3"/>
  <c r="N1692" i="3"/>
  <c r="J1692" i="3"/>
  <c r="M1692" i="3" s="1"/>
  <c r="G1692" i="3"/>
  <c r="N1691" i="3"/>
  <c r="J1691" i="3"/>
  <c r="G1691" i="3"/>
  <c r="N1690" i="3"/>
  <c r="J1690" i="3"/>
  <c r="G1690" i="3"/>
  <c r="N1689" i="3"/>
  <c r="J1689" i="3"/>
  <c r="G1689" i="3"/>
  <c r="N1688" i="3"/>
  <c r="J1688" i="3"/>
  <c r="M1688" i="3" s="1"/>
  <c r="G1688" i="3"/>
  <c r="N1687" i="3"/>
  <c r="J1687" i="3"/>
  <c r="G1687" i="3"/>
  <c r="N1686" i="3"/>
  <c r="J1686" i="3"/>
  <c r="M1686" i="3" s="1"/>
  <c r="G1686" i="3"/>
  <c r="N1685" i="3"/>
  <c r="J1685" i="3"/>
  <c r="M1685" i="3" s="1"/>
  <c r="G1685" i="3"/>
  <c r="N1684" i="3"/>
  <c r="J1684" i="3"/>
  <c r="G1684" i="3"/>
  <c r="N1683" i="3"/>
  <c r="J1683" i="3"/>
  <c r="G1683" i="3"/>
  <c r="N1682" i="3"/>
  <c r="J1682" i="3"/>
  <c r="G1682" i="3"/>
  <c r="N1681" i="3"/>
  <c r="J1681" i="3"/>
  <c r="G1681" i="3"/>
  <c r="N1680" i="3"/>
  <c r="J1680" i="3"/>
  <c r="M1680" i="3" s="1"/>
  <c r="G1680" i="3"/>
  <c r="N1679" i="3"/>
  <c r="J1679" i="3"/>
  <c r="M1679" i="3" s="1"/>
  <c r="G1679" i="3"/>
  <c r="N1678" i="3"/>
  <c r="J1678" i="3"/>
  <c r="L1678" i="3" s="1"/>
  <c r="G1678" i="3"/>
  <c r="N1677" i="3"/>
  <c r="J1677" i="3"/>
  <c r="G1677" i="3"/>
  <c r="N1676" i="3"/>
  <c r="J1676" i="3"/>
  <c r="L1676" i="3" s="1"/>
  <c r="G1676" i="3"/>
  <c r="N1675" i="3"/>
  <c r="J1675" i="3"/>
  <c r="L1675" i="3" s="1"/>
  <c r="G1675" i="3"/>
  <c r="N1674" i="3"/>
  <c r="J1674" i="3"/>
  <c r="M1674" i="3" s="1"/>
  <c r="G1674" i="3"/>
  <c r="N1673" i="3"/>
  <c r="J1673" i="3"/>
  <c r="G1673" i="3"/>
  <c r="N1672" i="3"/>
  <c r="J1672" i="3"/>
  <c r="L1672" i="3" s="1"/>
  <c r="G1672" i="3"/>
  <c r="N1671" i="3"/>
  <c r="J1671" i="3"/>
  <c r="M1671" i="3" s="1"/>
  <c r="G1671" i="3"/>
  <c r="N1670" i="3"/>
  <c r="J1670" i="3"/>
  <c r="G1670" i="3"/>
  <c r="N1669" i="3"/>
  <c r="J1669" i="3"/>
  <c r="G1669" i="3"/>
  <c r="N1668" i="3"/>
  <c r="J1668" i="3"/>
  <c r="M1668" i="3" s="1"/>
  <c r="G1668" i="3"/>
  <c r="N1667" i="3"/>
  <c r="J1667" i="3"/>
  <c r="G1667" i="3"/>
  <c r="N1666" i="3"/>
  <c r="J1666" i="3"/>
  <c r="G1666" i="3"/>
  <c r="N1665" i="3"/>
  <c r="J1665" i="3"/>
  <c r="G1665" i="3"/>
  <c r="N1664" i="3"/>
  <c r="J1664" i="3"/>
  <c r="L1664" i="3" s="1"/>
  <c r="G1664" i="3"/>
  <c r="N1663" i="3"/>
  <c r="J1663" i="3"/>
  <c r="L1663" i="3" s="1"/>
  <c r="G1663" i="3"/>
  <c r="N1662" i="3"/>
  <c r="J1662" i="3"/>
  <c r="M1662" i="3" s="1"/>
  <c r="G1662" i="3"/>
  <c r="N1661" i="3"/>
  <c r="J1661" i="3"/>
  <c r="G1661" i="3"/>
  <c r="N1660" i="3"/>
  <c r="J1660" i="3"/>
  <c r="G1660" i="3"/>
  <c r="N1659" i="3"/>
  <c r="J1659" i="3"/>
  <c r="M1659" i="3" s="1"/>
  <c r="G1659" i="3"/>
  <c r="N1658" i="3"/>
  <c r="J1658" i="3"/>
  <c r="M1658" i="3" s="1"/>
  <c r="G1658" i="3"/>
  <c r="N1657" i="3"/>
  <c r="J1657" i="3"/>
  <c r="L1657" i="3" s="1"/>
  <c r="G1657" i="3"/>
  <c r="N1656" i="3"/>
  <c r="J1656" i="3"/>
  <c r="G1656" i="3"/>
  <c r="N1655" i="3"/>
  <c r="J1655" i="3"/>
  <c r="G1655" i="3"/>
  <c r="N1654" i="3"/>
  <c r="J1654" i="3"/>
  <c r="M1654" i="3" s="1"/>
  <c r="G1654" i="3"/>
  <c r="N1653" i="3"/>
  <c r="J1653" i="3"/>
  <c r="M1653" i="3" s="1"/>
  <c r="G1653" i="3"/>
  <c r="N1652" i="3"/>
  <c r="J1652" i="3"/>
  <c r="M1652" i="3" s="1"/>
  <c r="G1652" i="3"/>
  <c r="N1651" i="3"/>
  <c r="J1651" i="3"/>
  <c r="L1651" i="3" s="1"/>
  <c r="G1651" i="3"/>
  <c r="N1650" i="3"/>
  <c r="J1650" i="3"/>
  <c r="M1650" i="3" s="1"/>
  <c r="G1650" i="3"/>
  <c r="N1649" i="3"/>
  <c r="J1649" i="3"/>
  <c r="G1649" i="3"/>
  <c r="N1648" i="3"/>
  <c r="J1648" i="3"/>
  <c r="G1648" i="3"/>
  <c r="N1647" i="3"/>
  <c r="J1647" i="3"/>
  <c r="M1647" i="3" s="1"/>
  <c r="G1647" i="3"/>
  <c r="N1646" i="3"/>
  <c r="J1646" i="3"/>
  <c r="M1646" i="3" s="1"/>
  <c r="G1646" i="3"/>
  <c r="N1645" i="3"/>
  <c r="J1645" i="3"/>
  <c r="G1645" i="3"/>
  <c r="N1644" i="3"/>
  <c r="J1644" i="3"/>
  <c r="M1644" i="3" s="1"/>
  <c r="G1644" i="3"/>
  <c r="N1643" i="3"/>
  <c r="J1643" i="3"/>
  <c r="G1643" i="3"/>
  <c r="N1642" i="3"/>
  <c r="J1642" i="3"/>
  <c r="L1642" i="3" s="1"/>
  <c r="G1642" i="3"/>
  <c r="N1641" i="3"/>
  <c r="J1641" i="3"/>
  <c r="M1641" i="3" s="1"/>
  <c r="G1641" i="3"/>
  <c r="N1640" i="3"/>
  <c r="J1640" i="3"/>
  <c r="G1640" i="3"/>
  <c r="N1639" i="3"/>
  <c r="J1639" i="3"/>
  <c r="G1639" i="3"/>
  <c r="N1638" i="3"/>
  <c r="J1638" i="3"/>
  <c r="M1638" i="3" s="1"/>
  <c r="G1638" i="3"/>
  <c r="N1637" i="3"/>
  <c r="J1637" i="3"/>
  <c r="G1637" i="3"/>
  <c r="N1636" i="3"/>
  <c r="J1636" i="3"/>
  <c r="L1636" i="3" s="1"/>
  <c r="G1636" i="3"/>
  <c r="N1635" i="3"/>
  <c r="J1635" i="3"/>
  <c r="M1635" i="3" s="1"/>
  <c r="G1635" i="3"/>
  <c r="N1634" i="3"/>
  <c r="J1634" i="3"/>
  <c r="M1634" i="3" s="1"/>
  <c r="G1634" i="3"/>
  <c r="N1633" i="3"/>
  <c r="J1633" i="3"/>
  <c r="G1633" i="3"/>
  <c r="N1632" i="3"/>
  <c r="J1632" i="3"/>
  <c r="M1632" i="3" s="1"/>
  <c r="G1632" i="3"/>
  <c r="N1631" i="3"/>
  <c r="J1631" i="3"/>
  <c r="G1631" i="3"/>
  <c r="N1630" i="3"/>
  <c r="J1630" i="3"/>
  <c r="L1630" i="3" s="1"/>
  <c r="G1630" i="3"/>
  <c r="N1629" i="3"/>
  <c r="J1629" i="3"/>
  <c r="M1629" i="3" s="1"/>
  <c r="G1629" i="3"/>
  <c r="N1628" i="3"/>
  <c r="J1628" i="3"/>
  <c r="M1628" i="3" s="1"/>
  <c r="G1628" i="3"/>
  <c r="N1627" i="3"/>
  <c r="J1627" i="3"/>
  <c r="G1627" i="3"/>
  <c r="N1626" i="3"/>
  <c r="J1626" i="3"/>
  <c r="M1626" i="3" s="1"/>
  <c r="G1626" i="3"/>
  <c r="N1625" i="3"/>
  <c r="J1625" i="3"/>
  <c r="M1625" i="3" s="1"/>
  <c r="G1625" i="3"/>
  <c r="N1624" i="3"/>
  <c r="J1624" i="3"/>
  <c r="M1624" i="3" s="1"/>
  <c r="G1624" i="3"/>
  <c r="N1623" i="3"/>
  <c r="J1623" i="3"/>
  <c r="M1623" i="3" s="1"/>
  <c r="G1623" i="3"/>
  <c r="N1622" i="3"/>
  <c r="J1622" i="3"/>
  <c r="G1622" i="3"/>
  <c r="N1621" i="3"/>
  <c r="J1621" i="3"/>
  <c r="G1621" i="3"/>
  <c r="N1620" i="3"/>
  <c r="J1620" i="3"/>
  <c r="M1620" i="3" s="1"/>
  <c r="G1620" i="3"/>
  <c r="N1619" i="3"/>
  <c r="J1619" i="3"/>
  <c r="M1619" i="3" s="1"/>
  <c r="G1619" i="3"/>
  <c r="N1618" i="3"/>
  <c r="J1618" i="3"/>
  <c r="L1618" i="3" s="1"/>
  <c r="G1618" i="3"/>
  <c r="N1617" i="3"/>
  <c r="J1617" i="3"/>
  <c r="M1617" i="3" s="1"/>
  <c r="G1617" i="3"/>
  <c r="N1616" i="3"/>
  <c r="J1616" i="3"/>
  <c r="G1616" i="3"/>
  <c r="N1615" i="3"/>
  <c r="J1615" i="3"/>
  <c r="M1615" i="3" s="1"/>
  <c r="G1615" i="3"/>
  <c r="N1614" i="3"/>
  <c r="J1614" i="3"/>
  <c r="M1614" i="3" s="1"/>
  <c r="G1614" i="3"/>
  <c r="N1613" i="3"/>
  <c r="J1613" i="3"/>
  <c r="G1613" i="3"/>
  <c r="N1612" i="3"/>
  <c r="J1612" i="3"/>
  <c r="G1612" i="3"/>
  <c r="N1611" i="3"/>
  <c r="J1611" i="3"/>
  <c r="M1611" i="3" s="1"/>
  <c r="G1611" i="3"/>
  <c r="N1610" i="3"/>
  <c r="J1610" i="3"/>
  <c r="G1610" i="3"/>
  <c r="N1609" i="3"/>
  <c r="J1609" i="3"/>
  <c r="G1609" i="3"/>
  <c r="N1608" i="3"/>
  <c r="J1608" i="3"/>
  <c r="M1608" i="3" s="1"/>
  <c r="G1608" i="3"/>
  <c r="N1607" i="3"/>
  <c r="J1607" i="3"/>
  <c r="M1607" i="3" s="1"/>
  <c r="G1607" i="3"/>
  <c r="N1606" i="3"/>
  <c r="J1606" i="3"/>
  <c r="L1606" i="3" s="1"/>
  <c r="G1606" i="3"/>
  <c r="N1605" i="3"/>
  <c r="J1605" i="3"/>
  <c r="M1605" i="3" s="1"/>
  <c r="G1605" i="3"/>
  <c r="N1604" i="3"/>
  <c r="J1604" i="3"/>
  <c r="G1604" i="3"/>
  <c r="N1603" i="3"/>
  <c r="J1603" i="3"/>
  <c r="M1603" i="3" s="1"/>
  <c r="G1603" i="3"/>
  <c r="N1602" i="3"/>
  <c r="J1602" i="3"/>
  <c r="M1602" i="3" s="1"/>
  <c r="G1602" i="3"/>
  <c r="N1601" i="3"/>
  <c r="J1601" i="3"/>
  <c r="G1601" i="3"/>
  <c r="N1600" i="3"/>
  <c r="J1600" i="3"/>
  <c r="M1600" i="3" s="1"/>
  <c r="G1600" i="3"/>
  <c r="N1599" i="3"/>
  <c r="J1599" i="3"/>
  <c r="M1599" i="3" s="1"/>
  <c r="G1599" i="3"/>
  <c r="N1598" i="3"/>
  <c r="J1598" i="3"/>
  <c r="G1598" i="3"/>
  <c r="N1597" i="3"/>
  <c r="J1597" i="3"/>
  <c r="M1597" i="3" s="1"/>
  <c r="G1597" i="3"/>
  <c r="N1596" i="3"/>
  <c r="J1596" i="3"/>
  <c r="M1596" i="3" s="1"/>
  <c r="G1596" i="3"/>
  <c r="N1595" i="3"/>
  <c r="J1595" i="3"/>
  <c r="M1595" i="3" s="1"/>
  <c r="G1595" i="3"/>
  <c r="N1594" i="3"/>
  <c r="J1594" i="3"/>
  <c r="M1594" i="3" s="1"/>
  <c r="G1594" i="3"/>
  <c r="N1593" i="3"/>
  <c r="J1593" i="3"/>
  <c r="M1593" i="3" s="1"/>
  <c r="G1593" i="3"/>
  <c r="N1592" i="3"/>
  <c r="J1592" i="3"/>
  <c r="G1592" i="3"/>
  <c r="N1591" i="3"/>
  <c r="J1591" i="3"/>
  <c r="G1591" i="3"/>
  <c r="N1590" i="3"/>
  <c r="J1590" i="3"/>
  <c r="M1590" i="3" s="1"/>
  <c r="G1590" i="3"/>
  <c r="N1589" i="3"/>
  <c r="J1589" i="3"/>
  <c r="M1589" i="3" s="1"/>
  <c r="G1589" i="3"/>
  <c r="N1588" i="3"/>
  <c r="J1588" i="3"/>
  <c r="L1588" i="3" s="1"/>
  <c r="G1588" i="3"/>
  <c r="N1587" i="3"/>
  <c r="J1587" i="3"/>
  <c r="M1587" i="3" s="1"/>
  <c r="G1587" i="3"/>
  <c r="N1586" i="3"/>
  <c r="J1586" i="3"/>
  <c r="G1586" i="3"/>
  <c r="N1585" i="3"/>
  <c r="J1585" i="3"/>
  <c r="M1585" i="3" s="1"/>
  <c r="G1585" i="3"/>
  <c r="N1584" i="3"/>
  <c r="J1584" i="3"/>
  <c r="M1584" i="3" s="1"/>
  <c r="G1584" i="3"/>
  <c r="N1583" i="3"/>
  <c r="J1583" i="3"/>
  <c r="G1583" i="3"/>
  <c r="N1582" i="3"/>
  <c r="J1582" i="3"/>
  <c r="G1582" i="3"/>
  <c r="N1581" i="3"/>
  <c r="J1581" i="3"/>
  <c r="M1581" i="3" s="1"/>
  <c r="G1581" i="3"/>
  <c r="N1580" i="3"/>
  <c r="J1580" i="3"/>
  <c r="G1580" i="3"/>
  <c r="N1579" i="3"/>
  <c r="J1579" i="3"/>
  <c r="M1579" i="3" s="1"/>
  <c r="G1579" i="3"/>
  <c r="N1578" i="3"/>
  <c r="J1578" i="3"/>
  <c r="M1578" i="3" s="1"/>
  <c r="G1578" i="3"/>
  <c r="N1577" i="3"/>
  <c r="J1577" i="3"/>
  <c r="M1577" i="3" s="1"/>
  <c r="G1577" i="3"/>
  <c r="N1576" i="3"/>
  <c r="J1576" i="3"/>
  <c r="G1576" i="3"/>
  <c r="N1575" i="3"/>
  <c r="J1575" i="3"/>
  <c r="M1575" i="3" s="1"/>
  <c r="G1575" i="3"/>
  <c r="N1574" i="3"/>
  <c r="J1574" i="3"/>
  <c r="G1574" i="3"/>
  <c r="N1573" i="3"/>
  <c r="J1573" i="3"/>
  <c r="L1573" i="3" s="1"/>
  <c r="G1573" i="3"/>
  <c r="N1572" i="3"/>
  <c r="J1572" i="3"/>
  <c r="M1572" i="3" s="1"/>
  <c r="G1572" i="3"/>
  <c r="N1571" i="3"/>
  <c r="J1571" i="3"/>
  <c r="G1571" i="3"/>
  <c r="N1570" i="3"/>
  <c r="J1570" i="3"/>
  <c r="M1570" i="3" s="1"/>
  <c r="G1570" i="3"/>
  <c r="N1569" i="3"/>
  <c r="J1569" i="3"/>
  <c r="M1569" i="3" s="1"/>
  <c r="G1569" i="3"/>
  <c r="N1568" i="3"/>
  <c r="J1568" i="3"/>
  <c r="M1568" i="3" s="1"/>
  <c r="G1568" i="3"/>
  <c r="N1567" i="3"/>
  <c r="J1567" i="3"/>
  <c r="G1567" i="3"/>
  <c r="N1566" i="3"/>
  <c r="J1566" i="3"/>
  <c r="M1566" i="3" s="1"/>
  <c r="G1566" i="3"/>
  <c r="N1565" i="3"/>
  <c r="J1565" i="3"/>
  <c r="G1565" i="3"/>
  <c r="N1564" i="3"/>
  <c r="J1564" i="3"/>
  <c r="L1564" i="3" s="1"/>
  <c r="G1564" i="3"/>
  <c r="N1563" i="3"/>
  <c r="J1563" i="3"/>
  <c r="M1563" i="3" s="1"/>
  <c r="G1563" i="3"/>
  <c r="N1562" i="3"/>
  <c r="J1562" i="3"/>
  <c r="M1562" i="3" s="1"/>
  <c r="G1562" i="3"/>
  <c r="N1561" i="3"/>
  <c r="J1561" i="3"/>
  <c r="G1561" i="3"/>
  <c r="N1560" i="3"/>
  <c r="J1560" i="3"/>
  <c r="M1560" i="3" s="1"/>
  <c r="G1560" i="3"/>
  <c r="N1559" i="3"/>
  <c r="J1559" i="3"/>
  <c r="M1559" i="3" s="1"/>
  <c r="G1559" i="3"/>
  <c r="N1558" i="3"/>
  <c r="J1558" i="3"/>
  <c r="L1558" i="3" s="1"/>
  <c r="G1558" i="3"/>
  <c r="N1557" i="3"/>
  <c r="J1557" i="3"/>
  <c r="M1557" i="3" s="1"/>
  <c r="G1557" i="3"/>
  <c r="N1556" i="3"/>
  <c r="J1556" i="3"/>
  <c r="M1556" i="3" s="1"/>
  <c r="G1556" i="3"/>
  <c r="N1555" i="3"/>
  <c r="J1555" i="3"/>
  <c r="G1555" i="3"/>
  <c r="N1554" i="3"/>
  <c r="J1554" i="3"/>
  <c r="M1554" i="3" s="1"/>
  <c r="G1554" i="3"/>
  <c r="N1553" i="3"/>
  <c r="J1553" i="3"/>
  <c r="G1553" i="3"/>
  <c r="N1552" i="3"/>
  <c r="J1552" i="3"/>
  <c r="L1552" i="3" s="1"/>
  <c r="G1552" i="3"/>
  <c r="N1551" i="3"/>
  <c r="J1551" i="3"/>
  <c r="M1551" i="3" s="1"/>
  <c r="G1551" i="3"/>
  <c r="N1550" i="3"/>
  <c r="J1550" i="3"/>
  <c r="M1550" i="3" s="1"/>
  <c r="G1550" i="3"/>
  <c r="N1549" i="3"/>
  <c r="J1549" i="3"/>
  <c r="G1549" i="3"/>
  <c r="N1548" i="3"/>
  <c r="J1548" i="3"/>
  <c r="M1548" i="3" s="1"/>
  <c r="G1548" i="3"/>
  <c r="N1547" i="3"/>
  <c r="J1547" i="3"/>
  <c r="M1547" i="3" s="1"/>
  <c r="G1547" i="3"/>
  <c r="N1546" i="3"/>
  <c r="J1546" i="3"/>
  <c r="M1546" i="3" s="1"/>
  <c r="G1546" i="3"/>
  <c r="N1545" i="3"/>
  <c r="J1545" i="3"/>
  <c r="M1545" i="3" s="1"/>
  <c r="G1545" i="3"/>
  <c r="N1544" i="3"/>
  <c r="J1544" i="3"/>
  <c r="M1544" i="3" s="1"/>
  <c r="G1544" i="3"/>
  <c r="N1543" i="3"/>
  <c r="J1543" i="3"/>
  <c r="G1543" i="3"/>
  <c r="N1542" i="3"/>
  <c r="J1542" i="3"/>
  <c r="M1542" i="3" s="1"/>
  <c r="G1542" i="3"/>
  <c r="N1541" i="3"/>
  <c r="J1541" i="3"/>
  <c r="G1541" i="3"/>
  <c r="N1540" i="3"/>
  <c r="J1540" i="3"/>
  <c r="G1540" i="3"/>
  <c r="N1539" i="3"/>
  <c r="J1539" i="3"/>
  <c r="M1539" i="3" s="1"/>
  <c r="G1539" i="3"/>
  <c r="N1538" i="3"/>
  <c r="J1538" i="3"/>
  <c r="M1538" i="3" s="1"/>
  <c r="G1538" i="3"/>
  <c r="N1537" i="3"/>
  <c r="J1537" i="3"/>
  <c r="G1537" i="3"/>
  <c r="N1536" i="3"/>
  <c r="J1536" i="3"/>
  <c r="M1536" i="3" s="1"/>
  <c r="G1536" i="3"/>
  <c r="N1535" i="3"/>
  <c r="J1535" i="3"/>
  <c r="M1535" i="3" s="1"/>
  <c r="G1535" i="3"/>
  <c r="N1534" i="3"/>
  <c r="J1534" i="3"/>
  <c r="L1534" i="3" s="1"/>
  <c r="G1534" i="3"/>
  <c r="N1533" i="3"/>
  <c r="J1533" i="3"/>
  <c r="M1533" i="3" s="1"/>
  <c r="G1533" i="3"/>
  <c r="N1532" i="3"/>
  <c r="J1532" i="3"/>
  <c r="M1532" i="3" s="1"/>
  <c r="G1532" i="3"/>
  <c r="N1531" i="3"/>
  <c r="J1531" i="3"/>
  <c r="G1531" i="3"/>
  <c r="N1530" i="3"/>
  <c r="J1530" i="3"/>
  <c r="M1530" i="3" s="1"/>
  <c r="G1530" i="3"/>
  <c r="N1529" i="3"/>
  <c r="J1529" i="3"/>
  <c r="G1529" i="3"/>
  <c r="N1528" i="3"/>
  <c r="J1528" i="3"/>
  <c r="L1528" i="3" s="1"/>
  <c r="G1528" i="3"/>
  <c r="N1527" i="3"/>
  <c r="J1527" i="3"/>
  <c r="M1527" i="3" s="1"/>
  <c r="G1527" i="3"/>
  <c r="N1526" i="3"/>
  <c r="J1526" i="3"/>
  <c r="M1526" i="3" s="1"/>
  <c r="G1526" i="3"/>
  <c r="N1525" i="3"/>
  <c r="J1525" i="3"/>
  <c r="G1525" i="3"/>
  <c r="N1524" i="3"/>
  <c r="J1524" i="3"/>
  <c r="M1524" i="3" s="1"/>
  <c r="G1524" i="3"/>
  <c r="N1523" i="3"/>
  <c r="J1523" i="3"/>
  <c r="M1523" i="3" s="1"/>
  <c r="G1523" i="3"/>
  <c r="N1522" i="3"/>
  <c r="J1522" i="3"/>
  <c r="L1522" i="3" s="1"/>
  <c r="G1522" i="3"/>
  <c r="N1521" i="3"/>
  <c r="J1521" i="3"/>
  <c r="M1521" i="3" s="1"/>
  <c r="G1521" i="3"/>
  <c r="N1520" i="3"/>
  <c r="J1520" i="3"/>
  <c r="M1520" i="3" s="1"/>
  <c r="G1520" i="3"/>
  <c r="N1519" i="3"/>
  <c r="J1519" i="3"/>
  <c r="G1519" i="3"/>
  <c r="N1518" i="3"/>
  <c r="J1518" i="3"/>
  <c r="G1518" i="3"/>
  <c r="N1517" i="3"/>
  <c r="J1517" i="3"/>
  <c r="G1517" i="3"/>
  <c r="N1516" i="3"/>
  <c r="J1516" i="3"/>
  <c r="L1516" i="3" s="1"/>
  <c r="G1516" i="3"/>
  <c r="N1515" i="3"/>
  <c r="J1515" i="3"/>
  <c r="G1515" i="3"/>
  <c r="N1514" i="3"/>
  <c r="J1514" i="3"/>
  <c r="M1514" i="3" s="1"/>
  <c r="G1514" i="3"/>
  <c r="N1513" i="3"/>
  <c r="J1513" i="3"/>
  <c r="G1513" i="3"/>
  <c r="N1512" i="3"/>
  <c r="J1512" i="3"/>
  <c r="G1512" i="3"/>
  <c r="N1511" i="3"/>
  <c r="J1511" i="3"/>
  <c r="M1511" i="3" s="1"/>
  <c r="G1511" i="3"/>
  <c r="N1510" i="3"/>
  <c r="J1510" i="3"/>
  <c r="M1510" i="3" s="1"/>
  <c r="G1510" i="3"/>
  <c r="N1509" i="3"/>
  <c r="J1509" i="3"/>
  <c r="G1509" i="3"/>
  <c r="N1508" i="3"/>
  <c r="J1508" i="3"/>
  <c r="M1508" i="3" s="1"/>
  <c r="G1508" i="3"/>
  <c r="N1507" i="3"/>
  <c r="J1507" i="3"/>
  <c r="G1507" i="3"/>
  <c r="N1506" i="3"/>
  <c r="J1506" i="3"/>
  <c r="G1506" i="3"/>
  <c r="N1505" i="3"/>
  <c r="J1505" i="3"/>
  <c r="G1505" i="3"/>
  <c r="N1504" i="3"/>
  <c r="J1504" i="3"/>
  <c r="G1504" i="3"/>
  <c r="N1503" i="3"/>
  <c r="J1503" i="3"/>
  <c r="G1503" i="3"/>
  <c r="N1502" i="3"/>
  <c r="J1502" i="3"/>
  <c r="M1502" i="3" s="1"/>
  <c r="G1502" i="3"/>
  <c r="N1501" i="3"/>
  <c r="J1501" i="3"/>
  <c r="G1501" i="3"/>
  <c r="N1500" i="3"/>
  <c r="J1500" i="3"/>
  <c r="G1500" i="3"/>
  <c r="N1499" i="3"/>
  <c r="J1499" i="3"/>
  <c r="M1499" i="3" s="1"/>
  <c r="G1499" i="3"/>
  <c r="N1498" i="3"/>
  <c r="J1498" i="3"/>
  <c r="L1498" i="3" s="1"/>
  <c r="G1498" i="3"/>
  <c r="N1497" i="3"/>
  <c r="J1497" i="3"/>
  <c r="G1497" i="3"/>
  <c r="N1496" i="3"/>
  <c r="J1496" i="3"/>
  <c r="M1496" i="3" s="1"/>
  <c r="G1496" i="3"/>
  <c r="N1495" i="3"/>
  <c r="J1495" i="3"/>
  <c r="G1495" i="3"/>
  <c r="N1494" i="3"/>
  <c r="J1494" i="3"/>
  <c r="G1494" i="3"/>
  <c r="N1493" i="3"/>
  <c r="J1493" i="3"/>
  <c r="G1493" i="3"/>
  <c r="N1492" i="3"/>
  <c r="J1492" i="3"/>
  <c r="L1492" i="3" s="1"/>
  <c r="G1492" i="3"/>
  <c r="N1491" i="3"/>
  <c r="J1491" i="3"/>
  <c r="G1491" i="3"/>
  <c r="N1490" i="3"/>
  <c r="J1490" i="3"/>
  <c r="M1490" i="3" s="1"/>
  <c r="G1490" i="3"/>
  <c r="N1489" i="3"/>
  <c r="J1489" i="3"/>
  <c r="G1489" i="3"/>
  <c r="N1488" i="3"/>
  <c r="J1488" i="3"/>
  <c r="G1488" i="3"/>
  <c r="N1487" i="3"/>
  <c r="J1487" i="3"/>
  <c r="M1487" i="3" s="1"/>
  <c r="G1487" i="3"/>
  <c r="N1486" i="3"/>
  <c r="J1486" i="3"/>
  <c r="L1486" i="3" s="1"/>
  <c r="G1486" i="3"/>
  <c r="N1485" i="3"/>
  <c r="J1485" i="3"/>
  <c r="G1485" i="3"/>
  <c r="N1484" i="3"/>
  <c r="J1484" i="3"/>
  <c r="M1484" i="3" s="1"/>
  <c r="G1484" i="3"/>
  <c r="N1483" i="3"/>
  <c r="J1483" i="3"/>
  <c r="G1483" i="3"/>
  <c r="N1482" i="3"/>
  <c r="J1482" i="3"/>
  <c r="G1482" i="3"/>
  <c r="N1481" i="3"/>
  <c r="J1481" i="3"/>
  <c r="G1481" i="3"/>
  <c r="N1480" i="3"/>
  <c r="J1480" i="3"/>
  <c r="L1480" i="3" s="1"/>
  <c r="G1480" i="3"/>
  <c r="N1479" i="3"/>
  <c r="J1479" i="3"/>
  <c r="G1479" i="3"/>
  <c r="N1478" i="3"/>
  <c r="J1478" i="3"/>
  <c r="M1478" i="3" s="1"/>
  <c r="G1478" i="3"/>
  <c r="N1477" i="3"/>
  <c r="J1477" i="3"/>
  <c r="G1477" i="3"/>
  <c r="N1476" i="3"/>
  <c r="J1476" i="3"/>
  <c r="G1476" i="3"/>
  <c r="N1475" i="3"/>
  <c r="J1475" i="3"/>
  <c r="M1475" i="3" s="1"/>
  <c r="G1475" i="3"/>
  <c r="N1474" i="3"/>
  <c r="J1474" i="3"/>
  <c r="M1474" i="3" s="1"/>
  <c r="G1474" i="3"/>
  <c r="N1473" i="3"/>
  <c r="J1473" i="3"/>
  <c r="G1473" i="3"/>
  <c r="N1472" i="3"/>
  <c r="J1472" i="3"/>
  <c r="M1472" i="3" s="1"/>
  <c r="G1472" i="3"/>
  <c r="N1471" i="3"/>
  <c r="J1471" i="3"/>
  <c r="G1471" i="3"/>
  <c r="N1470" i="3"/>
  <c r="J1470" i="3"/>
  <c r="G1470" i="3"/>
  <c r="N1469" i="3"/>
  <c r="J1469" i="3"/>
  <c r="G1469" i="3"/>
  <c r="N1468" i="3"/>
  <c r="J1468" i="3"/>
  <c r="G1468" i="3"/>
  <c r="N1467" i="3"/>
  <c r="J1467" i="3"/>
  <c r="G1467" i="3"/>
  <c r="N1466" i="3"/>
  <c r="J1466" i="3"/>
  <c r="M1466" i="3" s="1"/>
  <c r="G1466" i="3"/>
  <c r="N1465" i="3"/>
  <c r="J1465" i="3"/>
  <c r="G1465" i="3"/>
  <c r="N1464" i="3"/>
  <c r="J1464" i="3"/>
  <c r="G1464" i="3"/>
  <c r="N1463" i="3"/>
  <c r="J1463" i="3"/>
  <c r="M1463" i="3" s="1"/>
  <c r="G1463" i="3"/>
  <c r="N1462" i="3"/>
  <c r="J1462" i="3"/>
  <c r="L1462" i="3" s="1"/>
  <c r="G1462" i="3"/>
  <c r="N1461" i="3"/>
  <c r="J1461" i="3"/>
  <c r="G1461" i="3"/>
  <c r="N1460" i="3"/>
  <c r="J1460" i="3"/>
  <c r="M1460" i="3" s="1"/>
  <c r="G1460" i="3"/>
  <c r="N1459" i="3"/>
  <c r="J1459" i="3"/>
  <c r="G1459" i="3"/>
  <c r="N1458" i="3"/>
  <c r="J1458" i="3"/>
  <c r="G1458" i="3"/>
  <c r="N1457" i="3"/>
  <c r="J1457" i="3"/>
  <c r="G1457" i="3"/>
  <c r="N1456" i="3"/>
  <c r="J1456" i="3"/>
  <c r="L1456" i="3" s="1"/>
  <c r="G1456" i="3"/>
  <c r="N1455" i="3"/>
  <c r="J1455" i="3"/>
  <c r="G1455" i="3"/>
  <c r="N1454" i="3"/>
  <c r="J1454" i="3"/>
  <c r="G1454" i="3"/>
  <c r="N1453" i="3"/>
  <c r="J1453" i="3"/>
  <c r="M1453" i="3" s="1"/>
  <c r="G1453" i="3"/>
  <c r="N1452" i="3"/>
  <c r="J1452" i="3"/>
  <c r="G1452" i="3"/>
  <c r="N1451" i="3"/>
  <c r="J1451" i="3"/>
  <c r="M1451" i="3" s="1"/>
  <c r="G1451" i="3"/>
  <c r="N1450" i="3"/>
  <c r="J1450" i="3"/>
  <c r="G1450" i="3"/>
  <c r="N1449" i="3"/>
  <c r="J1449" i="3"/>
  <c r="G1449" i="3"/>
  <c r="N1448" i="3"/>
  <c r="J1448" i="3"/>
  <c r="G1448" i="3"/>
  <c r="N1447" i="3"/>
  <c r="J1447" i="3"/>
  <c r="L1447" i="3" s="1"/>
  <c r="G1447" i="3"/>
  <c r="N1446" i="3"/>
  <c r="J1446" i="3"/>
  <c r="G1446" i="3"/>
  <c r="N1445" i="3"/>
  <c r="J1445" i="3"/>
  <c r="M1445" i="3" s="1"/>
  <c r="G1445" i="3"/>
  <c r="N1444" i="3"/>
  <c r="J1444" i="3"/>
  <c r="G1444" i="3"/>
  <c r="N1443" i="3"/>
  <c r="J1443" i="3"/>
  <c r="G1443" i="3"/>
  <c r="N1442" i="3"/>
  <c r="J1442" i="3"/>
  <c r="L1442" i="3" s="1"/>
  <c r="G1442" i="3"/>
  <c r="N1441" i="3"/>
  <c r="J1441" i="3"/>
  <c r="M1441" i="3" s="1"/>
  <c r="G1441" i="3"/>
  <c r="N1440" i="3"/>
  <c r="J1440" i="3"/>
  <c r="G1440" i="3"/>
  <c r="N1439" i="3"/>
  <c r="L1439" i="3"/>
  <c r="J1439" i="3"/>
  <c r="M1439" i="3" s="1"/>
  <c r="G1439" i="3"/>
  <c r="N1438" i="3"/>
  <c r="J1438" i="3"/>
  <c r="G1438" i="3"/>
  <c r="N1437" i="3"/>
  <c r="J1437" i="3"/>
  <c r="G1437" i="3"/>
  <c r="N1436" i="3"/>
  <c r="J1436" i="3"/>
  <c r="M1436" i="3" s="1"/>
  <c r="G1436" i="3"/>
  <c r="N1435" i="3"/>
  <c r="J1435" i="3"/>
  <c r="M1435" i="3" s="1"/>
  <c r="G1435" i="3"/>
  <c r="N1434" i="3"/>
  <c r="J1434" i="3"/>
  <c r="G1434" i="3"/>
  <c r="N1433" i="3"/>
  <c r="J1433" i="3"/>
  <c r="L1433" i="3" s="1"/>
  <c r="G1433" i="3"/>
  <c r="N1432" i="3"/>
  <c r="J1432" i="3"/>
  <c r="M1432" i="3" s="1"/>
  <c r="G1432" i="3"/>
  <c r="N1431" i="3"/>
  <c r="J1431" i="3"/>
  <c r="G1431" i="3"/>
  <c r="N1430" i="3"/>
  <c r="J1430" i="3"/>
  <c r="G1430" i="3"/>
  <c r="N1429" i="3"/>
  <c r="J1429" i="3"/>
  <c r="G1429" i="3"/>
  <c r="N1428" i="3"/>
  <c r="J1428" i="3"/>
  <c r="G1428" i="3"/>
  <c r="N1427" i="3"/>
  <c r="J1427" i="3"/>
  <c r="M1427" i="3" s="1"/>
  <c r="G1427" i="3"/>
  <c r="N1426" i="3"/>
  <c r="J1426" i="3"/>
  <c r="M1426" i="3" s="1"/>
  <c r="G1426" i="3"/>
  <c r="N1425" i="3"/>
  <c r="J1425" i="3"/>
  <c r="G1425" i="3"/>
  <c r="N1424" i="3"/>
  <c r="J1424" i="3"/>
  <c r="L1424" i="3" s="1"/>
  <c r="G1424" i="3"/>
  <c r="N1423" i="3"/>
  <c r="J1423" i="3"/>
  <c r="G1423" i="3"/>
  <c r="N1422" i="3"/>
  <c r="J1422" i="3"/>
  <c r="G1422" i="3"/>
  <c r="N1421" i="3"/>
  <c r="J1421" i="3"/>
  <c r="M1421" i="3" s="1"/>
  <c r="G1421" i="3"/>
  <c r="N1420" i="3"/>
  <c r="J1420" i="3"/>
  <c r="L1420" i="3" s="1"/>
  <c r="G1420" i="3"/>
  <c r="N1419" i="3"/>
  <c r="J1419" i="3"/>
  <c r="G1419" i="3"/>
  <c r="N1418" i="3"/>
  <c r="J1418" i="3"/>
  <c r="M1418" i="3" s="1"/>
  <c r="G1418" i="3"/>
  <c r="N1417" i="3"/>
  <c r="J1417" i="3"/>
  <c r="G1417" i="3"/>
  <c r="N1416" i="3"/>
  <c r="J1416" i="3"/>
  <c r="G1416" i="3"/>
  <c r="N1415" i="3"/>
  <c r="J1415" i="3"/>
  <c r="L1415" i="3" s="1"/>
  <c r="G1415" i="3"/>
  <c r="N1414" i="3"/>
  <c r="J1414" i="3"/>
  <c r="M1414" i="3" s="1"/>
  <c r="G1414" i="3"/>
  <c r="N1413" i="3"/>
  <c r="J1413" i="3"/>
  <c r="G1413" i="3"/>
  <c r="N1412" i="3"/>
  <c r="J1412" i="3"/>
  <c r="L1412" i="3" s="1"/>
  <c r="G1412" i="3"/>
  <c r="N1411" i="3"/>
  <c r="J1411" i="3"/>
  <c r="M1411" i="3" s="1"/>
  <c r="G1411" i="3"/>
  <c r="N1410" i="3"/>
  <c r="J1410" i="3"/>
  <c r="G1410" i="3"/>
  <c r="N1409" i="3"/>
  <c r="J1409" i="3"/>
  <c r="M1409" i="3" s="1"/>
  <c r="G1409" i="3"/>
  <c r="N1408" i="3"/>
  <c r="J1408" i="3"/>
  <c r="G1408" i="3"/>
  <c r="N1407" i="3"/>
  <c r="J1407" i="3"/>
  <c r="G1407" i="3"/>
  <c r="N1406" i="3"/>
  <c r="J1406" i="3"/>
  <c r="L1406" i="3" s="1"/>
  <c r="G1406" i="3"/>
  <c r="N1405" i="3"/>
  <c r="J1405" i="3"/>
  <c r="M1405" i="3" s="1"/>
  <c r="G1405" i="3"/>
  <c r="N1404" i="3"/>
  <c r="J1404" i="3"/>
  <c r="G1404" i="3"/>
  <c r="N1403" i="3"/>
  <c r="J1403" i="3"/>
  <c r="L1403" i="3" s="1"/>
  <c r="G1403" i="3"/>
  <c r="N1402" i="3"/>
  <c r="J1402" i="3"/>
  <c r="M1402" i="3" s="1"/>
  <c r="G1402" i="3"/>
  <c r="N1401" i="3"/>
  <c r="J1401" i="3"/>
  <c r="L1401" i="3" s="1"/>
  <c r="G1401" i="3"/>
  <c r="N1400" i="3"/>
  <c r="J1400" i="3"/>
  <c r="L1400" i="3" s="1"/>
  <c r="G1400" i="3"/>
  <c r="N1399" i="3"/>
  <c r="J1399" i="3"/>
  <c r="M1399" i="3" s="1"/>
  <c r="G1399" i="3"/>
  <c r="N1398" i="3"/>
  <c r="J1398" i="3"/>
  <c r="L1398" i="3" s="1"/>
  <c r="G1398" i="3"/>
  <c r="N1397" i="3"/>
  <c r="J1397" i="3"/>
  <c r="M1397" i="3" s="1"/>
  <c r="G1397" i="3"/>
  <c r="N1396" i="3"/>
  <c r="J1396" i="3"/>
  <c r="G1396" i="3"/>
  <c r="N1395" i="3"/>
  <c r="J1395" i="3"/>
  <c r="L1395" i="3" s="1"/>
  <c r="G1395" i="3"/>
  <c r="N1394" i="3"/>
  <c r="J1394" i="3"/>
  <c r="M1394" i="3" s="1"/>
  <c r="G1394" i="3"/>
  <c r="N1393" i="3"/>
  <c r="J1393" i="3"/>
  <c r="G1393" i="3"/>
  <c r="N1392" i="3"/>
  <c r="J1392" i="3"/>
  <c r="L1392" i="3" s="1"/>
  <c r="G1392" i="3"/>
  <c r="N1391" i="3"/>
  <c r="J1391" i="3"/>
  <c r="M1391" i="3" s="1"/>
  <c r="G1391" i="3"/>
  <c r="N1390" i="3"/>
  <c r="J1390" i="3"/>
  <c r="L1390" i="3" s="1"/>
  <c r="G1390" i="3"/>
  <c r="N1389" i="3"/>
  <c r="J1389" i="3"/>
  <c r="L1389" i="3" s="1"/>
  <c r="G1389" i="3"/>
  <c r="N1388" i="3"/>
  <c r="J1388" i="3"/>
  <c r="L1388" i="3" s="1"/>
  <c r="G1388" i="3"/>
  <c r="N1387" i="3"/>
  <c r="J1387" i="3"/>
  <c r="G1387" i="3"/>
  <c r="N1386" i="3"/>
  <c r="J1386" i="3"/>
  <c r="G1386" i="3"/>
  <c r="N1385" i="3"/>
  <c r="J1385" i="3"/>
  <c r="L1385" i="3" s="1"/>
  <c r="G1385" i="3"/>
  <c r="N1384" i="3"/>
  <c r="J1384" i="3"/>
  <c r="M1384" i="3" s="1"/>
  <c r="G1384" i="3"/>
  <c r="N1383" i="3"/>
  <c r="J1383" i="3"/>
  <c r="L1383" i="3" s="1"/>
  <c r="G1383" i="3"/>
  <c r="N1382" i="3"/>
  <c r="J1382" i="3"/>
  <c r="G1382" i="3"/>
  <c r="N1381" i="3"/>
  <c r="J1381" i="3"/>
  <c r="M1381" i="3" s="1"/>
  <c r="G1381" i="3"/>
  <c r="N1380" i="3"/>
  <c r="J1380" i="3"/>
  <c r="L1380" i="3" s="1"/>
  <c r="G1380" i="3"/>
  <c r="N1379" i="3"/>
  <c r="J1379" i="3"/>
  <c r="M1379" i="3" s="1"/>
  <c r="G1379" i="3"/>
  <c r="N1378" i="3"/>
  <c r="J1378" i="3"/>
  <c r="G1378" i="3"/>
  <c r="N1377" i="3"/>
  <c r="J1377" i="3"/>
  <c r="L1377" i="3" s="1"/>
  <c r="G1377" i="3"/>
  <c r="N1376" i="3"/>
  <c r="J1376" i="3"/>
  <c r="M1376" i="3" s="1"/>
  <c r="G1376" i="3"/>
  <c r="N1375" i="3"/>
  <c r="J1375" i="3"/>
  <c r="M1375" i="3" s="1"/>
  <c r="G1375" i="3"/>
  <c r="N1374" i="3"/>
  <c r="J1374" i="3"/>
  <c r="L1374" i="3" s="1"/>
  <c r="G1374" i="3"/>
  <c r="N1373" i="3"/>
  <c r="J1373" i="3"/>
  <c r="M1373" i="3" s="1"/>
  <c r="G1373" i="3"/>
  <c r="N1372" i="3"/>
  <c r="J1372" i="3"/>
  <c r="M1372" i="3" s="1"/>
  <c r="G1372" i="3"/>
  <c r="N1371" i="3"/>
  <c r="J1371" i="3"/>
  <c r="L1371" i="3" s="1"/>
  <c r="G1371" i="3"/>
  <c r="N1370" i="3"/>
  <c r="J1370" i="3"/>
  <c r="L1370" i="3" s="1"/>
  <c r="G1370" i="3"/>
  <c r="N1369" i="3"/>
  <c r="J1369" i="3"/>
  <c r="L1369" i="3" s="1"/>
  <c r="G1369" i="3"/>
  <c r="N1368" i="3"/>
  <c r="J1368" i="3"/>
  <c r="L1368" i="3" s="1"/>
  <c r="G1368" i="3"/>
  <c r="N1367" i="3"/>
  <c r="J1367" i="3"/>
  <c r="L1367" i="3" s="1"/>
  <c r="G1367" i="3"/>
  <c r="N1366" i="3"/>
  <c r="J1366" i="3"/>
  <c r="M1366" i="3" s="1"/>
  <c r="G1366" i="3"/>
  <c r="N1365" i="3"/>
  <c r="J1365" i="3"/>
  <c r="L1365" i="3" s="1"/>
  <c r="G1365" i="3"/>
  <c r="N1364" i="3"/>
  <c r="J1364" i="3"/>
  <c r="L1364" i="3" s="1"/>
  <c r="G1364" i="3"/>
  <c r="N1363" i="3"/>
  <c r="J1363" i="3"/>
  <c r="L1363" i="3" s="1"/>
  <c r="G1363" i="3"/>
  <c r="N1362" i="3"/>
  <c r="J1362" i="3"/>
  <c r="L1362" i="3" s="1"/>
  <c r="G1362" i="3"/>
  <c r="N1361" i="3"/>
  <c r="J1361" i="3"/>
  <c r="M1361" i="3" s="1"/>
  <c r="G1361" i="3"/>
  <c r="N1360" i="3"/>
  <c r="J1360" i="3"/>
  <c r="M1360" i="3" s="1"/>
  <c r="G1360" i="3"/>
  <c r="N1359" i="3"/>
  <c r="J1359" i="3"/>
  <c r="L1359" i="3" s="1"/>
  <c r="G1359" i="3"/>
  <c r="N1358" i="3"/>
  <c r="J1358" i="3"/>
  <c r="M1358" i="3" s="1"/>
  <c r="G1358" i="3"/>
  <c r="N1357" i="3"/>
  <c r="J1357" i="3"/>
  <c r="M1357" i="3" s="1"/>
  <c r="G1357" i="3"/>
  <c r="N1356" i="3"/>
  <c r="J1356" i="3"/>
  <c r="L1356" i="3" s="1"/>
  <c r="G1356" i="3"/>
  <c r="N1355" i="3"/>
  <c r="J1355" i="3"/>
  <c r="M1355" i="3" s="1"/>
  <c r="G1355" i="3"/>
  <c r="N1354" i="3"/>
  <c r="J1354" i="3"/>
  <c r="M1354" i="3" s="1"/>
  <c r="G1354" i="3"/>
  <c r="N1353" i="3"/>
  <c r="J1353" i="3"/>
  <c r="G1353" i="3"/>
  <c r="N1352" i="3"/>
  <c r="J1352" i="3"/>
  <c r="L1352" i="3" s="1"/>
  <c r="G1352" i="3"/>
  <c r="N1351" i="3"/>
  <c r="J1351" i="3"/>
  <c r="M1351" i="3" s="1"/>
  <c r="G1351" i="3"/>
  <c r="N1350" i="3"/>
  <c r="J1350" i="3"/>
  <c r="L1350" i="3" s="1"/>
  <c r="G1350" i="3"/>
  <c r="N1349" i="3"/>
  <c r="J1349" i="3"/>
  <c r="L1349" i="3" s="1"/>
  <c r="G1349" i="3"/>
  <c r="N1348" i="3"/>
  <c r="J1348" i="3"/>
  <c r="G1348" i="3"/>
  <c r="N1347" i="3"/>
  <c r="J1347" i="3"/>
  <c r="L1347" i="3" s="1"/>
  <c r="G1347" i="3"/>
  <c r="N1346" i="3"/>
  <c r="J1346" i="3"/>
  <c r="M1346" i="3" s="1"/>
  <c r="G1346" i="3"/>
  <c r="N1345" i="3"/>
  <c r="J1345" i="3"/>
  <c r="M1345" i="3" s="1"/>
  <c r="G1345" i="3"/>
  <c r="N1344" i="3"/>
  <c r="J1344" i="3"/>
  <c r="L1344" i="3" s="1"/>
  <c r="G1344" i="3"/>
  <c r="N1343" i="3"/>
  <c r="J1343" i="3"/>
  <c r="G1343" i="3"/>
  <c r="N1342" i="3"/>
  <c r="J1342" i="3"/>
  <c r="M1342" i="3" s="1"/>
  <c r="G1342" i="3"/>
  <c r="N1341" i="3"/>
  <c r="J1341" i="3"/>
  <c r="L1341" i="3" s="1"/>
  <c r="G1341" i="3"/>
  <c r="N1340" i="3"/>
  <c r="J1340" i="3"/>
  <c r="M1340" i="3" s="1"/>
  <c r="G1340" i="3"/>
  <c r="N1339" i="3"/>
  <c r="J1339" i="3"/>
  <c r="M1339" i="3" s="1"/>
  <c r="G1339" i="3"/>
  <c r="N1338" i="3"/>
  <c r="J1338" i="3"/>
  <c r="L1338" i="3" s="1"/>
  <c r="G1338" i="3"/>
  <c r="N1337" i="3"/>
  <c r="J1337" i="3"/>
  <c r="M1337" i="3" s="1"/>
  <c r="G1337" i="3"/>
  <c r="N1336" i="3"/>
  <c r="J1336" i="3"/>
  <c r="G1336" i="3"/>
  <c r="N1335" i="3"/>
  <c r="J1335" i="3"/>
  <c r="G1335" i="3"/>
  <c r="N1334" i="3"/>
  <c r="J1334" i="3"/>
  <c r="L1334" i="3" s="1"/>
  <c r="G1334" i="3"/>
  <c r="N1333" i="3"/>
  <c r="J1333" i="3"/>
  <c r="L1333" i="3" s="1"/>
  <c r="G1333" i="3"/>
  <c r="N1332" i="3"/>
  <c r="J1332" i="3"/>
  <c r="L1332" i="3" s="1"/>
  <c r="G1332" i="3"/>
  <c r="N1331" i="3"/>
  <c r="J1331" i="3"/>
  <c r="L1331" i="3" s="1"/>
  <c r="G1331" i="3"/>
  <c r="N1330" i="3"/>
  <c r="J1330" i="3"/>
  <c r="L1330" i="3" s="1"/>
  <c r="G1330" i="3"/>
  <c r="N1329" i="3"/>
  <c r="J1329" i="3"/>
  <c r="L1329" i="3" s="1"/>
  <c r="G1329" i="3"/>
  <c r="N1328" i="3"/>
  <c r="J1328" i="3"/>
  <c r="M1328" i="3" s="1"/>
  <c r="G1328" i="3"/>
  <c r="N1327" i="3"/>
  <c r="J1327" i="3"/>
  <c r="M1327" i="3" s="1"/>
  <c r="G1327" i="3"/>
  <c r="N1326" i="3"/>
  <c r="J1326" i="3"/>
  <c r="L1326" i="3" s="1"/>
  <c r="G1326" i="3"/>
  <c r="N1325" i="3"/>
  <c r="J1325" i="3"/>
  <c r="L1325" i="3" s="1"/>
  <c r="G1325" i="3"/>
  <c r="N1324" i="3"/>
  <c r="J1324" i="3"/>
  <c r="L1324" i="3" s="1"/>
  <c r="G1324" i="3"/>
  <c r="N1323" i="3"/>
  <c r="J1323" i="3"/>
  <c r="L1323" i="3" s="1"/>
  <c r="G1323" i="3"/>
  <c r="N1322" i="3"/>
  <c r="J1322" i="3"/>
  <c r="M1322" i="3" s="1"/>
  <c r="G1322" i="3"/>
  <c r="N1321" i="3"/>
  <c r="J1321" i="3"/>
  <c r="M1321" i="3" s="1"/>
  <c r="G1321" i="3"/>
  <c r="N1320" i="3"/>
  <c r="J1320" i="3"/>
  <c r="L1320" i="3" s="1"/>
  <c r="G1320" i="3"/>
  <c r="N1319" i="3"/>
  <c r="J1319" i="3"/>
  <c r="M1319" i="3" s="1"/>
  <c r="G1319" i="3"/>
  <c r="N1318" i="3"/>
  <c r="J1318" i="3"/>
  <c r="M1318" i="3" s="1"/>
  <c r="G1318" i="3"/>
  <c r="N1317" i="3"/>
  <c r="J1317" i="3"/>
  <c r="L1317" i="3" s="1"/>
  <c r="G1317" i="3"/>
  <c r="N1316" i="3"/>
  <c r="J1316" i="3"/>
  <c r="L1316" i="3" s="1"/>
  <c r="G1316" i="3"/>
  <c r="N1315" i="3"/>
  <c r="J1315" i="3"/>
  <c r="M1315" i="3" s="1"/>
  <c r="G1315" i="3"/>
  <c r="N1314" i="3"/>
  <c r="J1314" i="3"/>
  <c r="L1314" i="3" s="1"/>
  <c r="G1314" i="3"/>
  <c r="N1313" i="3"/>
  <c r="J1313" i="3"/>
  <c r="G1313" i="3"/>
  <c r="N1312" i="3"/>
  <c r="J1312" i="3"/>
  <c r="L1312" i="3" s="1"/>
  <c r="G1312" i="3"/>
  <c r="N1311" i="3"/>
  <c r="J1311" i="3"/>
  <c r="L1311" i="3" s="1"/>
  <c r="G1311" i="3"/>
  <c r="N1310" i="3"/>
  <c r="J1310" i="3"/>
  <c r="M1310" i="3" s="1"/>
  <c r="G1310" i="3"/>
  <c r="N1309" i="3"/>
  <c r="J1309" i="3"/>
  <c r="G1309" i="3"/>
  <c r="N1308" i="3"/>
  <c r="J1308" i="3"/>
  <c r="L1308" i="3" s="1"/>
  <c r="G1308" i="3"/>
  <c r="N1307" i="3"/>
  <c r="J1307" i="3"/>
  <c r="L1307" i="3" s="1"/>
  <c r="G1307" i="3"/>
  <c r="N1306" i="3"/>
  <c r="J1306" i="3"/>
  <c r="M1306" i="3" s="1"/>
  <c r="G1306" i="3"/>
  <c r="N1305" i="3"/>
  <c r="J1305" i="3"/>
  <c r="L1305" i="3" s="1"/>
  <c r="G1305" i="3"/>
  <c r="N1304" i="3"/>
  <c r="J1304" i="3"/>
  <c r="M1304" i="3" s="1"/>
  <c r="G1304" i="3"/>
  <c r="N1303" i="3"/>
  <c r="J1303" i="3"/>
  <c r="G1303" i="3"/>
  <c r="N1302" i="3"/>
  <c r="J1302" i="3"/>
  <c r="L1302" i="3" s="1"/>
  <c r="G1302" i="3"/>
  <c r="N1301" i="3"/>
  <c r="J1301" i="3"/>
  <c r="M1301" i="3" s="1"/>
  <c r="G1301" i="3"/>
  <c r="N1300" i="3"/>
  <c r="J1300" i="3"/>
  <c r="L1300" i="3" s="1"/>
  <c r="G1300" i="3"/>
  <c r="N1299" i="3"/>
  <c r="J1299" i="3"/>
  <c r="L1299" i="3" s="1"/>
  <c r="G1299" i="3"/>
  <c r="N1298" i="3"/>
  <c r="J1298" i="3"/>
  <c r="L1298" i="3" s="1"/>
  <c r="G1298" i="3"/>
  <c r="N1297" i="3"/>
  <c r="J1297" i="3"/>
  <c r="M1297" i="3" s="1"/>
  <c r="G1297" i="3"/>
  <c r="N1296" i="3"/>
  <c r="J1296" i="3"/>
  <c r="G1296" i="3"/>
  <c r="N1295" i="3"/>
  <c r="J1295" i="3"/>
  <c r="L1295" i="3" s="1"/>
  <c r="G1295" i="3"/>
  <c r="N1294" i="3"/>
  <c r="J1294" i="3"/>
  <c r="M1294" i="3" s="1"/>
  <c r="G1294" i="3"/>
  <c r="N1293" i="3"/>
  <c r="J1293" i="3"/>
  <c r="L1293" i="3" s="1"/>
  <c r="G1293" i="3"/>
  <c r="N1292" i="3"/>
  <c r="J1292" i="3"/>
  <c r="M1292" i="3" s="1"/>
  <c r="G1292" i="3"/>
  <c r="N1291" i="3"/>
  <c r="J1291" i="3"/>
  <c r="M1291" i="3" s="1"/>
  <c r="G1291" i="3"/>
  <c r="N1290" i="3"/>
  <c r="J1290" i="3"/>
  <c r="L1290" i="3" s="1"/>
  <c r="G1290" i="3"/>
  <c r="N1289" i="3"/>
  <c r="J1289" i="3"/>
  <c r="M1289" i="3" s="1"/>
  <c r="G1289" i="3"/>
  <c r="N1288" i="3"/>
  <c r="J1288" i="3"/>
  <c r="M1288" i="3" s="1"/>
  <c r="G1288" i="3"/>
  <c r="N1287" i="3"/>
  <c r="J1287" i="3"/>
  <c r="L1287" i="3" s="1"/>
  <c r="G1287" i="3"/>
  <c r="N1286" i="3"/>
  <c r="J1286" i="3"/>
  <c r="M1286" i="3" s="1"/>
  <c r="G1286" i="3"/>
  <c r="N1285" i="3"/>
  <c r="J1285" i="3"/>
  <c r="G1285" i="3"/>
  <c r="N1284" i="3"/>
  <c r="J1284" i="3"/>
  <c r="L1284" i="3" s="1"/>
  <c r="G1284" i="3"/>
  <c r="N1283" i="3"/>
  <c r="J1283" i="3"/>
  <c r="M1283" i="3" s="1"/>
  <c r="G1283" i="3"/>
  <c r="N1282" i="3"/>
  <c r="J1282" i="3"/>
  <c r="M1282" i="3" s="1"/>
  <c r="G1282" i="3"/>
  <c r="N1281" i="3"/>
  <c r="J1281" i="3"/>
  <c r="L1281" i="3" s="1"/>
  <c r="G1281" i="3"/>
  <c r="N1280" i="3"/>
  <c r="J1280" i="3"/>
  <c r="L1280" i="3" s="1"/>
  <c r="G1280" i="3"/>
  <c r="N1279" i="3"/>
  <c r="J1279" i="3"/>
  <c r="G1279" i="3"/>
  <c r="N1278" i="3"/>
  <c r="J1278" i="3"/>
  <c r="L1278" i="3" s="1"/>
  <c r="G1278" i="3"/>
  <c r="N1277" i="3"/>
  <c r="J1277" i="3"/>
  <c r="G1277" i="3"/>
  <c r="N1276" i="3"/>
  <c r="J1276" i="3"/>
  <c r="M1276" i="3" s="1"/>
  <c r="G1276" i="3"/>
  <c r="N1275" i="3"/>
  <c r="J1275" i="3"/>
  <c r="L1275" i="3" s="1"/>
  <c r="G1275" i="3"/>
  <c r="N1274" i="3"/>
  <c r="J1274" i="3"/>
  <c r="G1274" i="3"/>
  <c r="N1273" i="3"/>
  <c r="J1273" i="3"/>
  <c r="M1273" i="3" s="1"/>
  <c r="G1273" i="3"/>
  <c r="N1272" i="3"/>
  <c r="J1272" i="3"/>
  <c r="L1272" i="3" s="1"/>
  <c r="G1272" i="3"/>
  <c r="N1271" i="3"/>
  <c r="J1271" i="3"/>
  <c r="M1271" i="3" s="1"/>
  <c r="G1271" i="3"/>
  <c r="N1270" i="3"/>
  <c r="J1270" i="3"/>
  <c r="G1270" i="3"/>
  <c r="N1269" i="3"/>
  <c r="J1269" i="3"/>
  <c r="L1269" i="3" s="1"/>
  <c r="G1269" i="3"/>
  <c r="N1268" i="3"/>
  <c r="J1268" i="3"/>
  <c r="M1268" i="3" s="1"/>
  <c r="G1268" i="3"/>
  <c r="N1267" i="3"/>
  <c r="J1267" i="3"/>
  <c r="L1267" i="3" s="1"/>
  <c r="G1267" i="3"/>
  <c r="N1266" i="3"/>
  <c r="J1266" i="3"/>
  <c r="L1266" i="3" s="1"/>
  <c r="G1266" i="3"/>
  <c r="N1265" i="3"/>
  <c r="J1265" i="3"/>
  <c r="M1265" i="3" s="1"/>
  <c r="G1265" i="3"/>
  <c r="N1264" i="3"/>
  <c r="J1264" i="3"/>
  <c r="M1264" i="3" s="1"/>
  <c r="G1264" i="3"/>
  <c r="N1263" i="3"/>
  <c r="J1263" i="3"/>
  <c r="L1263" i="3" s="1"/>
  <c r="G1263" i="3"/>
  <c r="N1262" i="3"/>
  <c r="J1262" i="3"/>
  <c r="L1262" i="3" s="1"/>
  <c r="G1262" i="3"/>
  <c r="N1261" i="3"/>
  <c r="J1261" i="3"/>
  <c r="L1261" i="3" s="1"/>
  <c r="G1261" i="3"/>
  <c r="N1260" i="3"/>
  <c r="J1260" i="3"/>
  <c r="L1260" i="3" s="1"/>
  <c r="G1260" i="3"/>
  <c r="N1259" i="3"/>
  <c r="J1259" i="3"/>
  <c r="L1259" i="3" s="1"/>
  <c r="G1259" i="3"/>
  <c r="N1258" i="3"/>
  <c r="J1258" i="3"/>
  <c r="M1258" i="3" s="1"/>
  <c r="G1258" i="3"/>
  <c r="N1257" i="3"/>
  <c r="J1257" i="3"/>
  <c r="L1257" i="3" s="1"/>
  <c r="G1257" i="3"/>
  <c r="N1256" i="3"/>
  <c r="J1256" i="3"/>
  <c r="L1256" i="3" s="1"/>
  <c r="G1256" i="3"/>
  <c r="N1255" i="3"/>
  <c r="J1255" i="3"/>
  <c r="L1255" i="3" s="1"/>
  <c r="G1255" i="3"/>
  <c r="N1254" i="3"/>
  <c r="J1254" i="3"/>
  <c r="L1254" i="3" s="1"/>
  <c r="G1254" i="3"/>
  <c r="N1253" i="3"/>
  <c r="J1253" i="3"/>
  <c r="M1253" i="3" s="1"/>
  <c r="G1253" i="3"/>
  <c r="N1252" i="3"/>
  <c r="J1252" i="3"/>
  <c r="M1252" i="3" s="1"/>
  <c r="G1252" i="3"/>
  <c r="N1251" i="3"/>
  <c r="J1251" i="3"/>
  <c r="L1251" i="3" s="1"/>
  <c r="G1251" i="3"/>
  <c r="N1250" i="3"/>
  <c r="J1250" i="3"/>
  <c r="M1250" i="3" s="1"/>
  <c r="G1250" i="3"/>
  <c r="N1249" i="3"/>
  <c r="J1249" i="3"/>
  <c r="L1249" i="3" s="1"/>
  <c r="G1249" i="3"/>
  <c r="N1248" i="3"/>
  <c r="J1248" i="3"/>
  <c r="L1248" i="3" s="1"/>
  <c r="G1248" i="3"/>
  <c r="N1247" i="3"/>
  <c r="J1247" i="3"/>
  <c r="M1247" i="3" s="1"/>
  <c r="G1247" i="3"/>
  <c r="N1246" i="3"/>
  <c r="J1246" i="3"/>
  <c r="M1246" i="3" s="1"/>
  <c r="G1246" i="3"/>
  <c r="N1245" i="3"/>
  <c r="J1245" i="3"/>
  <c r="G1245" i="3"/>
  <c r="N1244" i="3"/>
  <c r="J1244" i="3"/>
  <c r="M1244" i="3" s="1"/>
  <c r="G1244" i="3"/>
  <c r="N1243" i="3"/>
  <c r="J1243" i="3"/>
  <c r="M1243" i="3" s="1"/>
  <c r="G1243" i="3"/>
  <c r="N1242" i="3"/>
  <c r="J1242" i="3"/>
  <c r="L1242" i="3" s="1"/>
  <c r="G1242" i="3"/>
  <c r="N1241" i="3"/>
  <c r="J1241" i="3"/>
  <c r="M1241" i="3" s="1"/>
  <c r="G1241" i="3"/>
  <c r="N1240" i="3"/>
  <c r="J1240" i="3"/>
  <c r="M1240" i="3" s="1"/>
  <c r="G1240" i="3"/>
  <c r="N1239" i="3"/>
  <c r="J1239" i="3"/>
  <c r="G1239" i="3"/>
  <c r="N1238" i="3"/>
  <c r="J1238" i="3"/>
  <c r="M1238" i="3" s="1"/>
  <c r="G1238" i="3"/>
  <c r="N1237" i="3"/>
  <c r="J1237" i="3"/>
  <c r="L1237" i="3" s="1"/>
  <c r="G1237" i="3"/>
  <c r="N1236" i="3"/>
  <c r="J1236" i="3"/>
  <c r="L1236" i="3" s="1"/>
  <c r="G1236" i="3"/>
  <c r="N1235" i="3"/>
  <c r="J1235" i="3"/>
  <c r="M1235" i="3" s="1"/>
  <c r="G1235" i="3"/>
  <c r="N1234" i="3"/>
  <c r="J1234" i="3"/>
  <c r="M1234" i="3" s="1"/>
  <c r="G1234" i="3"/>
  <c r="N1233" i="3"/>
  <c r="J1233" i="3"/>
  <c r="L1233" i="3" s="1"/>
  <c r="G1233" i="3"/>
  <c r="N1232" i="3"/>
  <c r="J1232" i="3"/>
  <c r="M1232" i="3" s="1"/>
  <c r="G1232" i="3"/>
  <c r="N1231" i="3"/>
  <c r="J1231" i="3"/>
  <c r="G1231" i="3"/>
  <c r="N1230" i="3"/>
  <c r="J1230" i="3"/>
  <c r="M1230" i="3" s="1"/>
  <c r="G1230" i="3"/>
  <c r="N1229" i="3"/>
  <c r="J1229" i="3"/>
  <c r="M1229" i="3" s="1"/>
  <c r="G1229" i="3"/>
  <c r="N1228" i="3"/>
  <c r="J1228" i="3"/>
  <c r="M1228" i="3" s="1"/>
  <c r="G1228" i="3"/>
  <c r="N1227" i="3"/>
  <c r="J1227" i="3"/>
  <c r="L1227" i="3" s="1"/>
  <c r="G1227" i="3"/>
  <c r="N1226" i="3"/>
  <c r="J1226" i="3"/>
  <c r="M1226" i="3" s="1"/>
  <c r="G1226" i="3"/>
  <c r="N1225" i="3"/>
  <c r="J1225" i="3"/>
  <c r="G1225" i="3"/>
  <c r="N1224" i="3"/>
  <c r="J1224" i="3"/>
  <c r="L1224" i="3" s="1"/>
  <c r="G1224" i="3"/>
  <c r="N1223" i="3"/>
  <c r="J1223" i="3"/>
  <c r="M1223" i="3" s="1"/>
  <c r="G1223" i="3"/>
  <c r="N1222" i="3"/>
  <c r="J1222" i="3"/>
  <c r="M1222" i="3" s="1"/>
  <c r="G1222" i="3"/>
  <c r="N1221" i="3"/>
  <c r="J1221" i="3"/>
  <c r="G1221" i="3"/>
  <c r="N1220" i="3"/>
  <c r="J1220" i="3"/>
  <c r="M1220" i="3" s="1"/>
  <c r="G1220" i="3"/>
  <c r="N1219" i="3"/>
  <c r="J1219" i="3"/>
  <c r="L1219" i="3" s="1"/>
  <c r="G1219" i="3"/>
  <c r="N1218" i="3"/>
  <c r="J1218" i="3"/>
  <c r="L1218" i="3" s="1"/>
  <c r="G1218" i="3"/>
  <c r="N1217" i="3"/>
  <c r="J1217" i="3"/>
  <c r="M1217" i="3" s="1"/>
  <c r="G1217" i="3"/>
  <c r="N1216" i="3"/>
  <c r="J1216" i="3"/>
  <c r="G1216" i="3"/>
  <c r="N1215" i="3"/>
  <c r="J1215" i="3"/>
  <c r="M1215" i="3" s="1"/>
  <c r="G1215" i="3"/>
  <c r="N1214" i="3"/>
  <c r="J1214" i="3"/>
  <c r="M1214" i="3" s="1"/>
  <c r="G1214" i="3"/>
  <c r="N1213" i="3"/>
  <c r="J1213" i="3"/>
  <c r="L1213" i="3" s="1"/>
  <c r="G1213" i="3"/>
  <c r="N1212" i="3"/>
  <c r="J1212" i="3"/>
  <c r="M1212" i="3" s="1"/>
  <c r="G1212" i="3"/>
  <c r="N1211" i="3"/>
  <c r="J1211" i="3"/>
  <c r="M1211" i="3" s="1"/>
  <c r="G1211" i="3"/>
  <c r="N1210" i="3"/>
  <c r="J1210" i="3"/>
  <c r="L1210" i="3" s="1"/>
  <c r="G1210" i="3"/>
  <c r="N1209" i="3"/>
  <c r="J1209" i="3"/>
  <c r="L1209" i="3" s="1"/>
  <c r="G1209" i="3"/>
  <c r="N1208" i="3"/>
  <c r="J1208" i="3"/>
  <c r="M1208" i="3" s="1"/>
  <c r="G1208" i="3"/>
  <c r="N1207" i="3"/>
  <c r="J1207" i="3"/>
  <c r="M1207" i="3" s="1"/>
  <c r="G1207" i="3"/>
  <c r="N1206" i="3"/>
  <c r="J1206" i="3"/>
  <c r="M1206" i="3" s="1"/>
  <c r="G1206" i="3"/>
  <c r="N1205" i="3"/>
  <c r="J1205" i="3"/>
  <c r="M1205" i="3" s="1"/>
  <c r="G1205" i="3"/>
  <c r="N1204" i="3"/>
  <c r="J1204" i="3"/>
  <c r="L1204" i="3" s="1"/>
  <c r="G1204" i="3"/>
  <c r="N1203" i="3"/>
  <c r="J1203" i="3"/>
  <c r="G1203" i="3"/>
  <c r="N1202" i="3"/>
  <c r="J1202" i="3"/>
  <c r="M1202" i="3" s="1"/>
  <c r="G1202" i="3"/>
  <c r="N1201" i="3"/>
  <c r="J1201" i="3"/>
  <c r="L1201" i="3" s="1"/>
  <c r="G1201" i="3"/>
  <c r="N1200" i="3"/>
  <c r="J1200" i="3"/>
  <c r="L1200" i="3" s="1"/>
  <c r="G1200" i="3"/>
  <c r="N1199" i="3"/>
  <c r="J1199" i="3"/>
  <c r="M1199" i="3" s="1"/>
  <c r="G1199" i="3"/>
  <c r="N1198" i="3"/>
  <c r="J1198" i="3"/>
  <c r="M1198" i="3" s="1"/>
  <c r="G1198" i="3"/>
  <c r="N1197" i="3"/>
  <c r="J1197" i="3"/>
  <c r="M1197" i="3" s="1"/>
  <c r="G1197" i="3"/>
  <c r="N1196" i="3"/>
  <c r="J1196" i="3"/>
  <c r="M1196" i="3" s="1"/>
  <c r="G1196" i="3"/>
  <c r="N1195" i="3"/>
  <c r="J1195" i="3"/>
  <c r="L1195" i="3" s="1"/>
  <c r="G1195" i="3"/>
  <c r="N1194" i="3"/>
  <c r="J1194" i="3"/>
  <c r="M1194" i="3" s="1"/>
  <c r="G1194" i="3"/>
  <c r="N1193" i="3"/>
  <c r="J1193" i="3"/>
  <c r="M1193" i="3" s="1"/>
  <c r="G1193" i="3"/>
  <c r="N1192" i="3"/>
  <c r="J1192" i="3"/>
  <c r="M1192" i="3" s="1"/>
  <c r="G1192" i="3"/>
  <c r="N1191" i="3"/>
  <c r="J1191" i="3"/>
  <c r="L1191" i="3" s="1"/>
  <c r="G1191" i="3"/>
  <c r="N1190" i="3"/>
  <c r="J1190" i="3"/>
  <c r="M1190" i="3" s="1"/>
  <c r="G1190" i="3"/>
  <c r="N1189" i="3"/>
  <c r="J1189" i="3"/>
  <c r="G1189" i="3"/>
  <c r="N1188" i="3"/>
  <c r="J1188" i="3"/>
  <c r="M1188" i="3" s="1"/>
  <c r="G1188" i="3"/>
  <c r="N1187" i="3"/>
  <c r="J1187" i="3"/>
  <c r="M1187" i="3" s="1"/>
  <c r="G1187" i="3"/>
  <c r="N1186" i="3"/>
  <c r="J1186" i="3"/>
  <c r="L1186" i="3" s="1"/>
  <c r="G1186" i="3"/>
  <c r="N1185" i="3"/>
  <c r="J1185" i="3"/>
  <c r="M1185" i="3" s="1"/>
  <c r="G1185" i="3"/>
  <c r="N1184" i="3"/>
  <c r="J1184" i="3"/>
  <c r="M1184" i="3" s="1"/>
  <c r="G1184" i="3"/>
  <c r="N1183" i="3"/>
  <c r="J1183" i="3"/>
  <c r="L1183" i="3" s="1"/>
  <c r="G1183" i="3"/>
  <c r="N1182" i="3"/>
  <c r="J1182" i="3"/>
  <c r="L1182" i="3" s="1"/>
  <c r="G1182" i="3"/>
  <c r="N1181" i="3"/>
  <c r="J1181" i="3"/>
  <c r="M1181" i="3" s="1"/>
  <c r="G1181" i="3"/>
  <c r="N1180" i="3"/>
  <c r="J1180" i="3"/>
  <c r="M1180" i="3" s="1"/>
  <c r="G1180" i="3"/>
  <c r="N1179" i="3"/>
  <c r="J1179" i="3"/>
  <c r="L1179" i="3" s="1"/>
  <c r="G1179" i="3"/>
  <c r="N1178" i="3"/>
  <c r="J1178" i="3"/>
  <c r="M1178" i="3" s="1"/>
  <c r="G1178" i="3"/>
  <c r="N1177" i="3"/>
  <c r="J1177" i="3"/>
  <c r="L1177" i="3" s="1"/>
  <c r="G1177" i="3"/>
  <c r="N1176" i="3"/>
  <c r="J1176" i="3"/>
  <c r="G1176" i="3"/>
  <c r="N1175" i="3"/>
  <c r="J1175" i="3"/>
  <c r="M1175" i="3" s="1"/>
  <c r="G1175" i="3"/>
  <c r="N1174" i="3"/>
  <c r="J1174" i="3"/>
  <c r="L1174" i="3" s="1"/>
  <c r="G1174" i="3"/>
  <c r="N1173" i="3"/>
  <c r="J1173" i="3"/>
  <c r="L1173" i="3" s="1"/>
  <c r="G1173" i="3"/>
  <c r="N1172" i="3"/>
  <c r="J1172" i="3"/>
  <c r="M1172" i="3" s="1"/>
  <c r="G1172" i="3"/>
  <c r="N1171" i="3"/>
  <c r="J1171" i="3"/>
  <c r="M1171" i="3" s="1"/>
  <c r="G1171" i="3"/>
  <c r="N1170" i="3"/>
  <c r="J1170" i="3"/>
  <c r="L1170" i="3" s="1"/>
  <c r="G1170" i="3"/>
  <c r="N1169" i="3"/>
  <c r="J1169" i="3"/>
  <c r="M1169" i="3" s="1"/>
  <c r="G1169" i="3"/>
  <c r="N1168" i="3"/>
  <c r="J1168" i="3"/>
  <c r="G1168" i="3"/>
  <c r="N1167" i="3"/>
  <c r="J1167" i="3"/>
  <c r="M1167" i="3" s="1"/>
  <c r="G1167" i="3"/>
  <c r="N1166" i="3"/>
  <c r="J1166" i="3"/>
  <c r="M1166" i="3" s="1"/>
  <c r="G1166" i="3"/>
  <c r="N1165" i="3"/>
  <c r="J1165" i="3"/>
  <c r="M1165" i="3" s="1"/>
  <c r="G1165" i="3"/>
  <c r="N1164" i="3"/>
  <c r="J1164" i="3"/>
  <c r="L1164" i="3" s="1"/>
  <c r="G1164" i="3"/>
  <c r="N1163" i="3"/>
  <c r="J1163" i="3"/>
  <c r="M1163" i="3" s="1"/>
  <c r="G1163" i="3"/>
  <c r="N1162" i="3"/>
  <c r="J1162" i="3"/>
  <c r="G1162" i="3"/>
  <c r="N1161" i="3"/>
  <c r="J1161" i="3"/>
  <c r="M1161" i="3" s="1"/>
  <c r="G1161" i="3"/>
  <c r="N1160" i="3"/>
  <c r="J1160" i="3"/>
  <c r="M1160" i="3" s="1"/>
  <c r="G1160" i="3"/>
  <c r="N1159" i="3"/>
  <c r="J1159" i="3"/>
  <c r="L1159" i="3" s="1"/>
  <c r="G1159" i="3"/>
  <c r="N1158" i="3"/>
  <c r="J1158" i="3"/>
  <c r="M1158" i="3" s="1"/>
  <c r="G1158" i="3"/>
  <c r="N1157" i="3"/>
  <c r="J1157" i="3"/>
  <c r="M1157" i="3" s="1"/>
  <c r="G1157" i="3"/>
  <c r="N1156" i="3"/>
  <c r="J1156" i="3"/>
  <c r="M1156" i="3" s="1"/>
  <c r="G1156" i="3"/>
  <c r="N1155" i="3"/>
  <c r="J1155" i="3"/>
  <c r="G1155" i="3"/>
  <c r="N1154" i="3"/>
  <c r="J1154" i="3"/>
  <c r="M1154" i="3" s="1"/>
  <c r="G1154" i="3"/>
  <c r="N1153" i="3"/>
  <c r="J1153" i="3"/>
  <c r="G1153" i="3"/>
  <c r="N1152" i="3"/>
  <c r="J1152" i="3"/>
  <c r="L1152" i="3" s="1"/>
  <c r="G1152" i="3"/>
  <c r="N1151" i="3"/>
  <c r="J1151" i="3"/>
  <c r="M1151" i="3" s="1"/>
  <c r="G1151" i="3"/>
  <c r="N1150" i="3"/>
  <c r="J1150" i="3"/>
  <c r="L1150" i="3" s="1"/>
  <c r="G1150" i="3"/>
  <c r="N1149" i="3"/>
  <c r="J1149" i="3"/>
  <c r="G1149" i="3"/>
  <c r="N1148" i="3"/>
  <c r="J1148" i="3"/>
  <c r="M1148" i="3" s="1"/>
  <c r="G1148" i="3"/>
  <c r="N1147" i="3"/>
  <c r="J1147" i="3"/>
  <c r="G1147" i="3"/>
  <c r="N1146" i="3"/>
  <c r="J1146" i="3"/>
  <c r="L1146" i="3" s="1"/>
  <c r="G1146" i="3"/>
  <c r="N1145" i="3"/>
  <c r="J1145" i="3"/>
  <c r="M1145" i="3" s="1"/>
  <c r="G1145" i="3"/>
  <c r="N1144" i="3"/>
  <c r="J1144" i="3"/>
  <c r="M1144" i="3" s="1"/>
  <c r="G1144" i="3"/>
  <c r="N1143" i="3"/>
  <c r="J1143" i="3"/>
  <c r="M1143" i="3" s="1"/>
  <c r="G1143" i="3"/>
  <c r="N1142" i="3"/>
  <c r="J1142" i="3"/>
  <c r="M1142" i="3" s="1"/>
  <c r="G1142" i="3"/>
  <c r="N1141" i="3"/>
  <c r="J1141" i="3"/>
  <c r="L1141" i="3" s="1"/>
  <c r="G1141" i="3"/>
  <c r="N1140" i="3"/>
  <c r="J1140" i="3"/>
  <c r="M1140" i="3" s="1"/>
  <c r="G1140" i="3"/>
  <c r="N1139" i="3"/>
  <c r="J1139" i="3"/>
  <c r="M1139" i="3" s="1"/>
  <c r="G1139" i="3"/>
  <c r="N1138" i="3"/>
  <c r="J1138" i="3"/>
  <c r="M1138" i="3" s="1"/>
  <c r="G1138" i="3"/>
  <c r="N1137" i="3"/>
  <c r="J1137" i="3"/>
  <c r="L1137" i="3" s="1"/>
  <c r="G1137" i="3"/>
  <c r="N1136" i="3"/>
  <c r="J1136" i="3"/>
  <c r="M1136" i="3" s="1"/>
  <c r="G1136" i="3"/>
  <c r="N1135" i="3"/>
  <c r="J1135" i="3"/>
  <c r="G1135" i="3"/>
  <c r="N1134" i="3"/>
  <c r="J1134" i="3"/>
  <c r="G1134" i="3"/>
  <c r="N1133" i="3"/>
  <c r="J1133" i="3"/>
  <c r="M1133" i="3" s="1"/>
  <c r="G1133" i="3"/>
  <c r="N1132" i="3"/>
  <c r="J1132" i="3"/>
  <c r="L1132" i="3" s="1"/>
  <c r="G1132" i="3"/>
  <c r="N1131" i="3"/>
  <c r="J1131" i="3"/>
  <c r="M1131" i="3" s="1"/>
  <c r="G1131" i="3"/>
  <c r="N1130" i="3"/>
  <c r="J1130" i="3"/>
  <c r="M1130" i="3" s="1"/>
  <c r="G1130" i="3"/>
  <c r="N1129" i="3"/>
  <c r="J1129" i="3"/>
  <c r="M1129" i="3" s="1"/>
  <c r="G1129" i="3"/>
  <c r="N1128" i="3"/>
  <c r="J1128" i="3"/>
  <c r="L1128" i="3" s="1"/>
  <c r="G1128" i="3"/>
  <c r="N1127" i="3"/>
  <c r="J1127" i="3"/>
  <c r="M1127" i="3" s="1"/>
  <c r="G1127" i="3"/>
  <c r="N1126" i="3"/>
  <c r="J1126" i="3"/>
  <c r="G1126" i="3"/>
  <c r="N1125" i="3"/>
  <c r="J1125" i="3"/>
  <c r="M1125" i="3" s="1"/>
  <c r="G1125" i="3"/>
  <c r="N1124" i="3"/>
  <c r="J1124" i="3"/>
  <c r="M1124" i="3" s="1"/>
  <c r="G1124" i="3"/>
  <c r="N1123" i="3"/>
  <c r="J1123" i="3"/>
  <c r="L1123" i="3" s="1"/>
  <c r="G1123" i="3"/>
  <c r="N1122" i="3"/>
  <c r="J1122" i="3"/>
  <c r="G1122" i="3"/>
  <c r="N1121" i="3"/>
  <c r="J1121" i="3"/>
  <c r="M1121" i="3" s="1"/>
  <c r="G1121" i="3"/>
  <c r="N1120" i="3"/>
  <c r="J1120" i="3"/>
  <c r="L1120" i="3" s="1"/>
  <c r="G1120" i="3"/>
  <c r="N1119" i="3"/>
  <c r="J1119" i="3"/>
  <c r="L1119" i="3" s="1"/>
  <c r="G1119" i="3"/>
  <c r="N1118" i="3"/>
  <c r="J1118" i="3"/>
  <c r="M1118" i="3" s="1"/>
  <c r="G1118" i="3"/>
  <c r="N1117" i="3"/>
  <c r="J1117" i="3"/>
  <c r="M1117" i="3" s="1"/>
  <c r="G1117" i="3"/>
  <c r="N1116" i="3"/>
  <c r="J1116" i="3"/>
  <c r="L1116" i="3" s="1"/>
  <c r="G1116" i="3"/>
  <c r="N1115" i="3"/>
  <c r="J1115" i="3"/>
  <c r="M1115" i="3" s="1"/>
  <c r="G1115" i="3"/>
  <c r="N1114" i="3"/>
  <c r="J1114" i="3"/>
  <c r="G1114" i="3"/>
  <c r="N1113" i="3"/>
  <c r="J1113" i="3"/>
  <c r="M1113" i="3" s="1"/>
  <c r="G1113" i="3"/>
  <c r="N1112" i="3"/>
  <c r="J1112" i="3"/>
  <c r="M1112" i="3" s="1"/>
  <c r="G1112" i="3"/>
  <c r="N1111" i="3"/>
  <c r="J1111" i="3"/>
  <c r="L1111" i="3" s="1"/>
  <c r="G1111" i="3"/>
  <c r="N1110" i="3"/>
  <c r="J1110" i="3"/>
  <c r="L1110" i="3" s="1"/>
  <c r="G1110" i="3"/>
  <c r="N1109" i="3"/>
  <c r="J1109" i="3"/>
  <c r="M1109" i="3" s="1"/>
  <c r="G1109" i="3"/>
  <c r="N1108" i="3"/>
  <c r="J1108" i="3"/>
  <c r="M1108" i="3" s="1"/>
  <c r="G1108" i="3"/>
  <c r="N1107" i="3"/>
  <c r="J1107" i="3"/>
  <c r="G1107" i="3"/>
  <c r="N1106" i="3"/>
  <c r="J1106" i="3"/>
  <c r="G1106" i="3"/>
  <c r="N1105" i="3"/>
  <c r="J1105" i="3"/>
  <c r="G1105" i="3"/>
  <c r="N1104" i="3"/>
  <c r="J1104" i="3"/>
  <c r="L1104" i="3" s="1"/>
  <c r="G1104" i="3"/>
  <c r="N1103" i="3"/>
  <c r="J1103" i="3"/>
  <c r="G1103" i="3"/>
  <c r="N1102" i="3"/>
  <c r="J1102" i="3"/>
  <c r="M1102" i="3" s="1"/>
  <c r="G1102" i="3"/>
  <c r="N1101" i="3"/>
  <c r="J1101" i="3"/>
  <c r="L1101" i="3" s="1"/>
  <c r="G1101" i="3"/>
  <c r="N1100" i="3"/>
  <c r="J1100" i="3"/>
  <c r="G1100" i="3"/>
  <c r="N1099" i="3"/>
  <c r="J1099" i="3"/>
  <c r="M1099" i="3" s="1"/>
  <c r="G1099" i="3"/>
  <c r="N1098" i="3"/>
  <c r="J1098" i="3"/>
  <c r="L1098" i="3" s="1"/>
  <c r="G1098" i="3"/>
  <c r="N1097" i="3"/>
  <c r="J1097" i="3"/>
  <c r="G1097" i="3"/>
  <c r="N1096" i="3"/>
  <c r="J1096" i="3"/>
  <c r="M1096" i="3" s="1"/>
  <c r="G1096" i="3"/>
  <c r="N1095" i="3"/>
  <c r="J1095" i="3"/>
  <c r="G1095" i="3"/>
  <c r="N1094" i="3"/>
  <c r="J1094" i="3"/>
  <c r="G1094" i="3"/>
  <c r="N1093" i="3"/>
  <c r="J1093" i="3"/>
  <c r="M1093" i="3" s="1"/>
  <c r="G1093" i="3"/>
  <c r="N1092" i="3"/>
  <c r="J1092" i="3"/>
  <c r="G1092" i="3"/>
  <c r="N1091" i="3"/>
  <c r="J1091" i="3"/>
  <c r="G1091" i="3"/>
  <c r="N1090" i="3"/>
  <c r="J1090" i="3"/>
  <c r="M1090" i="3" s="1"/>
  <c r="G1090" i="3"/>
  <c r="N1089" i="3"/>
  <c r="J1089" i="3"/>
  <c r="L1089" i="3" s="1"/>
  <c r="G1089" i="3"/>
  <c r="N1088" i="3"/>
  <c r="J1088" i="3"/>
  <c r="G1088" i="3"/>
  <c r="N1087" i="3"/>
  <c r="J1087" i="3"/>
  <c r="G1087" i="3"/>
  <c r="N1086" i="3"/>
  <c r="J1086" i="3"/>
  <c r="L1086" i="3" s="1"/>
  <c r="G1086" i="3"/>
  <c r="N1085" i="3"/>
  <c r="J1085" i="3"/>
  <c r="G1085" i="3"/>
  <c r="N1084" i="3"/>
  <c r="J1084" i="3"/>
  <c r="M1084" i="3" s="1"/>
  <c r="G1084" i="3"/>
  <c r="N1083" i="3"/>
  <c r="J1083" i="3"/>
  <c r="G1083" i="3"/>
  <c r="N1082" i="3"/>
  <c r="J1082" i="3"/>
  <c r="G1082" i="3"/>
  <c r="N1081" i="3"/>
  <c r="J1081" i="3"/>
  <c r="M1081" i="3" s="1"/>
  <c r="G1081" i="3"/>
  <c r="N1080" i="3"/>
  <c r="J1080" i="3"/>
  <c r="L1080" i="3" s="1"/>
  <c r="G1080" i="3"/>
  <c r="N1079" i="3"/>
  <c r="J1079" i="3"/>
  <c r="G1079" i="3"/>
  <c r="N1078" i="3"/>
  <c r="J1078" i="3"/>
  <c r="M1078" i="3" s="1"/>
  <c r="G1078" i="3"/>
  <c r="N1077" i="3"/>
  <c r="J1077" i="3"/>
  <c r="L1077" i="3" s="1"/>
  <c r="G1077" i="3"/>
  <c r="N1076" i="3"/>
  <c r="J1076" i="3"/>
  <c r="G1076" i="3"/>
  <c r="N1075" i="3"/>
  <c r="J1075" i="3"/>
  <c r="M1075" i="3" s="1"/>
  <c r="G1075" i="3"/>
  <c r="N1074" i="3"/>
  <c r="J1074" i="3"/>
  <c r="G1074" i="3"/>
  <c r="N1073" i="3"/>
  <c r="J1073" i="3"/>
  <c r="G1073" i="3"/>
  <c r="N1072" i="3"/>
  <c r="J1072" i="3"/>
  <c r="M1072" i="3" s="1"/>
  <c r="G1072" i="3"/>
  <c r="N1071" i="3"/>
  <c r="J1071" i="3"/>
  <c r="G1071" i="3"/>
  <c r="N1070" i="3"/>
  <c r="J1070" i="3"/>
  <c r="G1070" i="3"/>
  <c r="N1069" i="3"/>
  <c r="J1069" i="3"/>
  <c r="G1069" i="3"/>
  <c r="N1068" i="3"/>
  <c r="J1068" i="3"/>
  <c r="L1068" i="3" s="1"/>
  <c r="G1068" i="3"/>
  <c r="N1067" i="3"/>
  <c r="J1067" i="3"/>
  <c r="G1067" i="3"/>
  <c r="N1066" i="3"/>
  <c r="J1066" i="3"/>
  <c r="M1066" i="3" s="1"/>
  <c r="G1066" i="3"/>
  <c r="N1065" i="3"/>
  <c r="J1065" i="3"/>
  <c r="L1065" i="3" s="1"/>
  <c r="G1065" i="3"/>
  <c r="N1064" i="3"/>
  <c r="J1064" i="3"/>
  <c r="G1064" i="3"/>
  <c r="N1063" i="3"/>
  <c r="J1063" i="3"/>
  <c r="M1063" i="3" s="1"/>
  <c r="G1063" i="3"/>
  <c r="N1062" i="3"/>
  <c r="J1062" i="3"/>
  <c r="L1062" i="3" s="1"/>
  <c r="G1062" i="3"/>
  <c r="N1061" i="3"/>
  <c r="J1061" i="3"/>
  <c r="G1061" i="3"/>
  <c r="N1060" i="3"/>
  <c r="J1060" i="3"/>
  <c r="M1060" i="3" s="1"/>
  <c r="G1060" i="3"/>
  <c r="N1059" i="3"/>
  <c r="J1059" i="3"/>
  <c r="G1059" i="3"/>
  <c r="N1058" i="3"/>
  <c r="J1058" i="3"/>
  <c r="G1058" i="3"/>
  <c r="N1057" i="3"/>
  <c r="J1057" i="3"/>
  <c r="M1057" i="3" s="1"/>
  <c r="G1057" i="3"/>
  <c r="N1056" i="3"/>
  <c r="J1056" i="3"/>
  <c r="G1056" i="3"/>
  <c r="N1055" i="3"/>
  <c r="J1055" i="3"/>
  <c r="G1055" i="3"/>
  <c r="N1054" i="3"/>
  <c r="J1054" i="3"/>
  <c r="M1054" i="3" s="1"/>
  <c r="G1054" i="3"/>
  <c r="N1053" i="3"/>
  <c r="J1053" i="3"/>
  <c r="L1053" i="3" s="1"/>
  <c r="G1053" i="3"/>
  <c r="N1052" i="3"/>
  <c r="J1052" i="3"/>
  <c r="G1052" i="3"/>
  <c r="N1051" i="3"/>
  <c r="J1051" i="3"/>
  <c r="G1051" i="3"/>
  <c r="N1050" i="3"/>
  <c r="J1050" i="3"/>
  <c r="L1050" i="3" s="1"/>
  <c r="G1050" i="3"/>
  <c r="N1049" i="3"/>
  <c r="J1049" i="3"/>
  <c r="G1049" i="3"/>
  <c r="N1048" i="3"/>
  <c r="J1048" i="3"/>
  <c r="M1048" i="3" s="1"/>
  <c r="G1048" i="3"/>
  <c r="N1047" i="3"/>
  <c r="J1047" i="3"/>
  <c r="G1047" i="3"/>
  <c r="N1046" i="3"/>
  <c r="J1046" i="3"/>
  <c r="G1046" i="3"/>
  <c r="N1045" i="3"/>
  <c r="J1045" i="3"/>
  <c r="M1045" i="3" s="1"/>
  <c r="G1045" i="3"/>
  <c r="N1044" i="3"/>
  <c r="J1044" i="3"/>
  <c r="L1044" i="3" s="1"/>
  <c r="G1044" i="3"/>
  <c r="N1043" i="3"/>
  <c r="J1043" i="3"/>
  <c r="G1043" i="3"/>
  <c r="N1042" i="3"/>
  <c r="J1042" i="3"/>
  <c r="M1042" i="3" s="1"/>
  <c r="G1042" i="3"/>
  <c r="N1041" i="3"/>
  <c r="J1041" i="3"/>
  <c r="L1041" i="3" s="1"/>
  <c r="G1041" i="3"/>
  <c r="N1040" i="3"/>
  <c r="J1040" i="3"/>
  <c r="G1040" i="3"/>
  <c r="N1039" i="3"/>
  <c r="J1039" i="3"/>
  <c r="M1039" i="3" s="1"/>
  <c r="G1039" i="3"/>
  <c r="N1038" i="3"/>
  <c r="J1038" i="3"/>
  <c r="G1038" i="3"/>
  <c r="N1037" i="3"/>
  <c r="J1037" i="3"/>
  <c r="G1037" i="3"/>
  <c r="N1036" i="3"/>
  <c r="J1036" i="3"/>
  <c r="M1036" i="3" s="1"/>
  <c r="G1036" i="3"/>
  <c r="N1035" i="3"/>
  <c r="J1035" i="3"/>
  <c r="G1035" i="3"/>
  <c r="N1034" i="3"/>
  <c r="J1034" i="3"/>
  <c r="G1034" i="3"/>
  <c r="N1033" i="3"/>
  <c r="J1033" i="3"/>
  <c r="G1033" i="3"/>
  <c r="N1032" i="3"/>
  <c r="J1032" i="3"/>
  <c r="L1032" i="3" s="1"/>
  <c r="G1032" i="3"/>
  <c r="N1031" i="3"/>
  <c r="J1031" i="3"/>
  <c r="G1031" i="3"/>
  <c r="N1030" i="3"/>
  <c r="J1030" i="3"/>
  <c r="M1030" i="3" s="1"/>
  <c r="G1030" i="3"/>
  <c r="N1029" i="3"/>
  <c r="J1029" i="3"/>
  <c r="L1029" i="3" s="1"/>
  <c r="G1029" i="3"/>
  <c r="N1028" i="3"/>
  <c r="J1028" i="3"/>
  <c r="G1028" i="3"/>
  <c r="N1027" i="3"/>
  <c r="J1027" i="3"/>
  <c r="M1027" i="3" s="1"/>
  <c r="G1027" i="3"/>
  <c r="N1026" i="3"/>
  <c r="J1026" i="3"/>
  <c r="L1026" i="3" s="1"/>
  <c r="G1026" i="3"/>
  <c r="N1025" i="3"/>
  <c r="J1025" i="3"/>
  <c r="G1025" i="3"/>
  <c r="N1024" i="3"/>
  <c r="J1024" i="3"/>
  <c r="M1024" i="3" s="1"/>
  <c r="G1024" i="3"/>
  <c r="N1023" i="3"/>
  <c r="J1023" i="3"/>
  <c r="G1023" i="3"/>
  <c r="N1022" i="3"/>
  <c r="J1022" i="3"/>
  <c r="G1022" i="3"/>
  <c r="N1021" i="3"/>
  <c r="J1021" i="3"/>
  <c r="M1021" i="3" s="1"/>
  <c r="G1021" i="3"/>
  <c r="N1020" i="3"/>
  <c r="J1020" i="3"/>
  <c r="G1020" i="3"/>
  <c r="N1019" i="3"/>
  <c r="J1019" i="3"/>
  <c r="G1019" i="3"/>
  <c r="N1018" i="3"/>
  <c r="J1018" i="3"/>
  <c r="M1018" i="3" s="1"/>
  <c r="G1018" i="3"/>
  <c r="N1017" i="3"/>
  <c r="J1017" i="3"/>
  <c r="L1017" i="3" s="1"/>
  <c r="G1017" i="3"/>
  <c r="N1016" i="3"/>
  <c r="J1016" i="3"/>
  <c r="G1016" i="3"/>
  <c r="N1015" i="3"/>
  <c r="J1015" i="3"/>
  <c r="G1015" i="3"/>
  <c r="N1014" i="3"/>
  <c r="J1014" i="3"/>
  <c r="L1014" i="3" s="1"/>
  <c r="G1014" i="3"/>
  <c r="N1013" i="3"/>
  <c r="J1013" i="3"/>
  <c r="G1013" i="3"/>
  <c r="N1012" i="3"/>
  <c r="J1012" i="3"/>
  <c r="M1012" i="3" s="1"/>
  <c r="G1012" i="3"/>
  <c r="N1011" i="3"/>
  <c r="J1011" i="3"/>
  <c r="G1011" i="3"/>
  <c r="N1010" i="3"/>
  <c r="J1010" i="3"/>
  <c r="G1010" i="3"/>
  <c r="N1009" i="3"/>
  <c r="J1009" i="3"/>
  <c r="M1009" i="3" s="1"/>
  <c r="G1009" i="3"/>
  <c r="N1008" i="3"/>
  <c r="J1008" i="3"/>
  <c r="L1008" i="3" s="1"/>
  <c r="G1008" i="3"/>
  <c r="N1007" i="3"/>
  <c r="J1007" i="3"/>
  <c r="G1007" i="3"/>
  <c r="N1006" i="3"/>
  <c r="J1006" i="3"/>
  <c r="M1006" i="3" s="1"/>
  <c r="G1006" i="3"/>
  <c r="N1005" i="3"/>
  <c r="J1005" i="3"/>
  <c r="L1005" i="3" s="1"/>
  <c r="G1005" i="3"/>
  <c r="N1004" i="3"/>
  <c r="J1004" i="3"/>
  <c r="G1004" i="3"/>
  <c r="N1003" i="3"/>
  <c r="J1003" i="3"/>
  <c r="M1003" i="3" s="1"/>
  <c r="G1003" i="3"/>
  <c r="N1002" i="3"/>
  <c r="J1002" i="3"/>
  <c r="G1002" i="3"/>
  <c r="N1001" i="3"/>
  <c r="J1001" i="3"/>
  <c r="G1001" i="3"/>
  <c r="N1000" i="3"/>
  <c r="J1000" i="3"/>
  <c r="M1000" i="3" s="1"/>
  <c r="G1000" i="3"/>
  <c r="N999" i="3"/>
  <c r="J999" i="3"/>
  <c r="G999" i="3"/>
  <c r="N998" i="3"/>
  <c r="J998" i="3"/>
  <c r="G998" i="3"/>
  <c r="N997" i="3"/>
  <c r="J997" i="3"/>
  <c r="G997" i="3"/>
  <c r="N996" i="3"/>
  <c r="J996" i="3"/>
  <c r="L996" i="3" s="1"/>
  <c r="G996" i="3"/>
  <c r="N995" i="3"/>
  <c r="J995" i="3"/>
  <c r="G995" i="3"/>
  <c r="N994" i="3"/>
  <c r="J994" i="3"/>
  <c r="M994" i="3" s="1"/>
  <c r="G994" i="3"/>
  <c r="N993" i="3"/>
  <c r="J993" i="3"/>
  <c r="L993" i="3" s="1"/>
  <c r="G993" i="3"/>
  <c r="N992" i="3"/>
  <c r="J992" i="3"/>
  <c r="G992" i="3"/>
  <c r="N991" i="3"/>
  <c r="J991" i="3"/>
  <c r="M991" i="3" s="1"/>
  <c r="G991" i="3"/>
  <c r="N990" i="3"/>
  <c r="J990" i="3"/>
  <c r="L990" i="3" s="1"/>
  <c r="G990" i="3"/>
  <c r="N989" i="3"/>
  <c r="J989" i="3"/>
  <c r="G989" i="3"/>
  <c r="N988" i="3"/>
  <c r="J988" i="3"/>
  <c r="M988" i="3" s="1"/>
  <c r="G988" i="3"/>
  <c r="N987" i="3"/>
  <c r="J987" i="3"/>
  <c r="G987" i="3"/>
  <c r="N986" i="3"/>
  <c r="J986" i="3"/>
  <c r="G986" i="3"/>
  <c r="N985" i="3"/>
  <c r="J985" i="3"/>
  <c r="M985" i="3" s="1"/>
  <c r="G985" i="3"/>
  <c r="N984" i="3"/>
  <c r="J984" i="3"/>
  <c r="G984" i="3"/>
  <c r="N983" i="3"/>
  <c r="J983" i="3"/>
  <c r="G983" i="3"/>
  <c r="N982" i="3"/>
  <c r="J982" i="3"/>
  <c r="M982" i="3" s="1"/>
  <c r="G982" i="3"/>
  <c r="N981" i="3"/>
  <c r="J981" i="3"/>
  <c r="L981" i="3" s="1"/>
  <c r="G981" i="3"/>
  <c r="N980" i="3"/>
  <c r="J980" i="3"/>
  <c r="G980" i="3"/>
  <c r="N979" i="3"/>
  <c r="J979" i="3"/>
  <c r="G979" i="3"/>
  <c r="N978" i="3"/>
  <c r="J978" i="3"/>
  <c r="L978" i="3" s="1"/>
  <c r="G978" i="3"/>
  <c r="N977" i="3"/>
  <c r="J977" i="3"/>
  <c r="G977" i="3"/>
  <c r="N976" i="3"/>
  <c r="J976" i="3"/>
  <c r="M976" i="3" s="1"/>
  <c r="G976" i="3"/>
  <c r="N975" i="3"/>
  <c r="J975" i="3"/>
  <c r="G975" i="3"/>
  <c r="N974" i="3"/>
  <c r="J974" i="3"/>
  <c r="G974" i="3"/>
  <c r="N973" i="3"/>
  <c r="J973" i="3"/>
  <c r="M973" i="3" s="1"/>
  <c r="G973" i="3"/>
  <c r="N972" i="3"/>
  <c r="J972" i="3"/>
  <c r="L972" i="3" s="1"/>
  <c r="G972" i="3"/>
  <c r="N971" i="3"/>
  <c r="J971" i="3"/>
  <c r="G971" i="3"/>
  <c r="N970" i="3"/>
  <c r="J970" i="3"/>
  <c r="M970" i="3" s="1"/>
  <c r="G970" i="3"/>
  <c r="N969" i="3"/>
  <c r="J969" i="3"/>
  <c r="L969" i="3" s="1"/>
  <c r="G969" i="3"/>
  <c r="N968" i="3"/>
  <c r="J968" i="3"/>
  <c r="G968" i="3"/>
  <c r="N967" i="3"/>
  <c r="J967" i="3"/>
  <c r="M967" i="3" s="1"/>
  <c r="G967" i="3"/>
  <c r="N966" i="3"/>
  <c r="J966" i="3"/>
  <c r="G966" i="3"/>
  <c r="N965" i="3"/>
  <c r="J965" i="3"/>
  <c r="G965" i="3"/>
  <c r="N964" i="3"/>
  <c r="J964" i="3"/>
  <c r="M964" i="3" s="1"/>
  <c r="G964" i="3"/>
  <c r="N963" i="3"/>
  <c r="J963" i="3"/>
  <c r="G963" i="3"/>
  <c r="N962" i="3"/>
  <c r="J962" i="3"/>
  <c r="G962" i="3"/>
  <c r="N961" i="3"/>
  <c r="J961" i="3"/>
  <c r="G961" i="3"/>
  <c r="N960" i="3"/>
  <c r="J960" i="3"/>
  <c r="L960" i="3" s="1"/>
  <c r="G960" i="3"/>
  <c r="N959" i="3"/>
  <c r="J959" i="3"/>
  <c r="G959" i="3"/>
  <c r="N958" i="3"/>
  <c r="J958" i="3"/>
  <c r="M958" i="3" s="1"/>
  <c r="G958" i="3"/>
  <c r="N957" i="3"/>
  <c r="J957" i="3"/>
  <c r="L957" i="3" s="1"/>
  <c r="G957" i="3"/>
  <c r="N956" i="3"/>
  <c r="J956" i="3"/>
  <c r="G956" i="3"/>
  <c r="N955" i="3"/>
  <c r="J955" i="3"/>
  <c r="M955" i="3" s="1"/>
  <c r="G955" i="3"/>
  <c r="N954" i="3"/>
  <c r="J954" i="3"/>
  <c r="L954" i="3" s="1"/>
  <c r="G954" i="3"/>
  <c r="N953" i="3"/>
  <c r="J953" i="3"/>
  <c r="G953" i="3"/>
  <c r="N952" i="3"/>
  <c r="J952" i="3"/>
  <c r="M952" i="3" s="1"/>
  <c r="G952" i="3"/>
  <c r="N951" i="3"/>
  <c r="J951" i="3"/>
  <c r="G951" i="3"/>
  <c r="N950" i="3"/>
  <c r="J950" i="3"/>
  <c r="G950" i="3"/>
  <c r="N949" i="3"/>
  <c r="J949" i="3"/>
  <c r="M949" i="3" s="1"/>
  <c r="G949" i="3"/>
  <c r="N948" i="3"/>
  <c r="J948" i="3"/>
  <c r="G948" i="3"/>
  <c r="N947" i="3"/>
  <c r="J947" i="3"/>
  <c r="G947" i="3"/>
  <c r="N946" i="3"/>
  <c r="J946" i="3"/>
  <c r="M946" i="3" s="1"/>
  <c r="G946" i="3"/>
  <c r="N945" i="3"/>
  <c r="J945" i="3"/>
  <c r="L945" i="3" s="1"/>
  <c r="G945" i="3"/>
  <c r="N944" i="3"/>
  <c r="J944" i="3"/>
  <c r="G944" i="3"/>
  <c r="N943" i="3"/>
  <c r="J943" i="3"/>
  <c r="G943" i="3"/>
  <c r="N942" i="3"/>
  <c r="J942" i="3"/>
  <c r="L942" i="3" s="1"/>
  <c r="G942" i="3"/>
  <c r="N941" i="3"/>
  <c r="J941" i="3"/>
  <c r="M941" i="3" s="1"/>
  <c r="G941" i="3"/>
  <c r="N940" i="3"/>
  <c r="J940" i="3"/>
  <c r="M940" i="3" s="1"/>
  <c r="G940" i="3"/>
  <c r="N939" i="3"/>
  <c r="J939" i="3"/>
  <c r="G939" i="3"/>
  <c r="N938" i="3"/>
  <c r="J938" i="3"/>
  <c r="G938" i="3"/>
  <c r="N937" i="3"/>
  <c r="J937" i="3"/>
  <c r="L937" i="3" s="1"/>
  <c r="G937" i="3"/>
  <c r="N936" i="3"/>
  <c r="J936" i="3"/>
  <c r="M936" i="3" s="1"/>
  <c r="G936" i="3"/>
  <c r="N935" i="3"/>
  <c r="J935" i="3"/>
  <c r="G935" i="3"/>
  <c r="N934" i="3"/>
  <c r="J934" i="3"/>
  <c r="M934" i="3" s="1"/>
  <c r="G934" i="3"/>
  <c r="N933" i="3"/>
  <c r="J933" i="3"/>
  <c r="L933" i="3" s="1"/>
  <c r="G933" i="3"/>
  <c r="N932" i="3"/>
  <c r="J932" i="3"/>
  <c r="M932" i="3" s="1"/>
  <c r="G932" i="3"/>
  <c r="N931" i="3"/>
  <c r="J931" i="3"/>
  <c r="M931" i="3" s="1"/>
  <c r="G931" i="3"/>
  <c r="N930" i="3"/>
  <c r="J930" i="3"/>
  <c r="G930" i="3"/>
  <c r="N929" i="3"/>
  <c r="J929" i="3"/>
  <c r="M929" i="3" s="1"/>
  <c r="G929" i="3"/>
  <c r="N928" i="3"/>
  <c r="J928" i="3"/>
  <c r="M928" i="3" s="1"/>
  <c r="G928" i="3"/>
  <c r="N927" i="3"/>
  <c r="J927" i="3"/>
  <c r="G927" i="3"/>
  <c r="N926" i="3"/>
  <c r="J926" i="3"/>
  <c r="M926" i="3" s="1"/>
  <c r="G926" i="3"/>
  <c r="N925" i="3"/>
  <c r="J925" i="3"/>
  <c r="M925" i="3" s="1"/>
  <c r="G925" i="3"/>
  <c r="N924" i="3"/>
  <c r="J924" i="3"/>
  <c r="L924" i="3" s="1"/>
  <c r="G924" i="3"/>
  <c r="N923" i="3"/>
  <c r="J923" i="3"/>
  <c r="M923" i="3" s="1"/>
  <c r="G923" i="3"/>
  <c r="N922" i="3"/>
  <c r="J922" i="3"/>
  <c r="L922" i="3" s="1"/>
  <c r="G922" i="3"/>
  <c r="N921" i="3"/>
  <c r="J921" i="3"/>
  <c r="M921" i="3" s="1"/>
  <c r="G921" i="3"/>
  <c r="N920" i="3"/>
  <c r="J920" i="3"/>
  <c r="G920" i="3"/>
  <c r="N919" i="3"/>
  <c r="J919" i="3"/>
  <c r="L919" i="3" s="1"/>
  <c r="G919" i="3"/>
  <c r="N918" i="3"/>
  <c r="J918" i="3"/>
  <c r="M918" i="3" s="1"/>
  <c r="G918" i="3"/>
  <c r="N917" i="3"/>
  <c r="J917" i="3"/>
  <c r="G917" i="3"/>
  <c r="N916" i="3"/>
  <c r="J916" i="3"/>
  <c r="G916" i="3"/>
  <c r="N915" i="3"/>
  <c r="J915" i="3"/>
  <c r="L915" i="3" s="1"/>
  <c r="G915" i="3"/>
  <c r="N914" i="3"/>
  <c r="J914" i="3"/>
  <c r="M914" i="3" s="1"/>
  <c r="G914" i="3"/>
  <c r="N913" i="3"/>
  <c r="J913" i="3"/>
  <c r="M913" i="3" s="1"/>
  <c r="G913" i="3"/>
  <c r="N912" i="3"/>
  <c r="J912" i="3"/>
  <c r="G912" i="3"/>
  <c r="N911" i="3"/>
  <c r="J911" i="3"/>
  <c r="M911" i="3" s="1"/>
  <c r="G911" i="3"/>
  <c r="N910" i="3"/>
  <c r="J910" i="3"/>
  <c r="M910" i="3" s="1"/>
  <c r="G910" i="3"/>
  <c r="N909" i="3"/>
  <c r="J909" i="3"/>
  <c r="L909" i="3" s="1"/>
  <c r="G909" i="3"/>
  <c r="N908" i="3"/>
  <c r="J908" i="3"/>
  <c r="M908" i="3" s="1"/>
  <c r="G908" i="3"/>
  <c r="N907" i="3"/>
  <c r="J907" i="3"/>
  <c r="M907" i="3" s="1"/>
  <c r="G907" i="3"/>
  <c r="N906" i="3"/>
  <c r="J906" i="3"/>
  <c r="L906" i="3" s="1"/>
  <c r="G906" i="3"/>
  <c r="N905" i="3"/>
  <c r="J905" i="3"/>
  <c r="G905" i="3"/>
  <c r="N904" i="3"/>
  <c r="J904" i="3"/>
  <c r="M904" i="3" s="1"/>
  <c r="G904" i="3"/>
  <c r="N903" i="3"/>
  <c r="J903" i="3"/>
  <c r="G903" i="3"/>
  <c r="N902" i="3"/>
  <c r="J902" i="3"/>
  <c r="L902" i="3" s="1"/>
  <c r="G902" i="3"/>
  <c r="N901" i="3"/>
  <c r="J901" i="3"/>
  <c r="M901" i="3" s="1"/>
  <c r="G901" i="3"/>
  <c r="N900" i="3"/>
  <c r="J900" i="3"/>
  <c r="M900" i="3" s="1"/>
  <c r="G900" i="3"/>
  <c r="N899" i="3"/>
  <c r="J899" i="3"/>
  <c r="G899" i="3"/>
  <c r="N898" i="3"/>
  <c r="J898" i="3"/>
  <c r="M898" i="3" s="1"/>
  <c r="G898" i="3"/>
  <c r="N897" i="3"/>
  <c r="J897" i="3"/>
  <c r="G897" i="3"/>
  <c r="N896" i="3"/>
  <c r="J896" i="3"/>
  <c r="G896" i="3"/>
  <c r="N895" i="3"/>
  <c r="J895" i="3"/>
  <c r="M895" i="3" s="1"/>
  <c r="G895" i="3"/>
  <c r="N894" i="3"/>
  <c r="J894" i="3"/>
  <c r="M894" i="3" s="1"/>
  <c r="G894" i="3"/>
  <c r="N893" i="3"/>
  <c r="J893" i="3"/>
  <c r="G893" i="3"/>
  <c r="N892" i="3"/>
  <c r="J892" i="3"/>
  <c r="M892" i="3" s="1"/>
  <c r="G892" i="3"/>
  <c r="N891" i="3"/>
  <c r="J891" i="3"/>
  <c r="M891" i="3" s="1"/>
  <c r="G891" i="3"/>
  <c r="N890" i="3"/>
  <c r="J890" i="3"/>
  <c r="M890" i="3" s="1"/>
  <c r="G890" i="3"/>
  <c r="N889" i="3"/>
  <c r="J889" i="3"/>
  <c r="M889" i="3" s="1"/>
  <c r="G889" i="3"/>
  <c r="N888" i="3"/>
  <c r="J888" i="3"/>
  <c r="G888" i="3"/>
  <c r="N887" i="3"/>
  <c r="J887" i="3"/>
  <c r="M887" i="3" s="1"/>
  <c r="G887" i="3"/>
  <c r="N886" i="3"/>
  <c r="J886" i="3"/>
  <c r="M886" i="3" s="1"/>
  <c r="G886" i="3"/>
  <c r="N885" i="3"/>
  <c r="J885" i="3"/>
  <c r="G885" i="3"/>
  <c r="N884" i="3"/>
  <c r="J884" i="3"/>
  <c r="M884" i="3" s="1"/>
  <c r="G884" i="3"/>
  <c r="N883" i="3"/>
  <c r="J883" i="3"/>
  <c r="M883" i="3" s="1"/>
  <c r="G883" i="3"/>
  <c r="N882" i="3"/>
  <c r="J882" i="3"/>
  <c r="M882" i="3" s="1"/>
  <c r="G882" i="3"/>
  <c r="N881" i="3"/>
  <c r="J881" i="3"/>
  <c r="G881" i="3"/>
  <c r="N880" i="3"/>
  <c r="J880" i="3"/>
  <c r="M880" i="3" s="1"/>
  <c r="G880" i="3"/>
  <c r="N879" i="3"/>
  <c r="J879" i="3"/>
  <c r="M879" i="3" s="1"/>
  <c r="G879" i="3"/>
  <c r="N878" i="3"/>
  <c r="J878" i="3"/>
  <c r="M878" i="3" s="1"/>
  <c r="G878" i="3"/>
  <c r="N877" i="3"/>
  <c r="J877" i="3"/>
  <c r="M877" i="3" s="1"/>
  <c r="G877" i="3"/>
  <c r="N876" i="3"/>
  <c r="J876" i="3"/>
  <c r="M876" i="3" s="1"/>
  <c r="G876" i="3"/>
  <c r="N875" i="3"/>
  <c r="J875" i="3"/>
  <c r="G875" i="3"/>
  <c r="N874" i="3"/>
  <c r="J874" i="3"/>
  <c r="M874" i="3" s="1"/>
  <c r="G874" i="3"/>
  <c r="N873" i="3"/>
  <c r="J873" i="3"/>
  <c r="M873" i="3" s="1"/>
  <c r="G873" i="3"/>
  <c r="N872" i="3"/>
  <c r="J872" i="3"/>
  <c r="L872" i="3" s="1"/>
  <c r="G872" i="3"/>
  <c r="N871" i="3"/>
  <c r="J871" i="3"/>
  <c r="M871" i="3" s="1"/>
  <c r="G871" i="3"/>
  <c r="N870" i="3"/>
  <c r="J870" i="3"/>
  <c r="M870" i="3" s="1"/>
  <c r="G870" i="3"/>
  <c r="N869" i="3"/>
  <c r="J869" i="3"/>
  <c r="G869" i="3"/>
  <c r="N868" i="3"/>
  <c r="J868" i="3"/>
  <c r="M868" i="3" s="1"/>
  <c r="G868" i="3"/>
  <c r="N867" i="3"/>
  <c r="J867" i="3"/>
  <c r="G867" i="3"/>
  <c r="N866" i="3"/>
  <c r="J866" i="3"/>
  <c r="M866" i="3" s="1"/>
  <c r="G866" i="3"/>
  <c r="N865" i="3"/>
  <c r="J865" i="3"/>
  <c r="M865" i="3" s="1"/>
  <c r="G865" i="3"/>
  <c r="N864" i="3"/>
  <c r="J864" i="3"/>
  <c r="M864" i="3" s="1"/>
  <c r="G864" i="3"/>
  <c r="N863" i="3"/>
  <c r="J863" i="3"/>
  <c r="G863" i="3"/>
  <c r="N862" i="3"/>
  <c r="J862" i="3"/>
  <c r="M862" i="3" s="1"/>
  <c r="G862" i="3"/>
  <c r="N861" i="3"/>
  <c r="J861" i="3"/>
  <c r="L861" i="3" s="1"/>
  <c r="G861" i="3"/>
  <c r="N860" i="3"/>
  <c r="J860" i="3"/>
  <c r="M860" i="3" s="1"/>
  <c r="G860" i="3"/>
  <c r="N859" i="3"/>
  <c r="J859" i="3"/>
  <c r="M859" i="3" s="1"/>
  <c r="G859" i="3"/>
  <c r="N858" i="3"/>
  <c r="J858" i="3"/>
  <c r="G858" i="3"/>
  <c r="N857" i="3"/>
  <c r="J857" i="3"/>
  <c r="M857" i="3" s="1"/>
  <c r="G857" i="3"/>
  <c r="N856" i="3"/>
  <c r="J856" i="3"/>
  <c r="M856" i="3" s="1"/>
  <c r="G856" i="3"/>
  <c r="N855" i="3"/>
  <c r="J855" i="3"/>
  <c r="M855" i="3" s="1"/>
  <c r="G855" i="3"/>
  <c r="N854" i="3"/>
  <c r="J854" i="3"/>
  <c r="L854" i="3" s="1"/>
  <c r="G854" i="3"/>
  <c r="N853" i="3"/>
  <c r="J853" i="3"/>
  <c r="M853" i="3" s="1"/>
  <c r="G853" i="3"/>
  <c r="N852" i="3"/>
  <c r="J852" i="3"/>
  <c r="M852" i="3" s="1"/>
  <c r="G852" i="3"/>
  <c r="N851" i="3"/>
  <c r="J851" i="3"/>
  <c r="M851" i="3" s="1"/>
  <c r="G851" i="3"/>
  <c r="N850" i="3"/>
  <c r="J850" i="3"/>
  <c r="M850" i="3" s="1"/>
  <c r="G850" i="3"/>
  <c r="N849" i="3"/>
  <c r="J849" i="3"/>
  <c r="M849" i="3" s="1"/>
  <c r="G849" i="3"/>
  <c r="N848" i="3"/>
  <c r="J848" i="3"/>
  <c r="G848" i="3"/>
  <c r="N847" i="3"/>
  <c r="J847" i="3"/>
  <c r="M847" i="3" s="1"/>
  <c r="G847" i="3"/>
  <c r="N846" i="3"/>
  <c r="J846" i="3"/>
  <c r="M846" i="3" s="1"/>
  <c r="G846" i="3"/>
  <c r="N845" i="3"/>
  <c r="J845" i="3"/>
  <c r="L845" i="3" s="1"/>
  <c r="G845" i="3"/>
  <c r="N844" i="3"/>
  <c r="J844" i="3"/>
  <c r="M844" i="3" s="1"/>
  <c r="G844" i="3"/>
  <c r="N843" i="3"/>
  <c r="J843" i="3"/>
  <c r="L843" i="3" s="1"/>
  <c r="G843" i="3"/>
  <c r="N842" i="3"/>
  <c r="J842" i="3"/>
  <c r="G842" i="3"/>
  <c r="N841" i="3"/>
  <c r="J841" i="3"/>
  <c r="M841" i="3" s="1"/>
  <c r="G841" i="3"/>
  <c r="N840" i="3"/>
  <c r="J840" i="3"/>
  <c r="M840" i="3" s="1"/>
  <c r="G840" i="3"/>
  <c r="N839" i="3"/>
  <c r="J839" i="3"/>
  <c r="M839" i="3" s="1"/>
  <c r="G839" i="3"/>
  <c r="N838" i="3"/>
  <c r="J838" i="3"/>
  <c r="M838" i="3" s="1"/>
  <c r="G838" i="3"/>
  <c r="N837" i="3"/>
  <c r="J837" i="3"/>
  <c r="M837" i="3" s="1"/>
  <c r="G837" i="3"/>
  <c r="N836" i="3"/>
  <c r="J836" i="3"/>
  <c r="L836" i="3" s="1"/>
  <c r="G836" i="3"/>
  <c r="N835" i="3"/>
  <c r="J835" i="3"/>
  <c r="M835" i="3" s="1"/>
  <c r="G835" i="3"/>
  <c r="N834" i="3"/>
  <c r="J834" i="3"/>
  <c r="L834" i="3" s="1"/>
  <c r="G834" i="3"/>
  <c r="N833" i="3"/>
  <c r="J833" i="3"/>
  <c r="M833" i="3" s="1"/>
  <c r="G833" i="3"/>
  <c r="N832" i="3"/>
  <c r="J832" i="3"/>
  <c r="M832" i="3" s="1"/>
  <c r="G832" i="3"/>
  <c r="N831" i="3"/>
  <c r="J831" i="3"/>
  <c r="G831" i="3"/>
  <c r="N830" i="3"/>
  <c r="J830" i="3"/>
  <c r="M830" i="3" s="1"/>
  <c r="G830" i="3"/>
  <c r="N829" i="3"/>
  <c r="J829" i="3"/>
  <c r="M829" i="3" s="1"/>
  <c r="G829" i="3"/>
  <c r="N828" i="3"/>
  <c r="J828" i="3"/>
  <c r="M828" i="3" s="1"/>
  <c r="G828" i="3"/>
  <c r="N827" i="3"/>
  <c r="J827" i="3"/>
  <c r="L827" i="3" s="1"/>
  <c r="G827" i="3"/>
  <c r="N826" i="3"/>
  <c r="J826" i="3"/>
  <c r="M826" i="3" s="1"/>
  <c r="G826" i="3"/>
  <c r="N825" i="3"/>
  <c r="J825" i="3"/>
  <c r="L825" i="3" s="1"/>
  <c r="G825" i="3"/>
  <c r="N824" i="3"/>
  <c r="J824" i="3"/>
  <c r="M824" i="3" s="1"/>
  <c r="G824" i="3"/>
  <c r="N823" i="3"/>
  <c r="J823" i="3"/>
  <c r="M823" i="3" s="1"/>
  <c r="G823" i="3"/>
  <c r="N822" i="3"/>
  <c r="J822" i="3"/>
  <c r="M822" i="3" s="1"/>
  <c r="G822" i="3"/>
  <c r="N821" i="3"/>
  <c r="J821" i="3"/>
  <c r="G821" i="3"/>
  <c r="N820" i="3"/>
  <c r="J820" i="3"/>
  <c r="M820" i="3" s="1"/>
  <c r="G820" i="3"/>
  <c r="N819" i="3"/>
  <c r="J819" i="3"/>
  <c r="M819" i="3" s="1"/>
  <c r="G819" i="3"/>
  <c r="N818" i="3"/>
  <c r="J818" i="3"/>
  <c r="L818" i="3" s="1"/>
  <c r="G818" i="3"/>
  <c r="N817" i="3"/>
  <c r="J817" i="3"/>
  <c r="M817" i="3" s="1"/>
  <c r="G817" i="3"/>
  <c r="N816" i="3"/>
  <c r="J816" i="3"/>
  <c r="M816" i="3" s="1"/>
  <c r="G816" i="3"/>
  <c r="N815" i="3"/>
  <c r="J815" i="3"/>
  <c r="G815" i="3"/>
  <c r="N814" i="3"/>
  <c r="J814" i="3"/>
  <c r="M814" i="3" s="1"/>
  <c r="G814" i="3"/>
  <c r="N813" i="3"/>
  <c r="J813" i="3"/>
  <c r="G813" i="3"/>
  <c r="N812" i="3"/>
  <c r="J812" i="3"/>
  <c r="M812" i="3" s="1"/>
  <c r="G812" i="3"/>
  <c r="N811" i="3"/>
  <c r="J811" i="3"/>
  <c r="M811" i="3" s="1"/>
  <c r="G811" i="3"/>
  <c r="N810" i="3"/>
  <c r="J810" i="3"/>
  <c r="M810" i="3" s="1"/>
  <c r="G810" i="3"/>
  <c r="N809" i="3"/>
  <c r="J809" i="3"/>
  <c r="L809" i="3" s="1"/>
  <c r="G809" i="3"/>
  <c r="N808" i="3"/>
  <c r="J808" i="3"/>
  <c r="M808" i="3" s="1"/>
  <c r="G808" i="3"/>
  <c r="N807" i="3"/>
  <c r="J807" i="3"/>
  <c r="M807" i="3" s="1"/>
  <c r="G807" i="3"/>
  <c r="N806" i="3"/>
  <c r="J806" i="3"/>
  <c r="M806" i="3" s="1"/>
  <c r="G806" i="3"/>
  <c r="N805" i="3"/>
  <c r="J805" i="3"/>
  <c r="M805" i="3" s="1"/>
  <c r="G805" i="3"/>
  <c r="N804" i="3"/>
  <c r="J804" i="3"/>
  <c r="M804" i="3" s="1"/>
  <c r="G804" i="3"/>
  <c r="N803" i="3"/>
  <c r="J803" i="3"/>
  <c r="M803" i="3" s="1"/>
  <c r="G803" i="3"/>
  <c r="N802" i="3"/>
  <c r="J802" i="3"/>
  <c r="M802" i="3" s="1"/>
  <c r="G802" i="3"/>
  <c r="N801" i="3"/>
  <c r="J801" i="3"/>
  <c r="M801" i="3" s="1"/>
  <c r="G801" i="3"/>
  <c r="N800" i="3"/>
  <c r="J800" i="3"/>
  <c r="M800" i="3" s="1"/>
  <c r="G800" i="3"/>
  <c r="N799" i="3"/>
  <c r="J799" i="3"/>
  <c r="M799" i="3" s="1"/>
  <c r="G799" i="3"/>
  <c r="N798" i="3"/>
  <c r="J798" i="3"/>
  <c r="G798" i="3"/>
  <c r="N797" i="3"/>
  <c r="J797" i="3"/>
  <c r="M797" i="3" s="1"/>
  <c r="G797" i="3"/>
  <c r="N796" i="3"/>
  <c r="J796" i="3"/>
  <c r="M796" i="3" s="1"/>
  <c r="G796" i="3"/>
  <c r="N795" i="3"/>
  <c r="J795" i="3"/>
  <c r="M795" i="3" s="1"/>
  <c r="G795" i="3"/>
  <c r="N794" i="3"/>
  <c r="J794" i="3"/>
  <c r="M794" i="3" s="1"/>
  <c r="G794" i="3"/>
  <c r="N793" i="3"/>
  <c r="J793" i="3"/>
  <c r="M793" i="3" s="1"/>
  <c r="G793" i="3"/>
  <c r="N792" i="3"/>
  <c r="J792" i="3"/>
  <c r="M792" i="3" s="1"/>
  <c r="G792" i="3"/>
  <c r="N791" i="3"/>
  <c r="J791" i="3"/>
  <c r="M791" i="3" s="1"/>
  <c r="G791" i="3"/>
  <c r="N790" i="3"/>
  <c r="J790" i="3"/>
  <c r="M790" i="3" s="1"/>
  <c r="G790" i="3"/>
  <c r="N789" i="3"/>
  <c r="J789" i="3"/>
  <c r="M789" i="3" s="1"/>
  <c r="G789" i="3"/>
  <c r="N788" i="3"/>
  <c r="J788" i="3"/>
  <c r="M788" i="3" s="1"/>
  <c r="G788" i="3"/>
  <c r="N787" i="3"/>
  <c r="J787" i="3"/>
  <c r="M787" i="3" s="1"/>
  <c r="G787" i="3"/>
  <c r="N786" i="3"/>
  <c r="J786" i="3"/>
  <c r="M786" i="3" s="1"/>
  <c r="G786" i="3"/>
  <c r="N785" i="3"/>
  <c r="J785" i="3"/>
  <c r="M785" i="3" s="1"/>
  <c r="G785" i="3"/>
  <c r="N784" i="3"/>
  <c r="J784" i="3"/>
  <c r="M784" i="3" s="1"/>
  <c r="G784" i="3"/>
  <c r="N783" i="3"/>
  <c r="J783" i="3"/>
  <c r="M783" i="3" s="1"/>
  <c r="G783" i="3"/>
  <c r="N782" i="3"/>
  <c r="J782" i="3"/>
  <c r="M782" i="3" s="1"/>
  <c r="G782" i="3"/>
  <c r="N781" i="3"/>
  <c r="J781" i="3"/>
  <c r="M781" i="3" s="1"/>
  <c r="G781" i="3"/>
  <c r="N780" i="3"/>
  <c r="J780" i="3"/>
  <c r="G780" i="3"/>
  <c r="N779" i="3"/>
  <c r="J779" i="3"/>
  <c r="M779" i="3" s="1"/>
  <c r="G779" i="3"/>
  <c r="N778" i="3"/>
  <c r="J778" i="3"/>
  <c r="M778" i="3" s="1"/>
  <c r="G778" i="3"/>
  <c r="N777" i="3"/>
  <c r="J777" i="3"/>
  <c r="M777" i="3" s="1"/>
  <c r="G777" i="3"/>
  <c r="N776" i="3"/>
  <c r="J776" i="3"/>
  <c r="M776" i="3" s="1"/>
  <c r="G776" i="3"/>
  <c r="N775" i="3"/>
  <c r="J775" i="3"/>
  <c r="M775" i="3" s="1"/>
  <c r="G775" i="3"/>
  <c r="N774" i="3"/>
  <c r="J774" i="3"/>
  <c r="M774" i="3" s="1"/>
  <c r="G774" i="3"/>
  <c r="N773" i="3"/>
  <c r="J773" i="3"/>
  <c r="M773" i="3" s="1"/>
  <c r="G773" i="3"/>
  <c r="N772" i="3"/>
  <c r="J772" i="3"/>
  <c r="M772" i="3" s="1"/>
  <c r="G772" i="3"/>
  <c r="N771" i="3"/>
  <c r="J771" i="3"/>
  <c r="M771" i="3" s="1"/>
  <c r="G771" i="3"/>
  <c r="N770" i="3"/>
  <c r="J770" i="3"/>
  <c r="M770" i="3" s="1"/>
  <c r="G770" i="3"/>
  <c r="N769" i="3"/>
  <c r="J769" i="3"/>
  <c r="M769" i="3" s="1"/>
  <c r="G769" i="3"/>
  <c r="N768" i="3"/>
  <c r="J768" i="3"/>
  <c r="M768" i="3" s="1"/>
  <c r="G768" i="3"/>
  <c r="N767" i="3"/>
  <c r="J767" i="3"/>
  <c r="M767" i="3" s="1"/>
  <c r="G767" i="3"/>
  <c r="N766" i="3"/>
  <c r="J766" i="3"/>
  <c r="M766" i="3" s="1"/>
  <c r="G766" i="3"/>
  <c r="N765" i="3"/>
  <c r="J765" i="3"/>
  <c r="M765" i="3" s="1"/>
  <c r="G765" i="3"/>
  <c r="N764" i="3"/>
  <c r="J764" i="3"/>
  <c r="M764" i="3" s="1"/>
  <c r="G764" i="3"/>
  <c r="N763" i="3"/>
  <c r="J763" i="3"/>
  <c r="M763" i="3" s="1"/>
  <c r="G763" i="3"/>
  <c r="N762" i="3"/>
  <c r="J762" i="3"/>
  <c r="G762" i="3"/>
  <c r="N761" i="3"/>
  <c r="J761" i="3"/>
  <c r="M761" i="3" s="1"/>
  <c r="G761" i="3"/>
  <c r="N760" i="3"/>
  <c r="J760" i="3"/>
  <c r="M760" i="3" s="1"/>
  <c r="G760" i="3"/>
  <c r="N759" i="3"/>
  <c r="J759" i="3"/>
  <c r="M759" i="3" s="1"/>
  <c r="G759" i="3"/>
  <c r="N758" i="3"/>
  <c r="J758" i="3"/>
  <c r="M758" i="3" s="1"/>
  <c r="G758" i="3"/>
  <c r="N757" i="3"/>
  <c r="J757" i="3"/>
  <c r="M757" i="3" s="1"/>
  <c r="G757" i="3"/>
  <c r="N756" i="3"/>
  <c r="J756" i="3"/>
  <c r="M756" i="3" s="1"/>
  <c r="G756" i="3"/>
  <c r="N755" i="3"/>
  <c r="J755" i="3"/>
  <c r="L755" i="3" s="1"/>
  <c r="G755" i="3"/>
  <c r="N754" i="3"/>
  <c r="J754" i="3"/>
  <c r="M754" i="3" s="1"/>
  <c r="G754" i="3"/>
  <c r="N753" i="3"/>
  <c r="J753" i="3"/>
  <c r="M753" i="3" s="1"/>
  <c r="G753" i="3"/>
  <c r="N752" i="3"/>
  <c r="J752" i="3"/>
  <c r="M752" i="3" s="1"/>
  <c r="G752" i="3"/>
  <c r="N751" i="3"/>
  <c r="J751" i="3"/>
  <c r="M751" i="3" s="1"/>
  <c r="G751" i="3"/>
  <c r="N750" i="3"/>
  <c r="J750" i="3"/>
  <c r="M750" i="3" s="1"/>
  <c r="G750" i="3"/>
  <c r="N749" i="3"/>
  <c r="J749" i="3"/>
  <c r="M749" i="3" s="1"/>
  <c r="G749" i="3"/>
  <c r="N748" i="3"/>
  <c r="J748" i="3"/>
  <c r="M748" i="3" s="1"/>
  <c r="G748" i="3"/>
  <c r="N747" i="3"/>
  <c r="J747" i="3"/>
  <c r="M747" i="3" s="1"/>
  <c r="G747" i="3"/>
  <c r="N746" i="3"/>
  <c r="J746" i="3"/>
  <c r="G746" i="3"/>
  <c r="N745" i="3"/>
  <c r="J745" i="3"/>
  <c r="M745" i="3" s="1"/>
  <c r="G745" i="3"/>
  <c r="N744" i="3"/>
  <c r="J744" i="3"/>
  <c r="M744" i="3" s="1"/>
  <c r="G744" i="3"/>
  <c r="N743" i="3"/>
  <c r="J743" i="3"/>
  <c r="M743" i="3" s="1"/>
  <c r="G743" i="3"/>
  <c r="N742" i="3"/>
  <c r="J742" i="3"/>
  <c r="M742" i="3" s="1"/>
  <c r="G742" i="3"/>
  <c r="N741" i="3"/>
  <c r="J741" i="3"/>
  <c r="M741" i="3" s="1"/>
  <c r="G741" i="3"/>
  <c r="N740" i="3"/>
  <c r="J740" i="3"/>
  <c r="M740" i="3" s="1"/>
  <c r="G740" i="3"/>
  <c r="N739" i="3"/>
  <c r="J739" i="3"/>
  <c r="M739" i="3" s="1"/>
  <c r="G739" i="3"/>
  <c r="N738" i="3"/>
  <c r="J738" i="3"/>
  <c r="M738" i="3" s="1"/>
  <c r="G738" i="3"/>
  <c r="N737" i="3"/>
  <c r="J737" i="3"/>
  <c r="L737" i="3" s="1"/>
  <c r="G737" i="3"/>
  <c r="N736" i="3"/>
  <c r="J736" i="3"/>
  <c r="M736" i="3" s="1"/>
  <c r="G736" i="3"/>
  <c r="N735" i="3"/>
  <c r="J735" i="3"/>
  <c r="M735" i="3" s="1"/>
  <c r="G735" i="3"/>
  <c r="N734" i="3"/>
  <c r="J734" i="3"/>
  <c r="M734" i="3" s="1"/>
  <c r="G734" i="3"/>
  <c r="N733" i="3"/>
  <c r="J733" i="3"/>
  <c r="M733" i="3" s="1"/>
  <c r="G733" i="3"/>
  <c r="N732" i="3"/>
  <c r="J732" i="3"/>
  <c r="M732" i="3" s="1"/>
  <c r="G732" i="3"/>
  <c r="N731" i="3"/>
  <c r="J731" i="3"/>
  <c r="M731" i="3" s="1"/>
  <c r="G731" i="3"/>
  <c r="N730" i="3"/>
  <c r="J730" i="3"/>
  <c r="M730" i="3" s="1"/>
  <c r="G730" i="3"/>
  <c r="N729" i="3"/>
  <c r="J729" i="3"/>
  <c r="M729" i="3" s="1"/>
  <c r="G729" i="3"/>
  <c r="N728" i="3"/>
  <c r="J728" i="3"/>
  <c r="L728" i="3" s="1"/>
  <c r="G728" i="3"/>
  <c r="N727" i="3"/>
  <c r="J727" i="3"/>
  <c r="M727" i="3" s="1"/>
  <c r="G727" i="3"/>
  <c r="N726" i="3"/>
  <c r="J726" i="3"/>
  <c r="M726" i="3" s="1"/>
  <c r="G726" i="3"/>
  <c r="N725" i="3"/>
  <c r="J725" i="3"/>
  <c r="M725" i="3" s="1"/>
  <c r="G725" i="3"/>
  <c r="N724" i="3"/>
  <c r="J724" i="3"/>
  <c r="M724" i="3" s="1"/>
  <c r="G724" i="3"/>
  <c r="N723" i="3"/>
  <c r="J723" i="3"/>
  <c r="M723" i="3" s="1"/>
  <c r="G723" i="3"/>
  <c r="N722" i="3"/>
  <c r="J722" i="3"/>
  <c r="M722" i="3" s="1"/>
  <c r="G722" i="3"/>
  <c r="N721" i="3"/>
  <c r="J721" i="3"/>
  <c r="M721" i="3" s="1"/>
  <c r="G721" i="3"/>
  <c r="N720" i="3"/>
  <c r="J720" i="3"/>
  <c r="M720" i="3" s="1"/>
  <c r="G720" i="3"/>
  <c r="N719" i="3"/>
  <c r="J719" i="3"/>
  <c r="G719" i="3"/>
  <c r="N718" i="3"/>
  <c r="J718" i="3"/>
  <c r="M718" i="3" s="1"/>
  <c r="G718" i="3"/>
  <c r="N717" i="3"/>
  <c r="J717" i="3"/>
  <c r="M717" i="3" s="1"/>
  <c r="G717" i="3"/>
  <c r="N716" i="3"/>
  <c r="J716" i="3"/>
  <c r="M716" i="3" s="1"/>
  <c r="G716" i="3"/>
  <c r="N715" i="3"/>
  <c r="J715" i="3"/>
  <c r="M715" i="3" s="1"/>
  <c r="G715" i="3"/>
  <c r="N714" i="3"/>
  <c r="J714" i="3"/>
  <c r="M714" i="3" s="1"/>
  <c r="G714" i="3"/>
  <c r="N713" i="3"/>
  <c r="J713" i="3"/>
  <c r="L713" i="3" s="1"/>
  <c r="G713" i="3"/>
  <c r="N712" i="3"/>
  <c r="J712" i="3"/>
  <c r="M712" i="3" s="1"/>
  <c r="G712" i="3"/>
  <c r="N711" i="3"/>
  <c r="J711" i="3"/>
  <c r="M711" i="3" s="1"/>
  <c r="G711" i="3"/>
  <c r="N710" i="3"/>
  <c r="J710" i="3"/>
  <c r="L710" i="3" s="1"/>
  <c r="G710" i="3"/>
  <c r="N709" i="3"/>
  <c r="J709" i="3"/>
  <c r="M709" i="3" s="1"/>
  <c r="G709" i="3"/>
  <c r="N708" i="3"/>
  <c r="J708" i="3"/>
  <c r="M708" i="3" s="1"/>
  <c r="G708" i="3"/>
  <c r="N707" i="3"/>
  <c r="J707" i="3"/>
  <c r="M707" i="3" s="1"/>
  <c r="G707" i="3"/>
  <c r="N706" i="3"/>
  <c r="J706" i="3"/>
  <c r="M706" i="3" s="1"/>
  <c r="G706" i="3"/>
  <c r="N705" i="3"/>
  <c r="J705" i="3"/>
  <c r="M705" i="3" s="1"/>
  <c r="G705" i="3"/>
  <c r="N704" i="3"/>
  <c r="J704" i="3"/>
  <c r="M704" i="3" s="1"/>
  <c r="G704" i="3"/>
  <c r="N703" i="3"/>
  <c r="J703" i="3"/>
  <c r="M703" i="3" s="1"/>
  <c r="G703" i="3"/>
  <c r="N702" i="3"/>
  <c r="J702" i="3"/>
  <c r="M702" i="3" s="1"/>
  <c r="G702" i="3"/>
  <c r="N701" i="3"/>
  <c r="J701" i="3"/>
  <c r="L701" i="3" s="1"/>
  <c r="G701" i="3"/>
  <c r="N700" i="3"/>
  <c r="J700" i="3"/>
  <c r="M700" i="3" s="1"/>
  <c r="G700" i="3"/>
  <c r="N699" i="3"/>
  <c r="J699" i="3"/>
  <c r="M699" i="3" s="1"/>
  <c r="G699" i="3"/>
  <c r="N698" i="3"/>
  <c r="J698" i="3"/>
  <c r="M698" i="3" s="1"/>
  <c r="G698" i="3"/>
  <c r="N697" i="3"/>
  <c r="J697" i="3"/>
  <c r="M697" i="3" s="1"/>
  <c r="G697" i="3"/>
  <c r="N696" i="3"/>
  <c r="J696" i="3"/>
  <c r="M696" i="3" s="1"/>
  <c r="G696" i="3"/>
  <c r="N695" i="3"/>
  <c r="J695" i="3"/>
  <c r="M695" i="3" s="1"/>
  <c r="G695" i="3"/>
  <c r="N694" i="3"/>
  <c r="J694" i="3"/>
  <c r="M694" i="3" s="1"/>
  <c r="G694" i="3"/>
  <c r="N693" i="3"/>
  <c r="J693" i="3"/>
  <c r="M693" i="3" s="1"/>
  <c r="G693" i="3"/>
  <c r="N692" i="3"/>
  <c r="J692" i="3"/>
  <c r="G692" i="3"/>
  <c r="N691" i="3"/>
  <c r="J691" i="3"/>
  <c r="M691" i="3" s="1"/>
  <c r="G691" i="3"/>
  <c r="N690" i="3"/>
  <c r="J690" i="3"/>
  <c r="M690" i="3" s="1"/>
  <c r="G690" i="3"/>
  <c r="N689" i="3"/>
  <c r="J689" i="3"/>
  <c r="M689" i="3" s="1"/>
  <c r="G689" i="3"/>
  <c r="N688" i="3"/>
  <c r="J688" i="3"/>
  <c r="M688" i="3" s="1"/>
  <c r="G688" i="3"/>
  <c r="N687" i="3"/>
  <c r="J687" i="3"/>
  <c r="M687" i="3" s="1"/>
  <c r="G687" i="3"/>
  <c r="N686" i="3"/>
  <c r="J686" i="3"/>
  <c r="M686" i="3" s="1"/>
  <c r="G686" i="3"/>
  <c r="N685" i="3"/>
  <c r="J685" i="3"/>
  <c r="M685" i="3" s="1"/>
  <c r="G685" i="3"/>
  <c r="N684" i="3"/>
  <c r="J684" i="3"/>
  <c r="M684" i="3" s="1"/>
  <c r="G684" i="3"/>
  <c r="N683" i="3"/>
  <c r="J683" i="3"/>
  <c r="L683" i="3" s="1"/>
  <c r="G683" i="3"/>
  <c r="N682" i="3"/>
  <c r="J682" i="3"/>
  <c r="M682" i="3" s="1"/>
  <c r="G682" i="3"/>
  <c r="N681" i="3"/>
  <c r="J681" i="3"/>
  <c r="M681" i="3" s="1"/>
  <c r="G681" i="3"/>
  <c r="N680" i="3"/>
  <c r="J680" i="3"/>
  <c r="M680" i="3" s="1"/>
  <c r="G680" i="3"/>
  <c r="N679" i="3"/>
  <c r="J679" i="3"/>
  <c r="M679" i="3" s="1"/>
  <c r="G679" i="3"/>
  <c r="N678" i="3"/>
  <c r="J678" i="3"/>
  <c r="M678" i="3" s="1"/>
  <c r="G678" i="3"/>
  <c r="N677" i="3"/>
  <c r="J677" i="3"/>
  <c r="M677" i="3" s="1"/>
  <c r="G677" i="3"/>
  <c r="N676" i="3"/>
  <c r="J676" i="3"/>
  <c r="M676" i="3" s="1"/>
  <c r="G676" i="3"/>
  <c r="N675" i="3"/>
  <c r="J675" i="3"/>
  <c r="M675" i="3" s="1"/>
  <c r="G675" i="3"/>
  <c r="N674" i="3"/>
  <c r="J674" i="3"/>
  <c r="L674" i="3" s="1"/>
  <c r="G674" i="3"/>
  <c r="N673" i="3"/>
  <c r="J673" i="3"/>
  <c r="M673" i="3" s="1"/>
  <c r="G673" i="3"/>
  <c r="N672" i="3"/>
  <c r="J672" i="3"/>
  <c r="M672" i="3" s="1"/>
  <c r="G672" i="3"/>
  <c r="N671" i="3"/>
  <c r="J671" i="3"/>
  <c r="M671" i="3" s="1"/>
  <c r="G671" i="3"/>
  <c r="N670" i="3"/>
  <c r="J670" i="3"/>
  <c r="M670" i="3" s="1"/>
  <c r="G670" i="3"/>
  <c r="N669" i="3"/>
  <c r="J669" i="3"/>
  <c r="M669" i="3" s="1"/>
  <c r="G669" i="3"/>
  <c r="N668" i="3"/>
  <c r="J668" i="3"/>
  <c r="M668" i="3" s="1"/>
  <c r="G668" i="3"/>
  <c r="N667" i="3"/>
  <c r="J667" i="3"/>
  <c r="M667" i="3" s="1"/>
  <c r="G667" i="3"/>
  <c r="N666" i="3"/>
  <c r="J666" i="3"/>
  <c r="M666" i="3" s="1"/>
  <c r="G666" i="3"/>
  <c r="N665" i="3"/>
  <c r="J665" i="3"/>
  <c r="G665" i="3"/>
  <c r="N664" i="3"/>
  <c r="J664" i="3"/>
  <c r="M664" i="3" s="1"/>
  <c r="G664" i="3"/>
  <c r="N663" i="3"/>
  <c r="J663" i="3"/>
  <c r="M663" i="3" s="1"/>
  <c r="G663" i="3"/>
  <c r="N662" i="3"/>
  <c r="J662" i="3"/>
  <c r="M662" i="3" s="1"/>
  <c r="G662" i="3"/>
  <c r="N661" i="3"/>
  <c r="J661" i="3"/>
  <c r="M661" i="3" s="1"/>
  <c r="G661" i="3"/>
  <c r="N660" i="3"/>
  <c r="J660" i="3"/>
  <c r="M660" i="3" s="1"/>
  <c r="G660" i="3"/>
  <c r="N659" i="3"/>
  <c r="J659" i="3"/>
  <c r="L659" i="3" s="1"/>
  <c r="G659" i="3"/>
  <c r="N658" i="3"/>
  <c r="J658" i="3"/>
  <c r="M658" i="3" s="1"/>
  <c r="G658" i="3"/>
  <c r="N657" i="3"/>
  <c r="J657" i="3"/>
  <c r="M657" i="3" s="1"/>
  <c r="G657" i="3"/>
  <c r="N656" i="3"/>
  <c r="J656" i="3"/>
  <c r="L656" i="3" s="1"/>
  <c r="G656" i="3"/>
  <c r="N655" i="3"/>
  <c r="J655" i="3"/>
  <c r="M655" i="3" s="1"/>
  <c r="G655" i="3"/>
  <c r="N654" i="3"/>
  <c r="J654" i="3"/>
  <c r="M654" i="3" s="1"/>
  <c r="G654" i="3"/>
  <c r="N653" i="3"/>
  <c r="J653" i="3"/>
  <c r="M653" i="3" s="1"/>
  <c r="G653" i="3"/>
  <c r="N652" i="3"/>
  <c r="J652" i="3"/>
  <c r="M652" i="3" s="1"/>
  <c r="G652" i="3"/>
  <c r="N651" i="3"/>
  <c r="J651" i="3"/>
  <c r="M651" i="3" s="1"/>
  <c r="G651" i="3"/>
  <c r="N650" i="3"/>
  <c r="J650" i="3"/>
  <c r="M650" i="3" s="1"/>
  <c r="G650" i="3"/>
  <c r="N649" i="3"/>
  <c r="J649" i="3"/>
  <c r="M649" i="3" s="1"/>
  <c r="G649" i="3"/>
  <c r="N648" i="3"/>
  <c r="J648" i="3"/>
  <c r="M648" i="3" s="1"/>
  <c r="G648" i="3"/>
  <c r="N647" i="3"/>
  <c r="J647" i="3"/>
  <c r="L647" i="3" s="1"/>
  <c r="G647" i="3"/>
  <c r="N646" i="3"/>
  <c r="J646" i="3"/>
  <c r="M646" i="3" s="1"/>
  <c r="G646" i="3"/>
  <c r="N645" i="3"/>
  <c r="J645" i="3"/>
  <c r="M645" i="3" s="1"/>
  <c r="G645" i="3"/>
  <c r="N644" i="3"/>
  <c r="J644" i="3"/>
  <c r="M644" i="3" s="1"/>
  <c r="G644" i="3"/>
  <c r="N643" i="3"/>
  <c r="J643" i="3"/>
  <c r="M643" i="3" s="1"/>
  <c r="G643" i="3"/>
  <c r="N642" i="3"/>
  <c r="J642" i="3"/>
  <c r="M642" i="3" s="1"/>
  <c r="G642" i="3"/>
  <c r="N641" i="3"/>
  <c r="J641" i="3"/>
  <c r="M641" i="3" s="1"/>
  <c r="G641" i="3"/>
  <c r="N640" i="3"/>
  <c r="J640" i="3"/>
  <c r="M640" i="3" s="1"/>
  <c r="G640" i="3"/>
  <c r="N639" i="3"/>
  <c r="J639" i="3"/>
  <c r="M639" i="3" s="1"/>
  <c r="G639" i="3"/>
  <c r="N638" i="3"/>
  <c r="J638" i="3"/>
  <c r="G638" i="3"/>
  <c r="N637" i="3"/>
  <c r="J637" i="3"/>
  <c r="M637" i="3" s="1"/>
  <c r="G637" i="3"/>
  <c r="N636" i="3"/>
  <c r="J636" i="3"/>
  <c r="M636" i="3" s="1"/>
  <c r="G636" i="3"/>
  <c r="N635" i="3"/>
  <c r="J635" i="3"/>
  <c r="M635" i="3" s="1"/>
  <c r="G635" i="3"/>
  <c r="N634" i="3"/>
  <c r="J634" i="3"/>
  <c r="M634" i="3" s="1"/>
  <c r="G634" i="3"/>
  <c r="N633" i="3"/>
  <c r="J633" i="3"/>
  <c r="M633" i="3" s="1"/>
  <c r="G633" i="3"/>
  <c r="N632" i="3"/>
  <c r="J632" i="3"/>
  <c r="M632" i="3" s="1"/>
  <c r="G632" i="3"/>
  <c r="N631" i="3"/>
  <c r="J631" i="3"/>
  <c r="M631" i="3" s="1"/>
  <c r="G631" i="3"/>
  <c r="N630" i="3"/>
  <c r="J630" i="3"/>
  <c r="M630" i="3" s="1"/>
  <c r="G630" i="3"/>
  <c r="N629" i="3"/>
  <c r="J629" i="3"/>
  <c r="L629" i="3" s="1"/>
  <c r="G629" i="3"/>
  <c r="N628" i="3"/>
  <c r="J628" i="3"/>
  <c r="M628" i="3" s="1"/>
  <c r="G628" i="3"/>
  <c r="N627" i="3"/>
  <c r="J627" i="3"/>
  <c r="M627" i="3" s="1"/>
  <c r="G627" i="3"/>
  <c r="N626" i="3"/>
  <c r="J626" i="3"/>
  <c r="M626" i="3" s="1"/>
  <c r="G626" i="3"/>
  <c r="N625" i="3"/>
  <c r="J625" i="3"/>
  <c r="M625" i="3" s="1"/>
  <c r="G625" i="3"/>
  <c r="N624" i="3"/>
  <c r="J624" i="3"/>
  <c r="M624" i="3" s="1"/>
  <c r="G624" i="3"/>
  <c r="N623" i="3"/>
  <c r="J623" i="3"/>
  <c r="M623" i="3" s="1"/>
  <c r="G623" i="3"/>
  <c r="N622" i="3"/>
  <c r="J622" i="3"/>
  <c r="M622" i="3" s="1"/>
  <c r="G622" i="3"/>
  <c r="N621" i="3"/>
  <c r="J621" i="3"/>
  <c r="M621" i="3" s="1"/>
  <c r="G621" i="3"/>
  <c r="N620" i="3"/>
  <c r="J620" i="3"/>
  <c r="L620" i="3" s="1"/>
  <c r="G620" i="3"/>
  <c r="N619" i="3"/>
  <c r="J619" i="3"/>
  <c r="M619" i="3" s="1"/>
  <c r="G619" i="3"/>
  <c r="N618" i="3"/>
  <c r="J618" i="3"/>
  <c r="M618" i="3" s="1"/>
  <c r="G618" i="3"/>
  <c r="N617" i="3"/>
  <c r="J617" i="3"/>
  <c r="M617" i="3" s="1"/>
  <c r="G617" i="3"/>
  <c r="N616" i="3"/>
  <c r="J616" i="3"/>
  <c r="M616" i="3" s="1"/>
  <c r="G616" i="3"/>
  <c r="N615" i="3"/>
  <c r="J615" i="3"/>
  <c r="M615" i="3" s="1"/>
  <c r="G615" i="3"/>
  <c r="N614" i="3"/>
  <c r="J614" i="3"/>
  <c r="M614" i="3" s="1"/>
  <c r="G614" i="3"/>
  <c r="N613" i="3"/>
  <c r="J613" i="3"/>
  <c r="M613" i="3" s="1"/>
  <c r="G613" i="3"/>
  <c r="N612" i="3"/>
  <c r="J612" i="3"/>
  <c r="M612" i="3" s="1"/>
  <c r="G612" i="3"/>
  <c r="N611" i="3"/>
  <c r="J611" i="3"/>
  <c r="G611" i="3"/>
  <c r="N610" i="3"/>
  <c r="J610" i="3"/>
  <c r="M610" i="3" s="1"/>
  <c r="G610" i="3"/>
  <c r="N609" i="3"/>
  <c r="J609" i="3"/>
  <c r="M609" i="3" s="1"/>
  <c r="G609" i="3"/>
  <c r="N608" i="3"/>
  <c r="J608" i="3"/>
  <c r="M608" i="3" s="1"/>
  <c r="G608" i="3"/>
  <c r="N607" i="3"/>
  <c r="J607" i="3"/>
  <c r="M607" i="3" s="1"/>
  <c r="G607" i="3"/>
  <c r="N606" i="3"/>
  <c r="J606" i="3"/>
  <c r="M606" i="3" s="1"/>
  <c r="G606" i="3"/>
  <c r="N605" i="3"/>
  <c r="J605" i="3"/>
  <c r="M605" i="3" s="1"/>
  <c r="G605" i="3"/>
  <c r="N604" i="3"/>
  <c r="J604" i="3"/>
  <c r="M604" i="3" s="1"/>
  <c r="G604" i="3"/>
  <c r="N603" i="3"/>
  <c r="J603" i="3"/>
  <c r="M603" i="3" s="1"/>
  <c r="G603" i="3"/>
  <c r="N602" i="3"/>
  <c r="J602" i="3"/>
  <c r="L602" i="3" s="1"/>
  <c r="G602" i="3"/>
  <c r="N601" i="3"/>
  <c r="J601" i="3"/>
  <c r="M601" i="3" s="1"/>
  <c r="G601" i="3"/>
  <c r="N600" i="3"/>
  <c r="J600" i="3"/>
  <c r="M600" i="3" s="1"/>
  <c r="G600" i="3"/>
  <c r="N599" i="3"/>
  <c r="J599" i="3"/>
  <c r="M599" i="3" s="1"/>
  <c r="G599" i="3"/>
  <c r="N598" i="3"/>
  <c r="J598" i="3"/>
  <c r="M598" i="3" s="1"/>
  <c r="G598" i="3"/>
  <c r="N597" i="3"/>
  <c r="J597" i="3"/>
  <c r="M597" i="3" s="1"/>
  <c r="G597" i="3"/>
  <c r="N596" i="3"/>
  <c r="J596" i="3"/>
  <c r="M596" i="3" s="1"/>
  <c r="G596" i="3"/>
  <c r="N595" i="3"/>
  <c r="J595" i="3"/>
  <c r="M595" i="3" s="1"/>
  <c r="G595" i="3"/>
  <c r="N594" i="3"/>
  <c r="J594" i="3"/>
  <c r="M594" i="3" s="1"/>
  <c r="G594" i="3"/>
  <c r="N593" i="3"/>
  <c r="J593" i="3"/>
  <c r="L593" i="3" s="1"/>
  <c r="G593" i="3"/>
  <c r="N592" i="3"/>
  <c r="J592" i="3"/>
  <c r="M592" i="3" s="1"/>
  <c r="G592" i="3"/>
  <c r="N591" i="3"/>
  <c r="J591" i="3"/>
  <c r="M591" i="3" s="1"/>
  <c r="G591" i="3"/>
  <c r="N590" i="3"/>
  <c r="J590" i="3"/>
  <c r="M590" i="3" s="1"/>
  <c r="G590" i="3"/>
  <c r="N589" i="3"/>
  <c r="J589" i="3"/>
  <c r="M589" i="3" s="1"/>
  <c r="G589" i="3"/>
  <c r="N588" i="3"/>
  <c r="J588" i="3"/>
  <c r="M588" i="3" s="1"/>
  <c r="G588" i="3"/>
  <c r="N587" i="3"/>
  <c r="J587" i="3"/>
  <c r="M587" i="3" s="1"/>
  <c r="G587" i="3"/>
  <c r="N586" i="3"/>
  <c r="J586" i="3"/>
  <c r="M586" i="3" s="1"/>
  <c r="G586" i="3"/>
  <c r="N585" i="3"/>
  <c r="J585" i="3"/>
  <c r="M585" i="3" s="1"/>
  <c r="G585" i="3"/>
  <c r="N584" i="3"/>
  <c r="J584" i="3"/>
  <c r="G584" i="3"/>
  <c r="N583" i="3"/>
  <c r="J583" i="3"/>
  <c r="M583" i="3" s="1"/>
  <c r="G583" i="3"/>
  <c r="N582" i="3"/>
  <c r="J582" i="3"/>
  <c r="M582" i="3" s="1"/>
  <c r="G582" i="3"/>
  <c r="N581" i="3"/>
  <c r="J581" i="3"/>
  <c r="M581" i="3" s="1"/>
  <c r="G581" i="3"/>
  <c r="N580" i="3"/>
  <c r="J580" i="3"/>
  <c r="M580" i="3" s="1"/>
  <c r="G580" i="3"/>
  <c r="N579" i="3"/>
  <c r="J579" i="3"/>
  <c r="M579" i="3" s="1"/>
  <c r="G579" i="3"/>
  <c r="N578" i="3"/>
  <c r="J578" i="3"/>
  <c r="L578" i="3" s="1"/>
  <c r="G578" i="3"/>
  <c r="N577" i="3"/>
  <c r="J577" i="3"/>
  <c r="M577" i="3" s="1"/>
  <c r="G577" i="3"/>
  <c r="N576" i="3"/>
  <c r="J576" i="3"/>
  <c r="G576" i="3"/>
  <c r="N575" i="3"/>
  <c r="J575" i="3"/>
  <c r="L575" i="3" s="1"/>
  <c r="G575" i="3"/>
  <c r="N574" i="3"/>
  <c r="J574" i="3"/>
  <c r="M574" i="3" s="1"/>
  <c r="G574" i="3"/>
  <c r="N573" i="3"/>
  <c r="J573" i="3"/>
  <c r="G573" i="3"/>
  <c r="N572" i="3"/>
  <c r="J572" i="3"/>
  <c r="M572" i="3" s="1"/>
  <c r="G572" i="3"/>
  <c r="N571" i="3"/>
  <c r="J571" i="3"/>
  <c r="M571" i="3" s="1"/>
  <c r="G571" i="3"/>
  <c r="N570" i="3"/>
  <c r="J570" i="3"/>
  <c r="G570" i="3"/>
  <c r="N569" i="3"/>
  <c r="J569" i="3"/>
  <c r="L569" i="3" s="1"/>
  <c r="G569" i="3"/>
  <c r="N568" i="3"/>
  <c r="J568" i="3"/>
  <c r="M568" i="3" s="1"/>
  <c r="G568" i="3"/>
  <c r="N567" i="3"/>
  <c r="J567" i="3"/>
  <c r="G567" i="3"/>
  <c r="N566" i="3"/>
  <c r="J566" i="3"/>
  <c r="L566" i="3" s="1"/>
  <c r="G566" i="3"/>
  <c r="N565" i="3"/>
  <c r="J565" i="3"/>
  <c r="M565" i="3" s="1"/>
  <c r="G565" i="3"/>
  <c r="N564" i="3"/>
  <c r="J564" i="3"/>
  <c r="G564" i="3"/>
  <c r="N563" i="3"/>
  <c r="J563" i="3"/>
  <c r="M563" i="3" s="1"/>
  <c r="G563" i="3"/>
  <c r="N562" i="3"/>
  <c r="J562" i="3"/>
  <c r="M562" i="3" s="1"/>
  <c r="G562" i="3"/>
  <c r="N561" i="3"/>
  <c r="J561" i="3"/>
  <c r="G561" i="3"/>
  <c r="N560" i="3"/>
  <c r="J560" i="3"/>
  <c r="M560" i="3" s="1"/>
  <c r="G560" i="3"/>
  <c r="N559" i="3"/>
  <c r="J559" i="3"/>
  <c r="M559" i="3" s="1"/>
  <c r="G559" i="3"/>
  <c r="N558" i="3"/>
  <c r="J558" i="3"/>
  <c r="G558" i="3"/>
  <c r="N557" i="3"/>
  <c r="J557" i="3"/>
  <c r="L557" i="3" s="1"/>
  <c r="G557" i="3"/>
  <c r="N556" i="3"/>
  <c r="J556" i="3"/>
  <c r="G556" i="3"/>
  <c r="N555" i="3"/>
  <c r="J555" i="3"/>
  <c r="M555" i="3" s="1"/>
  <c r="G555" i="3"/>
  <c r="N554" i="3"/>
  <c r="J554" i="3"/>
  <c r="G554" i="3"/>
  <c r="N553" i="3"/>
  <c r="J553" i="3"/>
  <c r="G553" i="3"/>
  <c r="N552" i="3"/>
  <c r="J552" i="3"/>
  <c r="M552" i="3" s="1"/>
  <c r="G552" i="3"/>
  <c r="N551" i="3"/>
  <c r="J551" i="3"/>
  <c r="L551" i="3" s="1"/>
  <c r="G551" i="3"/>
  <c r="N550" i="3"/>
  <c r="J550" i="3"/>
  <c r="G550" i="3"/>
  <c r="N549" i="3"/>
  <c r="J549" i="3"/>
  <c r="M549" i="3" s="1"/>
  <c r="G549" i="3"/>
  <c r="N548" i="3"/>
  <c r="J548" i="3"/>
  <c r="M548" i="3" s="1"/>
  <c r="G548" i="3"/>
  <c r="N547" i="3"/>
  <c r="J547" i="3"/>
  <c r="G547" i="3"/>
  <c r="N546" i="3"/>
  <c r="J546" i="3"/>
  <c r="M546" i="3" s="1"/>
  <c r="G546" i="3"/>
  <c r="N545" i="3"/>
  <c r="J545" i="3"/>
  <c r="L545" i="3" s="1"/>
  <c r="G545" i="3"/>
  <c r="N544" i="3"/>
  <c r="J544" i="3"/>
  <c r="G544" i="3"/>
  <c r="N543" i="3"/>
  <c r="J543" i="3"/>
  <c r="M543" i="3" s="1"/>
  <c r="G543" i="3"/>
  <c r="N542" i="3"/>
  <c r="J542" i="3"/>
  <c r="M542" i="3" s="1"/>
  <c r="G542" i="3"/>
  <c r="N541" i="3"/>
  <c r="J541" i="3"/>
  <c r="G541" i="3"/>
  <c r="N540" i="3"/>
  <c r="J540" i="3"/>
  <c r="L540" i="3" s="1"/>
  <c r="G540" i="3"/>
  <c r="N539" i="3"/>
  <c r="J539" i="3"/>
  <c r="M539" i="3" s="1"/>
  <c r="G539" i="3"/>
  <c r="N538" i="3"/>
  <c r="J538" i="3"/>
  <c r="G538" i="3"/>
  <c r="N537" i="3"/>
  <c r="J537" i="3"/>
  <c r="L537" i="3" s="1"/>
  <c r="G537" i="3"/>
  <c r="N536" i="3"/>
  <c r="J536" i="3"/>
  <c r="M536" i="3" s="1"/>
  <c r="G536" i="3"/>
  <c r="N535" i="3"/>
  <c r="J535" i="3"/>
  <c r="G535" i="3"/>
  <c r="N534" i="3"/>
  <c r="J534" i="3"/>
  <c r="M534" i="3" s="1"/>
  <c r="G534" i="3"/>
  <c r="N533" i="3"/>
  <c r="J533" i="3"/>
  <c r="L533" i="3" s="1"/>
  <c r="G533" i="3"/>
  <c r="N532" i="3"/>
  <c r="J532" i="3"/>
  <c r="G532" i="3"/>
  <c r="N531" i="3"/>
  <c r="J531" i="3"/>
  <c r="L531" i="3" s="1"/>
  <c r="G531" i="3"/>
  <c r="N530" i="3"/>
  <c r="J530" i="3"/>
  <c r="G530" i="3"/>
  <c r="N529" i="3"/>
  <c r="J529" i="3"/>
  <c r="G529" i="3"/>
  <c r="N528" i="3"/>
  <c r="J528" i="3"/>
  <c r="M528" i="3" s="1"/>
  <c r="G528" i="3"/>
  <c r="N527" i="3"/>
  <c r="J527" i="3"/>
  <c r="M527" i="3" s="1"/>
  <c r="G527" i="3"/>
  <c r="N526" i="3"/>
  <c r="J526" i="3"/>
  <c r="G526" i="3"/>
  <c r="N525" i="3"/>
  <c r="J525" i="3"/>
  <c r="G525" i="3"/>
  <c r="N524" i="3"/>
  <c r="J524" i="3"/>
  <c r="M524" i="3" s="1"/>
  <c r="G524" i="3"/>
  <c r="N523" i="3"/>
  <c r="J523" i="3"/>
  <c r="G523" i="3"/>
  <c r="N522" i="3"/>
  <c r="J522" i="3"/>
  <c r="L522" i="3" s="1"/>
  <c r="G522" i="3"/>
  <c r="N521" i="3"/>
  <c r="J521" i="3"/>
  <c r="M521" i="3" s="1"/>
  <c r="G521" i="3"/>
  <c r="N520" i="3"/>
  <c r="J520" i="3"/>
  <c r="G520" i="3"/>
  <c r="N519" i="3"/>
  <c r="J519" i="3"/>
  <c r="M519" i="3" s="1"/>
  <c r="G519" i="3"/>
  <c r="N518" i="3"/>
  <c r="J518" i="3"/>
  <c r="L518" i="3" s="1"/>
  <c r="G518" i="3"/>
  <c r="N517" i="3"/>
  <c r="J517" i="3"/>
  <c r="G517" i="3"/>
  <c r="N516" i="3"/>
  <c r="J516" i="3"/>
  <c r="M516" i="3" s="1"/>
  <c r="G516" i="3"/>
  <c r="N515" i="3"/>
  <c r="J515" i="3"/>
  <c r="L515" i="3" s="1"/>
  <c r="G515" i="3"/>
  <c r="N514" i="3"/>
  <c r="J514" i="3"/>
  <c r="G514" i="3"/>
  <c r="N513" i="3"/>
  <c r="J513" i="3"/>
  <c r="L513" i="3" s="1"/>
  <c r="G513" i="3"/>
  <c r="N512" i="3"/>
  <c r="J512" i="3"/>
  <c r="M512" i="3" s="1"/>
  <c r="G512" i="3"/>
  <c r="N511" i="3"/>
  <c r="J511" i="3"/>
  <c r="G511" i="3"/>
  <c r="N510" i="3"/>
  <c r="J510" i="3"/>
  <c r="G510" i="3"/>
  <c r="N509" i="3"/>
  <c r="J509" i="3"/>
  <c r="L509" i="3" s="1"/>
  <c r="G509" i="3"/>
  <c r="N508" i="3"/>
  <c r="J508" i="3"/>
  <c r="G508" i="3"/>
  <c r="N507" i="3"/>
  <c r="J507" i="3"/>
  <c r="M507" i="3" s="1"/>
  <c r="G507" i="3"/>
  <c r="N506" i="3"/>
  <c r="J506" i="3"/>
  <c r="G506" i="3"/>
  <c r="N505" i="3"/>
  <c r="J505" i="3"/>
  <c r="G505" i="3"/>
  <c r="N504" i="3"/>
  <c r="J504" i="3"/>
  <c r="G504" i="3"/>
  <c r="N503" i="3"/>
  <c r="J503" i="3"/>
  <c r="L503" i="3" s="1"/>
  <c r="G503" i="3"/>
  <c r="N502" i="3"/>
  <c r="J502" i="3"/>
  <c r="G502" i="3"/>
  <c r="N501" i="3"/>
  <c r="J501" i="3"/>
  <c r="M501" i="3" s="1"/>
  <c r="G501" i="3"/>
  <c r="N500" i="3"/>
  <c r="J500" i="3"/>
  <c r="M500" i="3" s="1"/>
  <c r="G500" i="3"/>
  <c r="N499" i="3"/>
  <c r="J499" i="3"/>
  <c r="G499" i="3"/>
  <c r="N498" i="3"/>
  <c r="J498" i="3"/>
  <c r="L498" i="3" s="1"/>
  <c r="G498" i="3"/>
  <c r="N497" i="3"/>
  <c r="J497" i="3"/>
  <c r="M497" i="3" s="1"/>
  <c r="G497" i="3"/>
  <c r="N496" i="3"/>
  <c r="J496" i="3"/>
  <c r="G496" i="3"/>
  <c r="N495" i="3"/>
  <c r="J495" i="3"/>
  <c r="G495" i="3"/>
  <c r="N494" i="3"/>
  <c r="J494" i="3"/>
  <c r="L494" i="3" s="1"/>
  <c r="G494" i="3"/>
  <c r="N493" i="3"/>
  <c r="J493" i="3"/>
  <c r="G493" i="3"/>
  <c r="N492" i="3"/>
  <c r="J492" i="3"/>
  <c r="M492" i="3" s="1"/>
  <c r="G492" i="3"/>
  <c r="N491" i="3"/>
  <c r="J491" i="3"/>
  <c r="G491" i="3"/>
  <c r="N490" i="3"/>
  <c r="J490" i="3"/>
  <c r="G490" i="3"/>
  <c r="N489" i="3"/>
  <c r="J489" i="3"/>
  <c r="M489" i="3" s="1"/>
  <c r="G489" i="3"/>
  <c r="N488" i="3"/>
  <c r="J488" i="3"/>
  <c r="M488" i="3" s="1"/>
  <c r="G488" i="3"/>
  <c r="N487" i="3"/>
  <c r="J487" i="3"/>
  <c r="L487" i="3" s="1"/>
  <c r="G487" i="3"/>
  <c r="N486" i="3"/>
  <c r="J486" i="3"/>
  <c r="M486" i="3" s="1"/>
  <c r="G486" i="3"/>
  <c r="N485" i="3"/>
  <c r="J485" i="3"/>
  <c r="M485" i="3" s="1"/>
  <c r="G485" i="3"/>
  <c r="N484" i="3"/>
  <c r="J484" i="3"/>
  <c r="L484" i="3" s="1"/>
  <c r="G484" i="3"/>
  <c r="N483" i="3"/>
  <c r="J483" i="3"/>
  <c r="L483" i="3" s="1"/>
  <c r="G483" i="3"/>
  <c r="N482" i="3"/>
  <c r="J482" i="3"/>
  <c r="M482" i="3" s="1"/>
  <c r="G482" i="3"/>
  <c r="N481" i="3"/>
  <c r="J481" i="3"/>
  <c r="L481" i="3" s="1"/>
  <c r="G481" i="3"/>
  <c r="N480" i="3"/>
  <c r="J480" i="3"/>
  <c r="M480" i="3" s="1"/>
  <c r="G480" i="3"/>
  <c r="N479" i="3"/>
  <c r="J479" i="3"/>
  <c r="M479" i="3" s="1"/>
  <c r="G479" i="3"/>
  <c r="N478" i="3"/>
  <c r="J478" i="3"/>
  <c r="L478" i="3" s="1"/>
  <c r="G478" i="3"/>
  <c r="N477" i="3"/>
  <c r="J477" i="3"/>
  <c r="M477" i="3" s="1"/>
  <c r="G477" i="3"/>
  <c r="N476" i="3"/>
  <c r="J476" i="3"/>
  <c r="G476" i="3"/>
  <c r="N475" i="3"/>
  <c r="J475" i="3"/>
  <c r="L475" i="3" s="1"/>
  <c r="G475" i="3"/>
  <c r="N474" i="3"/>
  <c r="J474" i="3"/>
  <c r="L474" i="3" s="1"/>
  <c r="G474" i="3"/>
  <c r="N473" i="3"/>
  <c r="J473" i="3"/>
  <c r="L473" i="3" s="1"/>
  <c r="G473" i="3"/>
  <c r="N472" i="3"/>
  <c r="J472" i="3"/>
  <c r="L472" i="3" s="1"/>
  <c r="G472" i="3"/>
  <c r="N471" i="3"/>
  <c r="J471" i="3"/>
  <c r="M471" i="3" s="1"/>
  <c r="G471" i="3"/>
  <c r="N470" i="3"/>
  <c r="J470" i="3"/>
  <c r="M470" i="3" s="1"/>
  <c r="G470" i="3"/>
  <c r="N469" i="3"/>
  <c r="J469" i="3"/>
  <c r="L469" i="3" s="1"/>
  <c r="G469" i="3"/>
  <c r="N468" i="3"/>
  <c r="J468" i="3"/>
  <c r="M468" i="3" s="1"/>
  <c r="G468" i="3"/>
  <c r="N467" i="3"/>
  <c r="J467" i="3"/>
  <c r="M467" i="3" s="1"/>
  <c r="G467" i="3"/>
  <c r="N466" i="3"/>
  <c r="J466" i="3"/>
  <c r="G466" i="3"/>
  <c r="N465" i="3"/>
  <c r="J465" i="3"/>
  <c r="L465" i="3" s="1"/>
  <c r="G465" i="3"/>
  <c r="N464" i="3"/>
  <c r="J464" i="3"/>
  <c r="L464" i="3" s="1"/>
  <c r="G464" i="3"/>
  <c r="N463" i="3"/>
  <c r="J463" i="3"/>
  <c r="L463" i="3" s="1"/>
  <c r="G463" i="3"/>
  <c r="N462" i="3"/>
  <c r="J462" i="3"/>
  <c r="M462" i="3" s="1"/>
  <c r="G462" i="3"/>
  <c r="N461" i="3"/>
  <c r="J461" i="3"/>
  <c r="M461" i="3" s="1"/>
  <c r="G461" i="3"/>
  <c r="N460" i="3"/>
  <c r="J460" i="3"/>
  <c r="G460" i="3"/>
  <c r="N459" i="3"/>
  <c r="J459" i="3"/>
  <c r="M459" i="3" s="1"/>
  <c r="G459" i="3"/>
  <c r="N458" i="3"/>
  <c r="J458" i="3"/>
  <c r="M458" i="3" s="1"/>
  <c r="G458" i="3"/>
  <c r="N457" i="3"/>
  <c r="J457" i="3"/>
  <c r="L457" i="3" s="1"/>
  <c r="G457" i="3"/>
  <c r="N456" i="3"/>
  <c r="J456" i="3"/>
  <c r="L456" i="3" s="1"/>
  <c r="G456" i="3"/>
  <c r="N455" i="3"/>
  <c r="J455" i="3"/>
  <c r="M455" i="3" s="1"/>
  <c r="G455" i="3"/>
  <c r="N454" i="3"/>
  <c r="J454" i="3"/>
  <c r="L454" i="3" s="1"/>
  <c r="G454" i="3"/>
  <c r="N453" i="3"/>
  <c r="J453" i="3"/>
  <c r="M453" i="3" s="1"/>
  <c r="G453" i="3"/>
  <c r="N452" i="3"/>
  <c r="J452" i="3"/>
  <c r="M452" i="3" s="1"/>
  <c r="G452" i="3"/>
  <c r="N451" i="3"/>
  <c r="J451" i="3"/>
  <c r="G451" i="3"/>
  <c r="N450" i="3"/>
  <c r="J450" i="3"/>
  <c r="G450" i="3"/>
  <c r="N449" i="3"/>
  <c r="J449" i="3"/>
  <c r="L449" i="3" s="1"/>
  <c r="G449" i="3"/>
  <c r="N448" i="3"/>
  <c r="J448" i="3"/>
  <c r="L448" i="3" s="1"/>
  <c r="G448" i="3"/>
  <c r="N447" i="3"/>
  <c r="J447" i="3"/>
  <c r="L447" i="3" s="1"/>
  <c r="G447" i="3"/>
  <c r="N446" i="3"/>
  <c r="J446" i="3"/>
  <c r="M446" i="3" s="1"/>
  <c r="G446" i="3"/>
  <c r="N445" i="3"/>
  <c r="J445" i="3"/>
  <c r="L445" i="3" s="1"/>
  <c r="G445" i="3"/>
  <c r="N444" i="3"/>
  <c r="J444" i="3"/>
  <c r="M444" i="3" s="1"/>
  <c r="G444" i="3"/>
  <c r="N443" i="3"/>
  <c r="J443" i="3"/>
  <c r="M443" i="3" s="1"/>
  <c r="G443" i="3"/>
  <c r="N442" i="3"/>
  <c r="J442" i="3"/>
  <c r="L442" i="3" s="1"/>
  <c r="G442" i="3"/>
  <c r="N441" i="3"/>
  <c r="J441" i="3"/>
  <c r="M441" i="3" s="1"/>
  <c r="G441" i="3"/>
  <c r="N440" i="3"/>
  <c r="J440" i="3"/>
  <c r="M440" i="3" s="1"/>
  <c r="G440" i="3"/>
  <c r="N439" i="3"/>
  <c r="J439" i="3"/>
  <c r="L439" i="3" s="1"/>
  <c r="G439" i="3"/>
  <c r="N438" i="3"/>
  <c r="J438" i="3"/>
  <c r="L438" i="3" s="1"/>
  <c r="G438" i="3"/>
  <c r="N437" i="3"/>
  <c r="J437" i="3"/>
  <c r="G437" i="3"/>
  <c r="N436" i="3"/>
  <c r="J436" i="3"/>
  <c r="L436" i="3" s="1"/>
  <c r="G436" i="3"/>
  <c r="N435" i="3"/>
  <c r="J435" i="3"/>
  <c r="M435" i="3" s="1"/>
  <c r="G435" i="3"/>
  <c r="N434" i="3"/>
  <c r="J434" i="3"/>
  <c r="M434" i="3" s="1"/>
  <c r="G434" i="3"/>
  <c r="N433" i="3"/>
  <c r="J433" i="3"/>
  <c r="L433" i="3" s="1"/>
  <c r="G433" i="3"/>
  <c r="N432" i="3"/>
  <c r="J432" i="3"/>
  <c r="G432" i="3"/>
  <c r="N431" i="3"/>
  <c r="J431" i="3"/>
  <c r="M431" i="3" s="1"/>
  <c r="G431" i="3"/>
  <c r="N430" i="3"/>
  <c r="J430" i="3"/>
  <c r="L430" i="3" s="1"/>
  <c r="G430" i="3"/>
  <c r="N429" i="3"/>
  <c r="J429" i="3"/>
  <c r="L429" i="3" s="1"/>
  <c r="G429" i="3"/>
  <c r="N428" i="3"/>
  <c r="J428" i="3"/>
  <c r="G428" i="3"/>
  <c r="N427" i="3"/>
  <c r="J427" i="3"/>
  <c r="L427" i="3" s="1"/>
  <c r="G427" i="3"/>
  <c r="N426" i="3"/>
  <c r="J426" i="3"/>
  <c r="M426" i="3" s="1"/>
  <c r="G426" i="3"/>
  <c r="N425" i="3"/>
  <c r="J425" i="3"/>
  <c r="M425" i="3" s="1"/>
  <c r="G425" i="3"/>
  <c r="N424" i="3"/>
  <c r="J424" i="3"/>
  <c r="L424" i="3" s="1"/>
  <c r="G424" i="3"/>
  <c r="N423" i="3"/>
  <c r="J423" i="3"/>
  <c r="M423" i="3" s="1"/>
  <c r="G423" i="3"/>
  <c r="N422" i="3"/>
  <c r="J422" i="3"/>
  <c r="M422" i="3" s="1"/>
  <c r="G422" i="3"/>
  <c r="N421" i="3"/>
  <c r="J421" i="3"/>
  <c r="L421" i="3" s="1"/>
  <c r="G421" i="3"/>
  <c r="N420" i="3"/>
  <c r="J420" i="3"/>
  <c r="M420" i="3" s="1"/>
  <c r="G420" i="3"/>
  <c r="N419" i="3"/>
  <c r="J419" i="3"/>
  <c r="G419" i="3"/>
  <c r="N418" i="3"/>
  <c r="J418" i="3"/>
  <c r="L418" i="3" s="1"/>
  <c r="G418" i="3"/>
  <c r="N417" i="3"/>
  <c r="J417" i="3"/>
  <c r="G417" i="3"/>
  <c r="N416" i="3"/>
  <c r="J416" i="3"/>
  <c r="M416" i="3" s="1"/>
  <c r="G416" i="3"/>
  <c r="N415" i="3"/>
  <c r="J415" i="3"/>
  <c r="L415" i="3" s="1"/>
  <c r="G415" i="3"/>
  <c r="N414" i="3"/>
  <c r="J414" i="3"/>
  <c r="M414" i="3" s="1"/>
  <c r="G414" i="3"/>
  <c r="N413" i="3"/>
  <c r="J413" i="3"/>
  <c r="M413" i="3" s="1"/>
  <c r="G413" i="3"/>
  <c r="N412" i="3"/>
  <c r="J412" i="3"/>
  <c r="L412" i="3" s="1"/>
  <c r="G412" i="3"/>
  <c r="N411" i="3"/>
  <c r="J411" i="3"/>
  <c r="M411" i="3" s="1"/>
  <c r="G411" i="3"/>
  <c r="N410" i="3"/>
  <c r="J410" i="3"/>
  <c r="G410" i="3"/>
  <c r="N409" i="3"/>
  <c r="J409" i="3"/>
  <c r="L409" i="3" s="1"/>
  <c r="G409" i="3"/>
  <c r="N408" i="3"/>
  <c r="J408" i="3"/>
  <c r="M408" i="3" s="1"/>
  <c r="G408" i="3"/>
  <c r="N407" i="3"/>
  <c r="J407" i="3"/>
  <c r="M407" i="3" s="1"/>
  <c r="G407" i="3"/>
  <c r="N406" i="3"/>
  <c r="J406" i="3"/>
  <c r="L406" i="3" s="1"/>
  <c r="G406" i="3"/>
  <c r="N405" i="3"/>
  <c r="J405" i="3"/>
  <c r="M405" i="3" s="1"/>
  <c r="G405" i="3"/>
  <c r="N404" i="3"/>
  <c r="J404" i="3"/>
  <c r="M404" i="3" s="1"/>
  <c r="G404" i="3"/>
  <c r="N403" i="3"/>
  <c r="J403" i="3"/>
  <c r="L403" i="3" s="1"/>
  <c r="G403" i="3"/>
  <c r="N402" i="3"/>
  <c r="J402" i="3"/>
  <c r="M402" i="3" s="1"/>
  <c r="G402" i="3"/>
  <c r="N401" i="3"/>
  <c r="J401" i="3"/>
  <c r="M401" i="3" s="1"/>
  <c r="G401" i="3"/>
  <c r="N400" i="3"/>
  <c r="J400" i="3"/>
  <c r="L400" i="3" s="1"/>
  <c r="G400" i="3"/>
  <c r="N399" i="3"/>
  <c r="J399" i="3"/>
  <c r="M399" i="3" s="1"/>
  <c r="G399" i="3"/>
  <c r="N398" i="3"/>
  <c r="J398" i="3"/>
  <c r="G398" i="3"/>
  <c r="N397" i="3"/>
  <c r="J397" i="3"/>
  <c r="L397" i="3" s="1"/>
  <c r="G397" i="3"/>
  <c r="N396" i="3"/>
  <c r="J396" i="3"/>
  <c r="G396" i="3"/>
  <c r="N395" i="3"/>
  <c r="J395" i="3"/>
  <c r="M395" i="3" s="1"/>
  <c r="G395" i="3"/>
  <c r="N394" i="3"/>
  <c r="J394" i="3"/>
  <c r="L394" i="3" s="1"/>
  <c r="G394" i="3"/>
  <c r="N393" i="3"/>
  <c r="J393" i="3"/>
  <c r="M393" i="3" s="1"/>
  <c r="G393" i="3"/>
  <c r="N392" i="3"/>
  <c r="J392" i="3"/>
  <c r="M392" i="3" s="1"/>
  <c r="G392" i="3"/>
  <c r="N391" i="3"/>
  <c r="J391" i="3"/>
  <c r="L391" i="3" s="1"/>
  <c r="G391" i="3"/>
  <c r="N390" i="3"/>
  <c r="J390" i="3"/>
  <c r="M390" i="3" s="1"/>
  <c r="G390" i="3"/>
  <c r="N389" i="3"/>
  <c r="J389" i="3"/>
  <c r="G389" i="3"/>
  <c r="N388" i="3"/>
  <c r="J388" i="3"/>
  <c r="L388" i="3" s="1"/>
  <c r="G388" i="3"/>
  <c r="N387" i="3"/>
  <c r="J387" i="3"/>
  <c r="M387" i="3" s="1"/>
  <c r="G387" i="3"/>
  <c r="N386" i="3"/>
  <c r="J386" i="3"/>
  <c r="M386" i="3" s="1"/>
  <c r="G386" i="3"/>
  <c r="N385" i="3"/>
  <c r="J385" i="3"/>
  <c r="L385" i="3" s="1"/>
  <c r="G385" i="3"/>
  <c r="N384" i="3"/>
  <c r="J384" i="3"/>
  <c r="M384" i="3" s="1"/>
  <c r="G384" i="3"/>
  <c r="N383" i="3"/>
  <c r="J383" i="3"/>
  <c r="M383" i="3" s="1"/>
  <c r="G383" i="3"/>
  <c r="N382" i="3"/>
  <c r="J382" i="3"/>
  <c r="L382" i="3" s="1"/>
  <c r="G382" i="3"/>
  <c r="N381" i="3"/>
  <c r="J381" i="3"/>
  <c r="M381" i="3" s="1"/>
  <c r="G381" i="3"/>
  <c r="N380" i="3"/>
  <c r="J380" i="3"/>
  <c r="G380" i="3"/>
  <c r="N379" i="3"/>
  <c r="J379" i="3"/>
  <c r="L379" i="3" s="1"/>
  <c r="G379" i="3"/>
  <c r="N378" i="3"/>
  <c r="J378" i="3"/>
  <c r="G378" i="3"/>
  <c r="N377" i="3"/>
  <c r="J377" i="3"/>
  <c r="M377" i="3" s="1"/>
  <c r="G377" i="3"/>
  <c r="N376" i="3"/>
  <c r="J376" i="3"/>
  <c r="L376" i="3" s="1"/>
  <c r="G376" i="3"/>
  <c r="N375" i="3"/>
  <c r="J375" i="3"/>
  <c r="M375" i="3" s="1"/>
  <c r="G375" i="3"/>
  <c r="N374" i="3"/>
  <c r="J374" i="3"/>
  <c r="M374" i="3" s="1"/>
  <c r="G374" i="3"/>
  <c r="N373" i="3"/>
  <c r="J373" i="3"/>
  <c r="L373" i="3" s="1"/>
  <c r="G373" i="3"/>
  <c r="N372" i="3"/>
  <c r="J372" i="3"/>
  <c r="M372" i="3" s="1"/>
  <c r="G372" i="3"/>
  <c r="N371" i="3"/>
  <c r="J371" i="3"/>
  <c r="G371" i="3"/>
  <c r="N370" i="3"/>
  <c r="J370" i="3"/>
  <c r="L370" i="3" s="1"/>
  <c r="G370" i="3"/>
  <c r="N369" i="3"/>
  <c r="J369" i="3"/>
  <c r="M369" i="3" s="1"/>
  <c r="G369" i="3"/>
  <c r="N368" i="3"/>
  <c r="J368" i="3"/>
  <c r="M368" i="3" s="1"/>
  <c r="G368" i="3"/>
  <c r="N367" i="3"/>
  <c r="J367" i="3"/>
  <c r="L367" i="3" s="1"/>
  <c r="G367" i="3"/>
  <c r="N366" i="3"/>
  <c r="J366" i="3"/>
  <c r="M366" i="3" s="1"/>
  <c r="G366" i="3"/>
  <c r="N365" i="3"/>
  <c r="J365" i="3"/>
  <c r="M365" i="3" s="1"/>
  <c r="G365" i="3"/>
  <c r="N364" i="3"/>
  <c r="J364" i="3"/>
  <c r="L364" i="3" s="1"/>
  <c r="G364" i="3"/>
  <c r="N363" i="3"/>
  <c r="J363" i="3"/>
  <c r="M363" i="3" s="1"/>
  <c r="G363" i="3"/>
  <c r="N362" i="3"/>
  <c r="J362" i="3"/>
  <c r="G362" i="3"/>
  <c r="N361" i="3"/>
  <c r="J361" i="3"/>
  <c r="L361" i="3" s="1"/>
  <c r="G361" i="3"/>
  <c r="N360" i="3"/>
  <c r="J360" i="3"/>
  <c r="G360" i="3"/>
  <c r="N359" i="3"/>
  <c r="J359" i="3"/>
  <c r="M359" i="3" s="1"/>
  <c r="G359" i="3"/>
  <c r="N358" i="3"/>
  <c r="J358" i="3"/>
  <c r="L358" i="3" s="1"/>
  <c r="G358" i="3"/>
  <c r="N357" i="3"/>
  <c r="J357" i="3"/>
  <c r="M357" i="3" s="1"/>
  <c r="G357" i="3"/>
  <c r="N356" i="3"/>
  <c r="J356" i="3"/>
  <c r="M356" i="3" s="1"/>
  <c r="G356" i="3"/>
  <c r="N355" i="3"/>
  <c r="J355" i="3"/>
  <c r="L355" i="3" s="1"/>
  <c r="G355" i="3"/>
  <c r="N354" i="3"/>
  <c r="J354" i="3"/>
  <c r="M354" i="3" s="1"/>
  <c r="G354" i="3"/>
  <c r="N353" i="3"/>
  <c r="J353" i="3"/>
  <c r="G353" i="3"/>
  <c r="N352" i="3"/>
  <c r="J352" i="3"/>
  <c r="L352" i="3" s="1"/>
  <c r="G352" i="3"/>
  <c r="N351" i="3"/>
  <c r="J351" i="3"/>
  <c r="M351" i="3" s="1"/>
  <c r="G351" i="3"/>
  <c r="N350" i="3"/>
  <c r="J350" i="3"/>
  <c r="M350" i="3" s="1"/>
  <c r="G350" i="3"/>
  <c r="N349" i="3"/>
  <c r="J349" i="3"/>
  <c r="L349" i="3" s="1"/>
  <c r="G349" i="3"/>
  <c r="N348" i="3"/>
  <c r="J348" i="3"/>
  <c r="M348" i="3" s="1"/>
  <c r="G348" i="3"/>
  <c r="N347" i="3"/>
  <c r="J347" i="3"/>
  <c r="M347" i="3" s="1"/>
  <c r="G347" i="3"/>
  <c r="N346" i="3"/>
  <c r="J346" i="3"/>
  <c r="L346" i="3" s="1"/>
  <c r="G346" i="3"/>
  <c r="N345" i="3"/>
  <c r="J345" i="3"/>
  <c r="M345" i="3" s="1"/>
  <c r="G345" i="3"/>
  <c r="N344" i="3"/>
  <c r="J344" i="3"/>
  <c r="G344" i="3"/>
  <c r="N343" i="3"/>
  <c r="J343" i="3"/>
  <c r="L343" i="3" s="1"/>
  <c r="G343" i="3"/>
  <c r="N342" i="3"/>
  <c r="J342" i="3"/>
  <c r="G342" i="3"/>
  <c r="N341" i="3"/>
  <c r="J341" i="3"/>
  <c r="M341" i="3" s="1"/>
  <c r="G341" i="3"/>
  <c r="N340" i="3"/>
  <c r="J340" i="3"/>
  <c r="L340" i="3" s="1"/>
  <c r="G340" i="3"/>
  <c r="N339" i="3"/>
  <c r="J339" i="3"/>
  <c r="M339" i="3" s="1"/>
  <c r="G339" i="3"/>
  <c r="N338" i="3"/>
  <c r="J338" i="3"/>
  <c r="M338" i="3" s="1"/>
  <c r="G338" i="3"/>
  <c r="N337" i="3"/>
  <c r="J337" i="3"/>
  <c r="L337" i="3" s="1"/>
  <c r="G337" i="3"/>
  <c r="N336" i="3"/>
  <c r="J336" i="3"/>
  <c r="M336" i="3" s="1"/>
  <c r="G336" i="3"/>
  <c r="N335" i="3"/>
  <c r="J335" i="3"/>
  <c r="G335" i="3"/>
  <c r="N334" i="3"/>
  <c r="J334" i="3"/>
  <c r="L334" i="3" s="1"/>
  <c r="G334" i="3"/>
  <c r="N333" i="3"/>
  <c r="J333" i="3"/>
  <c r="M333" i="3" s="1"/>
  <c r="G333" i="3"/>
  <c r="N332" i="3"/>
  <c r="J332" i="3"/>
  <c r="M332" i="3" s="1"/>
  <c r="G332" i="3"/>
  <c r="N331" i="3"/>
  <c r="J331" i="3"/>
  <c r="L331" i="3" s="1"/>
  <c r="G331" i="3"/>
  <c r="N330" i="3"/>
  <c r="J330" i="3"/>
  <c r="M330" i="3" s="1"/>
  <c r="G330" i="3"/>
  <c r="N329" i="3"/>
  <c r="J329" i="3"/>
  <c r="M329" i="3" s="1"/>
  <c r="G329" i="3"/>
  <c r="N328" i="3"/>
  <c r="J328" i="3"/>
  <c r="G328" i="3"/>
  <c r="N327" i="3"/>
  <c r="J327" i="3"/>
  <c r="M327" i="3" s="1"/>
  <c r="G327" i="3"/>
  <c r="N326" i="3"/>
  <c r="J326" i="3"/>
  <c r="G326" i="3"/>
  <c r="N325" i="3"/>
  <c r="J325" i="3"/>
  <c r="G325" i="3"/>
  <c r="N324" i="3"/>
  <c r="J324" i="3"/>
  <c r="G324" i="3"/>
  <c r="N323" i="3"/>
  <c r="J323" i="3"/>
  <c r="M323" i="3" s="1"/>
  <c r="G323" i="3"/>
  <c r="N322" i="3"/>
  <c r="J322" i="3"/>
  <c r="G322" i="3"/>
  <c r="N321" i="3"/>
  <c r="J321" i="3"/>
  <c r="M321" i="3" s="1"/>
  <c r="G321" i="3"/>
  <c r="N320" i="3"/>
  <c r="J320" i="3"/>
  <c r="M320" i="3" s="1"/>
  <c r="G320" i="3"/>
  <c r="N319" i="3"/>
  <c r="J319" i="3"/>
  <c r="G319" i="3"/>
  <c r="N318" i="3"/>
  <c r="J318" i="3"/>
  <c r="M318" i="3" s="1"/>
  <c r="G318" i="3"/>
  <c r="N317" i="3"/>
  <c r="J317" i="3"/>
  <c r="G317" i="3"/>
  <c r="N316" i="3"/>
  <c r="J316" i="3"/>
  <c r="G316" i="3"/>
  <c r="N315" i="3"/>
  <c r="J315" i="3"/>
  <c r="M315" i="3" s="1"/>
  <c r="G315" i="3"/>
  <c r="N314" i="3"/>
  <c r="J314" i="3"/>
  <c r="M314" i="3" s="1"/>
  <c r="G314" i="3"/>
  <c r="N313" i="3"/>
  <c r="J313" i="3"/>
  <c r="G313" i="3"/>
  <c r="N312" i="3"/>
  <c r="J312" i="3"/>
  <c r="M312" i="3" s="1"/>
  <c r="G312" i="3"/>
  <c r="N311" i="3"/>
  <c r="J311" i="3"/>
  <c r="M311" i="3" s="1"/>
  <c r="G311" i="3"/>
  <c r="N310" i="3"/>
  <c r="J310" i="3"/>
  <c r="G310" i="3"/>
  <c r="N309" i="3"/>
  <c r="J309" i="3"/>
  <c r="M309" i="3" s="1"/>
  <c r="G309" i="3"/>
  <c r="N308" i="3"/>
  <c r="J308" i="3"/>
  <c r="G308" i="3"/>
  <c r="N307" i="3"/>
  <c r="J307" i="3"/>
  <c r="G307" i="3"/>
  <c r="N306" i="3"/>
  <c r="J306" i="3"/>
  <c r="G306" i="3"/>
  <c r="N305" i="3"/>
  <c r="J305" i="3"/>
  <c r="M305" i="3" s="1"/>
  <c r="G305" i="3"/>
  <c r="N304" i="3"/>
  <c r="J304" i="3"/>
  <c r="G304" i="3"/>
  <c r="N303" i="3"/>
  <c r="J303" i="3"/>
  <c r="M303" i="3" s="1"/>
  <c r="G303" i="3"/>
  <c r="N302" i="3"/>
  <c r="J302" i="3"/>
  <c r="M302" i="3" s="1"/>
  <c r="G302" i="3"/>
  <c r="N301" i="3"/>
  <c r="J301" i="3"/>
  <c r="G301" i="3"/>
  <c r="N300" i="3"/>
  <c r="J300" i="3"/>
  <c r="M300" i="3" s="1"/>
  <c r="G300" i="3"/>
  <c r="N299" i="3"/>
  <c r="J299" i="3"/>
  <c r="M299" i="3" s="1"/>
  <c r="G299" i="3"/>
  <c r="N298" i="3"/>
  <c r="J298" i="3"/>
  <c r="G298" i="3"/>
  <c r="N297" i="3"/>
  <c r="J297" i="3"/>
  <c r="M297" i="3" s="1"/>
  <c r="G297" i="3"/>
  <c r="N296" i="3"/>
  <c r="J296" i="3"/>
  <c r="G296" i="3"/>
  <c r="N295" i="3"/>
  <c r="J295" i="3"/>
  <c r="G295" i="3"/>
  <c r="N294" i="3"/>
  <c r="J294" i="3"/>
  <c r="M294" i="3" s="1"/>
  <c r="G294" i="3"/>
  <c r="N293" i="3"/>
  <c r="J293" i="3"/>
  <c r="M293" i="3" s="1"/>
  <c r="G293" i="3"/>
  <c r="N292" i="3"/>
  <c r="J292" i="3"/>
  <c r="G292" i="3"/>
  <c r="N291" i="3"/>
  <c r="J291" i="3"/>
  <c r="M291" i="3" s="1"/>
  <c r="G291" i="3"/>
  <c r="N290" i="3"/>
  <c r="J290" i="3"/>
  <c r="M290" i="3" s="1"/>
  <c r="G290" i="3"/>
  <c r="N289" i="3"/>
  <c r="J289" i="3"/>
  <c r="G289" i="3"/>
  <c r="N288" i="3"/>
  <c r="J288" i="3"/>
  <c r="M288" i="3" s="1"/>
  <c r="G288" i="3"/>
  <c r="N287" i="3"/>
  <c r="J287" i="3"/>
  <c r="M287" i="3" s="1"/>
  <c r="G287" i="3"/>
  <c r="N286" i="3"/>
  <c r="J286" i="3"/>
  <c r="G286" i="3"/>
  <c r="N285" i="3"/>
  <c r="J285" i="3"/>
  <c r="M285" i="3" s="1"/>
  <c r="G285" i="3"/>
  <c r="N284" i="3"/>
  <c r="J284" i="3"/>
  <c r="G284" i="3"/>
  <c r="N283" i="3"/>
  <c r="J283" i="3"/>
  <c r="M283" i="3" s="1"/>
  <c r="G283" i="3"/>
  <c r="N282" i="3"/>
  <c r="J282" i="3"/>
  <c r="M282" i="3" s="1"/>
  <c r="G282" i="3"/>
  <c r="N281" i="3"/>
  <c r="J281" i="3"/>
  <c r="M281" i="3" s="1"/>
  <c r="G281" i="3"/>
  <c r="N280" i="3"/>
  <c r="J280" i="3"/>
  <c r="M280" i="3" s="1"/>
  <c r="G280" i="3"/>
  <c r="N279" i="3"/>
  <c r="J279" i="3"/>
  <c r="M279" i="3" s="1"/>
  <c r="G279" i="3"/>
  <c r="N278" i="3"/>
  <c r="J278" i="3"/>
  <c r="G278" i="3"/>
  <c r="N277" i="3"/>
  <c r="J277" i="3"/>
  <c r="M277" i="3" s="1"/>
  <c r="G277" i="3"/>
  <c r="N276" i="3"/>
  <c r="J276" i="3"/>
  <c r="M276" i="3" s="1"/>
  <c r="G276" i="3"/>
  <c r="N275" i="3"/>
  <c r="J275" i="3"/>
  <c r="M275" i="3" s="1"/>
  <c r="G275" i="3"/>
  <c r="N274" i="3"/>
  <c r="J274" i="3"/>
  <c r="M274" i="3" s="1"/>
  <c r="G274" i="3"/>
  <c r="N273" i="3"/>
  <c r="J273" i="3"/>
  <c r="M273" i="3" s="1"/>
  <c r="G273" i="3"/>
  <c r="N272" i="3"/>
  <c r="J272" i="3"/>
  <c r="G272" i="3"/>
  <c r="N271" i="3"/>
  <c r="J271" i="3"/>
  <c r="M271" i="3" s="1"/>
  <c r="G271" i="3"/>
  <c r="N270" i="3"/>
  <c r="J270" i="3"/>
  <c r="M270" i="3" s="1"/>
  <c r="G270" i="3"/>
  <c r="N269" i="3"/>
  <c r="J269" i="3"/>
  <c r="M269" i="3" s="1"/>
  <c r="G269" i="3"/>
  <c r="N268" i="3"/>
  <c r="J268" i="3"/>
  <c r="M268" i="3" s="1"/>
  <c r="G268" i="3"/>
  <c r="N267" i="3"/>
  <c r="J267" i="3"/>
  <c r="M267" i="3" s="1"/>
  <c r="G267" i="3"/>
  <c r="N266" i="3"/>
  <c r="J266" i="3"/>
  <c r="M266" i="3" s="1"/>
  <c r="G266" i="3"/>
  <c r="N265" i="3"/>
  <c r="J265" i="3"/>
  <c r="M265" i="3" s="1"/>
  <c r="G265" i="3"/>
  <c r="N264" i="3"/>
  <c r="J264" i="3"/>
  <c r="M264" i="3" s="1"/>
  <c r="G264" i="3"/>
  <c r="N263" i="3"/>
  <c r="J263" i="3"/>
  <c r="M263" i="3" s="1"/>
  <c r="G263" i="3"/>
  <c r="N262" i="3"/>
  <c r="J262" i="3"/>
  <c r="M262" i="3" s="1"/>
  <c r="G262" i="3"/>
  <c r="N261" i="3"/>
  <c r="J261" i="3"/>
  <c r="M261" i="3" s="1"/>
  <c r="G261" i="3"/>
  <c r="N260" i="3"/>
  <c r="J260" i="3"/>
  <c r="G260" i="3"/>
  <c r="N259" i="3"/>
  <c r="J259" i="3"/>
  <c r="M259" i="3" s="1"/>
  <c r="G259" i="3"/>
  <c r="N258" i="3"/>
  <c r="J258" i="3"/>
  <c r="M258" i="3" s="1"/>
  <c r="G258" i="3"/>
  <c r="N257" i="3"/>
  <c r="J257" i="3"/>
  <c r="M257" i="3" s="1"/>
  <c r="G257" i="3"/>
  <c r="N256" i="3"/>
  <c r="J256" i="3"/>
  <c r="L256" i="3" s="1"/>
  <c r="G256" i="3"/>
  <c r="N255" i="3"/>
  <c r="J255" i="3"/>
  <c r="M255" i="3" s="1"/>
  <c r="G255" i="3"/>
  <c r="N254" i="3"/>
  <c r="J254" i="3"/>
  <c r="M254" i="3" s="1"/>
  <c r="G254" i="3"/>
  <c r="N253" i="3"/>
  <c r="J253" i="3"/>
  <c r="M253" i="3" s="1"/>
  <c r="G253" i="3"/>
  <c r="N252" i="3"/>
  <c r="J252" i="3"/>
  <c r="M252" i="3" s="1"/>
  <c r="G252" i="3"/>
  <c r="N251" i="3"/>
  <c r="J251" i="3"/>
  <c r="G251" i="3"/>
  <c r="N250" i="3"/>
  <c r="J250" i="3"/>
  <c r="M250" i="3" s="1"/>
  <c r="G250" i="3"/>
  <c r="N249" i="3"/>
  <c r="J249" i="3"/>
  <c r="M249" i="3" s="1"/>
  <c r="G249" i="3"/>
  <c r="N248" i="3"/>
  <c r="J248" i="3"/>
  <c r="M248" i="3" s="1"/>
  <c r="G248" i="3"/>
  <c r="N247" i="3"/>
  <c r="J247" i="3"/>
  <c r="M247" i="3" s="1"/>
  <c r="G247" i="3"/>
  <c r="N246" i="3"/>
  <c r="J246" i="3"/>
  <c r="M246" i="3" s="1"/>
  <c r="G246" i="3"/>
  <c r="N245" i="3"/>
  <c r="J245" i="3"/>
  <c r="M245" i="3" s="1"/>
  <c r="G245" i="3"/>
  <c r="N244" i="3"/>
  <c r="J244" i="3"/>
  <c r="M244" i="3" s="1"/>
  <c r="G244" i="3"/>
  <c r="N243" i="3"/>
  <c r="J243" i="3"/>
  <c r="G243" i="3"/>
  <c r="N242" i="3"/>
  <c r="J242" i="3"/>
  <c r="M242" i="3" s="1"/>
  <c r="G242" i="3"/>
  <c r="N241" i="3"/>
  <c r="J241" i="3"/>
  <c r="M241" i="3" s="1"/>
  <c r="G241" i="3"/>
  <c r="N240" i="3"/>
  <c r="J240" i="3"/>
  <c r="L240" i="3" s="1"/>
  <c r="G240" i="3"/>
  <c r="N239" i="3"/>
  <c r="J239" i="3"/>
  <c r="M239" i="3" s="1"/>
  <c r="G239" i="3"/>
  <c r="N238" i="3"/>
  <c r="J238" i="3"/>
  <c r="M238" i="3" s="1"/>
  <c r="G238" i="3"/>
  <c r="N237" i="3"/>
  <c r="J237" i="3"/>
  <c r="M237" i="3" s="1"/>
  <c r="G237" i="3"/>
  <c r="N236" i="3"/>
  <c r="J236" i="3"/>
  <c r="G236" i="3"/>
  <c r="N235" i="3"/>
  <c r="J235" i="3"/>
  <c r="M235" i="3" s="1"/>
  <c r="G235" i="3"/>
  <c r="N234" i="3"/>
  <c r="J234" i="3"/>
  <c r="M234" i="3" s="1"/>
  <c r="G234" i="3"/>
  <c r="N233" i="3"/>
  <c r="J233" i="3"/>
  <c r="M233" i="3" s="1"/>
  <c r="G233" i="3"/>
  <c r="N232" i="3"/>
  <c r="J232" i="3"/>
  <c r="L232" i="3" s="1"/>
  <c r="G232" i="3"/>
  <c r="N231" i="3"/>
  <c r="J231" i="3"/>
  <c r="M231" i="3" s="1"/>
  <c r="G231" i="3"/>
  <c r="N230" i="3"/>
  <c r="J230" i="3"/>
  <c r="M230" i="3" s="1"/>
  <c r="G230" i="3"/>
  <c r="N229" i="3"/>
  <c r="J229" i="3"/>
  <c r="G229" i="3"/>
  <c r="N228" i="3"/>
  <c r="J228" i="3"/>
  <c r="M228" i="3" s="1"/>
  <c r="G228" i="3"/>
  <c r="N227" i="3"/>
  <c r="J227" i="3"/>
  <c r="M227" i="3" s="1"/>
  <c r="G227" i="3"/>
  <c r="N226" i="3"/>
  <c r="J226" i="3"/>
  <c r="L226" i="3" s="1"/>
  <c r="G226" i="3"/>
  <c r="N225" i="3"/>
  <c r="J225" i="3"/>
  <c r="M225" i="3" s="1"/>
  <c r="G225" i="3"/>
  <c r="N224" i="3"/>
  <c r="J224" i="3"/>
  <c r="M224" i="3" s="1"/>
  <c r="G224" i="3"/>
  <c r="N223" i="3"/>
  <c r="J223" i="3"/>
  <c r="G223" i="3"/>
  <c r="N222" i="3"/>
  <c r="J222" i="3"/>
  <c r="M222" i="3" s="1"/>
  <c r="G222" i="3"/>
  <c r="N221" i="3"/>
  <c r="J221" i="3"/>
  <c r="M221" i="3" s="1"/>
  <c r="G221" i="3"/>
  <c r="N220" i="3"/>
  <c r="J220" i="3"/>
  <c r="L220" i="3" s="1"/>
  <c r="G220" i="3"/>
  <c r="N219" i="3"/>
  <c r="J219" i="3"/>
  <c r="M219" i="3" s="1"/>
  <c r="G219" i="3"/>
  <c r="N218" i="3"/>
  <c r="J218" i="3"/>
  <c r="M218" i="3" s="1"/>
  <c r="G218" i="3"/>
  <c r="N217" i="3"/>
  <c r="J217" i="3"/>
  <c r="G217" i="3"/>
  <c r="N216" i="3"/>
  <c r="J216" i="3"/>
  <c r="M216" i="3" s="1"/>
  <c r="G216" i="3"/>
  <c r="N215" i="3"/>
  <c r="J215" i="3"/>
  <c r="M215" i="3" s="1"/>
  <c r="G215" i="3"/>
  <c r="N214" i="3"/>
  <c r="J214" i="3"/>
  <c r="L214" i="3" s="1"/>
  <c r="G214" i="3"/>
  <c r="N213" i="3"/>
  <c r="J213" i="3"/>
  <c r="M213" i="3" s="1"/>
  <c r="G213" i="3"/>
  <c r="N212" i="3"/>
  <c r="J212" i="3"/>
  <c r="M212" i="3" s="1"/>
  <c r="G212" i="3"/>
  <c r="N211" i="3"/>
  <c r="J211" i="3"/>
  <c r="G211" i="3"/>
  <c r="N210" i="3"/>
  <c r="J210" i="3"/>
  <c r="M210" i="3" s="1"/>
  <c r="G210" i="3"/>
  <c r="N209" i="3"/>
  <c r="J209" i="3"/>
  <c r="L209" i="3" s="1"/>
  <c r="G209" i="3"/>
  <c r="N208" i="3"/>
  <c r="J208" i="3"/>
  <c r="L208" i="3" s="1"/>
  <c r="G208" i="3"/>
  <c r="N207" i="3"/>
  <c r="J207" i="3"/>
  <c r="M207" i="3" s="1"/>
  <c r="G207" i="3"/>
  <c r="N206" i="3"/>
  <c r="J206" i="3"/>
  <c r="M206" i="3" s="1"/>
  <c r="G206" i="3"/>
  <c r="N205" i="3"/>
  <c r="J205" i="3"/>
  <c r="G205" i="3"/>
  <c r="N204" i="3"/>
  <c r="J204" i="3"/>
  <c r="M204" i="3" s="1"/>
  <c r="G204" i="3"/>
  <c r="N203" i="3"/>
  <c r="J203" i="3"/>
  <c r="M203" i="3" s="1"/>
  <c r="G203" i="3"/>
  <c r="N202" i="3"/>
  <c r="J202" i="3"/>
  <c r="L202" i="3" s="1"/>
  <c r="G202" i="3"/>
  <c r="N201" i="3"/>
  <c r="J201" i="3"/>
  <c r="M201" i="3" s="1"/>
  <c r="G201" i="3"/>
  <c r="N200" i="3"/>
  <c r="J200" i="3"/>
  <c r="M200" i="3" s="1"/>
  <c r="G200" i="3"/>
  <c r="N199" i="3"/>
  <c r="J199" i="3"/>
  <c r="G199" i="3"/>
  <c r="N198" i="3"/>
  <c r="J198" i="3"/>
  <c r="M198" i="3" s="1"/>
  <c r="G198" i="3"/>
  <c r="N197" i="3"/>
  <c r="J197" i="3"/>
  <c r="M197" i="3" s="1"/>
  <c r="G197" i="3"/>
  <c r="N196" i="3"/>
  <c r="J196" i="3"/>
  <c r="L196" i="3" s="1"/>
  <c r="G196" i="3"/>
  <c r="N195" i="3"/>
  <c r="J195" i="3"/>
  <c r="M195" i="3" s="1"/>
  <c r="G195" i="3"/>
  <c r="N194" i="3"/>
  <c r="J194" i="3"/>
  <c r="M194" i="3" s="1"/>
  <c r="G194" i="3"/>
  <c r="N193" i="3"/>
  <c r="J193" i="3"/>
  <c r="G193" i="3"/>
  <c r="N192" i="3"/>
  <c r="J192" i="3"/>
  <c r="M192" i="3" s="1"/>
  <c r="G192" i="3"/>
  <c r="N191" i="3"/>
  <c r="J191" i="3"/>
  <c r="M191" i="3" s="1"/>
  <c r="G191" i="3"/>
  <c r="N190" i="3"/>
  <c r="J190" i="3"/>
  <c r="L190" i="3" s="1"/>
  <c r="G190" i="3"/>
  <c r="N189" i="3"/>
  <c r="J189" i="3"/>
  <c r="M189" i="3" s="1"/>
  <c r="G189" i="3"/>
  <c r="N188" i="3"/>
  <c r="J188" i="3"/>
  <c r="M188" i="3" s="1"/>
  <c r="G188" i="3"/>
  <c r="N187" i="3"/>
  <c r="J187" i="3"/>
  <c r="G187" i="3"/>
  <c r="N186" i="3"/>
  <c r="J186" i="3"/>
  <c r="M186" i="3" s="1"/>
  <c r="G186" i="3"/>
  <c r="N185" i="3"/>
  <c r="J185" i="3"/>
  <c r="M185" i="3" s="1"/>
  <c r="G185" i="3"/>
  <c r="N184" i="3"/>
  <c r="J184" i="3"/>
  <c r="L184" i="3" s="1"/>
  <c r="G184" i="3"/>
  <c r="N183" i="3"/>
  <c r="J183" i="3"/>
  <c r="M183" i="3" s="1"/>
  <c r="G183" i="3"/>
  <c r="N182" i="3"/>
  <c r="J182" i="3"/>
  <c r="M182" i="3" s="1"/>
  <c r="G182" i="3"/>
  <c r="N181" i="3"/>
  <c r="J181" i="3"/>
  <c r="G181" i="3"/>
  <c r="N180" i="3"/>
  <c r="J180" i="3"/>
  <c r="M180" i="3" s="1"/>
  <c r="G180" i="3"/>
  <c r="N179" i="3"/>
  <c r="J179" i="3"/>
  <c r="M179" i="3" s="1"/>
  <c r="G179" i="3"/>
  <c r="N178" i="3"/>
  <c r="J178" i="3"/>
  <c r="L178" i="3" s="1"/>
  <c r="G178" i="3"/>
  <c r="N177" i="3"/>
  <c r="J177" i="3"/>
  <c r="M177" i="3" s="1"/>
  <c r="G177" i="3"/>
  <c r="N176" i="3"/>
  <c r="J176" i="3"/>
  <c r="M176" i="3" s="1"/>
  <c r="G176" i="3"/>
  <c r="N175" i="3"/>
  <c r="J175" i="3"/>
  <c r="G175" i="3"/>
  <c r="N174" i="3"/>
  <c r="J174" i="3"/>
  <c r="M174" i="3" s="1"/>
  <c r="G174" i="3"/>
  <c r="N173" i="3"/>
  <c r="J173" i="3"/>
  <c r="M173" i="3" s="1"/>
  <c r="G173" i="3"/>
  <c r="N172" i="3"/>
  <c r="J172" i="3"/>
  <c r="L172" i="3" s="1"/>
  <c r="G172" i="3"/>
  <c r="N171" i="3"/>
  <c r="J171" i="3"/>
  <c r="M171" i="3" s="1"/>
  <c r="G171" i="3"/>
  <c r="N170" i="3"/>
  <c r="J170" i="3"/>
  <c r="M170" i="3" s="1"/>
  <c r="G170" i="3"/>
  <c r="N169" i="3"/>
  <c r="J169" i="3"/>
  <c r="G169" i="3"/>
  <c r="N168" i="3"/>
  <c r="J168" i="3"/>
  <c r="M168" i="3" s="1"/>
  <c r="G168" i="3"/>
  <c r="N167" i="3"/>
  <c r="J167" i="3"/>
  <c r="M167" i="3" s="1"/>
  <c r="G167" i="3"/>
  <c r="N166" i="3"/>
  <c r="J166" i="3"/>
  <c r="L166" i="3" s="1"/>
  <c r="G166" i="3"/>
  <c r="N165" i="3"/>
  <c r="J165" i="3"/>
  <c r="M165" i="3" s="1"/>
  <c r="G165" i="3"/>
  <c r="N164" i="3"/>
  <c r="J164" i="3"/>
  <c r="M164" i="3" s="1"/>
  <c r="G164" i="3"/>
  <c r="N163" i="3"/>
  <c r="J163" i="3"/>
  <c r="G163" i="3"/>
  <c r="N162" i="3"/>
  <c r="J162" i="3"/>
  <c r="M162" i="3" s="1"/>
  <c r="G162" i="3"/>
  <c r="N161" i="3"/>
  <c r="J161" i="3"/>
  <c r="M161" i="3" s="1"/>
  <c r="G161" i="3"/>
  <c r="N160" i="3"/>
  <c r="J160" i="3"/>
  <c r="L160" i="3" s="1"/>
  <c r="G160" i="3"/>
  <c r="N159" i="3"/>
  <c r="J159" i="3"/>
  <c r="M159" i="3" s="1"/>
  <c r="G159" i="3"/>
  <c r="N158" i="3"/>
  <c r="J158" i="3"/>
  <c r="M158" i="3" s="1"/>
  <c r="G158" i="3"/>
  <c r="N157" i="3"/>
  <c r="J157" i="3"/>
  <c r="G157" i="3"/>
  <c r="N156" i="3"/>
  <c r="J156" i="3"/>
  <c r="M156" i="3" s="1"/>
  <c r="G156" i="3"/>
  <c r="N155" i="3"/>
  <c r="J155" i="3"/>
  <c r="M155" i="3" s="1"/>
  <c r="G155" i="3"/>
  <c r="N154" i="3"/>
  <c r="J154" i="3"/>
  <c r="L154" i="3" s="1"/>
  <c r="G154" i="3"/>
  <c r="N153" i="3"/>
  <c r="J153" i="3"/>
  <c r="M153" i="3" s="1"/>
  <c r="G153" i="3"/>
  <c r="N152" i="3"/>
  <c r="J152" i="3"/>
  <c r="M152" i="3" s="1"/>
  <c r="G152" i="3"/>
  <c r="N151" i="3"/>
  <c r="J151" i="3"/>
  <c r="L151" i="3" s="1"/>
  <c r="G151" i="3"/>
  <c r="N150" i="3"/>
  <c r="J150" i="3"/>
  <c r="M150" i="3" s="1"/>
  <c r="G150" i="3"/>
  <c r="N149" i="3"/>
  <c r="J149" i="3"/>
  <c r="M149" i="3" s="1"/>
  <c r="G149" i="3"/>
  <c r="N148" i="3"/>
  <c r="J148" i="3"/>
  <c r="L148" i="3" s="1"/>
  <c r="G148" i="3"/>
  <c r="N147" i="3"/>
  <c r="J147" i="3"/>
  <c r="M147" i="3" s="1"/>
  <c r="G147" i="3"/>
  <c r="N146" i="3"/>
  <c r="J146" i="3"/>
  <c r="M146" i="3" s="1"/>
  <c r="G146" i="3"/>
  <c r="N145" i="3"/>
  <c r="J145" i="3"/>
  <c r="L145" i="3" s="1"/>
  <c r="G145" i="3"/>
  <c r="N144" i="3"/>
  <c r="J144" i="3"/>
  <c r="M144" i="3" s="1"/>
  <c r="G144" i="3"/>
  <c r="N143" i="3"/>
  <c r="J143" i="3"/>
  <c r="L143" i="3" s="1"/>
  <c r="G143" i="3"/>
  <c r="N142" i="3"/>
  <c r="J142" i="3"/>
  <c r="L142" i="3" s="1"/>
  <c r="G142" i="3"/>
  <c r="N141" i="3"/>
  <c r="J141" i="3"/>
  <c r="M141" i="3" s="1"/>
  <c r="G141" i="3"/>
  <c r="N140" i="3"/>
  <c r="J140" i="3"/>
  <c r="G140" i="3"/>
  <c r="N139" i="3"/>
  <c r="J139" i="3"/>
  <c r="L139" i="3" s="1"/>
  <c r="G139" i="3"/>
  <c r="N138" i="3"/>
  <c r="J138" i="3"/>
  <c r="M138" i="3" s="1"/>
  <c r="G138" i="3"/>
  <c r="N137" i="3"/>
  <c r="J137" i="3"/>
  <c r="L137" i="3" s="1"/>
  <c r="G137" i="3"/>
  <c r="N136" i="3"/>
  <c r="J136" i="3"/>
  <c r="L136" i="3" s="1"/>
  <c r="G136" i="3"/>
  <c r="N135" i="3"/>
  <c r="J135" i="3"/>
  <c r="M135" i="3" s="1"/>
  <c r="G135" i="3"/>
  <c r="N134" i="3"/>
  <c r="J134" i="3"/>
  <c r="G134" i="3"/>
  <c r="N133" i="3"/>
  <c r="J133" i="3"/>
  <c r="L133" i="3" s="1"/>
  <c r="G133" i="3"/>
  <c r="N132" i="3"/>
  <c r="J132" i="3"/>
  <c r="M132" i="3" s="1"/>
  <c r="G132" i="3"/>
  <c r="N131" i="3"/>
  <c r="J131" i="3"/>
  <c r="L131" i="3" s="1"/>
  <c r="G131" i="3"/>
  <c r="N130" i="3"/>
  <c r="J130" i="3"/>
  <c r="L130" i="3" s="1"/>
  <c r="G130" i="3"/>
  <c r="N129" i="3"/>
  <c r="J129" i="3"/>
  <c r="M129" i="3" s="1"/>
  <c r="G129" i="3"/>
  <c r="N128" i="3"/>
  <c r="J128" i="3"/>
  <c r="G128" i="3"/>
  <c r="N127" i="3"/>
  <c r="J127" i="3"/>
  <c r="L127" i="3" s="1"/>
  <c r="G127" i="3"/>
  <c r="N126" i="3"/>
  <c r="J126" i="3"/>
  <c r="M126" i="3" s="1"/>
  <c r="G126" i="3"/>
  <c r="N125" i="3"/>
  <c r="J125" i="3"/>
  <c r="L125" i="3" s="1"/>
  <c r="G125" i="3"/>
  <c r="N124" i="3"/>
  <c r="J124" i="3"/>
  <c r="L124" i="3" s="1"/>
  <c r="G124" i="3"/>
  <c r="N123" i="3"/>
  <c r="J123" i="3"/>
  <c r="M123" i="3" s="1"/>
  <c r="G123" i="3"/>
  <c r="N122" i="3"/>
  <c r="J122" i="3"/>
  <c r="G122" i="3"/>
  <c r="N121" i="3"/>
  <c r="J121" i="3"/>
  <c r="L121" i="3" s="1"/>
  <c r="G121" i="3"/>
  <c r="N120" i="3"/>
  <c r="J120" i="3"/>
  <c r="M120" i="3" s="1"/>
  <c r="G120" i="3"/>
  <c r="N119" i="3"/>
  <c r="J119" i="3"/>
  <c r="M119" i="3" s="1"/>
  <c r="G119" i="3"/>
  <c r="N118" i="3"/>
  <c r="J118" i="3"/>
  <c r="L118" i="3" s="1"/>
  <c r="G118" i="3"/>
  <c r="N117" i="3"/>
  <c r="J117" i="3"/>
  <c r="M117" i="3" s="1"/>
  <c r="G117" i="3"/>
  <c r="N116" i="3"/>
  <c r="J116" i="3"/>
  <c r="G116" i="3"/>
  <c r="N115" i="3"/>
  <c r="J115" i="3"/>
  <c r="L115" i="3" s="1"/>
  <c r="G115" i="3"/>
  <c r="N114" i="3"/>
  <c r="J114" i="3"/>
  <c r="M114" i="3" s="1"/>
  <c r="G114" i="3"/>
  <c r="N113" i="3"/>
  <c r="J113" i="3"/>
  <c r="L113" i="3" s="1"/>
  <c r="G113" i="3"/>
  <c r="N112" i="3"/>
  <c r="J112" i="3"/>
  <c r="L112" i="3" s="1"/>
  <c r="G112" i="3"/>
  <c r="N111" i="3"/>
  <c r="J111" i="3"/>
  <c r="M111" i="3" s="1"/>
  <c r="G111" i="3"/>
  <c r="N110" i="3"/>
  <c r="J110" i="3"/>
  <c r="M110" i="3" s="1"/>
  <c r="G110" i="3"/>
  <c r="N109" i="3"/>
  <c r="J109" i="3"/>
  <c r="L109" i="3" s="1"/>
  <c r="G109" i="3"/>
  <c r="N108" i="3"/>
  <c r="J108" i="3"/>
  <c r="M108" i="3" s="1"/>
  <c r="G108" i="3"/>
  <c r="N107" i="3"/>
  <c r="J107" i="3"/>
  <c r="M107" i="3" s="1"/>
  <c r="G107" i="3"/>
  <c r="N106" i="3"/>
  <c r="J106" i="3"/>
  <c r="L106" i="3" s="1"/>
  <c r="G106" i="3"/>
  <c r="N105" i="3"/>
  <c r="J105" i="3"/>
  <c r="M105" i="3" s="1"/>
  <c r="G105" i="3"/>
  <c r="N104" i="3"/>
  <c r="J104" i="3"/>
  <c r="M104" i="3" s="1"/>
  <c r="G104" i="3"/>
  <c r="N103" i="3"/>
  <c r="J103" i="3"/>
  <c r="L103" i="3" s="1"/>
  <c r="G103" i="3"/>
  <c r="N102" i="3"/>
  <c r="J102" i="3"/>
  <c r="M102" i="3" s="1"/>
  <c r="G102" i="3"/>
  <c r="N101" i="3"/>
  <c r="J101" i="3"/>
  <c r="L101" i="3" s="1"/>
  <c r="G101" i="3"/>
  <c r="N100" i="3"/>
  <c r="J100" i="3"/>
  <c r="L100" i="3" s="1"/>
  <c r="G100" i="3"/>
  <c r="N99" i="3"/>
  <c r="J99" i="3"/>
  <c r="M99" i="3" s="1"/>
  <c r="G99" i="3"/>
  <c r="N98" i="3"/>
  <c r="J98" i="3"/>
  <c r="M98" i="3" s="1"/>
  <c r="G98" i="3"/>
  <c r="N97" i="3"/>
  <c r="J97" i="3"/>
  <c r="L97" i="3" s="1"/>
  <c r="G97" i="3"/>
  <c r="N96" i="3"/>
  <c r="J96" i="3"/>
  <c r="M96" i="3" s="1"/>
  <c r="G96" i="3"/>
  <c r="N95" i="3"/>
  <c r="J95" i="3"/>
  <c r="L95" i="3" s="1"/>
  <c r="G95" i="3"/>
  <c r="N94" i="3"/>
  <c r="J94" i="3"/>
  <c r="L94" i="3" s="1"/>
  <c r="G94" i="3"/>
  <c r="N93" i="3"/>
  <c r="J93" i="3"/>
  <c r="M93" i="3" s="1"/>
  <c r="G93" i="3"/>
  <c r="N92" i="3"/>
  <c r="J92" i="3"/>
  <c r="M92" i="3" s="1"/>
  <c r="G92" i="3"/>
  <c r="N91" i="3"/>
  <c r="J91" i="3"/>
  <c r="L91" i="3" s="1"/>
  <c r="G91" i="3"/>
  <c r="N90" i="3"/>
  <c r="J90" i="3"/>
  <c r="M90" i="3" s="1"/>
  <c r="G90" i="3"/>
  <c r="N89" i="3"/>
  <c r="J89" i="3"/>
  <c r="M89" i="3" s="1"/>
  <c r="G89" i="3"/>
  <c r="N88" i="3"/>
  <c r="J88" i="3"/>
  <c r="L88" i="3" s="1"/>
  <c r="G88" i="3"/>
  <c r="N87" i="3"/>
  <c r="J87" i="3"/>
  <c r="M87" i="3" s="1"/>
  <c r="G87" i="3"/>
  <c r="N86" i="3"/>
  <c r="J86" i="3"/>
  <c r="M86" i="3" s="1"/>
  <c r="G86" i="3"/>
  <c r="N85" i="3"/>
  <c r="J85" i="3"/>
  <c r="L85" i="3" s="1"/>
  <c r="G85" i="3"/>
  <c r="N84" i="3"/>
  <c r="J84" i="3"/>
  <c r="M84" i="3" s="1"/>
  <c r="G84" i="3"/>
  <c r="N83" i="3"/>
  <c r="J83" i="3"/>
  <c r="L83" i="3" s="1"/>
  <c r="G83" i="3"/>
  <c r="N82" i="3"/>
  <c r="J82" i="3"/>
  <c r="L82" i="3" s="1"/>
  <c r="G82" i="3"/>
  <c r="N81" i="3"/>
  <c r="J81" i="3"/>
  <c r="M81" i="3" s="1"/>
  <c r="G81" i="3"/>
  <c r="N80" i="3"/>
  <c r="J80" i="3"/>
  <c r="M80" i="3" s="1"/>
  <c r="G80" i="3"/>
  <c r="N79" i="3"/>
  <c r="J79" i="3"/>
  <c r="L79" i="3" s="1"/>
  <c r="G79" i="3"/>
  <c r="N78" i="3"/>
  <c r="J78" i="3"/>
  <c r="M78" i="3" s="1"/>
  <c r="G78" i="3"/>
  <c r="N77" i="3"/>
  <c r="J77" i="3"/>
  <c r="M77" i="3" s="1"/>
  <c r="G77" i="3"/>
  <c r="N76" i="3"/>
  <c r="J76" i="3"/>
  <c r="L76" i="3" s="1"/>
  <c r="G76" i="3"/>
  <c r="N75" i="3"/>
  <c r="J75" i="3"/>
  <c r="M75" i="3" s="1"/>
  <c r="G75" i="3"/>
  <c r="N74" i="3"/>
  <c r="J74" i="3"/>
  <c r="M74" i="3" s="1"/>
  <c r="G74" i="3"/>
  <c r="N73" i="3"/>
  <c r="J73" i="3"/>
  <c r="L73" i="3" s="1"/>
  <c r="G73" i="3"/>
  <c r="N72" i="3"/>
  <c r="J72" i="3"/>
  <c r="M72" i="3" s="1"/>
  <c r="G72" i="3"/>
  <c r="N71" i="3"/>
  <c r="J71" i="3"/>
  <c r="M71" i="3" s="1"/>
  <c r="G71" i="3"/>
  <c r="N70" i="3"/>
  <c r="J70" i="3"/>
  <c r="L70" i="3" s="1"/>
  <c r="G70" i="3"/>
  <c r="N69" i="3"/>
  <c r="J69" i="3"/>
  <c r="M69" i="3" s="1"/>
  <c r="G69" i="3"/>
  <c r="N68" i="3"/>
  <c r="J68" i="3"/>
  <c r="M68" i="3" s="1"/>
  <c r="G68" i="3"/>
  <c r="N67" i="3"/>
  <c r="J67" i="3"/>
  <c r="L67" i="3" s="1"/>
  <c r="G67" i="3"/>
  <c r="N66" i="3"/>
  <c r="J66" i="3"/>
  <c r="M66" i="3" s="1"/>
  <c r="G66" i="3"/>
  <c r="N65" i="3"/>
  <c r="J65" i="3"/>
  <c r="M65" i="3" s="1"/>
  <c r="G65" i="3"/>
  <c r="N64" i="3"/>
  <c r="J64" i="3"/>
  <c r="L64" i="3" s="1"/>
  <c r="G64" i="3"/>
  <c r="N63" i="3"/>
  <c r="J63" i="3"/>
  <c r="M63" i="3" s="1"/>
  <c r="G63" i="3"/>
  <c r="N62" i="3"/>
  <c r="J62" i="3"/>
  <c r="L62" i="3" s="1"/>
  <c r="G62" i="3"/>
  <c r="N61" i="3"/>
  <c r="J61" i="3"/>
  <c r="L61" i="3" s="1"/>
  <c r="G61" i="3"/>
  <c r="N60" i="3"/>
  <c r="J60" i="3"/>
  <c r="M60" i="3" s="1"/>
  <c r="G60" i="3"/>
  <c r="N59" i="3"/>
  <c r="J59" i="3"/>
  <c r="M59" i="3" s="1"/>
  <c r="G59" i="3"/>
  <c r="N58" i="3"/>
  <c r="J58" i="3"/>
  <c r="L58" i="3" s="1"/>
  <c r="G58" i="3"/>
  <c r="N57" i="3"/>
  <c r="J57" i="3"/>
  <c r="M57" i="3" s="1"/>
  <c r="G57" i="3"/>
  <c r="N56" i="3"/>
  <c r="J56" i="3"/>
  <c r="M56" i="3" s="1"/>
  <c r="G56" i="3"/>
  <c r="N55" i="3"/>
  <c r="J55" i="3"/>
  <c r="L55" i="3" s="1"/>
  <c r="G55" i="3"/>
  <c r="N54" i="3"/>
  <c r="J54" i="3"/>
  <c r="M54" i="3" s="1"/>
  <c r="G54" i="3"/>
  <c r="N53" i="3"/>
  <c r="J53" i="3"/>
  <c r="M53" i="3" s="1"/>
  <c r="G53" i="3"/>
  <c r="N52" i="3"/>
  <c r="J52" i="3"/>
  <c r="L52" i="3" s="1"/>
  <c r="G52" i="3"/>
  <c r="N51" i="3"/>
  <c r="J51" i="3"/>
  <c r="M51" i="3" s="1"/>
  <c r="G51" i="3"/>
  <c r="N50" i="3"/>
  <c r="J50" i="3"/>
  <c r="L50" i="3" s="1"/>
  <c r="G50" i="3"/>
  <c r="N49" i="3"/>
  <c r="J49" i="3"/>
  <c r="L49" i="3" s="1"/>
  <c r="G49" i="3"/>
  <c r="N48" i="3"/>
  <c r="J48" i="3"/>
  <c r="M48" i="3" s="1"/>
  <c r="G48" i="3"/>
  <c r="N47" i="3"/>
  <c r="J47" i="3"/>
  <c r="M47" i="3" s="1"/>
  <c r="G47" i="3"/>
  <c r="N46" i="3"/>
  <c r="J46" i="3"/>
  <c r="L46" i="3" s="1"/>
  <c r="G46" i="3"/>
  <c r="N45" i="3"/>
  <c r="J45" i="3"/>
  <c r="M45" i="3" s="1"/>
  <c r="G45" i="3"/>
  <c r="N44" i="3"/>
  <c r="J44" i="3"/>
  <c r="M44" i="3" s="1"/>
  <c r="G44" i="3"/>
  <c r="N43" i="3"/>
  <c r="J43" i="3"/>
  <c r="L43" i="3" s="1"/>
  <c r="G43" i="3"/>
  <c r="N42" i="3"/>
  <c r="G42" i="3"/>
  <c r="N41" i="3"/>
  <c r="J41" i="3"/>
  <c r="M41" i="3" s="1"/>
  <c r="G41" i="3"/>
  <c r="N40" i="3"/>
  <c r="J40" i="3"/>
  <c r="M40" i="3" s="1"/>
  <c r="G40" i="3"/>
  <c r="N39" i="3"/>
  <c r="G39" i="3"/>
  <c r="N38" i="3"/>
  <c r="J38" i="3"/>
  <c r="M38" i="3" s="1"/>
  <c r="G38" i="3"/>
  <c r="N37" i="3"/>
  <c r="J37" i="3"/>
  <c r="M37" i="3" s="1"/>
  <c r="G37" i="3"/>
  <c r="N36" i="3"/>
  <c r="G36" i="3"/>
  <c r="N35" i="3"/>
  <c r="J35" i="3"/>
  <c r="M35" i="3" s="1"/>
  <c r="G35" i="3"/>
  <c r="N34" i="3"/>
  <c r="J34" i="3"/>
  <c r="M34" i="3" s="1"/>
  <c r="G34" i="3"/>
  <c r="N33" i="3"/>
  <c r="J33" i="3"/>
  <c r="L33" i="3" s="1"/>
  <c r="G33" i="3"/>
  <c r="N32" i="3"/>
  <c r="J32" i="3"/>
  <c r="M32" i="3" s="1"/>
  <c r="G32" i="3"/>
  <c r="N31" i="3"/>
  <c r="J31" i="3"/>
  <c r="M31" i="3" s="1"/>
  <c r="G31" i="3"/>
  <c r="N30" i="3"/>
  <c r="J30" i="3"/>
  <c r="L30" i="3" s="1"/>
  <c r="G30" i="3"/>
  <c r="N29" i="3"/>
  <c r="J29" i="3"/>
  <c r="M29" i="3" s="1"/>
  <c r="G29" i="3"/>
  <c r="N28" i="3"/>
  <c r="J28" i="3"/>
  <c r="L28" i="3" s="1"/>
  <c r="G28" i="3"/>
  <c r="N27" i="3"/>
  <c r="J27" i="3"/>
  <c r="L27" i="3" s="1"/>
  <c r="G27" i="3"/>
  <c r="N26" i="3"/>
  <c r="J26" i="3"/>
  <c r="M26" i="3" s="1"/>
  <c r="G26" i="3"/>
  <c r="N25" i="3"/>
  <c r="J25" i="3"/>
  <c r="M25" i="3" s="1"/>
  <c r="G25" i="3"/>
  <c r="N24" i="3"/>
  <c r="J24" i="3"/>
  <c r="L24" i="3" s="1"/>
  <c r="G24" i="3"/>
  <c r="N23" i="3"/>
  <c r="J23" i="3"/>
  <c r="M23" i="3" s="1"/>
  <c r="G23" i="3"/>
  <c r="N22" i="3"/>
  <c r="J22" i="3"/>
  <c r="M22" i="3" s="1"/>
  <c r="G22" i="3"/>
  <c r="N21" i="3"/>
  <c r="J21" i="3"/>
  <c r="L21" i="3" s="1"/>
  <c r="G21" i="3"/>
  <c r="N20" i="3"/>
  <c r="J20" i="3"/>
  <c r="M20" i="3" s="1"/>
  <c r="G20" i="3"/>
  <c r="N19" i="3"/>
  <c r="J19" i="3"/>
  <c r="M19" i="3" s="1"/>
  <c r="G19" i="3"/>
  <c r="N18" i="3"/>
  <c r="J18" i="3"/>
  <c r="L18" i="3" s="1"/>
  <c r="G18" i="3"/>
  <c r="N17" i="3"/>
  <c r="J17" i="3"/>
  <c r="M17" i="3" s="1"/>
  <c r="G17" i="3"/>
  <c r="N16" i="3"/>
  <c r="J16" i="3"/>
  <c r="M16" i="3" s="1"/>
  <c r="G16" i="3"/>
  <c r="N15" i="3"/>
  <c r="J15" i="3"/>
  <c r="L15" i="3" s="1"/>
  <c r="G15" i="3"/>
  <c r="N14" i="3"/>
  <c r="J14" i="3"/>
  <c r="M14" i="3" s="1"/>
  <c r="G14" i="3"/>
  <c r="N13" i="3"/>
  <c r="J13" i="3"/>
  <c r="M13" i="3" s="1"/>
  <c r="G13" i="3"/>
  <c r="N12" i="3"/>
  <c r="J12" i="3"/>
  <c r="L12" i="3" s="1"/>
  <c r="G12" i="3"/>
  <c r="N11" i="3"/>
  <c r="J11" i="3"/>
  <c r="M11" i="3" s="1"/>
  <c r="G11" i="3"/>
  <c r="N10" i="3"/>
  <c r="J10" i="3"/>
  <c r="M10" i="3" s="1"/>
  <c r="G10" i="3"/>
  <c r="N9" i="3"/>
  <c r="J9" i="3"/>
  <c r="L9" i="3" s="1"/>
  <c r="G9" i="3"/>
  <c r="N8" i="3"/>
  <c r="J8" i="3"/>
  <c r="M8" i="3" s="1"/>
  <c r="G8" i="3"/>
  <c r="N7" i="3"/>
  <c r="J7" i="3"/>
  <c r="M7" i="3" s="1"/>
  <c r="G7" i="3"/>
  <c r="N6" i="3"/>
  <c r="J6" i="3"/>
  <c r="L6" i="3" s="1"/>
  <c r="G6" i="3"/>
  <c r="N5" i="3"/>
  <c r="J5" i="3"/>
  <c r="M5" i="3" s="1"/>
  <c r="G5" i="3"/>
  <c r="N4" i="3"/>
  <c r="J4" i="3"/>
  <c r="M4" i="3" s="1"/>
  <c r="G4" i="3"/>
  <c r="N3" i="3"/>
  <c r="J3" i="3"/>
  <c r="L3" i="3" s="1"/>
  <c r="G3" i="3"/>
  <c r="N2" i="3"/>
  <c r="J2" i="3"/>
  <c r="M2" i="3" s="1"/>
  <c r="G2" i="3"/>
  <c r="C11" i="7"/>
  <c r="B13" i="10"/>
  <c r="K37" i="7"/>
  <c r="D37" i="7" s="1"/>
  <c r="E37" i="7" s="1"/>
  <c r="K38" i="7"/>
  <c r="D38" i="7" s="1"/>
  <c r="F38" i="7" s="1"/>
  <c r="B19" i="13"/>
  <c r="B18" i="13"/>
  <c r="B17" i="13"/>
  <c r="B15" i="13"/>
  <c r="B13" i="13"/>
  <c r="B12" i="13"/>
  <c r="B11" i="13"/>
  <c r="B10" i="13"/>
  <c r="B9" i="13"/>
  <c r="B8" i="13"/>
  <c r="B20" i="10"/>
  <c r="I22" i="5" s="1"/>
  <c r="B19" i="10"/>
  <c r="B18" i="10"/>
  <c r="B17" i="10"/>
  <c r="I19" i="5" s="1"/>
  <c r="B16" i="10"/>
  <c r="I18" i="5" s="1"/>
  <c r="B15" i="10"/>
  <c r="B14" i="10"/>
  <c r="B12" i="10"/>
  <c r="I20" i="5" s="1"/>
  <c r="B11" i="10"/>
  <c r="B10" i="10"/>
  <c r="B8" i="10"/>
  <c r="B7" i="10"/>
  <c r="I17" i="5" s="1"/>
  <c r="I9" i="9"/>
  <c r="F9" i="9"/>
  <c r="I8" i="9"/>
  <c r="F8" i="9"/>
  <c r="I7" i="9"/>
  <c r="F7" i="9"/>
  <c r="I6" i="9"/>
  <c r="F6" i="9"/>
  <c r="I5" i="9"/>
  <c r="F5" i="9"/>
  <c r="J4" i="9"/>
  <c r="I4" i="9"/>
  <c r="F4" i="9"/>
  <c r="G4" i="9" s="1"/>
  <c r="K4" i="9" s="1"/>
  <c r="B15" i="8"/>
  <c r="B14" i="8"/>
  <c r="D10" i="5" s="1"/>
  <c r="L11" i="8"/>
  <c r="H11" i="8"/>
  <c r="I11" i="8" s="1"/>
  <c r="L10" i="8"/>
  <c r="H10" i="8"/>
  <c r="I10" i="8" s="1"/>
  <c r="L9" i="8"/>
  <c r="H9" i="8"/>
  <c r="I9" i="8" s="1"/>
  <c r="L8" i="8"/>
  <c r="H8" i="8"/>
  <c r="I8" i="8" s="1"/>
  <c r="L7" i="8"/>
  <c r="H7" i="8"/>
  <c r="I7" i="8" s="1"/>
  <c r="L6" i="8"/>
  <c r="H6" i="8"/>
  <c r="I6" i="8" s="1"/>
  <c r="L5" i="8"/>
  <c r="H5" i="8"/>
  <c r="I5" i="8" s="1"/>
  <c r="H4" i="8"/>
  <c r="I4" i="8" s="1"/>
  <c r="J4" i="8" s="1"/>
  <c r="K4" i="8" s="1"/>
  <c r="M4" i="8" s="1"/>
  <c r="K57" i="7"/>
  <c r="K56" i="7"/>
  <c r="D56" i="7" s="1"/>
  <c r="K55" i="7"/>
  <c r="K53" i="7"/>
  <c r="K51" i="7"/>
  <c r="K50" i="7"/>
  <c r="K49" i="7"/>
  <c r="K48" i="7"/>
  <c r="K47" i="7"/>
  <c r="K46" i="7"/>
  <c r="K45" i="7"/>
  <c r="K44" i="7"/>
  <c r="K42" i="7"/>
  <c r="K41" i="7"/>
  <c r="K40" i="7"/>
  <c r="K35" i="7"/>
  <c r="K34" i="7"/>
  <c r="K33" i="7"/>
  <c r="K32" i="7"/>
  <c r="K31" i="7"/>
  <c r="K30" i="7"/>
  <c r="K29" i="7"/>
  <c r="K28" i="7"/>
  <c r="K27" i="7"/>
  <c r="C27" i="7"/>
  <c r="B9" i="10" s="1"/>
  <c r="K26" i="7"/>
  <c r="K25" i="7"/>
  <c r="K24" i="7"/>
  <c r="K23" i="7"/>
  <c r="K22" i="7"/>
  <c r="K20" i="7"/>
  <c r="K19" i="7"/>
  <c r="K18" i="7"/>
  <c r="K16" i="7"/>
  <c r="C15" i="7"/>
  <c r="K14" i="7"/>
  <c r="D14" i="7" s="1"/>
  <c r="K13" i="7"/>
  <c r="D13" i="7" s="1"/>
  <c r="K12" i="7"/>
  <c r="D12" i="7" s="1"/>
  <c r="K10" i="7"/>
  <c r="D10" i="7" s="1"/>
  <c r="E10" i="7" s="1"/>
  <c r="B5" i="10"/>
  <c r="K9" i="7"/>
  <c r="D9" i="7" s="1"/>
  <c r="K8" i="7"/>
  <c r="D8" i="7" s="1"/>
  <c r="F8" i="7" s="1"/>
  <c r="K7" i="7"/>
  <c r="K5" i="7"/>
  <c r="D5" i="7" s="1"/>
  <c r="F5" i="7" s="1"/>
  <c r="C4" i="7"/>
  <c r="H4" i="6"/>
  <c r="H11" i="6" s="1"/>
  <c r="A6" i="5" s="1"/>
  <c r="C27" i="5"/>
  <c r="B27" i="5"/>
  <c r="B26" i="5"/>
  <c r="D26" i="5" s="1"/>
  <c r="B25" i="5"/>
  <c r="D25" i="5" s="1"/>
  <c r="B24" i="5"/>
  <c r="D24" i="5" s="1"/>
  <c r="C19" i="5"/>
  <c r="F19" i="5" s="1"/>
  <c r="C18" i="5"/>
  <c r="C17" i="5"/>
  <c r="C16" i="5"/>
  <c r="C15" i="5"/>
  <c r="F15" i="5" s="1"/>
  <c r="G10" i="5"/>
  <c r="A10" i="5"/>
  <c r="A3" i="5"/>
  <c r="B4" i="13" l="1"/>
  <c r="C13" i="13"/>
  <c r="L795" i="3"/>
  <c r="M1227" i="3"/>
  <c r="M509" i="3"/>
  <c r="M209" i="3"/>
  <c r="M1664" i="3"/>
  <c r="L882" i="3"/>
  <c r="K21" i="7"/>
  <c r="D21" i="7" s="1"/>
  <c r="K43" i="7"/>
  <c r="D43" i="7" s="1"/>
  <c r="B6" i="13"/>
  <c r="B16" i="13"/>
  <c r="B20" i="13"/>
  <c r="K4" i="7"/>
  <c r="D4" i="7" s="1"/>
  <c r="F4" i="7" s="1"/>
  <c r="K39" i="7"/>
  <c r="D39" i="7" s="1"/>
  <c r="F39" i="7" s="1"/>
  <c r="M256" i="3"/>
  <c r="M545" i="3"/>
  <c r="L852" i="3"/>
  <c r="M1256" i="3"/>
  <c r="M1718" i="3"/>
  <c r="L149" i="3"/>
  <c r="L368" i="3"/>
  <c r="M683" i="3"/>
  <c r="M1364" i="3"/>
  <c r="L1577" i="3"/>
  <c r="M1032" i="3"/>
  <c r="L1510" i="3"/>
  <c r="M1152" i="3"/>
  <c r="L1809" i="3"/>
  <c r="L65" i="3"/>
  <c r="L221" i="3"/>
  <c r="L314" i="3"/>
  <c r="L407" i="3"/>
  <c r="L534" i="3"/>
  <c r="M593" i="3"/>
  <c r="M728" i="3"/>
  <c r="M1086" i="3"/>
  <c r="M1233" i="3"/>
  <c r="M1618" i="3"/>
  <c r="L1833" i="3"/>
  <c r="M103" i="3"/>
  <c r="L233" i="3"/>
  <c r="L348" i="3"/>
  <c r="L635" i="3"/>
  <c r="L768" i="3"/>
  <c r="M825" i="3"/>
  <c r="L870" i="3"/>
  <c r="L1197" i="3"/>
  <c r="M1249" i="3"/>
  <c r="L1328" i="3"/>
  <c r="M1480" i="3"/>
  <c r="L1857" i="3"/>
  <c r="L6" i="7"/>
  <c r="M6" i="7" s="1"/>
  <c r="L167" i="3"/>
  <c r="L804" i="3"/>
  <c r="M902" i="3"/>
  <c r="M1182" i="3"/>
  <c r="M1201" i="3"/>
  <c r="L1273" i="3"/>
  <c r="M1390" i="3"/>
  <c r="L1475" i="3"/>
  <c r="M1534" i="3"/>
  <c r="L1688" i="3"/>
  <c r="M1745" i="3"/>
  <c r="L19" i="7"/>
  <c r="M19" i="7" s="1"/>
  <c r="L440" i="3"/>
  <c r="M954" i="3"/>
  <c r="L1125" i="3"/>
  <c r="M1219" i="3"/>
  <c r="M1420" i="3"/>
  <c r="M1552" i="3"/>
  <c r="L1653" i="3"/>
  <c r="L1785" i="3"/>
  <c r="L29" i="7"/>
  <c r="M29" i="7" s="1"/>
  <c r="L53" i="3"/>
  <c r="L375" i="3"/>
  <c r="M575" i="3"/>
  <c r="L1215" i="3"/>
  <c r="M1333" i="3"/>
  <c r="L1568" i="3"/>
  <c r="L1585" i="3"/>
  <c r="M1630" i="3"/>
  <c r="L1715" i="3"/>
  <c r="L1808" i="3"/>
  <c r="L185" i="3"/>
  <c r="L215" i="3"/>
  <c r="M232" i="3"/>
  <c r="L247" i="3"/>
  <c r="L339" i="3"/>
  <c r="L405" i="3"/>
  <c r="L485" i="3"/>
  <c r="M533" i="3"/>
  <c r="L626" i="3"/>
  <c r="L716" i="3"/>
  <c r="L782" i="3"/>
  <c r="L1081" i="3"/>
  <c r="M1141" i="3"/>
  <c r="M1174" i="3"/>
  <c r="M1312" i="3"/>
  <c r="L1474" i="3"/>
  <c r="M1516" i="3"/>
  <c r="L1547" i="3"/>
  <c r="L1570" i="3"/>
  <c r="L1589" i="3"/>
  <c r="M1642" i="3"/>
  <c r="L1659" i="3"/>
  <c r="M1676" i="3"/>
  <c r="M1856" i="3"/>
  <c r="M1892" i="3"/>
  <c r="L9" i="7"/>
  <c r="M9" i="7" s="1"/>
  <c r="L24" i="7"/>
  <c r="M24" i="7" s="1"/>
  <c r="L36" i="7"/>
  <c r="C10" i="13"/>
  <c r="E10" i="13" s="1"/>
  <c r="M125" i="3"/>
  <c r="L22" i="7"/>
  <c r="L12" i="7"/>
  <c r="M12" i="7" s="1"/>
  <c r="L26" i="7"/>
  <c r="M26" i="7" s="1"/>
  <c r="L41" i="7"/>
  <c r="M41" i="7" s="1"/>
  <c r="L92" i="3"/>
  <c r="L414" i="3"/>
  <c r="M710" i="3"/>
  <c r="M872" i="3"/>
  <c r="M1242" i="3"/>
  <c r="L1282" i="3"/>
  <c r="M1462" i="3"/>
  <c r="L7" i="7"/>
  <c r="M7" i="7" s="1"/>
  <c r="L31" i="7"/>
  <c r="M31" i="7" s="1"/>
  <c r="L161" i="3"/>
  <c r="L191" i="3"/>
  <c r="L227" i="3"/>
  <c r="M240" i="3"/>
  <c r="L293" i="3"/>
  <c r="L332" i="3"/>
  <c r="M464" i="3"/>
  <c r="L489" i="3"/>
  <c r="L528" i="3"/>
  <c r="L617" i="3"/>
  <c r="L771" i="3"/>
  <c r="L816" i="3"/>
  <c r="M843" i="3"/>
  <c r="L1099" i="3"/>
  <c r="M1128" i="3"/>
  <c r="L1161" i="3"/>
  <c r="L1188" i="3"/>
  <c r="L1228" i="3"/>
  <c r="L1511" i="3"/>
  <c r="L1546" i="3"/>
  <c r="L1658" i="3"/>
  <c r="M1675" i="3"/>
  <c r="L1784" i="3"/>
  <c r="L1832" i="3"/>
  <c r="L1880" i="3"/>
  <c r="L1887" i="3"/>
  <c r="L14" i="7"/>
  <c r="M14" i="7" s="1"/>
  <c r="L27" i="7"/>
  <c r="M27" i="7" s="1"/>
  <c r="L49" i="7"/>
  <c r="M49" i="7" s="1"/>
  <c r="L173" i="3"/>
  <c r="L350" i="3"/>
  <c r="M659" i="3"/>
  <c r="M755" i="3"/>
  <c r="L783" i="3"/>
  <c r="L800" i="3"/>
  <c r="M990" i="3"/>
  <c r="L1045" i="3"/>
  <c r="L1222" i="3"/>
  <c r="M1368" i="3"/>
  <c r="L33" i="7"/>
  <c r="M33" i="7" s="1"/>
  <c r="M62" i="3"/>
  <c r="M101" i="3"/>
  <c r="M142" i="3"/>
  <c r="L197" i="3"/>
  <c r="L303" i="3"/>
  <c r="L359" i="3"/>
  <c r="L425" i="3"/>
  <c r="L590" i="3"/>
  <c r="M674" i="3"/>
  <c r="L764" i="3"/>
  <c r="L786" i="3"/>
  <c r="L801" i="3"/>
  <c r="L824" i="3"/>
  <c r="M845" i="3"/>
  <c r="M854" i="3"/>
  <c r="L879" i="3"/>
  <c r="L926" i="3"/>
  <c r="L1027" i="3"/>
  <c r="L1113" i="3"/>
  <c r="L1192" i="3"/>
  <c r="M1218" i="3"/>
  <c r="L1243" i="3"/>
  <c r="M1260" i="3"/>
  <c r="L1360" i="3"/>
  <c r="L1375" i="3"/>
  <c r="L1426" i="3"/>
  <c r="M1498" i="3"/>
  <c r="M1739" i="3"/>
  <c r="L5" i="7"/>
  <c r="M5" i="7" s="1"/>
  <c r="L16" i="7"/>
  <c r="M16" i="7" s="1"/>
  <c r="L28" i="7"/>
  <c r="M28" i="7" s="1"/>
  <c r="K52" i="7"/>
  <c r="D52" i="7" s="1"/>
  <c r="K36" i="7"/>
  <c r="B7" i="13"/>
  <c r="B5" i="13"/>
  <c r="M50" i="3"/>
  <c r="M83" i="3"/>
  <c r="L107" i="3"/>
  <c r="M130" i="3"/>
  <c r="L155" i="3"/>
  <c r="M836" i="3"/>
  <c r="M1179" i="3"/>
  <c r="M1237" i="3"/>
  <c r="M1300" i="3"/>
  <c r="M1307" i="3"/>
  <c r="M1772" i="3"/>
  <c r="M1796" i="3"/>
  <c r="M1820" i="3"/>
  <c r="M1844" i="3"/>
  <c r="M1868" i="3"/>
  <c r="L59" i="3"/>
  <c r="M95" i="3"/>
  <c r="M113" i="3"/>
  <c r="M136" i="3"/>
  <c r="M143" i="3"/>
  <c r="M226" i="3"/>
  <c r="L241" i="3"/>
  <c r="L333" i="3"/>
  <c r="L444" i="3"/>
  <c r="M465" i="3"/>
  <c r="M518" i="3"/>
  <c r="M578" i="3"/>
  <c r="M620" i="3"/>
  <c r="L662" i="3"/>
  <c r="M713" i="3"/>
  <c r="L765" i="3"/>
  <c r="L857" i="3"/>
  <c r="L908" i="3"/>
  <c r="M942" i="3"/>
  <c r="L955" i="3"/>
  <c r="M978" i="3"/>
  <c r="L991" i="3"/>
  <c r="M1014" i="3"/>
  <c r="M1068" i="3"/>
  <c r="M1116" i="3"/>
  <c r="L1165" i="3"/>
  <c r="M1209" i="3"/>
  <c r="M1224" i="3"/>
  <c r="M1267" i="3"/>
  <c r="L1346" i="3"/>
  <c r="M1363" i="3"/>
  <c r="M1367" i="3"/>
  <c r="M1400" i="3"/>
  <c r="L1414" i="3"/>
  <c r="L1453" i="3"/>
  <c r="M1486" i="3"/>
  <c r="M1522" i="3"/>
  <c r="M1558" i="3"/>
  <c r="M1588" i="3"/>
  <c r="L1595" i="3"/>
  <c r="L35" i="7"/>
  <c r="M35" i="7" s="1"/>
  <c r="L42" i="7"/>
  <c r="M42" i="7" s="1"/>
  <c r="L50" i="7"/>
  <c r="M50" i="7" s="1"/>
  <c r="C15" i="13"/>
  <c r="E15" i="13" s="1"/>
  <c r="L45" i="7"/>
  <c r="M45" i="7" s="1"/>
  <c r="L51" i="7"/>
  <c r="M51" i="7" s="1"/>
  <c r="C17" i="13"/>
  <c r="E17" i="13" s="1"/>
  <c r="L37" i="7"/>
  <c r="M37" i="7" s="1"/>
  <c r="L46" i="7"/>
  <c r="M46" i="7" s="1"/>
  <c r="L56" i="7"/>
  <c r="M56" i="7" s="1"/>
  <c r="C18" i="13"/>
  <c r="E18" i="13" s="1"/>
  <c r="L47" i="3"/>
  <c r="L71" i="3"/>
  <c r="M100" i="3"/>
  <c r="M131" i="3"/>
  <c r="M145" i="3"/>
  <c r="L280" i="3"/>
  <c r="L387" i="3"/>
  <c r="L446" i="3"/>
  <c r="L459" i="3"/>
  <c r="L470" i="3"/>
  <c r="M494" i="3"/>
  <c r="M537" i="3"/>
  <c r="L560" i="3"/>
  <c r="L599" i="3"/>
  <c r="M647" i="3"/>
  <c r="L689" i="3"/>
  <c r="M737" i="3"/>
  <c r="L774" i="3"/>
  <c r="L789" i="3"/>
  <c r="L807" i="3"/>
  <c r="M960" i="3"/>
  <c r="L973" i="3"/>
  <c r="M996" i="3"/>
  <c r="L1009" i="3"/>
  <c r="L1063" i="3"/>
  <c r="L1207" i="3"/>
  <c r="M1255" i="3"/>
  <c r="L1294" i="3"/>
  <c r="M1324" i="3"/>
  <c r="L1351" i="3"/>
  <c r="L1405" i="3"/>
  <c r="M1412" i="3"/>
  <c r="L1451" i="3"/>
  <c r="M1606" i="3"/>
  <c r="L1730" i="3"/>
  <c r="L1731" i="3"/>
  <c r="L1754" i="3"/>
  <c r="L11" i="7"/>
  <c r="M11" i="7" s="1"/>
  <c r="L23" i="7"/>
  <c r="M23" i="7" s="1"/>
  <c r="L39" i="7"/>
  <c r="L47" i="7"/>
  <c r="M47" i="7" s="1"/>
  <c r="C8" i="13"/>
  <c r="E8" i="13" s="1"/>
  <c r="C19" i="13"/>
  <c r="E19" i="13" s="1"/>
  <c r="L179" i="3"/>
  <c r="L203" i="3"/>
  <c r="L305" i="3"/>
  <c r="L321" i="3"/>
  <c r="L357" i="3"/>
  <c r="L386" i="3"/>
  <c r="L393" i="3"/>
  <c r="L416" i="3"/>
  <c r="L435" i="3"/>
  <c r="M473" i="3"/>
  <c r="M503" i="3"/>
  <c r="L543" i="3"/>
  <c r="M569" i="3"/>
  <c r="M602" i="3"/>
  <c r="M656" i="3"/>
  <c r="M701" i="3"/>
  <c r="L743" i="3"/>
  <c r="L759" i="3"/>
  <c r="L777" i="3"/>
  <c r="L792" i="3"/>
  <c r="L810" i="3"/>
  <c r="L837" i="3"/>
  <c r="M972" i="3"/>
  <c r="M1008" i="3"/>
  <c r="M1050" i="3"/>
  <c r="M1104" i="3"/>
  <c r="L1143" i="3"/>
  <c r="L1156" i="3"/>
  <c r="L1180" i="3"/>
  <c r="M1195" i="3"/>
  <c r="M1369" i="3"/>
  <c r="M1385" i="3"/>
  <c r="L1441" i="3"/>
  <c r="L1579" i="3"/>
  <c r="L1615" i="3"/>
  <c r="L1619" i="3"/>
  <c r="M1703" i="3"/>
  <c r="L1737" i="3"/>
  <c r="L1773" i="3"/>
  <c r="L1797" i="3"/>
  <c r="L1821" i="3"/>
  <c r="L1845" i="3"/>
  <c r="L1869" i="3"/>
  <c r="L32" i="7"/>
  <c r="M32" i="7" s="1"/>
  <c r="L40" i="7"/>
  <c r="M40" i="7" s="1"/>
  <c r="L48" i="7"/>
  <c r="M48" i="7" s="1"/>
  <c r="C11" i="13"/>
  <c r="L16" i="3"/>
  <c r="L34" i="3"/>
  <c r="L30" i="7"/>
  <c r="M30" i="7" s="1"/>
  <c r="L13" i="7"/>
  <c r="M13" i="7" s="1"/>
  <c r="L7" i="3"/>
  <c r="M27" i="3"/>
  <c r="L2" i="3"/>
  <c r="M9" i="3"/>
  <c r="L25" i="3"/>
  <c r="L18" i="7" s="1"/>
  <c r="M18" i="7" s="1"/>
  <c r="M1051" i="3"/>
  <c r="L1051" i="3"/>
  <c r="M1105" i="3"/>
  <c r="L1105" i="3"/>
  <c r="M1285" i="3"/>
  <c r="L1285" i="3"/>
  <c r="M1583" i="3"/>
  <c r="L1583" i="3"/>
  <c r="L1648" i="3"/>
  <c r="M1648" i="3"/>
  <c r="M15" i="3"/>
  <c r="M33" i="3"/>
  <c r="M154" i="3"/>
  <c r="M166" i="3"/>
  <c r="M178" i="3"/>
  <c r="M190" i="3"/>
  <c r="M202" i="3"/>
  <c r="M214" i="3"/>
  <c r="L234" i="3"/>
  <c r="L268" i="3"/>
  <c r="L315" i="3"/>
  <c r="M342" i="3"/>
  <c r="L342" i="3"/>
  <c r="L384" i="3"/>
  <c r="L395" i="3"/>
  <c r="L426" i="3"/>
  <c r="L455" i="3"/>
  <c r="M484" i="3"/>
  <c r="M513" i="3"/>
  <c r="L524" i="3"/>
  <c r="L539" i="3"/>
  <c r="L581" i="3"/>
  <c r="L641" i="3"/>
  <c r="L677" i="3"/>
  <c r="L695" i="3"/>
  <c r="L731" i="3"/>
  <c r="L749" i="3"/>
  <c r="L776" i="3"/>
  <c r="L788" i="3"/>
  <c r="L812" i="3"/>
  <c r="L851" i="3"/>
  <c r="L966" i="3"/>
  <c r="M966" i="3"/>
  <c r="L1002" i="3"/>
  <c r="M1002" i="3"/>
  <c r="M1609" i="3"/>
  <c r="L1609" i="3"/>
  <c r="L1612" i="3"/>
  <c r="M1612" i="3"/>
  <c r="M1899" i="3"/>
  <c r="L1899" i="3"/>
  <c r="L37" i="3"/>
  <c r="L248" i="3"/>
  <c r="L290" i="3"/>
  <c r="L294" i="3"/>
  <c r="M324" i="3"/>
  <c r="L324" i="3"/>
  <c r="L366" i="3"/>
  <c r="L377" i="3"/>
  <c r="L408" i="3"/>
  <c r="M450" i="3"/>
  <c r="L450" i="3"/>
  <c r="M566" i="3"/>
  <c r="L587" i="3"/>
  <c r="L605" i="3"/>
  <c r="L623" i="3"/>
  <c r="L644" i="3"/>
  <c r="L665" i="3"/>
  <c r="M665" i="3"/>
  <c r="L680" i="3"/>
  <c r="L698" i="3"/>
  <c r="L719" i="3"/>
  <c r="M719" i="3"/>
  <c r="L734" i="3"/>
  <c r="L752" i="3"/>
  <c r="M762" i="3"/>
  <c r="L762" i="3"/>
  <c r="M798" i="3"/>
  <c r="L798" i="3"/>
  <c r="L840" i="3"/>
  <c r="M885" i="3"/>
  <c r="L885" i="3"/>
  <c r="L897" i="3"/>
  <c r="M897" i="3"/>
  <c r="M924" i="3"/>
  <c r="L930" i="3"/>
  <c r="M930" i="3"/>
  <c r="M937" i="3"/>
  <c r="M943" i="3"/>
  <c r="L943" i="3"/>
  <c r="M979" i="3"/>
  <c r="L979" i="3"/>
  <c r="M1015" i="3"/>
  <c r="L1015" i="3"/>
  <c r="L1056" i="3"/>
  <c r="M1056" i="3"/>
  <c r="M1069" i="3"/>
  <c r="L1069" i="3"/>
  <c r="M1111" i="3"/>
  <c r="L1114" i="3"/>
  <c r="M1114" i="3"/>
  <c r="M1134" i="3"/>
  <c r="L1134" i="3"/>
  <c r="M1147" i="3"/>
  <c r="L1147" i="3"/>
  <c r="M1183" i="3"/>
  <c r="M1210" i="3"/>
  <c r="L1709" i="3"/>
  <c r="M1709" i="3"/>
  <c r="M306" i="3"/>
  <c r="L306" i="3"/>
  <c r="M417" i="3"/>
  <c r="L417" i="3"/>
  <c r="L504" i="3"/>
  <c r="M504" i="3"/>
  <c r="L611" i="3"/>
  <c r="M611" i="3"/>
  <c r="M903" i="3"/>
  <c r="L903" i="3"/>
  <c r="M1153" i="3"/>
  <c r="L1153" i="3"/>
  <c r="L1277" i="3"/>
  <c r="M1277" i="3"/>
  <c r="M1670" i="3"/>
  <c r="L1670" i="3"/>
  <c r="M1898" i="3"/>
  <c r="L1898" i="3"/>
  <c r="L815" i="3"/>
  <c r="M815" i="3"/>
  <c r="L1038" i="3"/>
  <c r="M1038" i="3"/>
  <c r="L1092" i="3"/>
  <c r="M1092" i="3"/>
  <c r="L19" i="3"/>
  <c r="L4" i="7"/>
  <c r="M28" i="3"/>
  <c r="M137" i="3"/>
  <c r="L4" i="3"/>
  <c r="L13" i="3"/>
  <c r="L22" i="3"/>
  <c r="L31" i="3"/>
  <c r="L40" i="3"/>
  <c r="L52" i="7"/>
  <c r="L15" i="7"/>
  <c r="M15" i="7" s="1"/>
  <c r="L44" i="3"/>
  <c r="L56" i="3"/>
  <c r="L68" i="3"/>
  <c r="L77" i="3"/>
  <c r="L89" i="3"/>
  <c r="L119" i="3"/>
  <c r="M148" i="3"/>
  <c r="M160" i="3"/>
  <c r="M172" i="3"/>
  <c r="M184" i="3"/>
  <c r="M196" i="3"/>
  <c r="M208" i="3"/>
  <c r="M220" i="3"/>
  <c r="L266" i="3"/>
  <c r="M278" i="3"/>
  <c r="L278" i="3"/>
  <c r="L279" i="3"/>
  <c r="L330" i="3"/>
  <c r="L341" i="3"/>
  <c r="L369" i="3"/>
  <c r="M396" i="3"/>
  <c r="L396" i="3"/>
  <c r="L431" i="3"/>
  <c r="L453" i="3"/>
  <c r="L479" i="3"/>
  <c r="M515" i="3"/>
  <c r="L519" i="3"/>
  <c r="L608" i="3"/>
  <c r="L632" i="3"/>
  <c r="L650" i="3"/>
  <c r="L668" i="3"/>
  <c r="L686" i="3"/>
  <c r="L704" i="3"/>
  <c r="L722" i="3"/>
  <c r="L740" i="3"/>
  <c r="L758" i="3"/>
  <c r="L770" i="3"/>
  <c r="L794" i="3"/>
  <c r="L806" i="3"/>
  <c r="M834" i="3"/>
  <c r="M861" i="3"/>
  <c r="M867" i="3"/>
  <c r="L867" i="3"/>
  <c r="L893" i="3"/>
  <c r="M893" i="3"/>
  <c r="M899" i="3"/>
  <c r="L899" i="3"/>
  <c r="L948" i="3"/>
  <c r="M948" i="3"/>
  <c r="L984" i="3"/>
  <c r="M984" i="3"/>
  <c r="L1020" i="3"/>
  <c r="M1020" i="3"/>
  <c r="M1033" i="3"/>
  <c r="L1033" i="3"/>
  <c r="L1074" i="3"/>
  <c r="M1074" i="3"/>
  <c r="M1087" i="3"/>
  <c r="L1087" i="3"/>
  <c r="M1170" i="3"/>
  <c r="M1261" i="3"/>
  <c r="M360" i="3"/>
  <c r="L360" i="3"/>
  <c r="L584" i="3"/>
  <c r="M584" i="3"/>
  <c r="L1386" i="3"/>
  <c r="M1386" i="3"/>
  <c r="L10" i="3"/>
  <c r="C16" i="13" s="1"/>
  <c r="L74" i="3"/>
  <c r="M82" i="3"/>
  <c r="L104" i="3"/>
  <c r="M112" i="3"/>
  <c r="M124" i="3"/>
  <c r="M3" i="3"/>
  <c r="M21" i="3"/>
  <c r="M39" i="3"/>
  <c r="M76" i="3"/>
  <c r="M85" i="3"/>
  <c r="M97" i="3"/>
  <c r="L110" i="3"/>
  <c r="M118" i="3"/>
  <c r="M127" i="3"/>
  <c r="L312" i="3"/>
  <c r="L323" i="3"/>
  <c r="L351" i="3"/>
  <c r="M378" i="3"/>
  <c r="L378" i="3"/>
  <c r="L423" i="3"/>
  <c r="L441" i="3"/>
  <c r="M449" i="3"/>
  <c r="M475" i="3"/>
  <c r="L500" i="3"/>
  <c r="M551" i="3"/>
  <c r="L596" i="3"/>
  <c r="L614" i="3"/>
  <c r="L638" i="3"/>
  <c r="M638" i="3"/>
  <c r="L653" i="3"/>
  <c r="L671" i="3"/>
  <c r="L692" i="3"/>
  <c r="M692" i="3"/>
  <c r="L707" i="3"/>
  <c r="L725" i="3"/>
  <c r="L746" i="3"/>
  <c r="M746" i="3"/>
  <c r="M780" i="3"/>
  <c r="L780" i="3"/>
  <c r="M827" i="3"/>
  <c r="L863" i="3"/>
  <c r="M863" i="3"/>
  <c r="L864" i="3"/>
  <c r="M906" i="3"/>
  <c r="L912" i="3"/>
  <c r="M912" i="3"/>
  <c r="M919" i="3"/>
  <c r="M961" i="3"/>
  <c r="L961" i="3"/>
  <c r="M997" i="3"/>
  <c r="L997" i="3"/>
  <c r="M1120" i="3"/>
  <c r="M1126" i="3"/>
  <c r="L1126" i="3"/>
  <c r="L1155" i="3"/>
  <c r="M1155" i="3"/>
  <c r="M1231" i="3"/>
  <c r="L1231" i="3"/>
  <c r="L1468" i="3"/>
  <c r="M1468" i="3"/>
  <c r="L1504" i="3"/>
  <c r="M1504" i="3"/>
  <c r="L1540" i="3"/>
  <c r="M1540" i="3"/>
  <c r="M1591" i="3"/>
  <c r="L1591" i="3"/>
  <c r="M1655" i="3"/>
  <c r="L1655" i="3"/>
  <c r="M1682" i="3"/>
  <c r="L1682" i="3"/>
  <c r="L257" i="3"/>
  <c r="L267" i="3"/>
  <c r="M430" i="3"/>
  <c r="M469" i="3"/>
  <c r="M478" i="3"/>
  <c r="M498" i="3"/>
  <c r="M557" i="3"/>
  <c r="M629" i="3"/>
  <c r="M818" i="3"/>
  <c r="L830" i="3"/>
  <c r="L894" i="3"/>
  <c r="L913" i="3"/>
  <c r="L931" i="3"/>
  <c r="L949" i="3"/>
  <c r="L967" i="3"/>
  <c r="L985" i="3"/>
  <c r="L1003" i="3"/>
  <c r="L1021" i="3"/>
  <c r="L1039" i="3"/>
  <c r="L1057" i="3"/>
  <c r="L1075" i="3"/>
  <c r="L1093" i="3"/>
  <c r="L1138" i="3"/>
  <c r="L1168" i="3"/>
  <c r="M1168" i="3"/>
  <c r="L1194" i="3"/>
  <c r="L1206" i="3"/>
  <c r="M1259" i="3"/>
  <c r="M1278" i="3"/>
  <c r="L1289" i="3"/>
  <c r="L1335" i="3"/>
  <c r="M1335" i="3"/>
  <c r="L1342" i="3"/>
  <c r="L1399" i="3"/>
  <c r="M1447" i="3"/>
  <c r="M1457" i="3"/>
  <c r="L1457" i="3"/>
  <c r="L1487" i="3"/>
  <c r="M1493" i="3"/>
  <c r="L1493" i="3"/>
  <c r="L1523" i="3"/>
  <c r="M1529" i="3"/>
  <c r="L1529" i="3"/>
  <c r="L1559" i="3"/>
  <c r="M1565" i="3"/>
  <c r="L1565" i="3"/>
  <c r="M1573" i="3"/>
  <c r="M1601" i="3"/>
  <c r="L1601" i="3"/>
  <c r="L1634" i="3"/>
  <c r="M1640" i="3"/>
  <c r="L1640" i="3"/>
  <c r="L1674" i="3"/>
  <c r="L1679" i="3"/>
  <c r="M1695" i="3"/>
  <c r="L1695" i="3"/>
  <c r="M1701" i="3"/>
  <c r="L1701" i="3"/>
  <c r="M1724" i="3"/>
  <c r="M1751" i="3"/>
  <c r="L1751" i="3"/>
  <c r="M1778" i="3"/>
  <c r="L1778" i="3"/>
  <c r="M1802" i="3"/>
  <c r="L1802" i="3"/>
  <c r="M1826" i="3"/>
  <c r="L1826" i="3"/>
  <c r="M1850" i="3"/>
  <c r="L1850" i="3"/>
  <c r="M1874" i="3"/>
  <c r="L1874" i="3"/>
  <c r="L1582" i="3"/>
  <c r="M1582" i="3"/>
  <c r="L1669" i="3"/>
  <c r="M1669" i="3"/>
  <c r="M1767" i="3"/>
  <c r="L1767" i="3"/>
  <c r="M1791" i="3"/>
  <c r="L1791" i="3"/>
  <c r="M1815" i="3"/>
  <c r="L1815" i="3"/>
  <c r="M1839" i="3"/>
  <c r="L1839" i="3"/>
  <c r="M1863" i="3"/>
  <c r="L1863" i="3"/>
  <c r="M1481" i="3"/>
  <c r="L1481" i="3"/>
  <c r="M1517" i="3"/>
  <c r="L1517" i="3"/>
  <c r="M1553" i="3"/>
  <c r="L1553" i="3"/>
  <c r="M1665" i="3"/>
  <c r="L1665" i="3"/>
  <c r="M1694" i="3"/>
  <c r="L1694" i="3"/>
  <c r="M1743" i="3"/>
  <c r="L1743" i="3"/>
  <c r="M1026" i="3"/>
  <c r="M1044" i="3"/>
  <c r="M1062" i="3"/>
  <c r="M1080" i="3"/>
  <c r="M1098" i="3"/>
  <c r="L1129" i="3"/>
  <c r="L1140" i="3"/>
  <c r="L1167" i="3"/>
  <c r="M1236" i="3"/>
  <c r="L1252" i="3"/>
  <c r="L1291" i="3"/>
  <c r="M1299" i="3"/>
  <c r="L1318" i="3"/>
  <c r="M1330" i="3"/>
  <c r="L1381" i="3"/>
  <c r="L1432" i="3"/>
  <c r="M1448" i="3"/>
  <c r="L1448" i="3"/>
  <c r="M1456" i="3"/>
  <c r="M1492" i="3"/>
  <c r="M1528" i="3"/>
  <c r="M1564" i="3"/>
  <c r="M1574" i="3"/>
  <c r="L1574" i="3"/>
  <c r="L1597" i="3"/>
  <c r="M1621" i="3"/>
  <c r="L1621" i="3"/>
  <c r="L1625" i="3"/>
  <c r="M1636" i="3"/>
  <c r="L1760" i="3"/>
  <c r="M1766" i="3"/>
  <c r="L1766" i="3"/>
  <c r="M1790" i="3"/>
  <c r="L1790" i="3"/>
  <c r="M1814" i="3"/>
  <c r="L1814" i="3"/>
  <c r="M1838" i="3"/>
  <c r="L1838" i="3"/>
  <c r="M1862" i="3"/>
  <c r="L1862" i="3"/>
  <c r="L1886" i="3"/>
  <c r="M1886" i="3"/>
  <c r="M1893" i="3"/>
  <c r="L1893" i="3"/>
  <c r="M1295" i="3"/>
  <c r="M1317" i="3"/>
  <c r="M1325" i="3"/>
  <c r="L1357" i="3"/>
  <c r="M1393" i="3"/>
  <c r="L1393" i="3"/>
  <c r="L1463" i="3"/>
  <c r="M1469" i="3"/>
  <c r="L1469" i="3"/>
  <c r="L1499" i="3"/>
  <c r="M1505" i="3"/>
  <c r="L1505" i="3"/>
  <c r="L1535" i="3"/>
  <c r="M1541" i="3"/>
  <c r="L1541" i="3"/>
  <c r="L1603" i="3"/>
  <c r="L1607" i="3"/>
  <c r="M1613" i="3"/>
  <c r="L1613" i="3"/>
  <c r="L1646" i="3"/>
  <c r="L1668" i="3"/>
  <c r="L1707" i="3"/>
  <c r="M1779" i="3"/>
  <c r="L1779" i="3"/>
  <c r="M1803" i="3"/>
  <c r="L1803" i="3"/>
  <c r="M1827" i="3"/>
  <c r="L1827" i="3"/>
  <c r="M1851" i="3"/>
  <c r="L1851" i="3"/>
  <c r="M1875" i="3"/>
  <c r="L1875" i="3"/>
  <c r="L193" i="3"/>
  <c r="M193" i="3"/>
  <c r="M888" i="3"/>
  <c r="L888" i="3"/>
  <c r="M938" i="3"/>
  <c r="L938" i="3"/>
  <c r="L975" i="3"/>
  <c r="M975" i="3"/>
  <c r="M1176" i="3"/>
  <c r="L1176" i="3"/>
  <c r="M1336" i="3"/>
  <c r="L1336" i="3"/>
  <c r="M1387" i="3"/>
  <c r="L1387" i="3"/>
  <c r="M1643" i="3"/>
  <c r="L1643" i="3"/>
  <c r="M122" i="3"/>
  <c r="L122" i="3"/>
  <c r="M140" i="3"/>
  <c r="L140" i="3"/>
  <c r="L495" i="3"/>
  <c r="M495" i="3"/>
  <c r="L217" i="3"/>
  <c r="M217" i="3"/>
  <c r="M260" i="3"/>
  <c r="L260" i="3"/>
  <c r="M308" i="3"/>
  <c r="L308" i="3"/>
  <c r="M362" i="3"/>
  <c r="L362" i="3"/>
  <c r="L460" i="3"/>
  <c r="M460" i="3"/>
  <c r="M821" i="3"/>
  <c r="L821" i="3"/>
  <c r="L1083" i="3"/>
  <c r="M1083" i="3"/>
  <c r="M1216" i="3"/>
  <c r="L1216" i="3"/>
  <c r="M1667" i="3"/>
  <c r="L1667" i="3"/>
  <c r="M6" i="3"/>
  <c r="M12" i="3"/>
  <c r="M18" i="3"/>
  <c r="M24" i="3"/>
  <c r="M30" i="3"/>
  <c r="M36" i="3"/>
  <c r="M42" i="3"/>
  <c r="M46" i="3"/>
  <c r="M52" i="3"/>
  <c r="M58" i="3"/>
  <c r="M64" i="3"/>
  <c r="M70" i="3"/>
  <c r="M91" i="3"/>
  <c r="L98" i="3"/>
  <c r="M106" i="3"/>
  <c r="M121" i="3"/>
  <c r="M139" i="3"/>
  <c r="M437" i="3"/>
  <c r="L437" i="3"/>
  <c r="M510" i="3"/>
  <c r="L510" i="3"/>
  <c r="M848" i="3"/>
  <c r="L848" i="3"/>
  <c r="M858" i="3"/>
  <c r="L858" i="3"/>
  <c r="M896" i="3"/>
  <c r="L896" i="3"/>
  <c r="L927" i="3"/>
  <c r="M927" i="3"/>
  <c r="L963" i="3"/>
  <c r="M963" i="3"/>
  <c r="L999" i="3"/>
  <c r="M999" i="3"/>
  <c r="L1035" i="3"/>
  <c r="M1035" i="3"/>
  <c r="L1071" i="3"/>
  <c r="M1071" i="3"/>
  <c r="L1107" i="3"/>
  <c r="M1107" i="3"/>
  <c r="M1149" i="3"/>
  <c r="L1149" i="3"/>
  <c r="M1189" i="3"/>
  <c r="L1189" i="3"/>
  <c r="L157" i="3"/>
  <c r="M157" i="3"/>
  <c r="L169" i="3"/>
  <c r="M169" i="3"/>
  <c r="L181" i="3"/>
  <c r="M181" i="3"/>
  <c r="L243" i="3"/>
  <c r="M243" i="3"/>
  <c r="M419" i="3"/>
  <c r="L419" i="3"/>
  <c r="M432" i="3"/>
  <c r="L432" i="3"/>
  <c r="L451" i="3"/>
  <c r="M451" i="3"/>
  <c r="M506" i="3"/>
  <c r="L506" i="3"/>
  <c r="M1135" i="3"/>
  <c r="L1135" i="3"/>
  <c r="L1353" i="3"/>
  <c r="M1353" i="3"/>
  <c r="M1645" i="3"/>
  <c r="L1645" i="3"/>
  <c r="M1656" i="3"/>
  <c r="L1656" i="3"/>
  <c r="L1666" i="3"/>
  <c r="M1666" i="3"/>
  <c r="M1683" i="3"/>
  <c r="L1683" i="3"/>
  <c r="M1755" i="3"/>
  <c r="L1755" i="3"/>
  <c r="M116" i="3"/>
  <c r="L116" i="3"/>
  <c r="M134" i="3"/>
  <c r="L134" i="3"/>
  <c r="L163" i="3"/>
  <c r="M163" i="3"/>
  <c r="L175" i="3"/>
  <c r="M175" i="3"/>
  <c r="L187" i="3"/>
  <c r="M187" i="3"/>
  <c r="L199" i="3"/>
  <c r="M199" i="3"/>
  <c r="L211" i="3"/>
  <c r="M211" i="3"/>
  <c r="L223" i="3"/>
  <c r="M223" i="3"/>
  <c r="M236" i="3"/>
  <c r="L236" i="3"/>
  <c r="M251" i="3"/>
  <c r="L251" i="3"/>
  <c r="M272" i="3"/>
  <c r="L272" i="3"/>
  <c r="M296" i="3"/>
  <c r="L296" i="3"/>
  <c r="M317" i="3"/>
  <c r="L317" i="3"/>
  <c r="M335" i="3"/>
  <c r="L335" i="3"/>
  <c r="M353" i="3"/>
  <c r="L353" i="3"/>
  <c r="M371" i="3"/>
  <c r="L371" i="3"/>
  <c r="M389" i="3"/>
  <c r="L389" i="3"/>
  <c r="M410" i="3"/>
  <c r="L410" i="3"/>
  <c r="M428" i="3"/>
  <c r="L428" i="3"/>
  <c r="L466" i="3"/>
  <c r="M466" i="3"/>
  <c r="M476" i="3"/>
  <c r="L476" i="3"/>
  <c r="M813" i="3"/>
  <c r="L813" i="3"/>
  <c r="M875" i="3"/>
  <c r="L875" i="3"/>
  <c r="L229" i="3"/>
  <c r="M229" i="3"/>
  <c r="M284" i="3"/>
  <c r="L284" i="3"/>
  <c r="M326" i="3"/>
  <c r="L326" i="3"/>
  <c r="M530" i="3"/>
  <c r="L530" i="3"/>
  <c r="M831" i="3"/>
  <c r="L831" i="3"/>
  <c r="L1011" i="3"/>
  <c r="M1011" i="3"/>
  <c r="M1633" i="3"/>
  <c r="L1633" i="3"/>
  <c r="M1895" i="3"/>
  <c r="L1895" i="3"/>
  <c r="M79" i="3"/>
  <c r="L86" i="3"/>
  <c r="M94" i="3"/>
  <c r="M115" i="3"/>
  <c r="M133" i="3"/>
  <c r="M151" i="3"/>
  <c r="M525" i="3"/>
  <c r="L525" i="3"/>
  <c r="M881" i="3"/>
  <c r="L881" i="3"/>
  <c r="M916" i="3"/>
  <c r="L916" i="3"/>
  <c r="L951" i="3"/>
  <c r="M951" i="3"/>
  <c r="L987" i="3"/>
  <c r="M987" i="3"/>
  <c r="L1023" i="3"/>
  <c r="M1023" i="3"/>
  <c r="L1059" i="3"/>
  <c r="M1059" i="3"/>
  <c r="L1095" i="3"/>
  <c r="M1095" i="3"/>
  <c r="M1122" i="3"/>
  <c r="L1122" i="3"/>
  <c r="M1162" i="3"/>
  <c r="L1162" i="3"/>
  <c r="M1203" i="3"/>
  <c r="L1203" i="3"/>
  <c r="L205" i="3"/>
  <c r="M205" i="3"/>
  <c r="M344" i="3"/>
  <c r="L344" i="3"/>
  <c r="M380" i="3"/>
  <c r="L380" i="3"/>
  <c r="M398" i="3"/>
  <c r="L398" i="3"/>
  <c r="M869" i="3"/>
  <c r="L869" i="3"/>
  <c r="M905" i="3"/>
  <c r="L905" i="3"/>
  <c r="M939" i="3"/>
  <c r="L939" i="3"/>
  <c r="L1047" i="3"/>
  <c r="M1047" i="3"/>
  <c r="M1270" i="3"/>
  <c r="L1270" i="3"/>
  <c r="M1303" i="3"/>
  <c r="L1303" i="3"/>
  <c r="M1631" i="3"/>
  <c r="L1631" i="3"/>
  <c r="M43" i="3"/>
  <c r="M49" i="3"/>
  <c r="M55" i="3"/>
  <c r="M61" i="3"/>
  <c r="M67" i="3"/>
  <c r="M73" i="3"/>
  <c r="L80" i="3"/>
  <c r="M88" i="3"/>
  <c r="M109" i="3"/>
  <c r="M128" i="3"/>
  <c r="L128" i="3"/>
  <c r="M491" i="3"/>
  <c r="L491" i="3"/>
  <c r="M554" i="3"/>
  <c r="L554" i="3"/>
  <c r="M842" i="3"/>
  <c r="L842" i="3"/>
  <c r="L819" i="3"/>
  <c r="L846" i="3"/>
  <c r="L873" i="3"/>
  <c r="L887" i="3"/>
  <c r="M917" i="3"/>
  <c r="L917" i="3"/>
  <c r="L1239" i="3"/>
  <c r="M1239" i="3"/>
  <c r="M1408" i="3"/>
  <c r="L1408" i="3"/>
  <c r="M1225" i="3"/>
  <c r="L1225" i="3"/>
  <c r="M1274" i="3"/>
  <c r="L1274" i="3"/>
  <c r="M1309" i="3"/>
  <c r="L1309" i="3"/>
  <c r="M1343" i="3"/>
  <c r="L1343" i="3"/>
  <c r="M1378" i="3"/>
  <c r="L1378" i="3"/>
  <c r="M1396" i="3"/>
  <c r="L1396" i="3"/>
  <c r="M1429" i="3"/>
  <c r="L1429" i="3"/>
  <c r="L146" i="3"/>
  <c r="L152" i="3"/>
  <c r="L158" i="3"/>
  <c r="L164" i="3"/>
  <c r="L170" i="3"/>
  <c r="L176" i="3"/>
  <c r="L182" i="3"/>
  <c r="L188" i="3"/>
  <c r="L194" i="3"/>
  <c r="L200" i="3"/>
  <c r="L206" i="3"/>
  <c r="L212" i="3"/>
  <c r="L218" i="3"/>
  <c r="L224" i="3"/>
  <c r="L230" i="3"/>
  <c r="L237" i="3"/>
  <c r="L244" i="3"/>
  <c r="L252" i="3"/>
  <c r="L261" i="3"/>
  <c r="L273" i="3"/>
  <c r="L285" i="3"/>
  <c r="L299" i="3"/>
  <c r="L309" i="3"/>
  <c r="L318" i="3"/>
  <c r="L327" i="3"/>
  <c r="L336" i="3"/>
  <c r="L345" i="3"/>
  <c r="L354" i="3"/>
  <c r="L363" i="3"/>
  <c r="L372" i="3"/>
  <c r="L381" i="3"/>
  <c r="L390" i="3"/>
  <c r="L401" i="3"/>
  <c r="L411" i="3"/>
  <c r="L420" i="3"/>
  <c r="M433" i="3"/>
  <c r="M442" i="3"/>
  <c r="M447" i="3"/>
  <c r="L452" i="3"/>
  <c r="M457" i="3"/>
  <c r="L461" i="3"/>
  <c r="L467" i="3"/>
  <c r="L471" i="3"/>
  <c r="L482" i="3"/>
  <c r="L486" i="3"/>
  <c r="L497" i="3"/>
  <c r="L501" i="3"/>
  <c r="L516" i="3"/>
  <c r="L521" i="3"/>
  <c r="L536" i="3"/>
  <c r="M540" i="3"/>
  <c r="L548" i="3"/>
  <c r="L563" i="3"/>
  <c r="L572" i="3"/>
  <c r="M920" i="3"/>
  <c r="L920" i="3"/>
  <c r="M1110" i="3"/>
  <c r="M1123" i="3"/>
  <c r="M1137" i="3"/>
  <c r="M1150" i="3"/>
  <c r="M1164" i="3"/>
  <c r="M1177" i="3"/>
  <c r="M1191" i="3"/>
  <c r="M1204" i="3"/>
  <c r="L1296" i="3"/>
  <c r="M1296" i="3"/>
  <c r="L253" i="3"/>
  <c r="L262" i="3"/>
  <c r="L274" i="3"/>
  <c r="L287" i="3"/>
  <c r="L302" i="3"/>
  <c r="L311" i="3"/>
  <c r="L320" i="3"/>
  <c r="L329" i="3"/>
  <c r="L338" i="3"/>
  <c r="L347" i="3"/>
  <c r="L356" i="3"/>
  <c r="L365" i="3"/>
  <c r="L374" i="3"/>
  <c r="L383" i="3"/>
  <c r="L392" i="3"/>
  <c r="L404" i="3"/>
  <c r="L413" i="3"/>
  <c r="L422" i="3"/>
  <c r="M429" i="3"/>
  <c r="L434" i="3"/>
  <c r="M439" i="3"/>
  <c r="L443" i="3"/>
  <c r="M448" i="3"/>
  <c r="L458" i="3"/>
  <c r="L477" i="3"/>
  <c r="L488" i="3"/>
  <c r="L492" i="3"/>
  <c r="L507" i="3"/>
  <c r="L512" i="3"/>
  <c r="L527" i="3"/>
  <c r="M531" i="3"/>
  <c r="L542" i="3"/>
  <c r="L555" i="3"/>
  <c r="L761" i="3"/>
  <c r="L767" i="3"/>
  <c r="L773" i="3"/>
  <c r="L779" i="3"/>
  <c r="L785" i="3"/>
  <c r="L791" i="3"/>
  <c r="L797" i="3"/>
  <c r="L803" i="3"/>
  <c r="M809" i="3"/>
  <c r="L822" i="3"/>
  <c r="L833" i="3"/>
  <c r="L839" i="3"/>
  <c r="L849" i="3"/>
  <c r="L860" i="3"/>
  <c r="L866" i="3"/>
  <c r="L876" i="3"/>
  <c r="L884" i="3"/>
  <c r="L890" i="3"/>
  <c r="M935" i="3"/>
  <c r="L935" i="3"/>
  <c r="L1117" i="3"/>
  <c r="L1131" i="3"/>
  <c r="L1144" i="3"/>
  <c r="L1158" i="3"/>
  <c r="L1171" i="3"/>
  <c r="L1185" i="3"/>
  <c r="L1198" i="3"/>
  <c r="L1212" i="3"/>
  <c r="M1221" i="3"/>
  <c r="L1221" i="3"/>
  <c r="L1245" i="3"/>
  <c r="M1245" i="3"/>
  <c r="M1279" i="3"/>
  <c r="L1279" i="3"/>
  <c r="L1313" i="3"/>
  <c r="M1313" i="3"/>
  <c r="M1348" i="3"/>
  <c r="L1348" i="3"/>
  <c r="M1382" i="3"/>
  <c r="L1382" i="3"/>
  <c r="L468" i="3"/>
  <c r="M483" i="3"/>
  <c r="M522" i="3"/>
  <c r="L549" i="3"/>
  <c r="L828" i="3"/>
  <c r="L855" i="3"/>
  <c r="L878" i="3"/>
  <c r="L891" i="3"/>
  <c r="L900" i="3"/>
  <c r="M909" i="3"/>
  <c r="L921" i="3"/>
  <c r="L934" i="3"/>
  <c r="M945" i="3"/>
  <c r="M957" i="3"/>
  <c r="M969" i="3"/>
  <c r="M981" i="3"/>
  <c r="M993" i="3"/>
  <c r="M1005" i="3"/>
  <c r="M1017" i="3"/>
  <c r="M1029" i="3"/>
  <c r="M1041" i="3"/>
  <c r="M1053" i="3"/>
  <c r="M1065" i="3"/>
  <c r="M1077" i="3"/>
  <c r="M1089" i="3"/>
  <c r="M1101" i="3"/>
  <c r="M1119" i="3"/>
  <c r="M1132" i="3"/>
  <c r="M1146" i="3"/>
  <c r="M1159" i="3"/>
  <c r="M1173" i="3"/>
  <c r="M1186" i="3"/>
  <c r="M1200" i="3"/>
  <c r="M1213" i="3"/>
  <c r="M1417" i="3"/>
  <c r="L1417" i="3"/>
  <c r="M1430" i="3"/>
  <c r="L1430" i="3"/>
  <c r="M1444" i="3"/>
  <c r="L1444" i="3"/>
  <c r="M1454" i="3"/>
  <c r="L1454" i="3"/>
  <c r="M1465" i="3"/>
  <c r="L1465" i="3"/>
  <c r="M1477" i="3"/>
  <c r="L1477" i="3"/>
  <c r="M1489" i="3"/>
  <c r="L1489" i="3"/>
  <c r="M1501" i="3"/>
  <c r="L1501" i="3"/>
  <c r="M1513" i="3"/>
  <c r="L1513" i="3"/>
  <c r="M1525" i="3"/>
  <c r="L1525" i="3"/>
  <c r="M1537" i="3"/>
  <c r="L1537" i="3"/>
  <c r="M1549" i="3"/>
  <c r="L1549" i="3"/>
  <c r="M1561" i="3"/>
  <c r="L1561" i="3"/>
  <c r="M1571" i="3"/>
  <c r="L1571" i="3"/>
  <c r="M1580" i="3"/>
  <c r="L1580" i="3"/>
  <c r="M1592" i="3"/>
  <c r="L1592" i="3"/>
  <c r="M1610" i="3"/>
  <c r="L1610" i="3"/>
  <c r="M1622" i="3"/>
  <c r="L1622" i="3"/>
  <c r="M1677" i="3"/>
  <c r="L1677" i="3"/>
  <c r="M1689" i="3"/>
  <c r="L1689" i="3"/>
  <c r="M1691" i="3"/>
  <c r="L1691" i="3"/>
  <c r="M1706" i="3"/>
  <c r="L1706" i="3"/>
  <c r="M1733" i="3"/>
  <c r="L1733" i="3"/>
  <c r="M1748" i="3"/>
  <c r="L1748" i="3"/>
  <c r="M1761" i="3"/>
  <c r="L1761" i="3"/>
  <c r="M1763" i="3"/>
  <c r="L1763" i="3"/>
  <c r="M1775" i="3"/>
  <c r="L1775" i="3"/>
  <c r="M1787" i="3"/>
  <c r="L1787" i="3"/>
  <c r="M1799" i="3"/>
  <c r="L1799" i="3"/>
  <c r="M1811" i="3"/>
  <c r="L1811" i="3"/>
  <c r="M1823" i="3"/>
  <c r="L1823" i="3"/>
  <c r="M1835" i="3"/>
  <c r="L1835" i="3"/>
  <c r="M1847" i="3"/>
  <c r="L1847" i="3"/>
  <c r="M1859" i="3"/>
  <c r="L1859" i="3"/>
  <c r="M1871" i="3"/>
  <c r="L1871" i="3"/>
  <c r="M1883" i="3"/>
  <c r="L1883" i="3"/>
  <c r="L1230" i="3"/>
  <c r="L1234" i="3"/>
  <c r="L1240" i="3"/>
  <c r="L1246" i="3"/>
  <c r="L1253" i="3"/>
  <c r="L1258" i="3"/>
  <c r="M1263" i="3"/>
  <c r="L1288" i="3"/>
  <c r="L1292" i="3"/>
  <c r="L1297" i="3"/>
  <c r="M1314" i="3"/>
  <c r="L1321" i="3"/>
  <c r="L1327" i="3"/>
  <c r="M1331" i="3"/>
  <c r="L1354" i="3"/>
  <c r="L1361" i="3"/>
  <c r="L1366" i="3"/>
  <c r="M1371" i="3"/>
  <c r="L1402" i="3"/>
  <c r="M1598" i="3"/>
  <c r="L1598" i="3"/>
  <c r="M1637" i="3"/>
  <c r="L1637" i="3"/>
  <c r="M1639" i="3"/>
  <c r="L1639" i="3"/>
  <c r="M1649" i="3"/>
  <c r="L1649" i="3"/>
  <c r="L1660" i="3"/>
  <c r="M1660" i="3"/>
  <c r="M1661" i="3"/>
  <c r="L1661" i="3"/>
  <c r="M1719" i="3"/>
  <c r="L1719" i="3"/>
  <c r="M1901" i="3"/>
  <c r="L1901" i="3"/>
  <c r="L910" i="3"/>
  <c r="L923" i="3"/>
  <c r="L928" i="3"/>
  <c r="L941" i="3"/>
  <c r="L946" i="3"/>
  <c r="L952" i="3"/>
  <c r="L958" i="3"/>
  <c r="L964" i="3"/>
  <c r="L970" i="3"/>
  <c r="L976" i="3"/>
  <c r="L982" i="3"/>
  <c r="L988" i="3"/>
  <c r="L994" i="3"/>
  <c r="L1000" i="3"/>
  <c r="L1006" i="3"/>
  <c r="L1012" i="3"/>
  <c r="L1018" i="3"/>
  <c r="L1024" i="3"/>
  <c r="L1030" i="3"/>
  <c r="L1036" i="3"/>
  <c r="L1042" i="3"/>
  <c r="L1048" i="3"/>
  <c r="L1054" i="3"/>
  <c r="L1060" i="3"/>
  <c r="L1066" i="3"/>
  <c r="L1072" i="3"/>
  <c r="L1078" i="3"/>
  <c r="L1084" i="3"/>
  <c r="L1090" i="3"/>
  <c r="L1096" i="3"/>
  <c r="L1102" i="3"/>
  <c r="L1108" i="3"/>
  <c r="L1264" i="3"/>
  <c r="L1271" i="3"/>
  <c r="L1276" i="3"/>
  <c r="M1281" i="3"/>
  <c r="L1306" i="3"/>
  <c r="L1310" i="3"/>
  <c r="L1315" i="3"/>
  <c r="M1332" i="3"/>
  <c r="L1339" i="3"/>
  <c r="L1345" i="3"/>
  <c r="M1349" i="3"/>
  <c r="L1372" i="3"/>
  <c r="L1379" i="3"/>
  <c r="L1384" i="3"/>
  <c r="M1389" i="3"/>
  <c r="L1397" i="3"/>
  <c r="L1404" i="3"/>
  <c r="M1404" i="3"/>
  <c r="L1411" i="3"/>
  <c r="M1423" i="3"/>
  <c r="L1423" i="3"/>
  <c r="M1438" i="3"/>
  <c r="L1438" i="3"/>
  <c r="M1450" i="3"/>
  <c r="L1450" i="3"/>
  <c r="M1459" i="3"/>
  <c r="L1459" i="3"/>
  <c r="M1471" i="3"/>
  <c r="L1471" i="3"/>
  <c r="M1483" i="3"/>
  <c r="L1483" i="3"/>
  <c r="M1495" i="3"/>
  <c r="L1495" i="3"/>
  <c r="M1507" i="3"/>
  <c r="L1507" i="3"/>
  <c r="M1519" i="3"/>
  <c r="L1519" i="3"/>
  <c r="M1531" i="3"/>
  <c r="L1531" i="3"/>
  <c r="M1543" i="3"/>
  <c r="L1543" i="3"/>
  <c r="M1555" i="3"/>
  <c r="L1555" i="3"/>
  <c r="M1567" i="3"/>
  <c r="L1567" i="3"/>
  <c r="M1576" i="3"/>
  <c r="L1576" i="3"/>
  <c r="M1586" i="3"/>
  <c r="L1586" i="3"/>
  <c r="M1627" i="3"/>
  <c r="L1627" i="3"/>
  <c r="M1673" i="3"/>
  <c r="L1673" i="3"/>
  <c r="M1889" i="3"/>
  <c r="L1889" i="3"/>
  <c r="M1350" i="3"/>
  <c r="M1403" i="3"/>
  <c r="L1421" i="3"/>
  <c r="L1435" i="3"/>
  <c r="M1604" i="3"/>
  <c r="L1604" i="3"/>
  <c r="M1616" i="3"/>
  <c r="L1616" i="3"/>
  <c r="M1697" i="3"/>
  <c r="L1697" i="3"/>
  <c r="M1712" i="3"/>
  <c r="L1712" i="3"/>
  <c r="M1725" i="3"/>
  <c r="L1725" i="3"/>
  <c r="M1727" i="3"/>
  <c r="L1727" i="3"/>
  <c r="M1742" i="3"/>
  <c r="L1742" i="3"/>
  <c r="M1769" i="3"/>
  <c r="L1769" i="3"/>
  <c r="M1781" i="3"/>
  <c r="L1781" i="3"/>
  <c r="M1793" i="3"/>
  <c r="L1793" i="3"/>
  <c r="M1805" i="3"/>
  <c r="L1805" i="3"/>
  <c r="M1817" i="3"/>
  <c r="L1817" i="3"/>
  <c r="M1829" i="3"/>
  <c r="L1829" i="3"/>
  <c r="M1841" i="3"/>
  <c r="L1841" i="3"/>
  <c r="M1853" i="3"/>
  <c r="L1853" i="3"/>
  <c r="M1865" i="3"/>
  <c r="L1865" i="3"/>
  <c r="M1877" i="3"/>
  <c r="L1877" i="3"/>
  <c r="L1460" i="3"/>
  <c r="L1466" i="3"/>
  <c r="L1472" i="3"/>
  <c r="L1478" i="3"/>
  <c r="L1484" i="3"/>
  <c r="L1490" i="3"/>
  <c r="L1496" i="3"/>
  <c r="L1502" i="3"/>
  <c r="L1508" i="3"/>
  <c r="L1514" i="3"/>
  <c r="L1520" i="3"/>
  <c r="L1526" i="3"/>
  <c r="L1532" i="3"/>
  <c r="L1538" i="3"/>
  <c r="L1544" i="3"/>
  <c r="L1550" i="3"/>
  <c r="L1556" i="3"/>
  <c r="L1562" i="3"/>
  <c r="L1594" i="3"/>
  <c r="L1600" i="3"/>
  <c r="L1624" i="3"/>
  <c r="L1628" i="3"/>
  <c r="L1652" i="3"/>
  <c r="M1657" i="3"/>
  <c r="M1678" i="3"/>
  <c r="L1685" i="3"/>
  <c r="L1700" i="3"/>
  <c r="L1713" i="3"/>
  <c r="L1721" i="3"/>
  <c r="L1736" i="3"/>
  <c r="L1749" i="3"/>
  <c r="L1757" i="3"/>
  <c r="L1770" i="3"/>
  <c r="L1776" i="3"/>
  <c r="L1782" i="3"/>
  <c r="L1788" i="3"/>
  <c r="L1794" i="3"/>
  <c r="L1800" i="3"/>
  <c r="L1806" i="3"/>
  <c r="L1812" i="3"/>
  <c r="L1818" i="3"/>
  <c r="L1824" i="3"/>
  <c r="L1830" i="3"/>
  <c r="L1836" i="3"/>
  <c r="L1842" i="3"/>
  <c r="L1848" i="3"/>
  <c r="L1854" i="3"/>
  <c r="L1860" i="3"/>
  <c r="L1866" i="3"/>
  <c r="L1872" i="3"/>
  <c r="L1878" i="3"/>
  <c r="L1884" i="3"/>
  <c r="L1890" i="3"/>
  <c r="L1896" i="3"/>
  <c r="L1902" i="3"/>
  <c r="L286" i="3"/>
  <c r="M286" i="3"/>
  <c r="L295" i="3"/>
  <c r="M295" i="3"/>
  <c r="L304" i="3"/>
  <c r="M304" i="3"/>
  <c r="L313" i="3"/>
  <c r="M313" i="3"/>
  <c r="L322" i="3"/>
  <c r="M322" i="3"/>
  <c r="L289" i="3"/>
  <c r="M289" i="3"/>
  <c r="L298" i="3"/>
  <c r="M298" i="3"/>
  <c r="L307" i="3"/>
  <c r="M307" i="3"/>
  <c r="L316" i="3"/>
  <c r="M316" i="3"/>
  <c r="L325" i="3"/>
  <c r="M325" i="3"/>
  <c r="L5" i="3"/>
  <c r="L8" i="3"/>
  <c r="L11" i="3"/>
  <c r="L14" i="3"/>
  <c r="L54" i="7" s="1"/>
  <c r="M54" i="7" s="1"/>
  <c r="L17" i="3"/>
  <c r="L20" i="3"/>
  <c r="L43" i="7" s="1"/>
  <c r="L23" i="3"/>
  <c r="L26" i="3"/>
  <c r="L21" i="7" s="1"/>
  <c r="L29" i="3"/>
  <c r="C4" i="13" s="1"/>
  <c r="D4" i="13" s="1"/>
  <c r="F4" i="13" s="1"/>
  <c r="G4" i="13" s="1"/>
  <c r="L32" i="3"/>
  <c r="L35" i="3"/>
  <c r="L38" i="3"/>
  <c r="C12" i="13" s="1"/>
  <c r="L41" i="3"/>
  <c r="L53" i="7"/>
  <c r="M53" i="7" s="1"/>
  <c r="L10" i="7"/>
  <c r="M10" i="7" s="1"/>
  <c r="L45" i="3"/>
  <c r="L48" i="3"/>
  <c r="L51" i="3"/>
  <c r="L54" i="3"/>
  <c r="L57" i="3"/>
  <c r="L60" i="3"/>
  <c r="L63" i="3"/>
  <c r="L66" i="3"/>
  <c r="L69" i="3"/>
  <c r="L72" i="3"/>
  <c r="L75" i="3"/>
  <c r="L78" i="3"/>
  <c r="L81" i="3"/>
  <c r="L84" i="3"/>
  <c r="L87" i="3"/>
  <c r="L90" i="3"/>
  <c r="L93" i="3"/>
  <c r="L96" i="3"/>
  <c r="L99" i="3"/>
  <c r="L102" i="3"/>
  <c r="L105" i="3"/>
  <c r="L108" i="3"/>
  <c r="L111" i="3"/>
  <c r="L114" i="3"/>
  <c r="L117" i="3"/>
  <c r="L120" i="3"/>
  <c r="L123" i="3"/>
  <c r="L126" i="3"/>
  <c r="L129" i="3"/>
  <c r="L132" i="3"/>
  <c r="L135" i="3"/>
  <c r="L138" i="3"/>
  <c r="L141" i="3"/>
  <c r="L144" i="3"/>
  <c r="L147" i="3"/>
  <c r="L150" i="3"/>
  <c r="L153" i="3"/>
  <c r="L156" i="3"/>
  <c r="L159" i="3"/>
  <c r="L162" i="3"/>
  <c r="L165" i="3"/>
  <c r="L168" i="3"/>
  <c r="L171" i="3"/>
  <c r="L174" i="3"/>
  <c r="L177" i="3"/>
  <c r="L180" i="3"/>
  <c r="L183" i="3"/>
  <c r="L186" i="3"/>
  <c r="L189" i="3"/>
  <c r="L192" i="3"/>
  <c r="L195" i="3"/>
  <c r="L198" i="3"/>
  <c r="L201" i="3"/>
  <c r="L204" i="3"/>
  <c r="L207" i="3"/>
  <c r="L210" i="3"/>
  <c r="L213" i="3"/>
  <c r="L216" i="3"/>
  <c r="L219" i="3"/>
  <c r="L222" i="3"/>
  <c r="L225" i="3"/>
  <c r="L228" i="3"/>
  <c r="L231" i="3"/>
  <c r="L238" i="3"/>
  <c r="L245" i="3"/>
  <c r="L249" i="3"/>
  <c r="L258" i="3"/>
  <c r="L263" i="3"/>
  <c r="L269" i="3"/>
  <c r="L275" i="3"/>
  <c r="L281" i="3"/>
  <c r="L288" i="3"/>
  <c r="L297" i="3"/>
  <c r="L235" i="3"/>
  <c r="L242" i="3"/>
  <c r="L246" i="3"/>
  <c r="L250" i="3"/>
  <c r="L254" i="3"/>
  <c r="L259" i="3"/>
  <c r="L264" i="3"/>
  <c r="L270" i="3"/>
  <c r="L276" i="3"/>
  <c r="L282" i="3"/>
  <c r="L292" i="3"/>
  <c r="M292" i="3"/>
  <c r="L301" i="3"/>
  <c r="M301" i="3"/>
  <c r="L310" i="3"/>
  <c r="M310" i="3"/>
  <c r="L319" i="3"/>
  <c r="M319" i="3"/>
  <c r="L328" i="3"/>
  <c r="M328" i="3"/>
  <c r="L239" i="3"/>
  <c r="L255" i="3"/>
  <c r="L265" i="3"/>
  <c r="L271" i="3"/>
  <c r="L277" i="3"/>
  <c r="L283" i="3"/>
  <c r="L291" i="3"/>
  <c r="L300" i="3"/>
  <c r="M331" i="3"/>
  <c r="M334" i="3"/>
  <c r="M337" i="3"/>
  <c r="M340" i="3"/>
  <c r="M343" i="3"/>
  <c r="M346" i="3"/>
  <c r="M349" i="3"/>
  <c r="M352" i="3"/>
  <c r="M355" i="3"/>
  <c r="M358" i="3"/>
  <c r="M361" i="3"/>
  <c r="M364" i="3"/>
  <c r="M367" i="3"/>
  <c r="M370" i="3"/>
  <c r="M373" i="3"/>
  <c r="M376" i="3"/>
  <c r="M379" i="3"/>
  <c r="M382" i="3"/>
  <c r="M385" i="3"/>
  <c r="M388" i="3"/>
  <c r="M391" i="3"/>
  <c r="M394" i="3"/>
  <c r="M397" i="3"/>
  <c r="M400" i="3"/>
  <c r="M403" i="3"/>
  <c r="M406" i="3"/>
  <c r="M409" i="3"/>
  <c r="M412" i="3"/>
  <c r="M415" i="3"/>
  <c r="M418" i="3"/>
  <c r="M421" i="3"/>
  <c r="M424" i="3"/>
  <c r="M438" i="3"/>
  <c r="M456" i="3"/>
  <c r="M474" i="3"/>
  <c r="M490" i="3"/>
  <c r="L490" i="3"/>
  <c r="M499" i="3"/>
  <c r="L499" i="3"/>
  <c r="M508" i="3"/>
  <c r="L508" i="3"/>
  <c r="M517" i="3"/>
  <c r="L517" i="3"/>
  <c r="M526" i="3"/>
  <c r="L526" i="3"/>
  <c r="M535" i="3"/>
  <c r="L535" i="3"/>
  <c r="M558" i="3"/>
  <c r="L558" i="3"/>
  <c r="M567" i="3"/>
  <c r="L567" i="3"/>
  <c r="M576" i="3"/>
  <c r="L576" i="3"/>
  <c r="M436" i="3"/>
  <c r="M454" i="3"/>
  <c r="M472" i="3"/>
  <c r="M496" i="3"/>
  <c r="L496" i="3"/>
  <c r="M505" i="3"/>
  <c r="L505" i="3"/>
  <c r="M514" i="3"/>
  <c r="L514" i="3"/>
  <c r="M523" i="3"/>
  <c r="L523" i="3"/>
  <c r="M532" i="3"/>
  <c r="L532" i="3"/>
  <c r="M541" i="3"/>
  <c r="L541" i="3"/>
  <c r="M547" i="3"/>
  <c r="L547" i="3"/>
  <c r="M553" i="3"/>
  <c r="L553" i="3"/>
  <c r="L399" i="3"/>
  <c r="L402" i="3"/>
  <c r="L462" i="3"/>
  <c r="L480" i="3"/>
  <c r="M487" i="3"/>
  <c r="L546" i="3"/>
  <c r="L552" i="3"/>
  <c r="M561" i="3"/>
  <c r="L561" i="3"/>
  <c r="M570" i="3"/>
  <c r="L570" i="3"/>
  <c r="M493" i="3"/>
  <c r="L493" i="3"/>
  <c r="M502" i="3"/>
  <c r="L502" i="3"/>
  <c r="M511" i="3"/>
  <c r="L511" i="3"/>
  <c r="M520" i="3"/>
  <c r="L520" i="3"/>
  <c r="M529" i="3"/>
  <c r="L529" i="3"/>
  <c r="M538" i="3"/>
  <c r="L538" i="3"/>
  <c r="M427" i="3"/>
  <c r="M445" i="3"/>
  <c r="M463" i="3"/>
  <c r="M481" i="3"/>
  <c r="M544" i="3"/>
  <c r="L544" i="3"/>
  <c r="M550" i="3"/>
  <c r="L550" i="3"/>
  <c r="M556" i="3"/>
  <c r="L556" i="3"/>
  <c r="M564" i="3"/>
  <c r="L564" i="3"/>
  <c r="M573" i="3"/>
  <c r="L573" i="3"/>
  <c r="M915" i="3"/>
  <c r="M922" i="3"/>
  <c r="M933" i="3"/>
  <c r="L579" i="3"/>
  <c r="L582" i="3"/>
  <c r="L585" i="3"/>
  <c r="L588" i="3"/>
  <c r="L591" i="3"/>
  <c r="L594" i="3"/>
  <c r="L597" i="3"/>
  <c r="L600" i="3"/>
  <c r="L603" i="3"/>
  <c r="L606" i="3"/>
  <c r="L609" i="3"/>
  <c r="L612" i="3"/>
  <c r="L615" i="3"/>
  <c r="L618" i="3"/>
  <c r="L621" i="3"/>
  <c r="L624" i="3"/>
  <c r="L627" i="3"/>
  <c r="L630" i="3"/>
  <c r="L633" i="3"/>
  <c r="L636" i="3"/>
  <c r="L639" i="3"/>
  <c r="L642" i="3"/>
  <c r="L645" i="3"/>
  <c r="L648" i="3"/>
  <c r="L651" i="3"/>
  <c r="L654" i="3"/>
  <c r="L657" i="3"/>
  <c r="L660" i="3"/>
  <c r="L663" i="3"/>
  <c r="L666" i="3"/>
  <c r="L669" i="3"/>
  <c r="L672" i="3"/>
  <c r="L675" i="3"/>
  <c r="L678" i="3"/>
  <c r="L681" i="3"/>
  <c r="L684" i="3"/>
  <c r="L687" i="3"/>
  <c r="L690" i="3"/>
  <c r="L693" i="3"/>
  <c r="L696" i="3"/>
  <c r="L699" i="3"/>
  <c r="L702" i="3"/>
  <c r="L705" i="3"/>
  <c r="L708" i="3"/>
  <c r="L711" i="3"/>
  <c r="L714" i="3"/>
  <c r="L717" i="3"/>
  <c r="L720" i="3"/>
  <c r="L723" i="3"/>
  <c r="L726" i="3"/>
  <c r="L729" i="3"/>
  <c r="L732" i="3"/>
  <c r="L735" i="3"/>
  <c r="L738" i="3"/>
  <c r="L741" i="3"/>
  <c r="L744" i="3"/>
  <c r="L747" i="3"/>
  <c r="L750" i="3"/>
  <c r="L753" i="3"/>
  <c r="L756" i="3"/>
  <c r="M944" i="3"/>
  <c r="L944" i="3"/>
  <c r="M950" i="3"/>
  <c r="L950" i="3"/>
  <c r="M956" i="3"/>
  <c r="L956" i="3"/>
  <c r="M962" i="3"/>
  <c r="L962" i="3"/>
  <c r="M968" i="3"/>
  <c r="L968" i="3"/>
  <c r="M974" i="3"/>
  <c r="L974" i="3"/>
  <c r="M980" i="3"/>
  <c r="L980" i="3"/>
  <c r="M986" i="3"/>
  <c r="L986" i="3"/>
  <c r="M992" i="3"/>
  <c r="L992" i="3"/>
  <c r="M998" i="3"/>
  <c r="L998" i="3"/>
  <c r="M1004" i="3"/>
  <c r="L1004" i="3"/>
  <c r="M1010" i="3"/>
  <c r="L1010" i="3"/>
  <c r="M1016" i="3"/>
  <c r="L1016" i="3"/>
  <c r="M1022" i="3"/>
  <c r="L1022" i="3"/>
  <c r="M1028" i="3"/>
  <c r="L1028" i="3"/>
  <c r="M1034" i="3"/>
  <c r="L1034" i="3"/>
  <c r="M1040" i="3"/>
  <c r="L1040" i="3"/>
  <c r="M1046" i="3"/>
  <c r="L1046" i="3"/>
  <c r="M1052" i="3"/>
  <c r="L1052" i="3"/>
  <c r="M1058" i="3"/>
  <c r="L1058" i="3"/>
  <c r="M1064" i="3"/>
  <c r="L1064" i="3"/>
  <c r="M1070" i="3"/>
  <c r="L1070" i="3"/>
  <c r="M1076" i="3"/>
  <c r="L1076" i="3"/>
  <c r="M1082" i="3"/>
  <c r="L1082" i="3"/>
  <c r="M1088" i="3"/>
  <c r="L1088" i="3"/>
  <c r="M1094" i="3"/>
  <c r="L1094" i="3"/>
  <c r="M1100" i="3"/>
  <c r="L1100" i="3"/>
  <c r="M1106" i="3"/>
  <c r="L1106" i="3"/>
  <c r="L559" i="3"/>
  <c r="L562" i="3"/>
  <c r="L565" i="3"/>
  <c r="L568" i="3"/>
  <c r="L571" i="3"/>
  <c r="L574" i="3"/>
  <c r="L577" i="3"/>
  <c r="L580" i="3"/>
  <c r="L583" i="3"/>
  <c r="L586" i="3"/>
  <c r="L589" i="3"/>
  <c r="L592" i="3"/>
  <c r="L595" i="3"/>
  <c r="L598" i="3"/>
  <c r="L601" i="3"/>
  <c r="L604" i="3"/>
  <c r="L607" i="3"/>
  <c r="L610" i="3"/>
  <c r="L613" i="3"/>
  <c r="L616" i="3"/>
  <c r="L619" i="3"/>
  <c r="L622" i="3"/>
  <c r="L625" i="3"/>
  <c r="L628" i="3"/>
  <c r="L631" i="3"/>
  <c r="L634" i="3"/>
  <c r="L637" i="3"/>
  <c r="L640" i="3"/>
  <c r="L643" i="3"/>
  <c r="L646" i="3"/>
  <c r="L649" i="3"/>
  <c r="L652" i="3"/>
  <c r="L655" i="3"/>
  <c r="L658" i="3"/>
  <c r="L661" i="3"/>
  <c r="L664" i="3"/>
  <c r="L667" i="3"/>
  <c r="L670" i="3"/>
  <c r="L673" i="3"/>
  <c r="L676" i="3"/>
  <c r="L679" i="3"/>
  <c r="L682" i="3"/>
  <c r="L685" i="3"/>
  <c r="L688" i="3"/>
  <c r="L691" i="3"/>
  <c r="L694" i="3"/>
  <c r="L697" i="3"/>
  <c r="L700" i="3"/>
  <c r="L703" i="3"/>
  <c r="L706" i="3"/>
  <c r="L709" i="3"/>
  <c r="L712" i="3"/>
  <c r="L715" i="3"/>
  <c r="L718" i="3"/>
  <c r="L721" i="3"/>
  <c r="L724" i="3"/>
  <c r="L727" i="3"/>
  <c r="L730" i="3"/>
  <c r="L733" i="3"/>
  <c r="L736" i="3"/>
  <c r="L739" i="3"/>
  <c r="L742" i="3"/>
  <c r="L745" i="3"/>
  <c r="L748" i="3"/>
  <c r="L751" i="3"/>
  <c r="L754" i="3"/>
  <c r="L757" i="3"/>
  <c r="L760" i="3"/>
  <c r="L763" i="3"/>
  <c r="L766" i="3"/>
  <c r="L769" i="3"/>
  <c r="L772" i="3"/>
  <c r="L775" i="3"/>
  <c r="L778" i="3"/>
  <c r="L781" i="3"/>
  <c r="L784" i="3"/>
  <c r="L787" i="3"/>
  <c r="L790" i="3"/>
  <c r="L793" i="3"/>
  <c r="L796" i="3"/>
  <c r="L799" i="3"/>
  <c r="L802" i="3"/>
  <c r="L805" i="3"/>
  <c r="L808" i="3"/>
  <c r="L811" i="3"/>
  <c r="L814" i="3"/>
  <c r="L817" i="3"/>
  <c r="L820" i="3"/>
  <c r="L823" i="3"/>
  <c r="L826" i="3"/>
  <c r="L829" i="3"/>
  <c r="L832" i="3"/>
  <c r="L835" i="3"/>
  <c r="L838" i="3"/>
  <c r="L841" i="3"/>
  <c r="L844" i="3"/>
  <c r="L847" i="3"/>
  <c r="L850" i="3"/>
  <c r="L853" i="3"/>
  <c r="L856" i="3"/>
  <c r="L859" i="3"/>
  <c r="L862" i="3"/>
  <c r="L865" i="3"/>
  <c r="L868" i="3"/>
  <c r="L871" i="3"/>
  <c r="L874" i="3"/>
  <c r="L877" i="3"/>
  <c r="L880" i="3"/>
  <c r="L883" i="3"/>
  <c r="L886" i="3"/>
  <c r="L889" i="3"/>
  <c r="L892" i="3"/>
  <c r="L895" i="3"/>
  <c r="L898" i="3"/>
  <c r="L901" i="3"/>
  <c r="L904" i="3"/>
  <c r="L907" i="3"/>
  <c r="L914" i="3"/>
  <c r="L918" i="3"/>
  <c r="L925" i="3"/>
  <c r="L932" i="3"/>
  <c r="L936" i="3"/>
  <c r="L911" i="3"/>
  <c r="L929" i="3"/>
  <c r="L940" i="3"/>
  <c r="M947" i="3"/>
  <c r="L947" i="3"/>
  <c r="M953" i="3"/>
  <c r="L953" i="3"/>
  <c r="M959" i="3"/>
  <c r="L959" i="3"/>
  <c r="M965" i="3"/>
  <c r="L965" i="3"/>
  <c r="M971" i="3"/>
  <c r="L971" i="3"/>
  <c r="M977" i="3"/>
  <c r="L977" i="3"/>
  <c r="M983" i="3"/>
  <c r="L983" i="3"/>
  <c r="M989" i="3"/>
  <c r="L989" i="3"/>
  <c r="M995" i="3"/>
  <c r="L995" i="3"/>
  <c r="M1001" i="3"/>
  <c r="L1001" i="3"/>
  <c r="M1007" i="3"/>
  <c r="L1007" i="3"/>
  <c r="M1013" i="3"/>
  <c r="L1013" i="3"/>
  <c r="M1019" i="3"/>
  <c r="L1019" i="3"/>
  <c r="M1025" i="3"/>
  <c r="L1025" i="3"/>
  <c r="M1031" i="3"/>
  <c r="L1031" i="3"/>
  <c r="M1037" i="3"/>
  <c r="L1037" i="3"/>
  <c r="M1043" i="3"/>
  <c r="L1043" i="3"/>
  <c r="M1049" i="3"/>
  <c r="L1049" i="3"/>
  <c r="M1055" i="3"/>
  <c r="L1055" i="3"/>
  <c r="M1061" i="3"/>
  <c r="L1061" i="3"/>
  <c r="M1067" i="3"/>
  <c r="L1067" i="3"/>
  <c r="M1073" i="3"/>
  <c r="L1073" i="3"/>
  <c r="M1079" i="3"/>
  <c r="L1079" i="3"/>
  <c r="M1085" i="3"/>
  <c r="L1085" i="3"/>
  <c r="M1091" i="3"/>
  <c r="L1091" i="3"/>
  <c r="M1097" i="3"/>
  <c r="L1097" i="3"/>
  <c r="M1103" i="3"/>
  <c r="L1103" i="3"/>
  <c r="M1248" i="3"/>
  <c r="M1262" i="3"/>
  <c r="M1266" i="3"/>
  <c r="M1280" i="3"/>
  <c r="M1284" i="3"/>
  <c r="M1298" i="3"/>
  <c r="M1302" i="3"/>
  <c r="M1316" i="3"/>
  <c r="M1320" i="3"/>
  <c r="M1334" i="3"/>
  <c r="M1338" i="3"/>
  <c r="M1352" i="3"/>
  <c r="M1356" i="3"/>
  <c r="M1370" i="3"/>
  <c r="M1374" i="3"/>
  <c r="M1388" i="3"/>
  <c r="M1392" i="3"/>
  <c r="M1406" i="3"/>
  <c r="M1415" i="3"/>
  <c r="M1424" i="3"/>
  <c r="M1433" i="3"/>
  <c r="M1442" i="3"/>
  <c r="M1458" i="3"/>
  <c r="L1458" i="3"/>
  <c r="M1464" i="3"/>
  <c r="L1464" i="3"/>
  <c r="M1470" i="3"/>
  <c r="L1470" i="3"/>
  <c r="M1476" i="3"/>
  <c r="L1476" i="3"/>
  <c r="M1482" i="3"/>
  <c r="L1482" i="3"/>
  <c r="M1488" i="3"/>
  <c r="L1488" i="3"/>
  <c r="M1494" i="3"/>
  <c r="L1494" i="3"/>
  <c r="M1500" i="3"/>
  <c r="L1500" i="3"/>
  <c r="M1506" i="3"/>
  <c r="L1506" i="3"/>
  <c r="M1512" i="3"/>
  <c r="L1512" i="3"/>
  <c r="M1518" i="3"/>
  <c r="L1518" i="3"/>
  <c r="M1413" i="3"/>
  <c r="L1413" i="3"/>
  <c r="M1422" i="3"/>
  <c r="L1422" i="3"/>
  <c r="M1431" i="3"/>
  <c r="L1431" i="3"/>
  <c r="M1440" i="3"/>
  <c r="L1440" i="3"/>
  <c r="M1449" i="3"/>
  <c r="L1449" i="3"/>
  <c r="L1250" i="3"/>
  <c r="M1257" i="3"/>
  <c r="L1268" i="3"/>
  <c r="M1275" i="3"/>
  <c r="L1286" i="3"/>
  <c r="M1293" i="3"/>
  <c r="L1304" i="3"/>
  <c r="M1311" i="3"/>
  <c r="L1322" i="3"/>
  <c r="M1329" i="3"/>
  <c r="L1340" i="3"/>
  <c r="M1347" i="3"/>
  <c r="L1358" i="3"/>
  <c r="M1365" i="3"/>
  <c r="L1376" i="3"/>
  <c r="M1383" i="3"/>
  <c r="L1394" i="3"/>
  <c r="M1401" i="3"/>
  <c r="L1409" i="3"/>
  <c r="M1410" i="3"/>
  <c r="L1410" i="3"/>
  <c r="L1418" i="3"/>
  <c r="M1419" i="3"/>
  <c r="L1419" i="3"/>
  <c r="L1427" i="3"/>
  <c r="M1428" i="3"/>
  <c r="L1428" i="3"/>
  <c r="L1436" i="3"/>
  <c r="M1437" i="3"/>
  <c r="L1437" i="3"/>
  <c r="L1445" i="3"/>
  <c r="M1446" i="3"/>
  <c r="L1446" i="3"/>
  <c r="M1455" i="3"/>
  <c r="L1455" i="3"/>
  <c r="M1461" i="3"/>
  <c r="L1461" i="3"/>
  <c r="M1467" i="3"/>
  <c r="L1467" i="3"/>
  <c r="M1473" i="3"/>
  <c r="L1473" i="3"/>
  <c r="M1479" i="3"/>
  <c r="L1479" i="3"/>
  <c r="M1485" i="3"/>
  <c r="L1485" i="3"/>
  <c r="M1491" i="3"/>
  <c r="L1491" i="3"/>
  <c r="M1497" i="3"/>
  <c r="L1497" i="3"/>
  <c r="M1503" i="3"/>
  <c r="L1503" i="3"/>
  <c r="M1509" i="3"/>
  <c r="L1509" i="3"/>
  <c r="M1515" i="3"/>
  <c r="L1515" i="3"/>
  <c r="L1109" i="3"/>
  <c r="L1112" i="3"/>
  <c r="L1115" i="3"/>
  <c r="L1118" i="3"/>
  <c r="L1121" i="3"/>
  <c r="L1124" i="3"/>
  <c r="L1127" i="3"/>
  <c r="L1130" i="3"/>
  <c r="L1133" i="3"/>
  <c r="L1136" i="3"/>
  <c r="L1139" i="3"/>
  <c r="L1142" i="3"/>
  <c r="L1145" i="3"/>
  <c r="L1148" i="3"/>
  <c r="L1151" i="3"/>
  <c r="L1154" i="3"/>
  <c r="L1157" i="3"/>
  <c r="L1160" i="3"/>
  <c r="L1163" i="3"/>
  <c r="L1166" i="3"/>
  <c r="L1169" i="3"/>
  <c r="L1172" i="3"/>
  <c r="L1175" i="3"/>
  <c r="L1178" i="3"/>
  <c r="L1181" i="3"/>
  <c r="L1184" i="3"/>
  <c r="L1187" i="3"/>
  <c r="L1190" i="3"/>
  <c r="L1193" i="3"/>
  <c r="L1196" i="3"/>
  <c r="L1199" i="3"/>
  <c r="L1202" i="3"/>
  <c r="L1205" i="3"/>
  <c r="L1208" i="3"/>
  <c r="L1211" i="3"/>
  <c r="L1214" i="3"/>
  <c r="L1217" i="3"/>
  <c r="L1220" i="3"/>
  <c r="L1223" i="3"/>
  <c r="L1226" i="3"/>
  <c r="L1229" i="3"/>
  <c r="L1232" i="3"/>
  <c r="L1235" i="3"/>
  <c r="L1238" i="3"/>
  <c r="L1241" i="3"/>
  <c r="L1244" i="3"/>
  <c r="L1247" i="3"/>
  <c r="M1254" i="3"/>
  <c r="L1265" i="3"/>
  <c r="M1272" i="3"/>
  <c r="L1283" i="3"/>
  <c r="M1290" i="3"/>
  <c r="L1301" i="3"/>
  <c r="M1308" i="3"/>
  <c r="L1319" i="3"/>
  <c r="M1326" i="3"/>
  <c r="L1337" i="3"/>
  <c r="M1344" i="3"/>
  <c r="L1355" i="3"/>
  <c r="M1362" i="3"/>
  <c r="L1373" i="3"/>
  <c r="M1380" i="3"/>
  <c r="L1391" i="3"/>
  <c r="M1398" i="3"/>
  <c r="M1251" i="3"/>
  <c r="M1269" i="3"/>
  <c r="M1287" i="3"/>
  <c r="M1305" i="3"/>
  <c r="M1323" i="3"/>
  <c r="M1341" i="3"/>
  <c r="M1359" i="3"/>
  <c r="M1377" i="3"/>
  <c r="M1395" i="3"/>
  <c r="M1407" i="3"/>
  <c r="L1407" i="3"/>
  <c r="M1416" i="3"/>
  <c r="L1416" i="3"/>
  <c r="M1425" i="3"/>
  <c r="L1425" i="3"/>
  <c r="M1434" i="3"/>
  <c r="L1434" i="3"/>
  <c r="M1443" i="3"/>
  <c r="L1443" i="3"/>
  <c r="M1452" i="3"/>
  <c r="L1452" i="3"/>
  <c r="M1651" i="3"/>
  <c r="L1684" i="3"/>
  <c r="M1684" i="3"/>
  <c r="L1690" i="3"/>
  <c r="M1690" i="3"/>
  <c r="L1696" i="3"/>
  <c r="M1696" i="3"/>
  <c r="L1702" i="3"/>
  <c r="M1702" i="3"/>
  <c r="L1708" i="3"/>
  <c r="M1708" i="3"/>
  <c r="L1714" i="3"/>
  <c r="M1714" i="3"/>
  <c r="L1720" i="3"/>
  <c r="M1720" i="3"/>
  <c r="L1726" i="3"/>
  <c r="M1726" i="3"/>
  <c r="L1732" i="3"/>
  <c r="M1732" i="3"/>
  <c r="L1738" i="3"/>
  <c r="M1738" i="3"/>
  <c r="L1744" i="3"/>
  <c r="M1744" i="3"/>
  <c r="L1750" i="3"/>
  <c r="M1750" i="3"/>
  <c r="L1756" i="3"/>
  <c r="M1756" i="3"/>
  <c r="L1762" i="3"/>
  <c r="M1762" i="3"/>
  <c r="L1768" i="3"/>
  <c r="M1768" i="3"/>
  <c r="L1774" i="3"/>
  <c r="M1774" i="3"/>
  <c r="L1780" i="3"/>
  <c r="M1780" i="3"/>
  <c r="L1786" i="3"/>
  <c r="M1786" i="3"/>
  <c r="L1792" i="3"/>
  <c r="M1792" i="3"/>
  <c r="L1681" i="3"/>
  <c r="M1681" i="3"/>
  <c r="L1687" i="3"/>
  <c r="M1687" i="3"/>
  <c r="L1693" i="3"/>
  <c r="M1693" i="3"/>
  <c r="L1699" i="3"/>
  <c r="M1699" i="3"/>
  <c r="L1705" i="3"/>
  <c r="M1705" i="3"/>
  <c r="L1711" i="3"/>
  <c r="M1711" i="3"/>
  <c r="L1717" i="3"/>
  <c r="M1717" i="3"/>
  <c r="L1723" i="3"/>
  <c r="M1723" i="3"/>
  <c r="L1729" i="3"/>
  <c r="M1729" i="3"/>
  <c r="L1735" i="3"/>
  <c r="M1735" i="3"/>
  <c r="L1741" i="3"/>
  <c r="M1741" i="3"/>
  <c r="L1747" i="3"/>
  <c r="M1747" i="3"/>
  <c r="L1753" i="3"/>
  <c r="M1753" i="3"/>
  <c r="L1759" i="3"/>
  <c r="M1759" i="3"/>
  <c r="L1765" i="3"/>
  <c r="M1765" i="3"/>
  <c r="L1771" i="3"/>
  <c r="M1771" i="3"/>
  <c r="L1777" i="3"/>
  <c r="M1777" i="3"/>
  <c r="L1783" i="3"/>
  <c r="M1783" i="3"/>
  <c r="L1789" i="3"/>
  <c r="M1789" i="3"/>
  <c r="L1795" i="3"/>
  <c r="M1795" i="3"/>
  <c r="L1521" i="3"/>
  <c r="L1524" i="3"/>
  <c r="L1527" i="3"/>
  <c r="L1530" i="3"/>
  <c r="L1533" i="3"/>
  <c r="L1536" i="3"/>
  <c r="L1539" i="3"/>
  <c r="L1542" i="3"/>
  <c r="L1545" i="3"/>
  <c r="L1548" i="3"/>
  <c r="L1551" i="3"/>
  <c r="L1554" i="3"/>
  <c r="L1557" i="3"/>
  <c r="L1560" i="3"/>
  <c r="L1563" i="3"/>
  <c r="L1566" i="3"/>
  <c r="L1569" i="3"/>
  <c r="L1572" i="3"/>
  <c r="L1575" i="3"/>
  <c r="L1578" i="3"/>
  <c r="L1581" i="3"/>
  <c r="L1584" i="3"/>
  <c r="L1587" i="3"/>
  <c r="L1590" i="3"/>
  <c r="L1593" i="3"/>
  <c r="L1596" i="3"/>
  <c r="L1599" i="3"/>
  <c r="L1602" i="3"/>
  <c r="L1605" i="3"/>
  <c r="L1608" i="3"/>
  <c r="L1611" i="3"/>
  <c r="L1614" i="3"/>
  <c r="L1617" i="3"/>
  <c r="L1620" i="3"/>
  <c r="L1623" i="3"/>
  <c r="L1626" i="3"/>
  <c r="L1629" i="3"/>
  <c r="L1632" i="3"/>
  <c r="L1635" i="3"/>
  <c r="L1638" i="3"/>
  <c r="L1641" i="3"/>
  <c r="L1644" i="3"/>
  <c r="L1647" i="3"/>
  <c r="L1650" i="3"/>
  <c r="L1654" i="3"/>
  <c r="L1662" i="3"/>
  <c r="L1671" i="3"/>
  <c r="L1680" i="3"/>
  <c r="L1686" i="3"/>
  <c r="L1692" i="3"/>
  <c r="L1698" i="3"/>
  <c r="L1704" i="3"/>
  <c r="L1710" i="3"/>
  <c r="L1716" i="3"/>
  <c r="L1722" i="3"/>
  <c r="L1728" i="3"/>
  <c r="L1734" i="3"/>
  <c r="L1740" i="3"/>
  <c r="L1746" i="3"/>
  <c r="L1752" i="3"/>
  <c r="L1758" i="3"/>
  <c r="L1764" i="3"/>
  <c r="M1663" i="3"/>
  <c r="M1672" i="3"/>
  <c r="M1798" i="3"/>
  <c r="M1801" i="3"/>
  <c r="M1804" i="3"/>
  <c r="M1807" i="3"/>
  <c r="M1810" i="3"/>
  <c r="M1813" i="3"/>
  <c r="M1816" i="3"/>
  <c r="M1819" i="3"/>
  <c r="M1822" i="3"/>
  <c r="M1825" i="3"/>
  <c r="M1828" i="3"/>
  <c r="M1831" i="3"/>
  <c r="M1834" i="3"/>
  <c r="M1837" i="3"/>
  <c r="M1840" i="3"/>
  <c r="M1843" i="3"/>
  <c r="M1846" i="3"/>
  <c r="M1849" i="3"/>
  <c r="M1852" i="3"/>
  <c r="M1855" i="3"/>
  <c r="M1858" i="3"/>
  <c r="M1861" i="3"/>
  <c r="M1864" i="3"/>
  <c r="M1867" i="3"/>
  <c r="M1870" i="3"/>
  <c r="M1873" i="3"/>
  <c r="M1876" i="3"/>
  <c r="M1879" i="3"/>
  <c r="M1882" i="3"/>
  <c r="M1885" i="3"/>
  <c r="M1888" i="3"/>
  <c r="M1891" i="3"/>
  <c r="M1894" i="3"/>
  <c r="M1897" i="3"/>
  <c r="M1900" i="3"/>
  <c r="E38" i="7"/>
  <c r="D27" i="5"/>
  <c r="F37" i="7"/>
  <c r="F17" i="5"/>
  <c r="E11" i="7"/>
  <c r="F14" i="7"/>
  <c r="E14" i="7"/>
  <c r="F12" i="7"/>
  <c r="E12" i="7"/>
  <c r="E5" i="7"/>
  <c r="E13" i="13"/>
  <c r="L57" i="7"/>
  <c r="M57" i="7" s="1"/>
  <c r="M22" i="7"/>
  <c r="E9" i="7"/>
  <c r="F9" i="7"/>
  <c r="F15" i="7"/>
  <c r="E15" i="7"/>
  <c r="B6" i="10"/>
  <c r="E6" i="7"/>
  <c r="F6" i="7"/>
  <c r="F13" i="7"/>
  <c r="E13" i="7"/>
  <c r="D19" i="7"/>
  <c r="D25" i="7"/>
  <c r="D16" i="7"/>
  <c r="E16" i="7" s="1"/>
  <c r="D22" i="7"/>
  <c r="D26" i="7"/>
  <c r="D17" i="7"/>
  <c r="D20" i="7"/>
  <c r="D23" i="7"/>
  <c r="E8" i="7"/>
  <c r="C5" i="10"/>
  <c r="F10" i="7"/>
  <c r="D18" i="7"/>
  <c r="D24" i="7"/>
  <c r="C57" i="7"/>
  <c r="D28" i="7"/>
  <c r="D30" i="7"/>
  <c r="D32" i="7"/>
  <c r="D34" i="7"/>
  <c r="D40" i="7"/>
  <c r="D42" i="7"/>
  <c r="D44" i="7"/>
  <c r="D46" i="7"/>
  <c r="D48" i="7"/>
  <c r="D50" i="7"/>
  <c r="D55" i="7"/>
  <c r="D53" i="7"/>
  <c r="I15" i="5"/>
  <c r="D7" i="7"/>
  <c r="F11" i="7"/>
  <c r="D27" i="7"/>
  <c r="D29" i="7"/>
  <c r="D31" i="7"/>
  <c r="D33" i="7"/>
  <c r="D35" i="7"/>
  <c r="D41" i="7"/>
  <c r="D45" i="7"/>
  <c r="D47" i="7"/>
  <c r="D49" i="7"/>
  <c r="D51" i="7"/>
  <c r="D54" i="7"/>
  <c r="D57" i="7"/>
  <c r="L4" i="8"/>
  <c r="B4" i="10"/>
  <c r="M21" i="7" l="1"/>
  <c r="M43" i="7"/>
  <c r="M4" i="7"/>
  <c r="B14" i="13"/>
  <c r="B21" i="13" s="1"/>
  <c r="E4" i="7"/>
  <c r="C4" i="10"/>
  <c r="D4" i="10" s="1"/>
  <c r="E4" i="10" s="1"/>
  <c r="E39" i="7"/>
  <c r="M39" i="7"/>
  <c r="C14" i="13"/>
  <c r="D36" i="7"/>
  <c r="F36" i="7" s="1"/>
  <c r="M52" i="7"/>
  <c r="C20" i="13"/>
  <c r="D20" i="13" s="1"/>
  <c r="L55" i="7"/>
  <c r="M55" i="7" s="1"/>
  <c r="C9" i="13"/>
  <c r="D9" i="13" s="1"/>
  <c r="L8" i="7"/>
  <c r="M8" i="7" s="1"/>
  <c r="L20" i="7"/>
  <c r="M20" i="7" s="1"/>
  <c r="L25" i="7"/>
  <c r="M25" i="7" s="1"/>
  <c r="C7" i="13"/>
  <c r="D7" i="13" s="1"/>
  <c r="L44" i="7"/>
  <c r="M44" i="7" s="1"/>
  <c r="L38" i="7"/>
  <c r="M38" i="7" s="1"/>
  <c r="C5" i="13"/>
  <c r="D5" i="13" s="1"/>
  <c r="C6" i="13"/>
  <c r="D6" i="13" s="1"/>
  <c r="L17" i="7"/>
  <c r="M17" i="7" s="1"/>
  <c r="L34" i="7"/>
  <c r="M34" i="7" s="1"/>
  <c r="M36" i="7"/>
  <c r="D18" i="13"/>
  <c r="F18" i="13" s="1"/>
  <c r="G18" i="13" s="1"/>
  <c r="D19" i="13"/>
  <c r="F19" i="13" s="1"/>
  <c r="G19" i="13" s="1"/>
  <c r="D12" i="13"/>
  <c r="D15" i="13"/>
  <c r="F15" i="13" s="1"/>
  <c r="G15" i="13" s="1"/>
  <c r="D8" i="13"/>
  <c r="F8" i="13" s="1"/>
  <c r="G8" i="13" s="1"/>
  <c r="D13" i="13"/>
  <c r="F13" i="13" s="1"/>
  <c r="G13" i="13" s="1"/>
  <c r="D16" i="13"/>
  <c r="D11" i="13"/>
  <c r="F16" i="7"/>
  <c r="E49" i="7"/>
  <c r="F49" i="7"/>
  <c r="C16" i="10"/>
  <c r="E43" i="7"/>
  <c r="F43" i="7"/>
  <c r="E27" i="7"/>
  <c r="F27" i="7"/>
  <c r="E50" i="7"/>
  <c r="C18" i="10"/>
  <c r="F50" i="7"/>
  <c r="E34" i="7"/>
  <c r="F34" i="7"/>
  <c r="C8" i="10"/>
  <c r="E23" i="7"/>
  <c r="F23" i="7"/>
  <c r="E48" i="7"/>
  <c r="F48" i="7"/>
  <c r="E26" i="7"/>
  <c r="F26" i="7"/>
  <c r="J15" i="5"/>
  <c r="K15" i="5" s="1"/>
  <c r="E19" i="7"/>
  <c r="F19" i="7"/>
  <c r="E53" i="7"/>
  <c r="F53" i="7"/>
  <c r="E47" i="7"/>
  <c r="F47" i="7"/>
  <c r="E31" i="7"/>
  <c r="F31" i="7"/>
  <c r="D17" i="13"/>
  <c r="F17" i="13" s="1"/>
  <c r="G17" i="13" s="1"/>
  <c r="E55" i="7"/>
  <c r="F55" i="7"/>
  <c r="C15" i="10"/>
  <c r="E42" i="7"/>
  <c r="F42" i="7"/>
  <c r="E32" i="7"/>
  <c r="F32" i="7"/>
  <c r="E21" i="7"/>
  <c r="F21" i="7"/>
  <c r="E20" i="7"/>
  <c r="C7" i="10"/>
  <c r="F20" i="7"/>
  <c r="I14" i="5"/>
  <c r="G6" i="5"/>
  <c r="D5" i="10"/>
  <c r="E5" i="10" s="1"/>
  <c r="D10" i="13"/>
  <c r="F10" i="13" s="1"/>
  <c r="G10" i="13" s="1"/>
  <c r="C6" i="10"/>
  <c r="C12" i="10"/>
  <c r="E33" i="7"/>
  <c r="F33" i="7"/>
  <c r="E44" i="7"/>
  <c r="F44" i="7"/>
  <c r="E28" i="7"/>
  <c r="C10" i="10"/>
  <c r="F28" i="7"/>
  <c r="E24" i="7"/>
  <c r="F24" i="7"/>
  <c r="I16" i="5"/>
  <c r="E41" i="7"/>
  <c r="F41" i="7"/>
  <c r="E57" i="7"/>
  <c r="F57" i="7" s="1"/>
  <c r="D6" i="5"/>
  <c r="C19" i="10"/>
  <c r="E51" i="7"/>
  <c r="F51" i="7"/>
  <c r="E45" i="7"/>
  <c r="F45" i="7"/>
  <c r="E35" i="7"/>
  <c r="F35" i="7"/>
  <c r="E29" i="7"/>
  <c r="F29" i="7"/>
  <c r="F7" i="7"/>
  <c r="E7" i="7"/>
  <c r="C20" i="10"/>
  <c r="E52" i="7"/>
  <c r="F52" i="7"/>
  <c r="E46" i="7"/>
  <c r="F46" i="7"/>
  <c r="C17" i="10"/>
  <c r="C14" i="10"/>
  <c r="E40" i="7"/>
  <c r="F40" i="7"/>
  <c r="E30" i="7"/>
  <c r="C11" i="10"/>
  <c r="F30" i="7"/>
  <c r="E18" i="7"/>
  <c r="F18" i="7"/>
  <c r="E17" i="7"/>
  <c r="F17" i="7"/>
  <c r="E25" i="7"/>
  <c r="C9" i="10"/>
  <c r="F25" i="7"/>
  <c r="E54" i="7"/>
  <c r="F54" i="7"/>
  <c r="E22" i="7"/>
  <c r="F22" i="7"/>
  <c r="E4" i="13"/>
  <c r="J14" i="5" l="1"/>
  <c r="K14" i="5" s="1"/>
  <c r="E36" i="7"/>
  <c r="C13" i="10"/>
  <c r="J21" i="5" s="1"/>
  <c r="K21" i="5" s="1"/>
  <c r="H4" i="10"/>
  <c r="G4" i="10"/>
  <c r="F9" i="13"/>
  <c r="G9" i="13" s="1"/>
  <c r="E9" i="13"/>
  <c r="F20" i="13"/>
  <c r="G20" i="13" s="1"/>
  <c r="E20" i="13"/>
  <c r="F5" i="13"/>
  <c r="G5" i="13" s="1"/>
  <c r="E5" i="13"/>
  <c r="F11" i="13"/>
  <c r="G11" i="13" s="1"/>
  <c r="E11" i="13"/>
  <c r="F16" i="13"/>
  <c r="G16" i="13" s="1"/>
  <c r="E16" i="13"/>
  <c r="F6" i="13"/>
  <c r="G6" i="13" s="1"/>
  <c r="E6" i="13"/>
  <c r="F7" i="13"/>
  <c r="G7" i="13" s="1"/>
  <c r="E7" i="13"/>
  <c r="F12" i="13"/>
  <c r="G12" i="13" s="1"/>
  <c r="E12" i="13"/>
  <c r="D14" i="13"/>
  <c r="E14" i="13" s="1"/>
  <c r="C21" i="13"/>
  <c r="H5" i="10"/>
  <c r="G5" i="10"/>
  <c r="B28" i="5"/>
  <c r="D28" i="5" s="1"/>
  <c r="D11" i="10"/>
  <c r="E11" i="10" s="1"/>
  <c r="G10" i="10"/>
  <c r="H10" i="10"/>
  <c r="D10" i="10"/>
  <c r="E10" i="10"/>
  <c r="J20" i="5"/>
  <c r="K20" i="5" s="1"/>
  <c r="H12" i="10"/>
  <c r="G12" i="10"/>
  <c r="D12" i="10"/>
  <c r="E12" i="10" s="1"/>
  <c r="G18" i="10"/>
  <c r="H18" i="10"/>
  <c r="E18" i="10"/>
  <c r="D18" i="10"/>
  <c r="D16" i="10"/>
  <c r="E16" i="10" s="1"/>
  <c r="J18" i="5"/>
  <c r="K18" i="5" s="1"/>
  <c r="J16" i="5"/>
  <c r="K16" i="5" s="1"/>
  <c r="H15" i="10"/>
  <c r="G15" i="10"/>
  <c r="D15" i="10"/>
  <c r="E15" i="10" s="1"/>
  <c r="D14" i="10"/>
  <c r="H14" i="10"/>
  <c r="E14" i="10"/>
  <c r="G14" i="10"/>
  <c r="J22" i="5"/>
  <c r="K22" i="5" s="1"/>
  <c r="D20" i="10"/>
  <c r="E20" i="10" s="1"/>
  <c r="H19" i="10"/>
  <c r="G19" i="10"/>
  <c r="D19" i="10"/>
  <c r="E19" i="10"/>
  <c r="D6" i="10"/>
  <c r="E6" i="10" s="1"/>
  <c r="J10" i="5"/>
  <c r="J6" i="5"/>
  <c r="F16" i="5"/>
  <c r="F18" i="5"/>
  <c r="H9" i="10"/>
  <c r="G9" i="10"/>
  <c r="D9" i="10"/>
  <c r="E9" i="10" s="1"/>
  <c r="G17" i="10"/>
  <c r="H17" i="10"/>
  <c r="D17" i="10"/>
  <c r="E17" i="10" s="1"/>
  <c r="J19" i="5"/>
  <c r="K19" i="5" s="1"/>
  <c r="D7" i="10"/>
  <c r="E7" i="10" s="1"/>
  <c r="J17" i="5"/>
  <c r="K17" i="5" s="1"/>
  <c r="H8" i="10"/>
  <c r="G8" i="10"/>
  <c r="D8" i="10"/>
  <c r="E8" i="10"/>
  <c r="H11" i="10" l="1"/>
  <c r="G11" i="10"/>
  <c r="G16" i="10"/>
  <c r="H16" i="10"/>
  <c r="F11" i="10"/>
  <c r="F18" i="10"/>
  <c r="F19" i="10"/>
  <c r="F16" i="10"/>
  <c r="F9" i="10"/>
  <c r="F14" i="10"/>
  <c r="F17" i="10"/>
  <c r="F6" i="10"/>
  <c r="F10" i="10"/>
  <c r="D13" i="10"/>
  <c r="H13" i="10" s="1"/>
  <c r="F8" i="10"/>
  <c r="F15" i="10"/>
  <c r="E13" i="10"/>
  <c r="G13" i="10" s="1"/>
  <c r="F5" i="10"/>
  <c r="F13" i="10"/>
  <c r="F20" i="10"/>
  <c r="F12" i="10"/>
  <c r="F7" i="10"/>
  <c r="F4" i="10"/>
  <c r="H6" i="10"/>
  <c r="G6" i="10"/>
  <c r="G20" i="10"/>
  <c r="H20" i="10"/>
  <c r="G7" i="10"/>
  <c r="H7" i="10"/>
  <c r="D21" i="13"/>
  <c r="F21" i="13" s="1"/>
  <c r="F14" i="13"/>
  <c r="G14" i="13" s="1"/>
  <c r="E21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FE2970-1118-40D6-9F74-1D32B74919C6}" keepAlive="1" name="Query - bk_download20260809" description="Connection to the 'bk_download20260809' query in the workbook." type="5" refreshedVersion="0" background="1" saveData="1">
    <dbPr connection="Provider=Microsoft.Mashup.OleDb.1;Data Source=$Workbook$;Location=bk_download20260809;Extended Properties=&quot;&quot;" command="SELECT * FROM [bk_download20260809]"/>
  </connection>
</connections>
</file>

<file path=xl/sharedStrings.xml><?xml version="1.0" encoding="utf-8"?>
<sst xmlns="http://schemas.openxmlformats.org/spreadsheetml/2006/main" count="1233" uniqueCount="447">
  <si>
    <t>HOW TO USE THIS HOUSEHOLD BUDGET WORKBOOK</t>
  </si>
  <si>
    <t>Step</t>
  </si>
  <si>
    <t>What to do</t>
  </si>
  <si>
    <t>Where</t>
  </si>
  <si>
    <t>Important detail</t>
  </si>
  <si>
    <t>1</t>
  </si>
  <si>
    <t>Set the budget month and minimum checking buffer.</t>
  </si>
  <si>
    <t>Setup</t>
  </si>
  <si>
    <t>Use the first day of the month, such as 12/1/2020.</t>
  </si>
  <si>
    <t>2</t>
  </si>
  <si>
    <t>Enter up to seven income sources and choose each payment frequency.</t>
  </si>
  <si>
    <t>Monthly Equivalent calculates automatically.</t>
  </si>
  <si>
    <t>3</t>
  </si>
  <si>
    <t>Enter planned amounts, priorities, due days, and fixed/variable status.</t>
  </si>
  <si>
    <t>Budget Plan</t>
  </si>
  <si>
    <t>Blue-font cells are intended for user input.</t>
  </si>
  <si>
    <t>4</t>
  </si>
  <si>
    <t>Paste a bank export into columns A:G without changing the headers.</t>
  </si>
  <si>
    <t>bk_download</t>
  </si>
  <si>
    <t>You may paste thousands of rows. Formulas in H:P standardize the data.</t>
  </si>
  <si>
    <t>5</t>
  </si>
  <si>
    <t>Review Budget Category, Subcategory, and Include? on imported transactions.</t>
  </si>
  <si>
    <t>Transfers and forecasted items default to No. Change misclassified items manually.</t>
  </si>
  <si>
    <t>6</t>
  </si>
  <si>
    <t>Filter by Month, Category, Account, or Include? to review transactions.</t>
  </si>
  <si>
    <t>Expense Amount converts bank negatives into positive spending.</t>
  </si>
  <si>
    <t>7</t>
  </si>
  <si>
    <t>Review actual spending, remaining budget, and category variance.</t>
  </si>
  <si>
    <t>Budget Plan / Monthly Summary</t>
  </si>
  <si>
    <t>Actuals are pulled directly from included bank transactions.</t>
  </si>
  <si>
    <t>8</t>
  </si>
  <si>
    <t>Enter debt balances, APRs, minimums, and due dates.</t>
  </si>
  <si>
    <t>Debts</t>
  </si>
  <si>
    <t>The selected strategy ranks debts and assigns available extra cash.</t>
  </si>
  <si>
    <t>9</t>
  </si>
  <si>
    <t>Enter savings goals and planned monthly contributions.</t>
  </si>
  <si>
    <t>Goals</t>
  </si>
  <si>
    <t>The sheet calculates required savings and feasibility.</t>
  </si>
  <si>
    <t>10</t>
  </si>
  <si>
    <t>Use the Dashboard for payment order and financial-health warnings.</t>
  </si>
  <si>
    <t>Dashboard</t>
  </si>
  <si>
    <t>Recommendations depend on the completeness of income, budget, debt, and goal inputs.</t>
  </si>
  <si>
    <t>Color</t>
  </si>
  <si>
    <t>Meaning</t>
  </si>
  <si>
    <t>Blue text</t>
  </si>
  <si>
    <t>User-entered assumptions or editable inputs</t>
  </si>
  <si>
    <t>Green text</t>
  </si>
  <si>
    <t>Formula linked to another worksheet</t>
  </si>
  <si>
    <t>Black text</t>
  </si>
  <si>
    <t>Formula or calculation</t>
  </si>
  <si>
    <t>Yellow fill</t>
  </si>
  <si>
    <t>Key setting that should be reviewed</t>
  </si>
  <si>
    <t>Bank Import Notes</t>
  </si>
  <si>
    <t>Supported structure</t>
  </si>
  <si>
    <t>The existing bank export uses status, date, transaction description, category, and amount.</t>
  </si>
  <si>
    <t>Different bank formats</t>
  </si>
  <si>
    <t>Rearrange the exported columns to match A:G or paste into the corresponding columns.</t>
  </si>
  <si>
    <t>Duplicates</t>
  </si>
  <si>
    <t>Possible duplicate rows are flagged in Review Note. Set Include? to No for any confirmed duplicate.</t>
  </si>
  <si>
    <t>MANUAL ACTUALS WORKFLOW</t>
  </si>
  <si>
    <t>During the month</t>
  </si>
  <si>
    <t>Enter spending in Manual Actuals. Use positive expense amounts, select category/subcategory, and set Include? to Yes.</t>
  </si>
  <si>
    <t>Live reporting</t>
  </si>
  <si>
    <t>Keep Setup!B8 set to Manual (Live). Dashboard and Budget Plan use manual entries immediately.</t>
  </si>
  <si>
    <t>Month-end import</t>
  </si>
  <si>
    <t>Paste the bank export into bk_download and review the mapped categories and Include? flags.</t>
  </si>
  <si>
    <t>Reconcile</t>
  </si>
  <si>
    <t>Use the Reconciliation sheet to compare manual entries against bank totals by category.</t>
  </si>
  <si>
    <t>Close the month</t>
  </si>
  <si>
    <t>After differences are resolved, change Setup!B8 to Bank (Closed). Reports then use bank transactions as final actuals.</t>
  </si>
  <si>
    <t>No double counting</t>
  </si>
  <si>
    <t>The source selector chooses manual OR bank actuals; it does not add them together.</t>
  </si>
  <si>
    <t>HOUSEHOLD FINANCIAL DASHBOARD</t>
  </si>
  <si>
    <t>Monthly Income</t>
  </si>
  <si>
    <t>Planned Expenses</t>
  </si>
  <si>
    <t>Actual Expenses (Selected Source)</t>
  </si>
  <si>
    <t>Actual Cash Flow</t>
  </si>
  <si>
    <t>Planned Surplus</t>
  </si>
  <si>
    <t>Total Debt</t>
  </si>
  <si>
    <t>Goal Contributions</t>
  </si>
  <si>
    <t>Available for Extra Debt</t>
  </si>
  <si>
    <t>PAYMENT PRIORITY RECOMMENDATION</t>
  </si>
  <si>
    <t>Category</t>
  </si>
  <si>
    <t>Planned</t>
  </si>
  <si>
    <t>Actual</t>
  </si>
  <si>
    <t>Remaining</t>
  </si>
  <si>
    <t>Priority</t>
  </si>
  <si>
    <t>Action</t>
  </si>
  <si>
    <t>Amount ($)</t>
  </si>
  <si>
    <t>Timing</t>
  </si>
  <si>
    <t>Reason</t>
  </si>
  <si>
    <t>Status</t>
  </si>
  <si>
    <t>Housing</t>
  </si>
  <si>
    <t>Cover all essential and fixed expenses</t>
  </si>
  <si>
    <t>Before due dates</t>
  </si>
  <si>
    <t>Avoid missed bills and fees</t>
  </si>
  <si>
    <t>Utilities</t>
  </si>
  <si>
    <t>Maintain checking buffer</t>
  </si>
  <si>
    <t>Throughout month</t>
  </si>
  <si>
    <t>Prevent overdraft</t>
  </si>
  <si>
    <t>Vehicle</t>
  </si>
  <si>
    <t>Pay all debt minimums</t>
  </si>
  <si>
    <t>By due dates</t>
  </si>
  <si>
    <t>Protect credit and avoid penalties</t>
  </si>
  <si>
    <t>Food</t>
  </si>
  <si>
    <t>Fund savings goals</t>
  </si>
  <si>
    <t>After essentials</t>
  </si>
  <si>
    <t>Maintain goal progress</t>
  </si>
  <si>
    <t>Debt</t>
  </si>
  <si>
    <t>Send remaining surplus to top-ranked debt</t>
  </si>
  <si>
    <t>After all above</t>
  </si>
  <si>
    <t>Reduce interest and payoff time</t>
  </si>
  <si>
    <t>Savings</t>
  </si>
  <si>
    <t>Entertainment</t>
  </si>
  <si>
    <t>Subscriptions</t>
  </si>
  <si>
    <t>FINANCIAL HEALTH FLAGS</t>
  </si>
  <si>
    <t>Miscellaneous</t>
  </si>
  <si>
    <t>Metric</t>
  </si>
  <si>
    <t>Current</t>
  </si>
  <si>
    <t>Target</t>
  </si>
  <si>
    <t>Recommended Action</t>
  </si>
  <si>
    <t>Notes</t>
  </si>
  <si>
    <t>Savings Rate</t>
  </si>
  <si>
    <t>Increase goal contributions if below target</t>
  </si>
  <si>
    <t>Debt Payment Ratio</t>
  </si>
  <si>
    <t>Reduce debt burden if above target</t>
  </si>
  <si>
    <t>Housing Ratio</t>
  </si>
  <si>
    <t>Review housing costs if above target</t>
  </si>
  <si>
    <t>Emergency Fund Months</t>
  </si>
  <si>
    <t>Build emergency savings</t>
  </si>
  <si>
    <t>Budget Variance</t>
  </si>
  <si>
    <t>Review categories over budget</t>
  </si>
  <si>
    <t>HOUSEHOLD BUDGET CONTROL CENTER</t>
  </si>
  <si>
    <t>Subcategory Lists →</t>
  </si>
  <si>
    <t>Insurance</t>
  </si>
  <si>
    <t>Medical</t>
  </si>
  <si>
    <t>Children</t>
  </si>
  <si>
    <t>Personal Care</t>
  </si>
  <si>
    <t>Giving</t>
  </si>
  <si>
    <t>Pets</t>
  </si>
  <si>
    <t>Taxes</t>
  </si>
  <si>
    <t>Legal</t>
  </si>
  <si>
    <t>Account →</t>
  </si>
  <si>
    <t>Account</t>
  </si>
  <si>
    <t>Mortgage/Rent</t>
  </si>
  <si>
    <t>Electricity</t>
  </si>
  <si>
    <t>Car Payment</t>
  </si>
  <si>
    <t>Groceries</t>
  </si>
  <si>
    <t>Life Insurance</t>
  </si>
  <si>
    <t>Healthcare</t>
  </si>
  <si>
    <t>Child/Dependent</t>
  </si>
  <si>
    <t>Streaming</t>
  </si>
  <si>
    <t>Tithe/Charity</t>
  </si>
  <si>
    <t>Pet Care</t>
  </si>
  <si>
    <t>Loans</t>
  </si>
  <si>
    <t>Emergency Fund</t>
  </si>
  <si>
    <t>Federal/State/Local</t>
  </si>
  <si>
    <t>Cash/ATM</t>
  </si>
  <si>
    <t>Checking</t>
  </si>
  <si>
    <t>Core Settings</t>
  </si>
  <si>
    <t>Value</t>
  </si>
  <si>
    <t>Income Source</t>
  </si>
  <si>
    <t>Owner</t>
  </si>
  <si>
    <t>Frequency</t>
  </si>
  <si>
    <t>Net Amount ($)</t>
  </si>
  <si>
    <t>Monthly Equivalent ($)</t>
  </si>
  <si>
    <t>Property Taxes</t>
  </si>
  <si>
    <t>Water/Sewer/Trash</t>
  </si>
  <si>
    <t>Auto Insurance</t>
  </si>
  <si>
    <t>Dining Out</t>
  </si>
  <si>
    <t>Disability/Other</t>
  </si>
  <si>
    <t>Prescriptions</t>
  </si>
  <si>
    <t>School/Activities</t>
  </si>
  <si>
    <t>Clothing</t>
  </si>
  <si>
    <t>Online Services</t>
  </si>
  <si>
    <t>Music</t>
  </si>
  <si>
    <t>Gifts</t>
  </si>
  <si>
    <t>Credit Cards</t>
  </si>
  <si>
    <t>General Savings</t>
  </si>
  <si>
    <t>General Merchandise</t>
  </si>
  <si>
    <t>Selected Budget Month</t>
  </si>
  <si>
    <t>August 2026</t>
  </si>
  <si>
    <t>Income 1</t>
  </si>
  <si>
    <t>Household</t>
  </si>
  <si>
    <t>Monthly</t>
  </si>
  <si>
    <t>Home Insurance</t>
  </si>
  <si>
    <t>Internet</t>
  </si>
  <si>
    <t>Fuel</t>
  </si>
  <si>
    <t>Household Supplies</t>
  </si>
  <si>
    <t>Dental/Vision</t>
  </si>
  <si>
    <t>Hair/Nails</t>
  </si>
  <si>
    <t>Software/Apps</t>
  </si>
  <si>
    <t>Other Debt</t>
  </si>
  <si>
    <t>Retirement</t>
  </si>
  <si>
    <t>Other</t>
  </si>
  <si>
    <t>Minimum Checking Buffer</t>
  </si>
  <si>
    <t>Income 2</t>
  </si>
  <si>
    <t>HOA</t>
  </si>
  <si>
    <t>Telephone</t>
  </si>
  <si>
    <t>Maintenance/Repairs</t>
  </si>
  <si>
    <t>Other Subscriptions</t>
  </si>
  <si>
    <t>College</t>
  </si>
  <si>
    <t>Uncategorized</t>
  </si>
  <si>
    <t>Debt Strategy</t>
  </si>
  <si>
    <t>Avalanche</t>
  </si>
  <si>
    <t>Income 3</t>
  </si>
  <si>
    <t>Home Maintenance</t>
  </si>
  <si>
    <t>Gas</t>
  </si>
  <si>
    <t>Registration/Tolls</t>
  </si>
  <si>
    <t>Emergency Fund Target (months)</t>
  </si>
  <si>
    <t>Income 4</t>
  </si>
  <si>
    <t>Home Improvement</t>
  </si>
  <si>
    <t>Actuals Source Mode</t>
  </si>
  <si>
    <t>Manual (Live)</t>
  </si>
  <si>
    <t>Income 5</t>
  </si>
  <si>
    <t>Income 6</t>
  </si>
  <si>
    <t>Budget Category</t>
  </si>
  <si>
    <t>Default Subcategory</t>
  </si>
  <si>
    <t>Active</t>
  </si>
  <si>
    <t>Income 7</t>
  </si>
  <si>
    <t>Yes</t>
  </si>
  <si>
    <t>Total Monthly Income</t>
  </si>
  <si>
    <t>Bank Category</t>
  </si>
  <si>
    <t>Subcategory</t>
  </si>
  <si>
    <t>Home/Life/Other</t>
  </si>
  <si>
    <t>Mortgages</t>
  </si>
  <si>
    <t>Century Link</t>
  </si>
  <si>
    <t>Just Energy</t>
  </si>
  <si>
    <t>Killeen Utilities</t>
  </si>
  <si>
    <t>Telephone Services</t>
  </si>
  <si>
    <t>Loans/Credit Cards</t>
  </si>
  <si>
    <t>Automotive Expenses</t>
  </si>
  <si>
    <t>Savings/Investments</t>
  </si>
  <si>
    <t>Gasoline/Fuel</t>
  </si>
  <si>
    <t>Restaurants/Dining</t>
  </si>
  <si>
    <t>Income</t>
  </si>
  <si>
    <t>Healthcare/Medical</t>
  </si>
  <si>
    <t>Transfers</t>
  </si>
  <si>
    <t>No</t>
  </si>
  <si>
    <t>Child/Dependent Expenses</t>
  </si>
  <si>
    <t>Clothing/Shoes</t>
  </si>
  <si>
    <t>Pets/Pet Care</t>
  </si>
  <si>
    <t>ATM/Cash Withdrawals</t>
  </si>
  <si>
    <t>Other Expenses</t>
  </si>
  <si>
    <t>Other Income</t>
  </si>
  <si>
    <t>Streaming Services</t>
  </si>
  <si>
    <t>Music Services</t>
  </si>
  <si>
    <t>Software Subscriptions</t>
  </si>
  <si>
    <t>Subscription Services</t>
  </si>
  <si>
    <t>Alcohol &amp; Bars</t>
  </si>
  <si>
    <t>Atm Fee</t>
  </si>
  <si>
    <t>Auto &amp; Transport</t>
  </si>
  <si>
    <t>Auto Payment</t>
  </si>
  <si>
    <t>Business Services</t>
  </si>
  <si>
    <t>Cash</t>
  </si>
  <si>
    <t>Category Pending</t>
  </si>
  <si>
    <t>Coffee Shops</t>
  </si>
  <si>
    <t>Credit Card Payment</t>
  </si>
  <si>
    <t>Electronics &amp; Software</t>
  </si>
  <si>
    <t>Fast Food</t>
  </si>
  <si>
    <t>Fees &amp; Charges</t>
  </si>
  <si>
    <t>Financial</t>
  </si>
  <si>
    <t>Food &amp; Dining</t>
  </si>
  <si>
    <t>Gym</t>
  </si>
  <si>
    <t>Health &amp; Fitness</t>
  </si>
  <si>
    <t>Home</t>
  </si>
  <si>
    <t>Home Services</t>
  </si>
  <si>
    <t>Interest Income</t>
  </si>
  <si>
    <t>Laundry</t>
  </si>
  <si>
    <t>Mobile Phone</t>
  </si>
  <si>
    <t>Mortgage &amp; Rent</t>
  </si>
  <si>
    <t>Mortgage Payment</t>
  </si>
  <si>
    <t>Movies &amp; Dvds</t>
  </si>
  <si>
    <t>Newspapers &amp; Magazines</t>
  </si>
  <si>
    <t>Paycheck</t>
  </si>
  <si>
    <t>Restaurants</t>
  </si>
  <si>
    <t>Service &amp; Parts</t>
  </si>
  <si>
    <t>Shopping</t>
  </si>
  <si>
    <t>Transfer</t>
  </si>
  <si>
    <t>MONTHLY BUDGET PLAN — LIVE ACTUALS &amp; MONTH-END RECONCILIATION</t>
  </si>
  <si>
    <t>Planned ($)</t>
  </si>
  <si>
    <t>Actual Used ($)</t>
  </si>
  <si>
    <t>Remaining ($)</t>
  </si>
  <si>
    <t>Variance %</t>
  </si>
  <si>
    <t>Fixed/Variable</t>
  </si>
  <si>
    <t>Due Day</t>
  </si>
  <si>
    <t>Manual Actual ($)</t>
  </si>
  <si>
    <t>Bank Actual ($)</t>
  </si>
  <si>
    <t>Recon Difference ($)</t>
  </si>
  <si>
    <t>Medium</t>
  </si>
  <si>
    <t>Fixed</t>
  </si>
  <si>
    <t>Variable</t>
  </si>
  <si>
    <t>Exempt due to status</t>
  </si>
  <si>
    <t>Included in mortgage payment</t>
  </si>
  <si>
    <t>Three sources</t>
  </si>
  <si>
    <t>Two sources</t>
  </si>
  <si>
    <t>DV Benefit</t>
  </si>
  <si>
    <t>Dental and Vision for just one source</t>
  </si>
  <si>
    <t>Affirm</t>
  </si>
  <si>
    <t>TOTAL MONTHLY EXPENSES</t>
  </si>
  <si>
    <t>Date</t>
  </si>
  <si>
    <t>Description</t>
  </si>
  <si>
    <t>Actual Amount ($)</t>
  </si>
  <si>
    <t>Include?</t>
  </si>
  <si>
    <t>Month</t>
  </si>
  <si>
    <t>City of Killeen</t>
  </si>
  <si>
    <t>Google YouTube</t>
  </si>
  <si>
    <t>Camden Food Gates</t>
  </si>
  <si>
    <t>Dunkin donuts</t>
  </si>
  <si>
    <t>YouTube TV</t>
  </si>
  <si>
    <t>Star Mart</t>
  </si>
  <si>
    <t>Amazon Delivery</t>
  </si>
  <si>
    <t>BOA Home Loan</t>
  </si>
  <si>
    <t>American home Shield</t>
  </si>
  <si>
    <t>Tommy Express</t>
  </si>
  <si>
    <t>Google YouTube premium</t>
  </si>
  <si>
    <t>Title Boxing</t>
  </si>
  <si>
    <t>7/31/2026</t>
  </si>
  <si>
    <t>Ford Motor Credit</t>
  </si>
  <si>
    <t xml:space="preserve">7/30/2026  </t>
  </si>
  <si>
    <t>Plane ticket</t>
  </si>
  <si>
    <t>7/29/2026</t>
  </si>
  <si>
    <t>Klarna</t>
  </si>
  <si>
    <t>7/30/2026</t>
  </si>
  <si>
    <t>MONTHLY CATEGORY SUMMARY</t>
  </si>
  <si>
    <t>Actual ($)</t>
  </si>
  <si>
    <t>Share of Spend</t>
  </si>
  <si>
    <t>Trend Note</t>
  </si>
  <si>
    <t>SAVINGS GOALS &amp; FEASIBILITY</t>
  </si>
  <si>
    <t>Goal</t>
  </si>
  <si>
    <t>Target Amount ($)</t>
  </si>
  <si>
    <t>Current Saved ($)</t>
  </si>
  <si>
    <t>Target Date</t>
  </si>
  <si>
    <t>Months Remaining</t>
  </si>
  <si>
    <t>Required Monthly ($)</t>
  </si>
  <si>
    <t>Planned Monthly ($)</t>
  </si>
  <si>
    <t>Projected Completion</t>
  </si>
  <si>
    <t>Monthly Gap ($)</t>
  </si>
  <si>
    <t>Critical</t>
  </si>
  <si>
    <t>High</t>
  </si>
  <si>
    <t>Behind</t>
  </si>
  <si>
    <t>Goal 3</t>
  </si>
  <si>
    <t>Goal 4</t>
  </si>
  <si>
    <t>Goal 5</t>
  </si>
  <si>
    <t>Low</t>
  </si>
  <si>
    <t>Goal 6</t>
  </si>
  <si>
    <t>DEBT PAYOFF &amp; PAYMENT RECOMMENDATION</t>
  </si>
  <si>
    <t>Debt Name</t>
  </si>
  <si>
    <t>Type</t>
  </si>
  <si>
    <t>Current Balance ($)</t>
  </si>
  <si>
    <t>APR</t>
  </si>
  <si>
    <t>Minimum Payment ($)</t>
  </si>
  <si>
    <t>Promo End</t>
  </si>
  <si>
    <t>Strategy Rank</t>
  </si>
  <si>
    <t>Recommended Extra ($)</t>
  </si>
  <si>
    <t>Recommended Payment ($)</t>
  </si>
  <si>
    <t>Months to Payoff</t>
  </si>
  <si>
    <t>Projected Payoff</t>
  </si>
  <si>
    <t>Est. Interest ($)</t>
  </si>
  <si>
    <t>Debt 1</t>
  </si>
  <si>
    <t>Credit Card</t>
  </si>
  <si>
    <t>Debt 2</t>
  </si>
  <si>
    <t>Debt 3</t>
  </si>
  <si>
    <t>Loan</t>
  </si>
  <si>
    <t>Debt 4</t>
  </si>
  <si>
    <t>Debt 5</t>
  </si>
  <si>
    <t>Debt 6</t>
  </si>
  <si>
    <t>Debt 7</t>
  </si>
  <si>
    <t>Debt 8</t>
  </si>
  <si>
    <t>Debt Summary</t>
  </si>
  <si>
    <t>Total Minimum Payments</t>
  </si>
  <si>
    <t>MONTH-END BANK RECONCILIATION</t>
  </si>
  <si>
    <t>Difference ($)</t>
  </si>
  <si>
    <t>Difference %</t>
  </si>
  <si>
    <t>TOTAL</t>
  </si>
  <si>
    <t>Original Description</t>
  </si>
  <si>
    <t>Amount</t>
  </si>
  <si>
    <t>Expense Amount ($)</t>
  </si>
  <si>
    <t>Income Amount ($)</t>
  </si>
  <si>
    <t>Review Note</t>
  </si>
  <si>
    <t>Pending</t>
  </si>
  <si>
    <t>Posted</t>
  </si>
  <si>
    <t>USAA FUNDS TRANSFER DB</t>
  </si>
  <si>
    <t>H-E-B</t>
  </si>
  <si>
    <t>H-E-B #721               KILLEEN      TX</t>
  </si>
  <si>
    <t>T-Mobile</t>
  </si>
  <si>
    <t>Casey's</t>
  </si>
  <si>
    <t>Transfer to Apple Pay</t>
  </si>
  <si>
    <t>APPLE CASH SENT MONEY    1INFINITELOOPCA</t>
  </si>
  <si>
    <t>DoorDash</t>
  </si>
  <si>
    <t>USAA Transfer</t>
  </si>
  <si>
    <t>USAA FUNDS TRANSFER CR</t>
  </si>
  <si>
    <t>McDonald's</t>
  </si>
  <si>
    <t>Pluckers</t>
  </si>
  <si>
    <t>TST* PLUCKERS WING BAR   KILLEEN      TX</t>
  </si>
  <si>
    <t>USAA Funds Transfer DB</t>
  </si>
  <si>
    <t>The Point Liquor</t>
  </si>
  <si>
    <t>THE POINT LIQUOR 7       KILLEEN      TX</t>
  </si>
  <si>
    <t>CITY OF KILLEEN UTILITY  254-5017730  TX</t>
  </si>
  <si>
    <t>Jamaica Nyammingz</t>
  </si>
  <si>
    <t>Defense Finance and Accounting Service</t>
  </si>
  <si>
    <t>DFAS-CLEVELAND    CRSC PAY  ***********9083</t>
  </si>
  <si>
    <t>Mariner Finance                  080726</t>
  </si>
  <si>
    <t>CASEYS #4775                     080726</t>
  </si>
  <si>
    <t>DD *DOORDASH WABAH               080626</t>
  </si>
  <si>
    <t>MOLLY MAID OF GREATE             080726</t>
  </si>
  <si>
    <t>TMOBILE PO               12920 SE 38THWA</t>
  </si>
  <si>
    <t>JUST ENERGY      UTILITIES  ***********0431</t>
  </si>
  <si>
    <t>JUST ENERGY      UTILITIES  ***********0432</t>
  </si>
  <si>
    <t>JAMAICA NYAMMINGZ        KILLEEN      TX</t>
  </si>
  <si>
    <t>MCDONALD'S F3011         TEMPLE       TX</t>
  </si>
  <si>
    <t>Regal</t>
  </si>
  <si>
    <t>REGAL KILLEEN 14  1636   KILLEEN      TX</t>
  </si>
  <si>
    <t>CASEYS #4775             KILLEEN      TX</t>
  </si>
  <si>
    <t>Chill Zone</t>
  </si>
  <si>
    <t>CHILL ZONE 6             KILLEEN      TX</t>
  </si>
  <si>
    <t>Youtube TV</t>
  </si>
  <si>
    <t>GOOGLE *YouTube TV       Mountain ViewCA</t>
  </si>
  <si>
    <t>Television</t>
  </si>
  <si>
    <t>Mco Camden Food Gates</t>
  </si>
  <si>
    <t>MCO CAMDEN FOOD GATES    ORLANDO      FL</t>
  </si>
  <si>
    <t>Dunkin'</t>
  </si>
  <si>
    <t>TST* DFW 21712 DUNKIN -  DFW AIRPORT  TX</t>
  </si>
  <si>
    <t>7-Eleven</t>
  </si>
  <si>
    <t>7-ELEVEN 30046           ORLANDO      FL</t>
  </si>
  <si>
    <t>Easirentcom</t>
  </si>
  <si>
    <t>EASIRENTCOM              ORLANDO      FL</t>
  </si>
  <si>
    <t>Rental Car &amp; Taxi</t>
  </si>
  <si>
    <t>Renaissance Hotel Airp</t>
  </si>
  <si>
    <t>RENAISSANCE HOTEL AIRP   ORLANDO      FL</t>
  </si>
  <si>
    <t>Hotel</t>
  </si>
  <si>
    <t>DD *DOORDASH CHINAWOK    DOORDASH.COM CA</t>
  </si>
  <si>
    <t>University Parking</t>
  </si>
  <si>
    <t>UNIV PARKING 01400040    ORLANDO      FL</t>
  </si>
  <si>
    <t>Parking</t>
  </si>
  <si>
    <t>Popeyes</t>
  </si>
  <si>
    <t>POPEYES STORE #11477     DALLAS       TX</t>
  </si>
  <si>
    <t>American Airlines</t>
  </si>
  <si>
    <t>AMERICAN AIR00106533392  FORT WORTH   TX</t>
  </si>
  <si>
    <t>Air Travel</t>
  </si>
  <si>
    <t>Tailwind</t>
  </si>
  <si>
    <t>TAILWIND GRK             KILLEEN      TX</t>
  </si>
  <si>
    <t>City of Orlando</t>
  </si>
  <si>
    <t>CITY OF ORLANDO PKG EVE  ORLANDO      FL</t>
  </si>
  <si>
    <t>Transfer from Apple Pay</t>
  </si>
  <si>
    <t>APPLE CASH INST XFER     CUPERTINO    CA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</si>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</sst>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mmmm\ yyyy"/>
    <numFmt numFmtId="165" formatCode="\$#,##0.00;[Red]\(\$#,##0.00\);\-"/>
    <numFmt numFmtId="166" formatCode="0.0"/>
    <numFmt numFmtId="167" formatCode="mm/dd/yyyy"/>
    <numFmt numFmtId="168" formatCode="0.0%;[Red]\(0.0%\);\-"/>
    <numFmt numFmtId="169" formatCode="mmm\ yyyy"/>
    <numFmt numFmtId="170" formatCode="&quot;US$&quot;#,##0.00"/>
    <numFmt numFmtId="171" formatCode="m/d/yyyy;@"/>
  </numFmts>
  <fonts count="19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0"/>
      <name val="Calibri"/>
    </font>
    <font>
      <sz val="8"/>
      <name val="Calibri"/>
    </font>
    <font>
      <b/>
      <sz val="18"/>
      <color theme="3"/>
      <name val="Calibri Light"/>
    </font>
    <font>
      <b/>
      <sz val="11"/>
      <color theme="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8000"/>
      <name val="Calibri"/>
    </font>
    <font>
      <sz val="11"/>
      <color rgb="FF000000"/>
      <name val="Calibri"/>
    </font>
    <font>
      <b/>
      <sz val="20"/>
      <color rgb="FFFFFFFF"/>
      <name val="Calibri"/>
    </font>
    <font>
      <b/>
      <sz val="11"/>
      <color rgb="FF17365D"/>
      <name val="Calibri"/>
    </font>
    <font>
      <b/>
      <sz val="15"/>
      <color theme="1"/>
      <name val="Calibri"/>
    </font>
    <font>
      <b/>
      <sz val="11"/>
      <color rgb="FF000000"/>
      <name val="Calibri"/>
    </font>
    <font>
      <b/>
      <sz val="11"/>
      <color rgb="FF0000FF"/>
      <name val="Calibri"/>
    </font>
    <font>
      <b/>
      <i/>
      <sz val="11"/>
      <color theme="1"/>
      <name val="Calibri"/>
    </font>
    <font>
      <b/>
      <i/>
      <sz val="11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1F7A8C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A5A5A5"/>
      </patternFill>
    </fill>
    <fill>
      <patternFill patternType="solid">
        <fgColor rgb="FF17365D"/>
      </patternFill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" fillId="0" borderId="1"/>
  </cellStyleXfs>
  <cellXfs count="75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0" fontId="8" fillId="2" borderId="0" xfId="0" applyFont="1" applyFill="1"/>
    <xf numFmtId="164" fontId="0" fillId="0" borderId="0" xfId="0" applyNumberFormat="1"/>
    <xf numFmtId="165" fontId="0" fillId="0" borderId="0" xfId="0" applyNumberFormat="1"/>
    <xf numFmtId="165" fontId="9" fillId="0" borderId="0" xfId="0" applyNumberFormat="1" applyFont="1"/>
    <xf numFmtId="0" fontId="9" fillId="0" borderId="0" xfId="0" applyFont="1"/>
    <xf numFmtId="0" fontId="0" fillId="0" borderId="0" xfId="0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8" fillId="4" borderId="0" xfId="0" applyFont="1" applyFill="1" applyAlignment="1">
      <alignment vertical="center"/>
    </xf>
    <xf numFmtId="165" fontId="6" fillId="3" borderId="0" xfId="0" applyNumberFormat="1" applyFont="1" applyFill="1" applyAlignment="1">
      <alignment vertical="center"/>
    </xf>
    <xf numFmtId="167" fontId="0" fillId="0" borderId="0" xfId="0" applyNumberFormat="1"/>
    <xf numFmtId="164" fontId="11" fillId="0" borderId="0" xfId="0" applyNumberFormat="1" applyFont="1"/>
    <xf numFmtId="165" fontId="11" fillId="0" borderId="0" xfId="0" applyNumberFormat="1" applyFont="1"/>
    <xf numFmtId="0" fontId="11" fillId="0" borderId="0" xfId="0" applyFont="1"/>
    <xf numFmtId="0" fontId="8" fillId="2" borderId="0" xfId="0" applyFont="1" applyFill="1" applyAlignment="1">
      <alignment horizontal="center" wrapText="1"/>
    </xf>
    <xf numFmtId="168" fontId="11" fillId="0" borderId="0" xfId="0" applyNumberFormat="1" applyFont="1"/>
    <xf numFmtId="168" fontId="9" fillId="0" borderId="0" xfId="0" applyNumberFormat="1" applyFont="1"/>
    <xf numFmtId="167" fontId="9" fillId="0" borderId="0" xfId="0" applyNumberFormat="1" applyFont="1"/>
    <xf numFmtId="169" fontId="11" fillId="0" borderId="0" xfId="0" applyNumberFormat="1" applyFont="1"/>
    <xf numFmtId="168" fontId="0" fillId="0" borderId="0" xfId="0" applyNumberFormat="1"/>
    <xf numFmtId="0" fontId="8" fillId="4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8" fillId="6" borderId="0" xfId="0" applyFont="1" applyFill="1" applyAlignment="1">
      <alignment horizontal="center" vertical="center"/>
    </xf>
    <xf numFmtId="0" fontId="15" fillId="7" borderId="2" xfId="0" applyFont="1" applyFill="1" applyBorder="1" applyAlignment="1">
      <alignment vertical="center"/>
    </xf>
    <xf numFmtId="0" fontId="16" fillId="8" borderId="2" xfId="0" applyFont="1" applyFill="1" applyBorder="1" applyAlignment="1">
      <alignment vertical="center"/>
    </xf>
    <xf numFmtId="0" fontId="8" fillId="6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15" fillId="7" borderId="0" xfId="0" applyFont="1" applyFill="1"/>
    <xf numFmtId="165" fontId="15" fillId="7" borderId="0" xfId="0" applyNumberFormat="1" applyFont="1" applyFill="1"/>
    <xf numFmtId="168" fontId="15" fillId="7" borderId="0" xfId="0" applyNumberFormat="1" applyFont="1" applyFill="1"/>
    <xf numFmtId="0" fontId="8" fillId="14" borderId="0" xfId="0" applyFont="1" applyFill="1"/>
    <xf numFmtId="0" fontId="17" fillId="0" borderId="0" xfId="0" applyFont="1" applyAlignment="1">
      <alignment horizontal="right"/>
    </xf>
    <xf numFmtId="0" fontId="18" fillId="14" borderId="0" xfId="0" applyFont="1" applyFill="1" applyAlignment="1">
      <alignment horizontal="right"/>
    </xf>
    <xf numFmtId="0" fontId="8" fillId="14" borderId="0" xfId="0" applyFont="1" applyFill="1" applyAlignment="1">
      <alignment horizontal="center" wrapText="1"/>
    </xf>
    <xf numFmtId="0" fontId="8" fillId="14" borderId="0" xfId="0" applyFont="1" applyFill="1" applyAlignment="1">
      <alignment horizontal="center"/>
    </xf>
    <xf numFmtId="14" fontId="0" fillId="0" borderId="0" xfId="0" applyNumberFormat="1"/>
    <xf numFmtId="170" fontId="0" fillId="0" borderId="0" xfId="0" applyNumberFormat="1"/>
    <xf numFmtId="171" fontId="9" fillId="0" borderId="0" xfId="0" applyNumberFormat="1" applyFont="1"/>
    <xf numFmtId="171" fontId="8" fillId="6" borderId="0" xfId="0" applyNumberFormat="1" applyFont="1" applyFill="1" applyAlignment="1">
      <alignment horizontal="center" vertical="center"/>
    </xf>
    <xf numFmtId="171" fontId="0" fillId="0" borderId="0" xfId="0" applyNumberFormat="1"/>
    <xf numFmtId="171" fontId="9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8" fillId="2" borderId="0" xfId="0" applyFont="1" applyFill="1" applyAlignment="1">
      <alignment horizontal="center"/>
    </xf>
    <xf numFmtId="0" fontId="8" fillId="4" borderId="0" xfId="0" applyFont="1" applyFill="1"/>
    <xf numFmtId="0" fontId="0" fillId="8" borderId="0" xfId="0" applyFill="1" applyAlignment="1">
      <alignment wrapText="1"/>
    </xf>
    <xf numFmtId="49" fontId="9" fillId="8" borderId="0" xfId="0" applyNumberFormat="1" applyFont="1" applyFill="1" applyAlignment="1">
      <alignment vertical="center"/>
    </xf>
    <xf numFmtId="165" fontId="9" fillId="8" borderId="0" xfId="0" applyNumberFormat="1" applyFont="1" applyFill="1" applyAlignment="1">
      <alignment vertical="center"/>
    </xf>
    <xf numFmtId="0" fontId="9" fillId="8" borderId="0" xfId="0" applyFont="1" applyFill="1" applyAlignment="1">
      <alignment vertical="center"/>
    </xf>
    <xf numFmtId="166" fontId="9" fillId="8" borderId="0" xfId="0" applyNumberFormat="1" applyFont="1" applyFill="1" applyAlignment="1">
      <alignment vertical="center"/>
    </xf>
    <xf numFmtId="165" fontId="8" fillId="13" borderId="0" xfId="0" applyNumberFormat="1" applyFont="1" applyFill="1"/>
    <xf numFmtId="168" fontId="8" fillId="13" borderId="0" xfId="0" applyNumberFormat="1" applyFont="1" applyFill="1"/>
    <xf numFmtId="0" fontId="7" fillId="13" borderId="0" xfId="0" applyFont="1" applyFill="1" applyAlignment="1">
      <alignment horizontal="center" wrapText="1"/>
    </xf>
    <xf numFmtId="0" fontId="7" fillId="13" borderId="0" xfId="0" applyFont="1" applyFill="1" applyAlignment="1">
      <alignment horizontal="center"/>
    </xf>
    <xf numFmtId="0" fontId="8" fillId="13" borderId="0" xfId="0" applyFont="1" applyFill="1" applyAlignment="1">
      <alignment wrapText="1"/>
    </xf>
    <xf numFmtId="0" fontId="0" fillId="0" borderId="0" xfId="0" applyAlignment="1">
      <alignment wrapText="1"/>
    </xf>
    <xf numFmtId="0" fontId="12" fillId="13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5" fontId="14" fillId="5" borderId="0" xfId="0" applyNumberFormat="1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8" fillId="4" borderId="0" xfId="0" applyFont="1" applyFill="1"/>
    <xf numFmtId="0" fontId="7" fillId="1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8" fillId="13" borderId="0" xfId="0" applyFont="1" applyFill="1"/>
  </cellXfs>
  <cellStyles count="6">
    <cellStyle name="Currency" xfId="1" xr:uid="{00000000-0005-0000-0000-000000000000}"/>
    <cellStyle name="Normal" xfId="0" builtinId="0"/>
    <cellStyle name="Normal 2" xfId="2" xr:uid="{00000000-0005-0000-0000-000002000000}"/>
    <cellStyle name="Normal 3" xfId="5" xr:uid="{D0F76CCA-D3AB-4745-BB50-7D6CCBC99F7D}"/>
    <cellStyle name="Percent" xfId="4" xr:uid="{00000000-0005-0000-0000-000003000000}"/>
    <cellStyle name="Title 2" xfId="3" xr:uid="{00000000-0005-0000-0000-000004000000}"/>
  </cellStyles>
  <dxfs count="14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ZW"/>
              <a:t>Planned vs Actual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Planned</c:v>
          </c:tx>
          <c:invertIfNegative val="1"/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Dashboard!$I$14:$I$22</c:f>
              <c:numCache>
                <c:formatCode>\$#,##0.00;[Red]\(\$#,##0.00\);\-</c:formatCode>
                <c:ptCount val="9"/>
                <c:pt idx="0">
                  <c:v>2669.7799999999997</c:v>
                </c:pt>
                <c:pt idx="1">
                  <c:v>2149.88</c:v>
                </c:pt>
                <c:pt idx="2">
                  <c:v>2962.51</c:v>
                </c:pt>
                <c:pt idx="3">
                  <c:v>1300</c:v>
                </c:pt>
                <c:pt idx="4">
                  <c:v>619.89</c:v>
                </c:pt>
                <c:pt idx="5">
                  <c:v>90</c:v>
                </c:pt>
                <c:pt idx="6">
                  <c:v>1000</c:v>
                </c:pt>
                <c:pt idx="7">
                  <c:v>1600</c:v>
                </c:pt>
                <c:pt idx="8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B-4515-893F-A7A7826DDEA1}"/>
            </c:ext>
          </c:extLst>
        </c:ser>
        <c:ser>
          <c:idx val="1"/>
          <c:order val="1"/>
          <c:tx>
            <c:v>Actual</c:v>
          </c:tx>
          <c:invertIfNegative val="1"/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Dashboard!$J$14:$J$22</c:f>
              <c:numCache>
                <c:formatCode>\$#,##0.00;[Red]\(\$#,##0.00\);\-</c:formatCode>
                <c:ptCount val="9"/>
                <c:pt idx="0">
                  <c:v>545.90000000000009</c:v>
                </c:pt>
                <c:pt idx="1">
                  <c:v>121</c:v>
                </c:pt>
                <c:pt idx="2">
                  <c:v>1489.84</c:v>
                </c:pt>
                <c:pt idx="3">
                  <c:v>20.47</c:v>
                </c:pt>
                <c:pt idx="4">
                  <c:v>289.12</c:v>
                </c:pt>
                <c:pt idx="5">
                  <c:v>0</c:v>
                </c:pt>
                <c:pt idx="6">
                  <c:v>0</c:v>
                </c:pt>
                <c:pt idx="7">
                  <c:v>377.77</c:v>
                </c:pt>
                <c:pt idx="8">
                  <c:v>921.75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B-4515-893F-A7A7826DD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;[Red]\(\$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ZW"/>
              <a:t>Actual Spending Mix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Planned</c:v>
          </c:tx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Dashboard!$I$14:$I$22</c:f>
              <c:numCache>
                <c:formatCode>\$#,##0.00;[Red]\(\$#,##0.00\);\-</c:formatCode>
                <c:ptCount val="9"/>
                <c:pt idx="0">
                  <c:v>2669.7799999999997</c:v>
                </c:pt>
                <c:pt idx="1">
                  <c:v>2149.88</c:v>
                </c:pt>
                <c:pt idx="2">
                  <c:v>2962.51</c:v>
                </c:pt>
                <c:pt idx="3">
                  <c:v>1300</c:v>
                </c:pt>
                <c:pt idx="4">
                  <c:v>619.89</c:v>
                </c:pt>
                <c:pt idx="5">
                  <c:v>90</c:v>
                </c:pt>
                <c:pt idx="6">
                  <c:v>1000</c:v>
                </c:pt>
                <c:pt idx="7">
                  <c:v>1600</c:v>
                </c:pt>
                <c:pt idx="8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2-4912-82EF-66683B6DFEB4}"/>
            </c:ext>
          </c:extLst>
        </c:ser>
        <c:ser>
          <c:idx val="1"/>
          <c:order val="1"/>
          <c:tx>
            <c:v>Actual</c:v>
          </c:tx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Dashboard!$J$14:$J$22</c:f>
              <c:numCache>
                <c:formatCode>\$#,##0.00;[Red]\(\$#,##0.00\);\-</c:formatCode>
                <c:ptCount val="9"/>
                <c:pt idx="0">
                  <c:v>545.90000000000009</c:v>
                </c:pt>
                <c:pt idx="1">
                  <c:v>121</c:v>
                </c:pt>
                <c:pt idx="2">
                  <c:v>1489.84</c:v>
                </c:pt>
                <c:pt idx="3">
                  <c:v>20.47</c:v>
                </c:pt>
                <c:pt idx="4">
                  <c:v>289.12</c:v>
                </c:pt>
                <c:pt idx="5">
                  <c:v>0</c:v>
                </c:pt>
                <c:pt idx="6">
                  <c:v>0</c:v>
                </c:pt>
                <c:pt idx="7">
                  <c:v>377.77</c:v>
                </c:pt>
                <c:pt idx="8">
                  <c:v>921.75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2-4912-82EF-66683B6DFEB4}"/>
            </c:ext>
          </c:extLst>
        </c:ser>
        <c:ser>
          <c:idx val="2"/>
          <c:order val="2"/>
          <c:tx>
            <c:v>Remaining</c:v>
          </c:tx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Dashboard!$K$14:$K$22</c:f>
              <c:numCache>
                <c:formatCode>\$#,##0.00;[Red]\(\$#,##0.00\);\-</c:formatCode>
                <c:ptCount val="9"/>
                <c:pt idx="0">
                  <c:v>2123.8799999999997</c:v>
                </c:pt>
                <c:pt idx="1">
                  <c:v>2028.88</c:v>
                </c:pt>
                <c:pt idx="2">
                  <c:v>1472.6700000000003</c:v>
                </c:pt>
                <c:pt idx="3">
                  <c:v>1279.53</c:v>
                </c:pt>
                <c:pt idx="4">
                  <c:v>330.77</c:v>
                </c:pt>
                <c:pt idx="5">
                  <c:v>90</c:v>
                </c:pt>
                <c:pt idx="6">
                  <c:v>1000</c:v>
                </c:pt>
                <c:pt idx="7">
                  <c:v>1222.23</c:v>
                </c:pt>
                <c:pt idx="8">
                  <c:v>1878.25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2-4912-82EF-66683B6DF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0</xdr:colOff>
      <xdr:row>12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2" customWidth="1"/>
    <col min="3" max="3" width="80" customWidth="1"/>
    <col min="4" max="4" width="55" customWidth="1"/>
  </cols>
  <sheetData>
    <row r="1" spans="1:8" ht="21" x14ac:dyDescent="0.4">
      <c r="A1" s="62" t="s">
        <v>0</v>
      </c>
      <c r="B1" s="62"/>
      <c r="C1" s="62"/>
      <c r="D1" s="62"/>
      <c r="E1" s="63"/>
      <c r="F1" s="63"/>
      <c r="G1" s="63"/>
      <c r="H1" s="63"/>
    </row>
    <row r="2" spans="1:8" x14ac:dyDescent="0.3">
      <c r="A2" s="52"/>
      <c r="B2" s="52"/>
      <c r="C2" s="52"/>
      <c r="D2" s="52"/>
    </row>
    <row r="3" spans="1:8" x14ac:dyDescent="0.3">
      <c r="A3" s="20" t="s">
        <v>1</v>
      </c>
      <c r="B3" s="20" t="s">
        <v>2</v>
      </c>
      <c r="C3" s="20" t="s">
        <v>3</v>
      </c>
      <c r="D3" s="20" t="s">
        <v>4</v>
      </c>
    </row>
    <row r="4" spans="1:8" ht="43.2" x14ac:dyDescent="0.3">
      <c r="A4" s="52" t="s">
        <v>5</v>
      </c>
      <c r="B4" s="52" t="s">
        <v>6</v>
      </c>
      <c r="C4" s="52" t="s">
        <v>7</v>
      </c>
      <c r="D4" s="52" t="s">
        <v>8</v>
      </c>
    </row>
    <row r="5" spans="1:8" ht="43.2" x14ac:dyDescent="0.3">
      <c r="A5" s="52" t="s">
        <v>9</v>
      </c>
      <c r="B5" s="52" t="s">
        <v>10</v>
      </c>
      <c r="C5" s="52" t="s">
        <v>7</v>
      </c>
      <c r="D5" s="52" t="s">
        <v>11</v>
      </c>
    </row>
    <row r="6" spans="1:8" ht="43.2" x14ac:dyDescent="0.3">
      <c r="A6" s="52" t="s">
        <v>12</v>
      </c>
      <c r="B6" s="52" t="s">
        <v>13</v>
      </c>
      <c r="C6" s="52" t="s">
        <v>14</v>
      </c>
      <c r="D6" s="52" t="s">
        <v>15</v>
      </c>
    </row>
    <row r="7" spans="1:8" ht="43.2" x14ac:dyDescent="0.3">
      <c r="A7" s="52" t="s">
        <v>16</v>
      </c>
      <c r="B7" s="52" t="s">
        <v>17</v>
      </c>
      <c r="C7" s="52" t="s">
        <v>18</v>
      </c>
      <c r="D7" s="52" t="s">
        <v>19</v>
      </c>
    </row>
    <row r="8" spans="1:8" ht="57.6" x14ac:dyDescent="0.3">
      <c r="A8" s="52" t="s">
        <v>20</v>
      </c>
      <c r="B8" s="52" t="s">
        <v>21</v>
      </c>
      <c r="C8" s="52" t="s">
        <v>18</v>
      </c>
      <c r="D8" s="52" t="s">
        <v>22</v>
      </c>
    </row>
    <row r="9" spans="1:8" ht="57.6" x14ac:dyDescent="0.3">
      <c r="A9" s="52" t="s">
        <v>23</v>
      </c>
      <c r="B9" s="52" t="s">
        <v>24</v>
      </c>
      <c r="C9" s="52" t="s">
        <v>18</v>
      </c>
      <c r="D9" s="52" t="s">
        <v>25</v>
      </c>
    </row>
    <row r="10" spans="1:8" ht="43.2" x14ac:dyDescent="0.3">
      <c r="A10" s="52" t="s">
        <v>26</v>
      </c>
      <c r="B10" s="52" t="s">
        <v>27</v>
      </c>
      <c r="C10" s="52" t="s">
        <v>28</v>
      </c>
      <c r="D10" s="52" t="s">
        <v>29</v>
      </c>
    </row>
    <row r="11" spans="1:8" ht="43.2" x14ac:dyDescent="0.3">
      <c r="A11" s="52" t="s">
        <v>30</v>
      </c>
      <c r="B11" s="52" t="s">
        <v>31</v>
      </c>
      <c r="C11" s="52" t="s">
        <v>32</v>
      </c>
      <c r="D11" s="52" t="s">
        <v>33</v>
      </c>
    </row>
    <row r="12" spans="1:8" ht="43.2" x14ac:dyDescent="0.3">
      <c r="A12" s="52" t="s">
        <v>34</v>
      </c>
      <c r="B12" s="52" t="s">
        <v>35</v>
      </c>
      <c r="C12" s="52" t="s">
        <v>36</v>
      </c>
      <c r="D12" s="52" t="s">
        <v>37</v>
      </c>
    </row>
    <row r="13" spans="1:8" ht="57.6" x14ac:dyDescent="0.3">
      <c r="A13" s="52" t="s">
        <v>38</v>
      </c>
      <c r="B13" s="52" t="s">
        <v>39</v>
      </c>
      <c r="C13" s="52" t="s">
        <v>40</v>
      </c>
      <c r="D13" s="52" t="s">
        <v>41</v>
      </c>
    </row>
    <row r="14" spans="1:8" x14ac:dyDescent="0.3">
      <c r="A14" s="52"/>
      <c r="B14" s="52"/>
      <c r="C14" s="52"/>
      <c r="D14" s="52"/>
    </row>
    <row r="15" spans="1:8" x14ac:dyDescent="0.3">
      <c r="A15" s="26" t="s">
        <v>42</v>
      </c>
      <c r="B15" s="26" t="s">
        <v>43</v>
      </c>
      <c r="C15" s="26"/>
      <c r="D15" s="26"/>
    </row>
    <row r="16" spans="1:8" ht="43.2" x14ac:dyDescent="0.3">
      <c r="A16" s="27" t="s">
        <v>44</v>
      </c>
      <c r="B16" s="52" t="s">
        <v>45</v>
      </c>
      <c r="C16" s="52"/>
      <c r="D16" s="52"/>
    </row>
    <row r="17" spans="1:4" ht="28.8" x14ac:dyDescent="0.3">
      <c r="A17" s="28" t="s">
        <v>46</v>
      </c>
      <c r="B17" s="52" t="s">
        <v>47</v>
      </c>
      <c r="C17" s="52"/>
      <c r="D17" s="52"/>
    </row>
    <row r="18" spans="1:4" x14ac:dyDescent="0.3">
      <c r="A18" s="29" t="s">
        <v>48</v>
      </c>
      <c r="B18" s="52" t="s">
        <v>49</v>
      </c>
      <c r="C18" s="52"/>
      <c r="D18" s="52"/>
    </row>
    <row r="19" spans="1:4" ht="28.8" x14ac:dyDescent="0.3">
      <c r="A19" s="55" t="s">
        <v>50</v>
      </c>
      <c r="B19" s="55" t="s">
        <v>51</v>
      </c>
      <c r="C19" s="52"/>
      <c r="D19" s="52"/>
    </row>
    <row r="20" spans="1:4" x14ac:dyDescent="0.3">
      <c r="A20" s="52"/>
      <c r="B20" s="52"/>
      <c r="C20" s="52"/>
      <c r="D20" s="52"/>
    </row>
    <row r="21" spans="1:4" x14ac:dyDescent="0.3">
      <c r="A21" s="26" t="s">
        <v>52</v>
      </c>
      <c r="B21" s="26"/>
      <c r="C21" s="26"/>
      <c r="D21" s="26"/>
    </row>
    <row r="22" spans="1:4" ht="57.6" x14ac:dyDescent="0.3">
      <c r="A22" s="52" t="s">
        <v>53</v>
      </c>
      <c r="B22" s="52" t="s">
        <v>54</v>
      </c>
      <c r="C22" s="52"/>
      <c r="D22" s="52"/>
    </row>
    <row r="23" spans="1:4" ht="57.6" x14ac:dyDescent="0.3">
      <c r="A23" s="52" t="s">
        <v>55</v>
      </c>
      <c r="B23" s="52" t="s">
        <v>56</v>
      </c>
      <c r="C23" s="52"/>
      <c r="D23" s="52"/>
    </row>
    <row r="24" spans="1:4" ht="72" x14ac:dyDescent="0.3">
      <c r="A24" s="52" t="s">
        <v>57</v>
      </c>
      <c r="B24" s="52" t="s">
        <v>58</v>
      </c>
      <c r="C24" s="52"/>
      <c r="D24" s="52"/>
    </row>
    <row r="25" spans="1:4" x14ac:dyDescent="0.3">
      <c r="A25" s="64" t="s">
        <v>59</v>
      </c>
      <c r="B25" s="65"/>
      <c r="C25" s="65"/>
      <c r="D25" s="65"/>
    </row>
    <row r="26" spans="1:4" ht="28.8" x14ac:dyDescent="0.3">
      <c r="A26" s="2" t="s">
        <v>5</v>
      </c>
      <c r="B26" s="52" t="s">
        <v>60</v>
      </c>
      <c r="C26" s="52" t="s">
        <v>61</v>
      </c>
      <c r="D26" s="52"/>
    </row>
    <row r="27" spans="1:4" ht="28.8" x14ac:dyDescent="0.3">
      <c r="A27" s="2" t="s">
        <v>9</v>
      </c>
      <c r="B27" s="52" t="s">
        <v>62</v>
      </c>
      <c r="C27" s="52" t="s">
        <v>63</v>
      </c>
      <c r="D27" s="52"/>
    </row>
    <row r="28" spans="1:4" x14ac:dyDescent="0.3">
      <c r="A28" s="2" t="s">
        <v>12</v>
      </c>
      <c r="B28" s="52" t="s">
        <v>64</v>
      </c>
      <c r="C28" s="52" t="s">
        <v>65</v>
      </c>
      <c r="D28" s="52"/>
    </row>
    <row r="29" spans="1:4" x14ac:dyDescent="0.3">
      <c r="A29" s="2" t="s">
        <v>16</v>
      </c>
      <c r="B29" s="52" t="s">
        <v>66</v>
      </c>
      <c r="C29" s="52" t="s">
        <v>67</v>
      </c>
      <c r="D29" s="52"/>
    </row>
    <row r="30" spans="1:4" ht="28.8" x14ac:dyDescent="0.3">
      <c r="A30" s="2" t="s">
        <v>20</v>
      </c>
      <c r="B30" s="52" t="s">
        <v>68</v>
      </c>
      <c r="C30" s="52" t="s">
        <v>69</v>
      </c>
      <c r="D30" s="52"/>
    </row>
    <row r="31" spans="1:4" x14ac:dyDescent="0.3">
      <c r="A31" s="1" t="s">
        <v>23</v>
      </c>
      <c r="B31" s="52" t="s">
        <v>70</v>
      </c>
      <c r="C31" s="52" t="s">
        <v>71</v>
      </c>
    </row>
  </sheetData>
  <mergeCells count="2">
    <mergeCell ref="A1:H1"/>
    <mergeCell ref="A25:D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8"/>
  <sheetViews>
    <sheetView topLeftCell="B10" workbookViewId="0">
      <selection activeCell="M20" sqref="M20"/>
    </sheetView>
  </sheetViews>
  <sheetFormatPr defaultRowHeight="14.4" x14ac:dyDescent="0.3"/>
  <cols>
    <col min="1" max="1" width="16" customWidth="1"/>
    <col min="2" max="2" width="19" customWidth="1"/>
    <col min="3" max="3" width="16" customWidth="1"/>
    <col min="4" max="4" width="15" customWidth="1"/>
    <col min="5" max="5" width="31" customWidth="1"/>
    <col min="6" max="6" width="18" customWidth="1"/>
    <col min="7" max="7" width="4" customWidth="1"/>
    <col min="8" max="8" width="18" customWidth="1"/>
    <col min="9" max="11" width="15" customWidth="1"/>
    <col min="12" max="14" width="12" customWidth="1"/>
  </cols>
  <sheetData>
    <row r="1" spans="1:14" x14ac:dyDescent="0.3">
      <c r="A1" s="66" t="s">
        <v>72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x14ac:dyDescent="0.3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x14ac:dyDescent="0.3">
      <c r="A3" s="67" t="str">
        <f>"Reporting Month: "&amp;TEXT(Setup!B4,"mmmm yyyy")&amp;" | Actuals: "&amp;Setup!B8</f>
        <v>Reporting Month: August 2026 | Actuals: Manual (Live)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5" spans="1:14" x14ac:dyDescent="0.3">
      <c r="A5" s="68" t="s">
        <v>73</v>
      </c>
      <c r="B5" s="68"/>
      <c r="C5" s="68"/>
      <c r="D5" s="68" t="s">
        <v>74</v>
      </c>
      <c r="E5" s="68"/>
      <c r="F5" s="68"/>
      <c r="G5" s="68" t="s">
        <v>75</v>
      </c>
      <c r="H5" s="68"/>
      <c r="I5" s="68"/>
      <c r="J5" s="68" t="s">
        <v>76</v>
      </c>
      <c r="K5" s="68"/>
      <c r="L5" s="68"/>
    </row>
    <row r="6" spans="1:14" ht="19.8" x14ac:dyDescent="0.4">
      <c r="A6" s="69">
        <f>Setup!H11</f>
        <v>18796.129999999997</v>
      </c>
      <c r="B6" s="70"/>
      <c r="C6" s="70"/>
      <c r="D6" s="69">
        <f>'Budget Plan'!C57</f>
        <v>15915.13</v>
      </c>
      <c r="E6" s="70"/>
      <c r="F6" s="70"/>
      <c r="G6" s="69">
        <f>'Budget Plan'!D57</f>
        <v>0</v>
      </c>
      <c r="H6" s="70"/>
      <c r="I6" s="70"/>
      <c r="J6" s="69">
        <f>B5-G6</f>
        <v>0</v>
      </c>
      <c r="K6" s="70"/>
      <c r="L6" s="70"/>
    </row>
    <row r="9" spans="1:14" x14ac:dyDescent="0.3">
      <c r="A9" s="68" t="s">
        <v>77</v>
      </c>
      <c r="B9" s="68"/>
      <c r="C9" s="68"/>
      <c r="D9" s="68" t="s">
        <v>78</v>
      </c>
      <c r="E9" s="68"/>
      <c r="F9" s="68"/>
      <c r="G9" s="68" t="s">
        <v>79</v>
      </c>
      <c r="H9" s="68"/>
      <c r="I9" s="68"/>
      <c r="J9" s="68" t="s">
        <v>80</v>
      </c>
      <c r="K9" s="68"/>
      <c r="L9" s="68"/>
    </row>
    <row r="10" spans="1:14" ht="19.8" x14ac:dyDescent="0.4">
      <c r="A10" s="69">
        <f>B6-E6</f>
        <v>0</v>
      </c>
      <c r="B10" s="70"/>
      <c r="C10" s="70"/>
      <c r="D10" s="69">
        <f>Debts!B14</f>
        <v>0</v>
      </c>
      <c r="E10" s="70"/>
      <c r="F10" s="70"/>
      <c r="G10" s="69">
        <f>SUM(Goals!H4:H9)</f>
        <v>375</v>
      </c>
      <c r="H10" s="70"/>
      <c r="I10" s="70"/>
      <c r="J10" s="69">
        <f>MAX(0,B6-G6-K10)</f>
        <v>0</v>
      </c>
      <c r="K10" s="70"/>
      <c r="L10" s="70"/>
    </row>
    <row r="13" spans="1:14" x14ac:dyDescent="0.3">
      <c r="A13" s="71" t="s">
        <v>81</v>
      </c>
      <c r="B13" s="71"/>
      <c r="C13" s="71"/>
      <c r="D13" s="71"/>
      <c r="E13" s="71"/>
      <c r="F13" s="71"/>
      <c r="H13" s="3" t="s">
        <v>82</v>
      </c>
      <c r="I13" s="3" t="s">
        <v>83</v>
      </c>
      <c r="J13" s="3" t="s">
        <v>84</v>
      </c>
      <c r="K13" s="3" t="s">
        <v>85</v>
      </c>
    </row>
    <row r="14" spans="1:14" x14ac:dyDescent="0.3">
      <c r="A14" s="53" t="s">
        <v>86</v>
      </c>
      <c r="B14" s="53" t="s">
        <v>87</v>
      </c>
      <c r="C14" s="53" t="s">
        <v>88</v>
      </c>
      <c r="D14" s="53" t="s">
        <v>89</v>
      </c>
      <c r="E14" s="53" t="s">
        <v>90</v>
      </c>
      <c r="F14" s="53" t="s">
        <v>91</v>
      </c>
      <c r="H14" t="s">
        <v>92</v>
      </c>
      <c r="I14" s="5">
        <f>SUMIF('Monthly Summary'!$A$4:$A$20,H14,'Monthly Summary'!$B$4:$B$20)</f>
        <v>2669.7799999999997</v>
      </c>
      <c r="J14" s="5">
        <f>SUMIF('Monthly Summary'!$A$4:$A$20,H14,'Monthly Summary'!$C$4:$C$20)</f>
        <v>545.90000000000009</v>
      </c>
      <c r="K14" s="5">
        <f t="shared" ref="K14:K22" si="0">I14-J14</f>
        <v>2123.8799999999997</v>
      </c>
    </row>
    <row r="15" spans="1:14" x14ac:dyDescent="0.3">
      <c r="A15" t="s">
        <v>5</v>
      </c>
      <c r="B15" t="s">
        <v>93</v>
      </c>
      <c r="C15" s="5">
        <f>SUMIFS('Budget Plan'!$C$4:$C$55,'Budget Plan'!$G$4:$G$55,"Critical")+SUMIFS('Budget Plan'!$C$4:$C$55,'Budget Plan'!$H$4:$H$55,"Fixed")</f>
        <v>8045.25</v>
      </c>
      <c r="D15" t="s">
        <v>94</v>
      </c>
      <c r="E15" t="s">
        <v>95</v>
      </c>
      <c r="F15" t="str">
        <f>IF(B6&gt;=C15,"Funded","Shortfall")</f>
        <v>Shortfall</v>
      </c>
      <c r="H15" t="s">
        <v>96</v>
      </c>
      <c r="I15" s="5">
        <f>SUMIF('Monthly Summary'!$A$4:$A$20,H15,'Monthly Summary'!$B$4:$B$20)</f>
        <v>2149.88</v>
      </c>
      <c r="J15" s="5">
        <f>SUMIF('Monthly Summary'!$A$4:$A$20,H15,'Monthly Summary'!$C$4:$C$20)</f>
        <v>121</v>
      </c>
      <c r="K15" s="5">
        <f t="shared" si="0"/>
        <v>2028.88</v>
      </c>
    </row>
    <row r="16" spans="1:14" x14ac:dyDescent="0.3">
      <c r="A16" t="s">
        <v>9</v>
      </c>
      <c r="B16" t="s">
        <v>97</v>
      </c>
      <c r="C16" s="5">
        <f>Setup!B5</f>
        <v>500</v>
      </c>
      <c r="D16" t="s">
        <v>98</v>
      </c>
      <c r="E16" t="s">
        <v>99</v>
      </c>
      <c r="F16" t="str">
        <f>IF(B6-G6&gt;=C16,"Protected","At Risk")</f>
        <v>At Risk</v>
      </c>
      <c r="H16" t="s">
        <v>100</v>
      </c>
      <c r="I16" s="5">
        <f>SUMIF('Monthly Summary'!$A$4:$A$20,H16,'Monthly Summary'!$B$4:$B$20)</f>
        <v>2962.51</v>
      </c>
      <c r="J16" s="5">
        <f>SUMIF('Monthly Summary'!$A$4:$A$20,H16,'Monthly Summary'!$C$4:$C$20)</f>
        <v>1489.84</v>
      </c>
      <c r="K16" s="5">
        <f t="shared" si="0"/>
        <v>1472.6700000000003</v>
      </c>
    </row>
    <row r="17" spans="1:11" x14ac:dyDescent="0.3">
      <c r="A17" t="s">
        <v>12</v>
      </c>
      <c r="B17" t="s">
        <v>101</v>
      </c>
      <c r="C17" s="5">
        <f>Debts!B15</f>
        <v>0</v>
      </c>
      <c r="D17" t="s">
        <v>102</v>
      </c>
      <c r="E17" t="s">
        <v>103</v>
      </c>
      <c r="F17" t="str">
        <f>IF(B6&gt;=C15+C17,"Funded","Review")</f>
        <v>Review</v>
      </c>
      <c r="H17" t="s">
        <v>104</v>
      </c>
      <c r="I17" s="5">
        <f>SUMIF('Monthly Summary'!$A$4:$A$20,H17,'Monthly Summary'!$B$4:$B$20)</f>
        <v>1300</v>
      </c>
      <c r="J17" s="5">
        <f>SUMIF('Monthly Summary'!$A$4:$A$20,H17,'Monthly Summary'!$C$4:$C$20)</f>
        <v>20.47</v>
      </c>
      <c r="K17" s="5">
        <f t="shared" si="0"/>
        <v>1279.53</v>
      </c>
    </row>
    <row r="18" spans="1:11" x14ac:dyDescent="0.3">
      <c r="A18" t="s">
        <v>16</v>
      </c>
      <c r="B18" t="s">
        <v>105</v>
      </c>
      <c r="C18" s="5">
        <f>SUM(Goals!H4:H9)</f>
        <v>375</v>
      </c>
      <c r="D18" t="s">
        <v>106</v>
      </c>
      <c r="E18" t="s">
        <v>107</v>
      </c>
      <c r="F18" t="str">
        <f>IF(B6-G6-C17&gt;=C18,"Funded","Reduce/Delay")</f>
        <v>Reduce/Delay</v>
      </c>
      <c r="H18" t="s">
        <v>108</v>
      </c>
      <c r="I18" s="5">
        <f>SUMIF('Monthly Summary'!$A$4:$A$20,H18,'Monthly Summary'!$B$4:$B$20)</f>
        <v>619.89</v>
      </c>
      <c r="J18" s="5">
        <f>SUMIF('Monthly Summary'!$A$4:$A$20,H18,'Monthly Summary'!$C$4:$C$20)</f>
        <v>289.12</v>
      </c>
      <c r="K18" s="5">
        <f t="shared" si="0"/>
        <v>330.77</v>
      </c>
    </row>
    <row r="19" spans="1:11" x14ac:dyDescent="0.3">
      <c r="A19" t="s">
        <v>20</v>
      </c>
      <c r="B19" t="s">
        <v>109</v>
      </c>
      <c r="C19" s="5">
        <f>MAX(0,B10-Setup!B5)</f>
        <v>0</v>
      </c>
      <c r="D19" t="s">
        <v>110</v>
      </c>
      <c r="E19" t="s">
        <v>111</v>
      </c>
      <c r="F19" t="str">
        <f>IF(C19&gt;0,"Recommended","No extra available")</f>
        <v>No extra available</v>
      </c>
      <c r="H19" t="s">
        <v>112</v>
      </c>
      <c r="I19" s="5">
        <f>SUMIF('Monthly Summary'!$A$4:$A$20,H19,'Monthly Summary'!$B$4:$B$20)</f>
        <v>90</v>
      </c>
      <c r="J19" s="5">
        <f>SUMIF('Monthly Summary'!$A$4:$A$20,H19,'Monthly Summary'!$C$4:$C$20)</f>
        <v>0</v>
      </c>
      <c r="K19" s="5">
        <f t="shared" si="0"/>
        <v>90</v>
      </c>
    </row>
    <row r="20" spans="1:11" x14ac:dyDescent="0.3">
      <c r="H20" t="s">
        <v>113</v>
      </c>
      <c r="I20" s="5">
        <f>SUMIF('Monthly Summary'!$A$4:$A$20,H20,'Monthly Summary'!$B$4:$B$20)</f>
        <v>1000</v>
      </c>
      <c r="J20" s="5">
        <f>SUMIF('Monthly Summary'!$A$4:$A$20,H20,'Monthly Summary'!$C$4:$C$20)</f>
        <v>0</v>
      </c>
      <c r="K20" s="5">
        <f t="shared" si="0"/>
        <v>1000</v>
      </c>
    </row>
    <row r="21" spans="1:11" x14ac:dyDescent="0.3">
      <c r="H21" t="s">
        <v>114</v>
      </c>
      <c r="I21" s="5">
        <f>SUMIF('Monthly Summary'!$A$4:$A$20,H21,'Monthly Summary'!$B$4:$B$20)</f>
        <v>1600</v>
      </c>
      <c r="J21" s="5">
        <f>SUMIF('Monthly Summary'!$A$4:$A$20,H21,'Monthly Summary'!$C$4:$C$20)</f>
        <v>377.77</v>
      </c>
      <c r="K21" s="5">
        <f t="shared" si="0"/>
        <v>1222.23</v>
      </c>
    </row>
    <row r="22" spans="1:11" x14ac:dyDescent="0.3">
      <c r="A22" s="71" t="s">
        <v>115</v>
      </c>
      <c r="B22" s="71"/>
      <c r="C22" s="71"/>
      <c r="D22" s="71"/>
      <c r="E22" s="71"/>
      <c r="F22" s="71"/>
      <c r="H22" t="s">
        <v>116</v>
      </c>
      <c r="I22" s="5">
        <f>SUMIF('Monthly Summary'!$A$4:$A$20,H22,'Monthly Summary'!$B$4:$B$20)</f>
        <v>2800</v>
      </c>
      <c r="J22" s="5">
        <f>SUMIF('Monthly Summary'!$A$4:$A$20,H22,'Monthly Summary'!$C$4:$C$20)</f>
        <v>921.75</v>
      </c>
      <c r="K22" s="5">
        <f t="shared" si="0"/>
        <v>1878.25</v>
      </c>
    </row>
    <row r="23" spans="1:11" x14ac:dyDescent="0.3">
      <c r="A23" s="3" t="s">
        <v>117</v>
      </c>
      <c r="B23" s="3" t="s">
        <v>118</v>
      </c>
      <c r="C23" s="3" t="s">
        <v>119</v>
      </c>
      <c r="D23" s="3" t="s">
        <v>91</v>
      </c>
      <c r="E23" s="3" t="s">
        <v>120</v>
      </c>
      <c r="F23" s="3" t="s">
        <v>121</v>
      </c>
    </row>
    <row r="24" spans="1:11" x14ac:dyDescent="0.3">
      <c r="A24" t="s">
        <v>122</v>
      </c>
      <c r="B24" s="25">
        <f>IF(B6=0,0,SUMIFS('Budget Plan'!$D$4:$D$55,'Budget Plan'!$A$4:$A$55,"Savings")/B6)</f>
        <v>0</v>
      </c>
      <c r="C24" s="25">
        <v>0.1</v>
      </c>
      <c r="D24" t="str">
        <f>IF(B24&gt;=C24,"Healthy","Below target")</f>
        <v>Below target</v>
      </c>
      <c r="E24" t="s">
        <v>123</v>
      </c>
    </row>
    <row r="25" spans="1:11" x14ac:dyDescent="0.3">
      <c r="A25" t="s">
        <v>124</v>
      </c>
      <c r="B25" s="25">
        <f>IF(B6=0,0,Debts!B15/B6)</f>
        <v>0</v>
      </c>
      <c r="C25" s="25">
        <v>0.2</v>
      </c>
      <c r="D25" t="str">
        <f>IF(B25&lt;=C25,"Healthy","High")</f>
        <v>Healthy</v>
      </c>
      <c r="E25" t="s">
        <v>125</v>
      </c>
    </row>
    <row r="26" spans="1:11" x14ac:dyDescent="0.3">
      <c r="A26" t="s">
        <v>126</v>
      </c>
      <c r="B26" s="25">
        <f>IF(B6=0,0,SUMIFS('Budget Plan'!$D$4:$D$55,'Budget Plan'!$A$4:$A$55,"Housing")/B6)</f>
        <v>0</v>
      </c>
      <c r="C26" s="25">
        <v>0.3</v>
      </c>
      <c r="D26" t="str">
        <f>IF(B26&lt;=C26,"Healthy","High")</f>
        <v>Healthy</v>
      </c>
      <c r="E26" t="s">
        <v>127</v>
      </c>
    </row>
    <row r="27" spans="1:11" x14ac:dyDescent="0.3">
      <c r="A27" t="s">
        <v>128</v>
      </c>
      <c r="B27" s="25">
        <f>IF(SUMIFS('Budget Plan'!$D$4:$D$55,'Budget Plan'!$G$4:$G$55,"Critical")=0,0,Goals!D4/SUMIFS('Budget Plan'!$D$4:$D$55,'Budget Plan'!$G$4:$G$55,"Critical"))</f>
        <v>0</v>
      </c>
      <c r="C27" s="25">
        <f>Setup!B7</f>
        <v>3</v>
      </c>
      <c r="D27" t="str">
        <f>IF(B27&gt;=C27,"Healthy","Below target")</f>
        <v>Below target</v>
      </c>
      <c r="E27" t="s">
        <v>129</v>
      </c>
    </row>
    <row r="28" spans="1:11" x14ac:dyDescent="0.3">
      <c r="A28" t="s">
        <v>130</v>
      </c>
      <c r="B28" s="5">
        <f>'Budget Plan'!E57</f>
        <v>15915.13</v>
      </c>
      <c r="C28">
        <v>0</v>
      </c>
      <c r="D28" t="str">
        <f>IF(B28&gt;=C28,"On budget","Over budget")</f>
        <v>On budget</v>
      </c>
      <c r="E28" t="s">
        <v>131</v>
      </c>
    </row>
  </sheetData>
  <mergeCells count="20">
    <mergeCell ref="J9:L9"/>
    <mergeCell ref="J10:L10"/>
    <mergeCell ref="A13:F13"/>
    <mergeCell ref="A22:F22"/>
    <mergeCell ref="A9:C9"/>
    <mergeCell ref="A10:C10"/>
    <mergeCell ref="D9:F9"/>
    <mergeCell ref="D10:F10"/>
    <mergeCell ref="G9:I9"/>
    <mergeCell ref="G10:I10"/>
    <mergeCell ref="A1:N2"/>
    <mergeCell ref="A3:N3"/>
    <mergeCell ref="A5:C5"/>
    <mergeCell ref="A6:C6"/>
    <mergeCell ref="D5:F5"/>
    <mergeCell ref="D6:F6"/>
    <mergeCell ref="G5:I5"/>
    <mergeCell ref="G6:I6"/>
    <mergeCell ref="J5:L5"/>
    <mergeCell ref="J6:L6"/>
  </mergeCells>
  <conditionalFormatting sqref="D24:D28">
    <cfRule type="expression" dxfId="13" priority="3">
      <formula>OR(D24="Below target",D24="High",D24="Over budget")</formula>
    </cfRule>
    <cfRule type="expression" dxfId="12" priority="4">
      <formula>OR(D24="Healthy",D24="On budget")</formula>
    </cfRule>
  </conditionalFormatting>
  <conditionalFormatting sqref="F15:F19">
    <cfRule type="expression" dxfId="11" priority="1">
      <formula>OR(F15="Shortfall",F15="At Risk",F15="Review",F15="Reduce/Delay")</formula>
    </cfRule>
    <cfRule type="expression" dxfId="10" priority="2">
      <formula>OR(F15="Funded",F15="Protected",F15="Recommended")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79"/>
  <sheetViews>
    <sheetView zoomScale="84" zoomScaleNormal="84" workbookViewId="0">
      <selection activeCell="B8" sqref="B8"/>
    </sheetView>
  </sheetViews>
  <sheetFormatPr defaultRowHeight="14.4" x14ac:dyDescent="0.3"/>
  <cols>
    <col min="1" max="1" width="32" bestFit="1" customWidth="1"/>
    <col min="2" max="2" width="20.6640625" bestFit="1" customWidth="1"/>
    <col min="3" max="3" width="6.5546875" bestFit="1" customWidth="1"/>
    <col min="4" max="4" width="14.109375" bestFit="1" customWidth="1"/>
    <col min="5" max="5" width="27" bestFit="1" customWidth="1"/>
    <col min="6" max="6" width="15.6640625" bestFit="1" customWidth="1"/>
    <col min="7" max="8" width="21.6640625" bestFit="1" customWidth="1"/>
    <col min="9" max="9" width="19.5546875" bestFit="1" customWidth="1"/>
    <col min="10" max="10" width="19.6640625" bestFit="1" customWidth="1"/>
    <col min="11" max="11" width="19.5546875" bestFit="1" customWidth="1"/>
    <col min="12" max="12" width="21.6640625" bestFit="1" customWidth="1"/>
    <col min="13" max="13" width="20.44140625" bestFit="1" customWidth="1"/>
    <col min="14" max="14" width="16.33203125" bestFit="1" customWidth="1"/>
    <col min="15" max="15" width="14.44140625" bestFit="1" customWidth="1"/>
    <col min="16" max="16" width="17.33203125" bestFit="1" customWidth="1"/>
    <col min="17" max="17" width="14.109375" bestFit="1" customWidth="1"/>
    <col min="18" max="18" width="15.5546875" bestFit="1" customWidth="1"/>
    <col min="19" max="19" width="19.6640625" bestFit="1" customWidth="1"/>
    <col min="20" max="20" width="13" bestFit="1" customWidth="1"/>
    <col min="21" max="21" width="8.6640625" bestFit="1" customWidth="1"/>
    <col min="22" max="22" width="12.33203125" bestFit="1" customWidth="1"/>
    <col min="23" max="23" width="16.33203125" bestFit="1" customWidth="1"/>
    <col min="24" max="24" width="19.88671875" bestFit="1" customWidth="1"/>
    <col min="25" max="25" width="6.109375" bestFit="1" customWidth="1"/>
    <col min="26" max="26" width="21.5546875" bestFit="1" customWidth="1"/>
    <col min="27" max="27" width="9.33203125" bestFit="1" customWidth="1"/>
  </cols>
  <sheetData>
    <row r="1" spans="1:27" ht="27.9" customHeight="1" x14ac:dyDescent="0.3">
      <c r="A1" s="72" t="s">
        <v>132</v>
      </c>
      <c r="B1" s="72"/>
      <c r="C1" s="72"/>
      <c r="D1" s="72"/>
      <c r="E1" s="72"/>
      <c r="F1" s="72"/>
      <c r="G1" s="72"/>
      <c r="H1" s="72"/>
      <c r="I1" s="42" t="s">
        <v>133</v>
      </c>
      <c r="J1" s="41" t="s">
        <v>92</v>
      </c>
      <c r="K1" s="41" t="s">
        <v>96</v>
      </c>
      <c r="L1" s="41" t="s">
        <v>100</v>
      </c>
      <c r="M1" s="41" t="s">
        <v>104</v>
      </c>
      <c r="N1" s="41" t="s">
        <v>134</v>
      </c>
      <c r="O1" s="41" t="s">
        <v>135</v>
      </c>
      <c r="P1" s="41" t="s">
        <v>136</v>
      </c>
      <c r="Q1" s="41" t="s">
        <v>137</v>
      </c>
      <c r="R1" s="41" t="s">
        <v>113</v>
      </c>
      <c r="S1" s="41" t="s">
        <v>114</v>
      </c>
      <c r="T1" s="41" t="s">
        <v>138</v>
      </c>
      <c r="U1" s="41" t="s">
        <v>139</v>
      </c>
      <c r="V1" s="41" t="s">
        <v>108</v>
      </c>
      <c r="W1" s="41" t="s">
        <v>112</v>
      </c>
      <c r="X1" s="41" t="s">
        <v>140</v>
      </c>
      <c r="Y1" s="41" t="s">
        <v>141</v>
      </c>
      <c r="Z1" s="43" t="s">
        <v>142</v>
      </c>
      <c r="AA1" s="41" t="s">
        <v>143</v>
      </c>
    </row>
    <row r="2" spans="1:27" x14ac:dyDescent="0.3">
      <c r="A2" s="8"/>
      <c r="B2" s="8"/>
      <c r="C2" s="8"/>
      <c r="D2" s="8"/>
      <c r="E2" s="8"/>
      <c r="F2" s="8"/>
      <c r="G2" s="8"/>
      <c r="H2" s="8"/>
      <c r="J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150</v>
      </c>
      <c r="Q2" t="s">
        <v>137</v>
      </c>
      <c r="R2" t="s">
        <v>113</v>
      </c>
      <c r="S2" t="s">
        <v>151</v>
      </c>
      <c r="T2" t="s">
        <v>152</v>
      </c>
      <c r="U2" t="s">
        <v>153</v>
      </c>
      <c r="V2" t="s">
        <v>154</v>
      </c>
      <c r="W2" t="s">
        <v>155</v>
      </c>
      <c r="X2" t="s">
        <v>156</v>
      </c>
      <c r="Y2" t="s">
        <v>141</v>
      </c>
      <c r="Z2" t="s">
        <v>157</v>
      </c>
      <c r="AA2" t="s">
        <v>158</v>
      </c>
    </row>
    <row r="3" spans="1:27" x14ac:dyDescent="0.3">
      <c r="A3" s="9" t="s">
        <v>159</v>
      </c>
      <c r="B3" s="9" t="s">
        <v>160</v>
      </c>
      <c r="C3" s="8"/>
      <c r="D3" s="10" t="s">
        <v>161</v>
      </c>
      <c r="E3" s="10" t="s">
        <v>162</v>
      </c>
      <c r="F3" s="10" t="s">
        <v>163</v>
      </c>
      <c r="G3" s="10" t="s">
        <v>164</v>
      </c>
      <c r="H3" s="10" t="s">
        <v>165</v>
      </c>
      <c r="J3" t="s">
        <v>166</v>
      </c>
      <c r="K3" t="s">
        <v>167</v>
      </c>
      <c r="L3" t="s">
        <v>168</v>
      </c>
      <c r="M3" t="s">
        <v>169</v>
      </c>
      <c r="N3" t="s">
        <v>170</v>
      </c>
      <c r="O3" t="s">
        <v>171</v>
      </c>
      <c r="P3" t="s">
        <v>172</v>
      </c>
      <c r="Q3" t="s">
        <v>173</v>
      </c>
      <c r="R3" t="s">
        <v>174</v>
      </c>
      <c r="S3" t="s">
        <v>175</v>
      </c>
      <c r="T3" t="s">
        <v>176</v>
      </c>
      <c r="V3" t="s">
        <v>177</v>
      </c>
      <c r="W3" t="s">
        <v>178</v>
      </c>
      <c r="Z3" t="s">
        <v>179</v>
      </c>
      <c r="AA3" t="s">
        <v>112</v>
      </c>
    </row>
    <row r="4" spans="1:27" x14ac:dyDescent="0.3">
      <c r="A4" s="8" t="s">
        <v>180</v>
      </c>
      <c r="B4" s="56" t="s">
        <v>181</v>
      </c>
      <c r="C4" s="8"/>
      <c r="D4" s="11" t="s">
        <v>182</v>
      </c>
      <c r="E4" s="11" t="s">
        <v>183</v>
      </c>
      <c r="F4" s="11" t="s">
        <v>184</v>
      </c>
      <c r="G4" s="12">
        <v>3938.58</v>
      </c>
      <c r="H4" s="13">
        <f>IF(G4="","",G4*IF(F4="Weekly",52/12,IF(F4="Biweekly",26/12,IF(F4="Semimonthly",2,IF(F4="Monthly",1,IF(F4="Quarterly",1/3,IF(F4="Annual",1/12,1)))))))</f>
        <v>3938.58</v>
      </c>
      <c r="J4" t="s">
        <v>185</v>
      </c>
      <c r="K4" t="s">
        <v>186</v>
      </c>
      <c r="L4" t="s">
        <v>187</v>
      </c>
      <c r="M4" t="s">
        <v>188</v>
      </c>
      <c r="O4" t="s">
        <v>189</v>
      </c>
      <c r="Q4" t="s">
        <v>190</v>
      </c>
      <c r="R4" t="s">
        <v>114</v>
      </c>
      <c r="S4" t="s">
        <v>191</v>
      </c>
      <c r="V4" t="s">
        <v>192</v>
      </c>
      <c r="W4" t="s">
        <v>193</v>
      </c>
      <c r="Z4" t="s">
        <v>194</v>
      </c>
    </row>
    <row r="5" spans="1:27" x14ac:dyDescent="0.3">
      <c r="A5" s="8" t="s">
        <v>195</v>
      </c>
      <c r="B5" s="57">
        <v>500</v>
      </c>
      <c r="C5" s="8"/>
      <c r="D5" s="11" t="s">
        <v>196</v>
      </c>
      <c r="E5" s="11" t="s">
        <v>183</v>
      </c>
      <c r="F5" s="11" t="s">
        <v>184</v>
      </c>
      <c r="G5" s="12">
        <v>758.37</v>
      </c>
      <c r="H5" s="13">
        <v>758.37</v>
      </c>
      <c r="J5" t="s">
        <v>197</v>
      </c>
      <c r="K5" t="s">
        <v>198</v>
      </c>
      <c r="L5" t="s">
        <v>199</v>
      </c>
      <c r="S5" t="s">
        <v>200</v>
      </c>
      <c r="W5" t="s">
        <v>201</v>
      </c>
      <c r="Z5" t="s">
        <v>202</v>
      </c>
    </row>
    <row r="6" spans="1:27" x14ac:dyDescent="0.3">
      <c r="A6" s="8" t="s">
        <v>203</v>
      </c>
      <c r="B6" s="58" t="s">
        <v>204</v>
      </c>
      <c r="C6" s="8"/>
      <c r="D6" s="11" t="s">
        <v>205</v>
      </c>
      <c r="E6" s="11" t="s">
        <v>183</v>
      </c>
      <c r="F6" s="11" t="s">
        <v>184</v>
      </c>
      <c r="G6" s="12">
        <v>2240</v>
      </c>
      <c r="H6" s="13">
        <v>2240</v>
      </c>
      <c r="J6" t="s">
        <v>206</v>
      </c>
      <c r="K6" t="s">
        <v>207</v>
      </c>
      <c r="L6" t="s">
        <v>208</v>
      </c>
    </row>
    <row r="7" spans="1:27" x14ac:dyDescent="0.3">
      <c r="A7" s="8" t="s">
        <v>209</v>
      </c>
      <c r="B7" s="59">
        <v>3</v>
      </c>
      <c r="C7" s="8"/>
      <c r="D7" s="11" t="s">
        <v>210</v>
      </c>
      <c r="E7" s="11" t="s">
        <v>183</v>
      </c>
      <c r="F7" s="11" t="s">
        <v>184</v>
      </c>
      <c r="G7" s="12">
        <v>4275.17</v>
      </c>
      <c r="H7" s="13">
        <v>4275.17</v>
      </c>
      <c r="J7" t="s">
        <v>211</v>
      </c>
    </row>
    <row r="8" spans="1:27" x14ac:dyDescent="0.3">
      <c r="A8" s="31" t="s">
        <v>212</v>
      </c>
      <c r="B8" s="32" t="s">
        <v>213</v>
      </c>
      <c r="C8" s="8"/>
      <c r="D8" s="11" t="s">
        <v>214</v>
      </c>
      <c r="E8" s="11" t="s">
        <v>183</v>
      </c>
      <c r="F8" s="11" t="s">
        <v>184</v>
      </c>
      <c r="G8" s="12">
        <v>4078.45</v>
      </c>
      <c r="H8" s="13">
        <v>4078.45</v>
      </c>
    </row>
    <row r="9" spans="1:27" x14ac:dyDescent="0.3">
      <c r="A9" s="8"/>
      <c r="B9" s="8"/>
      <c r="C9" s="8"/>
      <c r="D9" s="11" t="s">
        <v>215</v>
      </c>
      <c r="E9" s="11" t="s">
        <v>183</v>
      </c>
      <c r="F9" s="11" t="s">
        <v>184</v>
      </c>
      <c r="G9" s="12">
        <v>1752.78</v>
      </c>
      <c r="H9" s="13">
        <v>1752.78</v>
      </c>
    </row>
    <row r="10" spans="1:27" x14ac:dyDescent="0.3">
      <c r="A10" s="14" t="s">
        <v>216</v>
      </c>
      <c r="B10" s="14" t="s">
        <v>217</v>
      </c>
      <c r="C10" s="14" t="s">
        <v>218</v>
      </c>
      <c r="D10" s="11" t="s">
        <v>219</v>
      </c>
      <c r="E10" s="11" t="s">
        <v>183</v>
      </c>
      <c r="F10" s="11" t="s">
        <v>184</v>
      </c>
      <c r="G10" s="12">
        <v>1752.78</v>
      </c>
      <c r="H10" s="13">
        <v>1752.78</v>
      </c>
    </row>
    <row r="11" spans="1:27" x14ac:dyDescent="0.3">
      <c r="A11" s="8" t="s">
        <v>92</v>
      </c>
      <c r="B11" s="8" t="s">
        <v>144</v>
      </c>
      <c r="C11" s="8" t="s">
        <v>220</v>
      </c>
      <c r="D11" s="73" t="s">
        <v>221</v>
      </c>
      <c r="E11" s="73"/>
      <c r="F11" s="73"/>
      <c r="G11" s="73"/>
      <c r="H11" s="15">
        <f>SUM(H4:H10)</f>
        <v>18796.129999999997</v>
      </c>
    </row>
    <row r="12" spans="1:27" x14ac:dyDescent="0.3">
      <c r="A12" s="8" t="s">
        <v>96</v>
      </c>
      <c r="B12" s="8" t="s">
        <v>145</v>
      </c>
      <c r="C12" s="8" t="s">
        <v>220</v>
      </c>
      <c r="D12" s="8"/>
      <c r="E12" s="8"/>
      <c r="F12" s="8"/>
      <c r="G12" s="8"/>
      <c r="H12" s="8"/>
    </row>
    <row r="13" spans="1:27" x14ac:dyDescent="0.3">
      <c r="A13" s="8" t="s">
        <v>100</v>
      </c>
      <c r="B13" s="8" t="s">
        <v>146</v>
      </c>
      <c r="C13" s="8" t="s">
        <v>220</v>
      </c>
      <c r="D13" s="8"/>
      <c r="E13" s="8"/>
      <c r="F13" s="8"/>
      <c r="G13" s="8"/>
      <c r="H13" s="8"/>
    </row>
    <row r="14" spans="1:27" x14ac:dyDescent="0.3">
      <c r="A14" s="8" t="s">
        <v>104</v>
      </c>
      <c r="B14" s="8" t="s">
        <v>147</v>
      </c>
      <c r="C14" s="8" t="s">
        <v>220</v>
      </c>
      <c r="D14" s="8"/>
      <c r="E14" s="14" t="s">
        <v>222</v>
      </c>
      <c r="F14" s="14" t="s">
        <v>216</v>
      </c>
      <c r="G14" s="14" t="s">
        <v>223</v>
      </c>
      <c r="H14" s="8"/>
    </row>
    <row r="15" spans="1:27" x14ac:dyDescent="0.3">
      <c r="A15" s="8" t="s">
        <v>134</v>
      </c>
      <c r="B15" s="8" t="s">
        <v>224</v>
      </c>
      <c r="C15" s="8" t="s">
        <v>220</v>
      </c>
      <c r="D15" s="8"/>
      <c r="E15" s="8" t="s">
        <v>225</v>
      </c>
      <c r="F15" s="8" t="s">
        <v>92</v>
      </c>
      <c r="G15" s="8" t="s">
        <v>144</v>
      </c>
      <c r="H15" s="8"/>
    </row>
    <row r="16" spans="1:27" x14ac:dyDescent="0.3">
      <c r="A16" s="8" t="s">
        <v>135</v>
      </c>
      <c r="B16" s="8" t="s">
        <v>149</v>
      </c>
      <c r="C16" s="8" t="s">
        <v>220</v>
      </c>
      <c r="D16" s="8"/>
      <c r="E16" s="8" t="s">
        <v>206</v>
      </c>
      <c r="F16" s="8" t="s">
        <v>92</v>
      </c>
      <c r="G16" s="8" t="s">
        <v>206</v>
      </c>
      <c r="H16" s="8"/>
    </row>
    <row r="17" spans="1:8" x14ac:dyDescent="0.3">
      <c r="A17" s="8" t="s">
        <v>136</v>
      </c>
      <c r="B17" s="8" t="s">
        <v>150</v>
      </c>
      <c r="C17" s="8" t="s">
        <v>220</v>
      </c>
      <c r="D17" s="8"/>
      <c r="E17" s="8" t="s">
        <v>211</v>
      </c>
      <c r="F17" s="8" t="s">
        <v>92</v>
      </c>
      <c r="G17" s="8" t="s">
        <v>211</v>
      </c>
      <c r="H17" s="8"/>
    </row>
    <row r="18" spans="1:8" x14ac:dyDescent="0.3">
      <c r="A18" s="8" t="s">
        <v>137</v>
      </c>
      <c r="B18" s="8" t="s">
        <v>137</v>
      </c>
      <c r="C18" s="8" t="s">
        <v>220</v>
      </c>
      <c r="D18" s="8"/>
      <c r="E18" s="8" t="s">
        <v>226</v>
      </c>
      <c r="F18" s="8" t="s">
        <v>96</v>
      </c>
      <c r="G18" s="8" t="s">
        <v>186</v>
      </c>
      <c r="H18" s="8"/>
    </row>
    <row r="19" spans="1:8" x14ac:dyDescent="0.3">
      <c r="A19" s="8" t="s">
        <v>113</v>
      </c>
      <c r="B19" s="8" t="s">
        <v>114</v>
      </c>
      <c r="C19" s="8" t="s">
        <v>220</v>
      </c>
      <c r="D19" s="8"/>
      <c r="E19" s="8" t="s">
        <v>227</v>
      </c>
      <c r="F19" s="8" t="s">
        <v>96</v>
      </c>
      <c r="G19" s="8" t="s">
        <v>145</v>
      </c>
      <c r="H19" s="8"/>
    </row>
    <row r="20" spans="1:8" x14ac:dyDescent="0.3">
      <c r="A20" s="8" t="s">
        <v>114</v>
      </c>
      <c r="B20" s="8" t="s">
        <v>151</v>
      </c>
      <c r="C20" s="8" t="s">
        <v>220</v>
      </c>
      <c r="D20" s="8"/>
      <c r="E20" s="8" t="s">
        <v>228</v>
      </c>
      <c r="F20" s="8" t="s">
        <v>96</v>
      </c>
      <c r="G20" s="8" t="s">
        <v>167</v>
      </c>
      <c r="H20" s="8"/>
    </row>
    <row r="21" spans="1:8" x14ac:dyDescent="0.3">
      <c r="A21" s="8" t="s">
        <v>138</v>
      </c>
      <c r="B21" s="8" t="s">
        <v>152</v>
      </c>
      <c r="C21" s="8" t="s">
        <v>220</v>
      </c>
      <c r="D21" s="8"/>
      <c r="E21" s="8" t="s">
        <v>229</v>
      </c>
      <c r="F21" s="8" t="s">
        <v>96</v>
      </c>
      <c r="G21" s="8" t="s">
        <v>198</v>
      </c>
      <c r="H21" s="8"/>
    </row>
    <row r="22" spans="1:8" x14ac:dyDescent="0.3">
      <c r="A22" s="8" t="s">
        <v>139</v>
      </c>
      <c r="B22" s="8" t="s">
        <v>153</v>
      </c>
      <c r="C22" s="8" t="s">
        <v>220</v>
      </c>
      <c r="D22" s="8"/>
      <c r="E22" s="8" t="s">
        <v>146</v>
      </c>
      <c r="F22" s="8" t="s">
        <v>100</v>
      </c>
      <c r="G22" s="8" t="s">
        <v>146</v>
      </c>
      <c r="H22" s="8"/>
    </row>
    <row r="23" spans="1:8" x14ac:dyDescent="0.3">
      <c r="A23" s="8" t="s">
        <v>108</v>
      </c>
      <c r="B23" s="8" t="s">
        <v>230</v>
      </c>
      <c r="C23" s="8" t="s">
        <v>220</v>
      </c>
      <c r="D23" s="8"/>
      <c r="E23" s="8" t="s">
        <v>231</v>
      </c>
      <c r="F23" s="8" t="s">
        <v>100</v>
      </c>
      <c r="G23" s="8" t="s">
        <v>199</v>
      </c>
      <c r="H23" s="8"/>
    </row>
    <row r="24" spans="1:8" x14ac:dyDescent="0.3">
      <c r="A24" s="8" t="s">
        <v>112</v>
      </c>
      <c r="B24" s="8" t="s">
        <v>232</v>
      </c>
      <c r="C24" s="8" t="s">
        <v>220</v>
      </c>
      <c r="D24" s="8"/>
      <c r="E24" s="8" t="s">
        <v>233</v>
      </c>
      <c r="F24" s="8" t="s">
        <v>100</v>
      </c>
      <c r="G24" s="8" t="s">
        <v>187</v>
      </c>
      <c r="H24" s="8"/>
    </row>
    <row r="25" spans="1:8" x14ac:dyDescent="0.3">
      <c r="A25" s="8" t="s">
        <v>140</v>
      </c>
      <c r="B25" s="8" t="s">
        <v>140</v>
      </c>
      <c r="C25" s="8" t="s">
        <v>220</v>
      </c>
      <c r="D25" s="8"/>
      <c r="E25" s="8" t="s">
        <v>147</v>
      </c>
      <c r="F25" s="8" t="s">
        <v>104</v>
      </c>
      <c r="G25" s="8" t="s">
        <v>147</v>
      </c>
      <c r="H25" s="8"/>
    </row>
    <row r="26" spans="1:8" x14ac:dyDescent="0.3">
      <c r="A26" s="8" t="s">
        <v>141</v>
      </c>
      <c r="B26" s="8" t="s">
        <v>141</v>
      </c>
      <c r="C26" s="8" t="s">
        <v>220</v>
      </c>
      <c r="D26" s="8"/>
      <c r="E26" s="8" t="s">
        <v>234</v>
      </c>
      <c r="F26" s="8" t="s">
        <v>104</v>
      </c>
      <c r="G26" s="8" t="s">
        <v>169</v>
      </c>
      <c r="H26" s="8"/>
    </row>
    <row r="27" spans="1:8" x14ac:dyDescent="0.3">
      <c r="A27" s="8" t="s">
        <v>116</v>
      </c>
      <c r="B27" s="8" t="s">
        <v>194</v>
      </c>
      <c r="C27" s="8" t="s">
        <v>220</v>
      </c>
      <c r="D27" s="8"/>
      <c r="E27" s="8" t="s">
        <v>134</v>
      </c>
      <c r="F27" s="8" t="s">
        <v>134</v>
      </c>
      <c r="G27" s="8" t="s">
        <v>134</v>
      </c>
      <c r="H27" s="8"/>
    </row>
    <row r="28" spans="1:8" x14ac:dyDescent="0.3">
      <c r="A28" s="8" t="s">
        <v>235</v>
      </c>
      <c r="B28" s="8" t="s">
        <v>235</v>
      </c>
      <c r="C28" s="8" t="s">
        <v>220</v>
      </c>
      <c r="D28" s="8"/>
      <c r="E28" s="8" t="s">
        <v>236</v>
      </c>
      <c r="F28" s="8" t="s">
        <v>135</v>
      </c>
      <c r="G28" s="8" t="s">
        <v>149</v>
      </c>
      <c r="H28" s="8"/>
    </row>
    <row r="29" spans="1:8" x14ac:dyDescent="0.3">
      <c r="A29" s="8" t="s">
        <v>237</v>
      </c>
      <c r="B29" s="8" t="s">
        <v>237</v>
      </c>
      <c r="C29" s="8" t="s">
        <v>238</v>
      </c>
      <c r="D29" s="8"/>
      <c r="E29" s="8" t="s">
        <v>239</v>
      </c>
      <c r="F29" s="8" t="s">
        <v>136</v>
      </c>
      <c r="G29" s="8" t="s">
        <v>150</v>
      </c>
      <c r="H29" s="8"/>
    </row>
    <row r="30" spans="1:8" x14ac:dyDescent="0.3">
      <c r="A30" s="8"/>
      <c r="B30" s="8"/>
      <c r="C30" s="8"/>
      <c r="D30" s="8"/>
      <c r="E30" s="8" t="s">
        <v>240</v>
      </c>
      <c r="F30" s="8" t="s">
        <v>137</v>
      </c>
      <c r="G30" s="8" t="s">
        <v>173</v>
      </c>
      <c r="H30" s="8"/>
    </row>
    <row r="31" spans="1:8" x14ac:dyDescent="0.3">
      <c r="A31" s="8"/>
      <c r="B31" s="8"/>
      <c r="C31" s="8"/>
      <c r="D31" s="8"/>
      <c r="E31" s="8" t="s">
        <v>137</v>
      </c>
      <c r="F31" s="8" t="s">
        <v>137</v>
      </c>
      <c r="G31" s="8" t="s">
        <v>137</v>
      </c>
      <c r="H31" s="8"/>
    </row>
    <row r="32" spans="1:8" x14ac:dyDescent="0.3">
      <c r="A32" s="8"/>
      <c r="B32" s="8"/>
      <c r="C32" s="8"/>
      <c r="D32" s="8"/>
      <c r="E32" s="8" t="s">
        <v>113</v>
      </c>
      <c r="F32" s="8" t="s">
        <v>113</v>
      </c>
      <c r="G32" s="8" t="s">
        <v>113</v>
      </c>
      <c r="H32" s="8"/>
    </row>
    <row r="33" spans="1:8" x14ac:dyDescent="0.3">
      <c r="A33" s="8"/>
      <c r="B33" s="8"/>
      <c r="C33" s="8"/>
      <c r="D33" s="8"/>
      <c r="E33" s="8" t="s">
        <v>174</v>
      </c>
      <c r="F33" s="8" t="s">
        <v>113</v>
      </c>
      <c r="G33" s="8" t="s">
        <v>174</v>
      </c>
      <c r="H33" s="8"/>
    </row>
    <row r="34" spans="1:8" x14ac:dyDescent="0.3">
      <c r="A34" s="8"/>
      <c r="B34" s="8"/>
      <c r="C34" s="8"/>
      <c r="D34" s="8"/>
      <c r="E34" s="8" t="s">
        <v>241</v>
      </c>
      <c r="F34" s="8" t="s">
        <v>139</v>
      </c>
      <c r="G34" s="8" t="s">
        <v>153</v>
      </c>
      <c r="H34" s="8"/>
    </row>
    <row r="35" spans="1:8" x14ac:dyDescent="0.3">
      <c r="A35" s="8"/>
      <c r="B35" s="8"/>
      <c r="C35" s="8"/>
      <c r="D35" s="8"/>
      <c r="E35" s="8" t="s">
        <v>154</v>
      </c>
      <c r="F35" s="8" t="s">
        <v>108</v>
      </c>
      <c r="G35" s="8" t="s">
        <v>154</v>
      </c>
      <c r="H35" s="8"/>
    </row>
    <row r="36" spans="1:8" x14ac:dyDescent="0.3">
      <c r="A36" s="8"/>
      <c r="B36" s="8"/>
      <c r="C36" s="8"/>
      <c r="D36" s="8"/>
      <c r="E36" s="8" t="s">
        <v>242</v>
      </c>
      <c r="F36" s="8" t="s">
        <v>116</v>
      </c>
      <c r="G36" s="8" t="s">
        <v>157</v>
      </c>
      <c r="H36" s="8"/>
    </row>
    <row r="37" spans="1:8" x14ac:dyDescent="0.3">
      <c r="A37" s="8"/>
      <c r="B37" s="8"/>
      <c r="C37" s="8"/>
      <c r="D37" s="8"/>
      <c r="E37" s="8" t="s">
        <v>179</v>
      </c>
      <c r="F37" s="8" t="s">
        <v>116</v>
      </c>
      <c r="G37" s="8" t="s">
        <v>179</v>
      </c>
      <c r="H37" s="8"/>
    </row>
    <row r="38" spans="1:8" x14ac:dyDescent="0.3">
      <c r="A38" s="8"/>
      <c r="B38" s="8"/>
      <c r="C38" s="8"/>
      <c r="D38" s="8"/>
      <c r="E38" s="8" t="s">
        <v>243</v>
      </c>
      <c r="F38" s="8" t="s">
        <v>116</v>
      </c>
      <c r="G38" s="8" t="s">
        <v>194</v>
      </c>
      <c r="H38" s="8"/>
    </row>
    <row r="39" spans="1:8" x14ac:dyDescent="0.3">
      <c r="A39" s="8"/>
      <c r="B39" s="8"/>
      <c r="C39" s="8"/>
      <c r="D39" s="8"/>
      <c r="E39" s="8" t="s">
        <v>202</v>
      </c>
      <c r="F39" s="8" t="s">
        <v>116</v>
      </c>
      <c r="G39" s="8" t="s">
        <v>202</v>
      </c>
      <c r="H39" s="8"/>
    </row>
    <row r="40" spans="1:8" x14ac:dyDescent="0.3">
      <c r="A40" s="8"/>
      <c r="B40" s="8"/>
      <c r="C40" s="8"/>
      <c r="D40" s="8"/>
      <c r="E40" s="8" t="s">
        <v>244</v>
      </c>
      <c r="F40" s="8" t="s">
        <v>235</v>
      </c>
      <c r="G40" s="8" t="s">
        <v>244</v>
      </c>
      <c r="H40" s="8"/>
    </row>
    <row r="41" spans="1:8" x14ac:dyDescent="0.3">
      <c r="A41" s="8"/>
      <c r="B41" s="8"/>
      <c r="C41" s="8"/>
      <c r="D41" s="8"/>
      <c r="E41" s="8" t="s">
        <v>237</v>
      </c>
      <c r="F41" s="8" t="s">
        <v>237</v>
      </c>
      <c r="G41" s="8" t="s">
        <v>237</v>
      </c>
      <c r="H41" s="8"/>
    </row>
    <row r="42" spans="1:8" x14ac:dyDescent="0.3">
      <c r="A42" s="8"/>
      <c r="B42" s="8"/>
      <c r="C42" s="8"/>
      <c r="D42" s="8"/>
      <c r="E42" s="8" t="s">
        <v>245</v>
      </c>
      <c r="F42" s="8" t="s">
        <v>114</v>
      </c>
      <c r="G42" s="8" t="s">
        <v>151</v>
      </c>
      <c r="H42" s="8"/>
    </row>
    <row r="43" spans="1:8" x14ac:dyDescent="0.3">
      <c r="A43" s="8"/>
      <c r="B43" s="8"/>
      <c r="C43" s="8"/>
      <c r="D43" s="8"/>
      <c r="E43" s="8" t="s">
        <v>246</v>
      </c>
      <c r="F43" s="8" t="s">
        <v>114</v>
      </c>
      <c r="G43" s="8" t="s">
        <v>175</v>
      </c>
      <c r="H43" s="8"/>
    </row>
    <row r="44" spans="1:8" x14ac:dyDescent="0.3">
      <c r="A44" s="8"/>
      <c r="B44" s="8"/>
      <c r="C44" s="8"/>
      <c r="D44" s="8"/>
      <c r="E44" s="8" t="s">
        <v>247</v>
      </c>
      <c r="F44" s="8" t="s">
        <v>114</v>
      </c>
      <c r="G44" s="8" t="s">
        <v>191</v>
      </c>
      <c r="H44" s="8"/>
    </row>
    <row r="45" spans="1:8" x14ac:dyDescent="0.3">
      <c r="A45" s="8"/>
      <c r="B45" s="8"/>
      <c r="C45" s="8"/>
      <c r="D45" s="8"/>
      <c r="E45" s="8" t="s">
        <v>248</v>
      </c>
      <c r="F45" s="8" t="s">
        <v>114</v>
      </c>
      <c r="G45" s="8" t="s">
        <v>200</v>
      </c>
      <c r="H45" s="8"/>
    </row>
    <row r="46" spans="1:8" x14ac:dyDescent="0.3">
      <c r="A46" s="8"/>
      <c r="B46" s="8"/>
      <c r="C46" s="8"/>
      <c r="D46" s="8"/>
      <c r="E46" s="8"/>
      <c r="F46" s="8"/>
      <c r="G46" s="8"/>
      <c r="H46" s="8"/>
    </row>
    <row r="47" spans="1:8" x14ac:dyDescent="0.3">
      <c r="A47" s="8"/>
      <c r="B47" s="8"/>
      <c r="C47" s="8"/>
      <c r="D47" s="8"/>
      <c r="E47" s="8" t="s">
        <v>249</v>
      </c>
      <c r="F47" s="8" t="s">
        <v>104</v>
      </c>
      <c r="G47" s="8" t="s">
        <v>169</v>
      </c>
      <c r="H47" s="8"/>
    </row>
    <row r="48" spans="1:8" x14ac:dyDescent="0.3">
      <c r="A48" s="8"/>
      <c r="B48" s="8"/>
      <c r="C48" s="8"/>
      <c r="D48" s="8"/>
      <c r="E48" s="8" t="s">
        <v>250</v>
      </c>
      <c r="F48" s="8" t="s">
        <v>116</v>
      </c>
      <c r="G48" s="8" t="s">
        <v>194</v>
      </c>
      <c r="H48" s="8"/>
    </row>
    <row r="49" spans="1:8" x14ac:dyDescent="0.3">
      <c r="A49" s="8"/>
      <c r="B49" s="8"/>
      <c r="C49" s="8"/>
      <c r="D49" s="8"/>
      <c r="E49" s="8" t="s">
        <v>251</v>
      </c>
      <c r="F49" s="8" t="s">
        <v>100</v>
      </c>
      <c r="G49" s="8" t="s">
        <v>199</v>
      </c>
      <c r="H49" s="8"/>
    </row>
    <row r="50" spans="1:8" x14ac:dyDescent="0.3">
      <c r="A50" s="8"/>
      <c r="B50" s="8"/>
      <c r="C50" s="8"/>
      <c r="D50" s="8"/>
      <c r="E50" s="8" t="s">
        <v>252</v>
      </c>
      <c r="F50" s="8" t="s">
        <v>100</v>
      </c>
      <c r="G50" s="8" t="s">
        <v>146</v>
      </c>
      <c r="H50" s="8"/>
    </row>
    <row r="51" spans="1:8" x14ac:dyDescent="0.3">
      <c r="A51" s="8"/>
      <c r="B51" s="8"/>
      <c r="C51" s="8"/>
      <c r="D51" s="8"/>
      <c r="E51" s="8" t="s">
        <v>253</v>
      </c>
      <c r="F51" s="8" t="s">
        <v>116</v>
      </c>
      <c r="G51" s="8" t="s">
        <v>194</v>
      </c>
      <c r="H51" s="8"/>
    </row>
    <row r="52" spans="1:8" x14ac:dyDescent="0.3">
      <c r="A52" s="8"/>
      <c r="B52" s="8"/>
      <c r="C52" s="8"/>
      <c r="D52" s="8"/>
      <c r="E52" s="8" t="s">
        <v>254</v>
      </c>
      <c r="F52" s="8" t="s">
        <v>116</v>
      </c>
      <c r="G52" s="8" t="s">
        <v>157</v>
      </c>
      <c r="H52" s="8"/>
    </row>
    <row r="53" spans="1:8" x14ac:dyDescent="0.3">
      <c r="A53" s="8"/>
      <c r="B53" s="8"/>
      <c r="C53" s="8"/>
      <c r="D53" s="8"/>
      <c r="E53" s="8" t="s">
        <v>255</v>
      </c>
      <c r="F53" s="8" t="s">
        <v>116</v>
      </c>
      <c r="G53" s="8" t="s">
        <v>202</v>
      </c>
      <c r="H53" s="8"/>
    </row>
    <row r="54" spans="1:8" x14ac:dyDescent="0.3">
      <c r="A54" s="8"/>
      <c r="B54" s="8"/>
      <c r="C54" s="8"/>
      <c r="D54" s="8"/>
      <c r="E54" s="8" t="s">
        <v>256</v>
      </c>
      <c r="F54" s="8" t="s">
        <v>104</v>
      </c>
      <c r="G54" s="8" t="s">
        <v>169</v>
      </c>
      <c r="H54" s="8"/>
    </row>
    <row r="55" spans="1:8" x14ac:dyDescent="0.3">
      <c r="A55" s="8"/>
      <c r="B55" s="8"/>
      <c r="C55" s="8"/>
      <c r="D55" s="8"/>
      <c r="E55" s="8" t="s">
        <v>257</v>
      </c>
      <c r="F55" s="8" t="s">
        <v>108</v>
      </c>
      <c r="G55" s="8" t="s">
        <v>177</v>
      </c>
      <c r="H55" s="8"/>
    </row>
    <row r="56" spans="1:8" x14ac:dyDescent="0.3">
      <c r="A56" s="8"/>
      <c r="B56" s="8"/>
      <c r="C56" s="8"/>
      <c r="D56" s="8"/>
      <c r="E56" s="8" t="s">
        <v>258</v>
      </c>
      <c r="F56" s="8" t="s">
        <v>114</v>
      </c>
      <c r="G56" s="8" t="s">
        <v>191</v>
      </c>
      <c r="H56" s="8"/>
    </row>
    <row r="57" spans="1:8" x14ac:dyDescent="0.3">
      <c r="A57" s="8"/>
      <c r="B57" s="8"/>
      <c r="C57" s="8"/>
      <c r="D57" s="8"/>
      <c r="E57" s="8" t="s">
        <v>259</v>
      </c>
      <c r="F57" s="8" t="s">
        <v>104</v>
      </c>
      <c r="G57" s="8" t="s">
        <v>169</v>
      </c>
      <c r="H57" s="8"/>
    </row>
    <row r="58" spans="1:8" x14ac:dyDescent="0.3">
      <c r="A58" s="8"/>
      <c r="B58" s="8"/>
      <c r="C58" s="8"/>
      <c r="D58" s="8"/>
      <c r="E58" s="8" t="s">
        <v>260</v>
      </c>
      <c r="F58" s="8" t="s">
        <v>116</v>
      </c>
      <c r="G58" s="8" t="s">
        <v>194</v>
      </c>
      <c r="H58" s="8"/>
    </row>
    <row r="59" spans="1:8" x14ac:dyDescent="0.3">
      <c r="A59" s="8"/>
      <c r="B59" s="8"/>
      <c r="C59" s="8"/>
      <c r="D59" s="8"/>
      <c r="E59" s="8" t="s">
        <v>261</v>
      </c>
      <c r="F59" s="8" t="s">
        <v>108</v>
      </c>
      <c r="G59" s="8" t="s">
        <v>154</v>
      </c>
      <c r="H59" s="8"/>
    </row>
    <row r="60" spans="1:8" x14ac:dyDescent="0.3">
      <c r="A60" s="8"/>
      <c r="B60" s="8"/>
      <c r="C60" s="8"/>
      <c r="D60" s="8"/>
      <c r="E60" s="8" t="s">
        <v>262</v>
      </c>
      <c r="F60" s="8" t="s">
        <v>104</v>
      </c>
      <c r="G60" s="8" t="s">
        <v>169</v>
      </c>
      <c r="H60" s="8"/>
    </row>
    <row r="61" spans="1:8" x14ac:dyDescent="0.3">
      <c r="A61" s="8"/>
      <c r="B61" s="8"/>
      <c r="C61" s="8"/>
      <c r="E61" t="s">
        <v>207</v>
      </c>
      <c r="F61" t="s">
        <v>100</v>
      </c>
      <c r="G61" t="s">
        <v>187</v>
      </c>
    </row>
    <row r="62" spans="1:8" x14ac:dyDescent="0.3">
      <c r="E62" t="s">
        <v>263</v>
      </c>
      <c r="F62" t="s">
        <v>137</v>
      </c>
      <c r="G62" t="s">
        <v>137</v>
      </c>
    </row>
    <row r="63" spans="1:8" x14ac:dyDescent="0.3">
      <c r="E63" t="s">
        <v>264</v>
      </c>
      <c r="F63" t="s">
        <v>135</v>
      </c>
      <c r="G63" t="s">
        <v>149</v>
      </c>
    </row>
    <row r="64" spans="1:8" x14ac:dyDescent="0.3">
      <c r="E64" t="s">
        <v>265</v>
      </c>
      <c r="F64" t="s">
        <v>92</v>
      </c>
      <c r="G64" t="s">
        <v>206</v>
      </c>
    </row>
    <row r="65" spans="5:7" x14ac:dyDescent="0.3">
      <c r="E65" t="s">
        <v>266</v>
      </c>
      <c r="F65" t="s">
        <v>92</v>
      </c>
      <c r="G65" t="s">
        <v>206</v>
      </c>
    </row>
    <row r="66" spans="5:7" x14ac:dyDescent="0.3">
      <c r="E66" t="s">
        <v>235</v>
      </c>
      <c r="F66" t="s">
        <v>235</v>
      </c>
      <c r="G66" t="s">
        <v>244</v>
      </c>
    </row>
    <row r="67" spans="5:7" x14ac:dyDescent="0.3">
      <c r="E67" t="s">
        <v>267</v>
      </c>
      <c r="F67" t="s">
        <v>235</v>
      </c>
      <c r="G67" t="s">
        <v>244</v>
      </c>
    </row>
    <row r="68" spans="5:7" x14ac:dyDescent="0.3">
      <c r="E68" t="s">
        <v>268</v>
      </c>
      <c r="F68" t="s">
        <v>137</v>
      </c>
      <c r="G68" t="s">
        <v>137</v>
      </c>
    </row>
    <row r="69" spans="5:7" x14ac:dyDescent="0.3">
      <c r="E69" t="s">
        <v>269</v>
      </c>
      <c r="F69" t="s">
        <v>96</v>
      </c>
      <c r="G69" t="s">
        <v>198</v>
      </c>
    </row>
    <row r="70" spans="5:7" x14ac:dyDescent="0.3">
      <c r="E70" t="s">
        <v>270</v>
      </c>
      <c r="F70" t="s">
        <v>92</v>
      </c>
      <c r="G70" t="s">
        <v>144</v>
      </c>
    </row>
    <row r="71" spans="5:7" x14ac:dyDescent="0.3">
      <c r="E71" t="s">
        <v>271</v>
      </c>
      <c r="F71" t="s">
        <v>92</v>
      </c>
      <c r="G71" t="s">
        <v>144</v>
      </c>
    </row>
    <row r="72" spans="5:7" x14ac:dyDescent="0.3">
      <c r="E72" t="s">
        <v>272</v>
      </c>
      <c r="F72" t="s">
        <v>113</v>
      </c>
      <c r="G72" t="s">
        <v>113</v>
      </c>
    </row>
    <row r="73" spans="5:7" x14ac:dyDescent="0.3">
      <c r="E73" t="s">
        <v>273</v>
      </c>
      <c r="F73" t="s">
        <v>113</v>
      </c>
      <c r="G73" t="s">
        <v>174</v>
      </c>
    </row>
    <row r="74" spans="5:7" x14ac:dyDescent="0.3">
      <c r="E74" t="s">
        <v>274</v>
      </c>
      <c r="F74" t="s">
        <v>235</v>
      </c>
      <c r="G74" t="s">
        <v>244</v>
      </c>
    </row>
    <row r="75" spans="5:7" x14ac:dyDescent="0.3">
      <c r="E75" t="s">
        <v>275</v>
      </c>
      <c r="F75" t="s">
        <v>104</v>
      </c>
      <c r="G75" t="s">
        <v>169</v>
      </c>
    </row>
    <row r="76" spans="5:7" x14ac:dyDescent="0.3">
      <c r="E76" t="s">
        <v>276</v>
      </c>
      <c r="F76" t="s">
        <v>100</v>
      </c>
      <c r="G76" t="s">
        <v>199</v>
      </c>
    </row>
    <row r="77" spans="5:7" x14ac:dyDescent="0.3">
      <c r="E77" t="s">
        <v>277</v>
      </c>
      <c r="F77" t="s">
        <v>116</v>
      </c>
      <c r="G77" t="s">
        <v>179</v>
      </c>
    </row>
    <row r="78" spans="5:7" x14ac:dyDescent="0.3">
      <c r="E78" t="s">
        <v>278</v>
      </c>
      <c r="F78" t="s">
        <v>237</v>
      </c>
      <c r="G78" t="s">
        <v>237</v>
      </c>
    </row>
    <row r="79" spans="5:7" x14ac:dyDescent="0.3">
      <c r="E79" t="s">
        <v>96</v>
      </c>
      <c r="F79" t="s">
        <v>96</v>
      </c>
      <c r="G79" t="s">
        <v>145</v>
      </c>
    </row>
  </sheetData>
  <mergeCells count="2">
    <mergeCell ref="A1:H1"/>
    <mergeCell ref="D11:G11"/>
  </mergeCells>
  <dataValidations count="5">
    <dataValidation type="list" sqref="B6" xr:uid="{00000000-0002-0000-0500-000000000000}">
      <formula1>"Avalanche,Snowball,Cash Flow"</formula1>
    </dataValidation>
    <dataValidation type="list" sqref="F4:F10" xr:uid="{00000000-0002-0000-0500-000001000000}">
      <formula1>"Weekly,Biweekly,Semimonthly,Monthly,Quarterly,Annual,Irregular"</formula1>
    </dataValidation>
    <dataValidation type="list" sqref="B8" xr:uid="{00000000-0002-0000-0500-000003000000}">
      <formula1>"Manual (Live),Bank (Closed)"</formula1>
    </dataValidation>
    <dataValidation type="list" sqref="C11:C29" xr:uid="{00000000-0002-0000-0500-000002000000}">
      <formula1>"Yes,No"</formula1>
    </dataValidation>
    <dataValidation type="list" allowBlank="1" showInputMessage="1" showErrorMessage="1" sqref="B4" xr:uid="{71DC2A22-B738-4564-8C84-F388D21FD7F7}">
      <formula1>_xlfn._LONGTEXT("January 2026,February 2026,March 2026,April 2026,May 2026,June 2026,July 2026,August 2026,September 2026,October 2026,November 2026,December 2026,January 2027,February 2027,March 2027,April 2027,May 2027,June 2027,July 2027,August 2027,September 2027,Octo","ber 2027,November 2027,December 2027")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7"/>
  <sheetViews>
    <sheetView topLeftCell="A37" workbookViewId="0">
      <selection activeCell="C58" sqref="C58"/>
    </sheetView>
  </sheetViews>
  <sheetFormatPr defaultRowHeight="14.4" x14ac:dyDescent="0.3"/>
  <cols>
    <col min="1" max="1" width="18" customWidth="1"/>
    <col min="2" max="2" width="24" customWidth="1"/>
    <col min="3" max="6" width="16" customWidth="1"/>
    <col min="7" max="8" width="15" customWidth="1"/>
    <col min="9" max="9" width="10" customWidth="1"/>
    <col min="10" max="10" width="28" customWidth="1"/>
    <col min="11" max="13" width="17" customWidth="1"/>
  </cols>
  <sheetData>
    <row r="1" spans="1:13" ht="21" x14ac:dyDescent="0.4">
      <c r="A1" s="63" t="s">
        <v>279</v>
      </c>
      <c r="B1" s="63"/>
      <c r="C1" s="63"/>
      <c r="D1" s="63"/>
      <c r="E1" s="63"/>
      <c r="F1" s="63"/>
      <c r="G1" s="63"/>
      <c r="H1" s="63"/>
      <c r="I1" s="63"/>
      <c r="J1" s="63"/>
    </row>
    <row r="3" spans="1:13" x14ac:dyDescent="0.3">
      <c r="A3" s="33" t="s">
        <v>82</v>
      </c>
      <c r="B3" s="33" t="s">
        <v>223</v>
      </c>
      <c r="C3" s="33" t="s">
        <v>280</v>
      </c>
      <c r="D3" s="34" t="s">
        <v>281</v>
      </c>
      <c r="E3" s="33" t="s">
        <v>282</v>
      </c>
      <c r="F3" s="33" t="s">
        <v>283</v>
      </c>
      <c r="G3" s="33" t="s">
        <v>86</v>
      </c>
      <c r="H3" s="33" t="s">
        <v>284</v>
      </c>
      <c r="I3" s="33" t="s">
        <v>285</v>
      </c>
      <c r="J3" s="33" t="s">
        <v>121</v>
      </c>
      <c r="K3" s="35" t="s">
        <v>286</v>
      </c>
      <c r="L3" s="36" t="s">
        <v>287</v>
      </c>
      <c r="M3" s="37" t="s">
        <v>288</v>
      </c>
    </row>
    <row r="4" spans="1:13" x14ac:dyDescent="0.3">
      <c r="A4" s="7" t="s">
        <v>92</v>
      </c>
      <c r="B4" s="7" t="s">
        <v>144</v>
      </c>
      <c r="C4" s="6">
        <f>1396.87+767+406.91</f>
        <v>2570.7799999999997</v>
      </c>
      <c r="D4" s="18">
        <f>IF(Setup!$B$8="Bank (Closed)",L4,K4)</f>
        <v>406.91</v>
      </c>
      <c r="E4" s="18">
        <f t="shared" ref="E4:E55" si="0">C4-D4</f>
        <v>2163.87</v>
      </c>
      <c r="F4" s="21">
        <f t="shared" ref="F4:F55" si="1">IF(C4=0,IF(D4=0,0,-1),(C4-D4)/C4)</f>
        <v>0.84171729980784049</v>
      </c>
      <c r="G4" t="s">
        <v>289</v>
      </c>
      <c r="H4" t="s">
        <v>290</v>
      </c>
      <c r="K4" s="5">
        <f>SUMIFS('Manual Actuals'!$C$2:$C$861,'Manual Actuals'!$D$2:$D$861,$A4,'Manual Actuals'!$E$2:$E$861,$B4,'Manual Actuals'!$H$2:$H$861,Setup!$B$4,'Manual Actuals'!$G$2:$G$861,"Yes")</f>
        <v>406.91</v>
      </c>
      <c r="L4" s="5">
        <f>SUMIFS(bk_download!$L$2:$L$1902,bk_download!$H$2:$H$1902,$A4,bk_download!$I$2:$I$1902,$B4,bk_download!$K$2:$K$1902,Setup!$B$4,bk_download!$J$2:$J$1902,"Yes")</f>
        <v>0</v>
      </c>
      <c r="M4" s="5">
        <f t="shared" ref="M4:M35" si="2">K4-L4</f>
        <v>406.91</v>
      </c>
    </row>
    <row r="5" spans="1:13" x14ac:dyDescent="0.3">
      <c r="A5" s="7" t="s">
        <v>92</v>
      </c>
      <c r="B5" s="7" t="s">
        <v>166</v>
      </c>
      <c r="C5" s="6">
        <v>0</v>
      </c>
      <c r="D5" s="18">
        <f>IF(Setup!$B$8="Bank (Closed)",L5,K5)</f>
        <v>0</v>
      </c>
      <c r="E5" s="18">
        <f t="shared" si="0"/>
        <v>0</v>
      </c>
      <c r="F5" s="21">
        <f t="shared" si="1"/>
        <v>0</v>
      </c>
      <c r="G5" t="s">
        <v>289</v>
      </c>
      <c r="H5" t="s">
        <v>291</v>
      </c>
      <c r="J5" t="s">
        <v>292</v>
      </c>
      <c r="K5" s="5">
        <f>SUMIFS('Manual Actuals'!$C$2:$C$861,'Manual Actuals'!$D$2:$D$861,$A5,'Manual Actuals'!$E$2:$E$861,$B5,'Manual Actuals'!$H$2:$H$861,Setup!$B$4,'Manual Actuals'!$G$2:$G$861,"Yes")</f>
        <v>0</v>
      </c>
      <c r="L5" s="5">
        <f>SUMIFS(bk_download!$L$2:$L$1902,bk_download!$H$2:$H$1902,$A5,bk_download!$I$2:$I$1902,$B5,bk_download!$K$2:$K$1902,Setup!$B$4,bk_download!$J$2:$J$1902,"Yes")</f>
        <v>0</v>
      </c>
      <c r="M5" s="5">
        <f t="shared" si="2"/>
        <v>0</v>
      </c>
    </row>
    <row r="6" spans="1:13" x14ac:dyDescent="0.3">
      <c r="A6" s="7" t="s">
        <v>92</v>
      </c>
      <c r="B6" s="7" t="s">
        <v>185</v>
      </c>
      <c r="C6" s="6">
        <v>0</v>
      </c>
      <c r="D6" s="18">
        <f>IF(Setup!$B$8="Bank (Closed)",L6,K6)</f>
        <v>138.99</v>
      </c>
      <c r="E6" s="18">
        <f t="shared" si="0"/>
        <v>-138.99</v>
      </c>
      <c r="F6" s="21">
        <f t="shared" si="1"/>
        <v>-1</v>
      </c>
      <c r="G6" t="s">
        <v>289</v>
      </c>
      <c r="H6" t="s">
        <v>291</v>
      </c>
      <c r="J6" t="s">
        <v>293</v>
      </c>
      <c r="K6" s="5">
        <f>SUMIFS('Manual Actuals'!$C$2:$C$861,'Manual Actuals'!$D$2:$D$861,$A6,'Manual Actuals'!$E$2:$E$861,$B6,'Manual Actuals'!$H$2:$H$861,Setup!$B$4,'Manual Actuals'!$G$2:$G$861,"Yes")</f>
        <v>138.99</v>
      </c>
      <c r="L6" s="5">
        <f>SUMIFS(bk_download!$L$2:$L$1902,bk_download!$H$2:$H$1902,$A6,bk_download!$I$2:$I$1902,$B6,bk_download!$K$2:$K$1902,Setup!$B$4,bk_download!$J$2:$J$1902,"Yes")</f>
        <v>0</v>
      </c>
      <c r="M6" s="5">
        <f t="shared" si="2"/>
        <v>138.99</v>
      </c>
    </row>
    <row r="7" spans="1:13" x14ac:dyDescent="0.3">
      <c r="A7" s="7" t="s">
        <v>92</v>
      </c>
      <c r="B7" s="7" t="s">
        <v>197</v>
      </c>
      <c r="C7" s="6">
        <v>99</v>
      </c>
      <c r="D7" s="18">
        <f>IF(Setup!$B$8="Bank (Closed)",L7,K7)</f>
        <v>0</v>
      </c>
      <c r="E7" s="18">
        <f t="shared" si="0"/>
        <v>99</v>
      </c>
      <c r="F7" s="21">
        <f t="shared" si="1"/>
        <v>1</v>
      </c>
      <c r="G7" t="s">
        <v>289</v>
      </c>
      <c r="H7" t="s">
        <v>290</v>
      </c>
      <c r="K7" s="5">
        <f>SUMIFS('Manual Actuals'!$C$2:$C$861,'Manual Actuals'!$D$2:$D$861,$A7,'Manual Actuals'!$E$2:$E$861,$B7,'Manual Actuals'!$H$2:$H$861,Setup!$B$4,'Manual Actuals'!$G$2:$G$861,"Yes")</f>
        <v>0</v>
      </c>
      <c r="L7" s="5">
        <f>SUMIFS(bk_download!$L$2:$L$1902,bk_download!$H$2:$H$1902,$A7,bk_download!$I$2:$I$1902,$B7,bk_download!$K$2:$K$1902,Setup!$B$4,bk_download!$J$2:$J$1902,"Yes")</f>
        <v>0</v>
      </c>
      <c r="M7" s="5">
        <f t="shared" si="2"/>
        <v>0</v>
      </c>
    </row>
    <row r="8" spans="1:13" x14ac:dyDescent="0.3">
      <c r="A8" s="7" t="s">
        <v>92</v>
      </c>
      <c r="B8" s="7" t="s">
        <v>206</v>
      </c>
      <c r="C8" s="6">
        <v>0</v>
      </c>
      <c r="D8" s="18">
        <f>IF(Setup!$B$8="Bank (Closed)",L8,K8)</f>
        <v>0</v>
      </c>
      <c r="E8" s="18">
        <f t="shared" si="0"/>
        <v>0</v>
      </c>
      <c r="F8" s="21">
        <f t="shared" si="1"/>
        <v>0</v>
      </c>
      <c r="G8" t="s">
        <v>289</v>
      </c>
      <c r="H8" t="s">
        <v>291</v>
      </c>
      <c r="K8" s="5">
        <f>SUMIFS('Manual Actuals'!$C$2:$C$861,'Manual Actuals'!$D$2:$D$861,$A8,'Manual Actuals'!$E$2:$E$861,$B8,'Manual Actuals'!$H$2:$H$861,Setup!$B$4,'Manual Actuals'!$G$2:$G$861,"Yes")</f>
        <v>0</v>
      </c>
      <c r="L8" s="5">
        <f>SUMIFS(bk_download!$L$2:$L$1902,bk_download!$H$2:$H$1902,$A8,bk_download!$I$2:$I$1902,$B8,bk_download!$K$2:$K$1902,Setup!$B$4,bk_download!$J$2:$J$1902,"Yes")</f>
        <v>0</v>
      </c>
      <c r="M8" s="5">
        <f t="shared" si="2"/>
        <v>0</v>
      </c>
    </row>
    <row r="9" spans="1:13" x14ac:dyDescent="0.3">
      <c r="A9" s="7" t="s">
        <v>92</v>
      </c>
      <c r="B9" s="7" t="s">
        <v>211</v>
      </c>
      <c r="C9" s="6">
        <v>0</v>
      </c>
      <c r="D9" s="18">
        <f>IF(Setup!$B$8="Bank (Closed)",L9,K9)</f>
        <v>0</v>
      </c>
      <c r="E9" s="18">
        <f t="shared" si="0"/>
        <v>0</v>
      </c>
      <c r="F9" s="21">
        <f t="shared" si="1"/>
        <v>0</v>
      </c>
      <c r="G9" t="s">
        <v>289</v>
      </c>
      <c r="H9" t="s">
        <v>291</v>
      </c>
      <c r="K9" s="5">
        <f>SUMIFS('Manual Actuals'!$C$2:$C$861,'Manual Actuals'!$D$2:$D$861,$A9,'Manual Actuals'!$E$2:$E$861,$B9,'Manual Actuals'!$H$2:$H$861,Setup!$B$4,'Manual Actuals'!$G$2:$G$861,"Yes")</f>
        <v>0</v>
      </c>
      <c r="L9" s="5">
        <f>SUMIFS(bk_download!$L$2:$L$1902,bk_download!$H$2:$H$1902,$A9,bk_download!$I$2:$I$1902,$B9,bk_download!$K$2:$K$1902,Setup!$B$4,bk_download!$J$2:$J$1902,"Yes")</f>
        <v>0</v>
      </c>
      <c r="M9" s="5">
        <f t="shared" si="2"/>
        <v>0</v>
      </c>
    </row>
    <row r="10" spans="1:13" x14ac:dyDescent="0.3">
      <c r="A10" s="7" t="s">
        <v>96</v>
      </c>
      <c r="B10" s="7" t="s">
        <v>145</v>
      </c>
      <c r="C10" s="6">
        <f>326+508+140</f>
        <v>974</v>
      </c>
      <c r="D10" s="18">
        <f>IF(Setup!$B$8="Bank (Closed)",L10,K10)</f>
        <v>0</v>
      </c>
      <c r="E10" s="18">
        <f t="shared" si="0"/>
        <v>974</v>
      </c>
      <c r="F10" s="21">
        <f t="shared" si="1"/>
        <v>1</v>
      </c>
      <c r="G10" t="s">
        <v>289</v>
      </c>
      <c r="H10" t="s">
        <v>291</v>
      </c>
      <c r="J10" t="s">
        <v>294</v>
      </c>
      <c r="K10" s="5">
        <f>SUMIFS('Manual Actuals'!$C$2:$C$861,'Manual Actuals'!$D$2:$D$861,$A10,'Manual Actuals'!$E$2:$E$861,$B10,'Manual Actuals'!$H$2:$H$861,Setup!$B$4,'Manual Actuals'!$G$2:$G$861,"Yes")</f>
        <v>0</v>
      </c>
      <c r="L10" s="5">
        <f>SUMIFS(bk_download!$L$2:$L$1902,bk_download!$H$2:$H$1902,$A10,bk_download!$I$2:$I$1902,$B10,bk_download!$K$2:$K$1902,Setup!$B$4,bk_download!$J$2:$J$1902,"Yes")</f>
        <v>0</v>
      </c>
      <c r="M10" s="5">
        <f t="shared" si="2"/>
        <v>0</v>
      </c>
    </row>
    <row r="11" spans="1:13" x14ac:dyDescent="0.3">
      <c r="A11" s="7" t="s">
        <v>96</v>
      </c>
      <c r="B11" s="7" t="s">
        <v>167</v>
      </c>
      <c r="C11" s="6">
        <f>188.88+87+100</f>
        <v>375.88</v>
      </c>
      <c r="D11" s="18">
        <f>IF(Setup!$B$8="Bank (Closed)",L11,K11)</f>
        <v>121</v>
      </c>
      <c r="E11" s="18">
        <f t="shared" si="0"/>
        <v>254.88</v>
      </c>
      <c r="F11" s="21">
        <f t="shared" si="1"/>
        <v>0.6780887517292753</v>
      </c>
      <c r="G11" t="s">
        <v>289</v>
      </c>
      <c r="H11" t="s">
        <v>291</v>
      </c>
      <c r="J11" t="s">
        <v>294</v>
      </c>
      <c r="K11" s="5">
        <f>SUMIFS('Manual Actuals'!$C$2:$C$861,'Manual Actuals'!$D$2:$D$861,$A11,'Manual Actuals'!$E$2:$E$861,$B11,'Manual Actuals'!$H$2:$H$861,Setup!$B$4,'Manual Actuals'!$G$2:$G$861,"Yes")</f>
        <v>121</v>
      </c>
      <c r="L11" s="5">
        <f>SUMIFS(bk_download!$L$2:$L$1902,bk_download!$H$2:$H$1902,$A11,bk_download!$I$2:$I$1902,$B11,bk_download!$K$2:$K$1902,Setup!$B$4,bk_download!$J$2:$J$1902,"Yes")</f>
        <v>0</v>
      </c>
      <c r="M11" s="5">
        <f t="shared" si="2"/>
        <v>121</v>
      </c>
    </row>
    <row r="12" spans="1:13" x14ac:dyDescent="0.3">
      <c r="A12" s="7" t="s">
        <v>96</v>
      </c>
      <c r="B12" s="7" t="s">
        <v>186</v>
      </c>
      <c r="C12" s="6">
        <v>200</v>
      </c>
      <c r="D12" s="18">
        <f>IF(Setup!$B$8="Bank (Closed)",L12,K12)</f>
        <v>0</v>
      </c>
      <c r="E12" s="18">
        <f t="shared" si="0"/>
        <v>200</v>
      </c>
      <c r="F12" s="21">
        <f t="shared" si="1"/>
        <v>1</v>
      </c>
      <c r="G12" t="s">
        <v>289</v>
      </c>
      <c r="H12" t="s">
        <v>290</v>
      </c>
      <c r="K12" s="5">
        <f>SUMIFS('Manual Actuals'!$C$2:$C$861,'Manual Actuals'!$D$2:$D$861,$A12,'Manual Actuals'!$E$2:$E$861,$B12,'Manual Actuals'!$H$2:$H$861,Setup!$B$4,'Manual Actuals'!$G$2:$G$861,"Yes")</f>
        <v>0</v>
      </c>
      <c r="L12" s="5">
        <f>SUMIFS(bk_download!$L$2:$L$1902,bk_download!$H$2:$H$1902,$A12,bk_download!$I$2:$I$1902,$B12,bk_download!$K$2:$K$1902,Setup!$B$4,bk_download!$J$2:$J$1902,"Yes")</f>
        <v>0</v>
      </c>
      <c r="M12" s="5">
        <f t="shared" si="2"/>
        <v>0</v>
      </c>
    </row>
    <row r="13" spans="1:13" x14ac:dyDescent="0.3">
      <c r="A13" s="7" t="s">
        <v>96</v>
      </c>
      <c r="B13" s="7" t="s">
        <v>198</v>
      </c>
      <c r="C13" s="6">
        <v>500</v>
      </c>
      <c r="D13" s="18">
        <f>IF(Setup!$B$8="Bank (Closed)",L13,K13)</f>
        <v>0</v>
      </c>
      <c r="E13" s="18">
        <f t="shared" si="0"/>
        <v>500</v>
      </c>
      <c r="F13" s="21">
        <f t="shared" si="1"/>
        <v>1</v>
      </c>
      <c r="G13" t="s">
        <v>289</v>
      </c>
      <c r="H13" t="s">
        <v>291</v>
      </c>
      <c r="J13" t="s">
        <v>295</v>
      </c>
      <c r="K13" s="5">
        <f>SUMIFS('Manual Actuals'!$C$2:$C$861,'Manual Actuals'!$D$2:$D$861,$A13,'Manual Actuals'!$E$2:$E$861,$B13,'Manual Actuals'!$H$2:$H$861,Setup!$B$4,'Manual Actuals'!$G$2:$G$861,"Yes")</f>
        <v>0</v>
      </c>
      <c r="L13" s="5">
        <f>SUMIFS(bk_download!$L$2:$L$1902,bk_download!$H$2:$H$1902,$A13,bk_download!$I$2:$I$1902,$B13,bk_download!$K$2:$K$1902,Setup!$B$4,bk_download!$J$2:$J$1902,"Yes")</f>
        <v>0</v>
      </c>
      <c r="M13" s="5">
        <f t="shared" si="2"/>
        <v>0</v>
      </c>
    </row>
    <row r="14" spans="1:13" x14ac:dyDescent="0.3">
      <c r="A14" s="7" t="s">
        <v>96</v>
      </c>
      <c r="B14" s="7" t="s">
        <v>207</v>
      </c>
      <c r="C14" s="6">
        <v>100</v>
      </c>
      <c r="D14" s="18">
        <f>IF(Setup!$B$8="Bank (Closed)",L14,K14)</f>
        <v>0</v>
      </c>
      <c r="E14" s="18">
        <f t="shared" si="0"/>
        <v>100</v>
      </c>
      <c r="F14" s="21">
        <f t="shared" si="1"/>
        <v>1</v>
      </c>
      <c r="G14" t="s">
        <v>289</v>
      </c>
      <c r="H14" t="s">
        <v>291</v>
      </c>
      <c r="K14" s="5">
        <f>SUMIFS('Manual Actuals'!$C$2:$C$861,'Manual Actuals'!$D$2:$D$861,$A14,'Manual Actuals'!$E$2:$E$861,$B14,'Manual Actuals'!$H$2:$H$861,Setup!$B$4,'Manual Actuals'!$G$2:$G$861,"Yes")</f>
        <v>0</v>
      </c>
      <c r="L14" s="5">
        <f>SUMIFS(bk_download!$L$2:$L$1902,bk_download!$H$2:$H$1902,$A14,bk_download!$I$2:$I$1902,$B14,bk_download!$K$2:$K$1902,Setup!$B$4,bk_download!$J$2:$J$1902,"Yes")</f>
        <v>0</v>
      </c>
      <c r="M14" s="5">
        <f t="shared" si="2"/>
        <v>0</v>
      </c>
    </row>
    <row r="15" spans="1:13" x14ac:dyDescent="0.3">
      <c r="A15" s="7" t="s">
        <v>100</v>
      </c>
      <c r="B15" s="7" t="s">
        <v>146</v>
      </c>
      <c r="C15" s="6">
        <f>600+1459.84</f>
        <v>2059.84</v>
      </c>
      <c r="D15" s="18">
        <f>IF(Setup!$B$8="Bank (Closed)",L15,K15)</f>
        <v>1459.84</v>
      </c>
      <c r="E15" s="18">
        <f t="shared" si="0"/>
        <v>600.00000000000023</v>
      </c>
      <c r="F15" s="21">
        <f t="shared" si="1"/>
        <v>0.29128475998135789</v>
      </c>
      <c r="G15" t="s">
        <v>289</v>
      </c>
      <c r="H15" t="s">
        <v>290</v>
      </c>
      <c r="J15" t="s">
        <v>295</v>
      </c>
      <c r="K15" s="5">
        <f>SUMIFS('Manual Actuals'!$C$2:$C$861,'Manual Actuals'!$D$2:$D$861,$A15,'Manual Actuals'!$E$2:$E$861,$B15,'Manual Actuals'!$H$2:$H$861,Setup!$B$4,'Manual Actuals'!$G$2:$G$861,"Yes")</f>
        <v>1459.84</v>
      </c>
      <c r="L15" s="5">
        <f>SUMIFS(bk_download!$L$2:$L$1902,bk_download!$H$2:$H$1902,$A15,bk_download!$I$2:$I$1902,$B15,bk_download!$K$2:$K$1902,Setup!$B$4,bk_download!$J$2:$J$1902,"Yes")</f>
        <v>0</v>
      </c>
      <c r="M15" s="5">
        <f t="shared" si="2"/>
        <v>1459.84</v>
      </c>
    </row>
    <row r="16" spans="1:13" x14ac:dyDescent="0.3">
      <c r="A16" s="7" t="s">
        <v>100</v>
      </c>
      <c r="B16" s="7" t="s">
        <v>168</v>
      </c>
      <c r="C16" s="6">
        <f>411.19+274.48+157</f>
        <v>842.67000000000007</v>
      </c>
      <c r="D16" s="18">
        <f>IF(Setup!$B$8="Bank (Closed)",L16,K16)</f>
        <v>0</v>
      </c>
      <c r="E16" s="18">
        <f t="shared" si="0"/>
        <v>842.67000000000007</v>
      </c>
      <c r="F16" s="21">
        <f t="shared" si="1"/>
        <v>1</v>
      </c>
      <c r="G16" t="s">
        <v>289</v>
      </c>
      <c r="H16" t="s">
        <v>290</v>
      </c>
      <c r="J16" t="s">
        <v>295</v>
      </c>
      <c r="K16" s="5">
        <f>SUMIFS('Manual Actuals'!$C$2:$C$861,'Manual Actuals'!$D$2:$D$861,$A16,'Manual Actuals'!$E$2:$E$861,$B16,'Manual Actuals'!$H$2:$H$861,Setup!$B$4,'Manual Actuals'!$G$2:$G$861,"Yes")</f>
        <v>0</v>
      </c>
      <c r="L16" s="5">
        <f>SUMIFS(bk_download!$L$2:$L$1902,bk_download!$H$2:$H$1902,$A16,bk_download!$I$2:$I$1902,$B16,bk_download!$K$2:$K$1902,Setup!$B$4,bk_download!$J$2:$J$1902,"Yes")</f>
        <v>0</v>
      </c>
      <c r="M16" s="5">
        <f t="shared" si="2"/>
        <v>0</v>
      </c>
    </row>
    <row r="17" spans="1:13" x14ac:dyDescent="0.3">
      <c r="A17" s="7" t="s">
        <v>100</v>
      </c>
      <c r="B17" s="7" t="s">
        <v>187</v>
      </c>
      <c r="C17" s="6">
        <v>60</v>
      </c>
      <c r="D17" s="18">
        <f>IF(Setup!$B$8="Bank (Closed)",L17,K17)</f>
        <v>30</v>
      </c>
      <c r="E17" s="18">
        <f t="shared" si="0"/>
        <v>30</v>
      </c>
      <c r="F17" s="21">
        <f t="shared" si="1"/>
        <v>0.5</v>
      </c>
      <c r="G17" t="s">
        <v>289</v>
      </c>
      <c r="H17" t="s">
        <v>291</v>
      </c>
      <c r="K17" s="5">
        <f>SUMIFS('Manual Actuals'!$C$2:$C$861,'Manual Actuals'!$D$2:$D$861,$A17,'Manual Actuals'!$E$2:$E$861,$B17,'Manual Actuals'!$H$2:$H$861,Setup!$B$4,'Manual Actuals'!$G$2:$G$861,"Yes")</f>
        <v>30</v>
      </c>
      <c r="L17" s="5">
        <f>SUMIFS(bk_download!$L$2:$L$1902,bk_download!$H$2:$H$1902,$A17,bk_download!$I$2:$I$1902,$B17,bk_download!$K$2:$K$1902,Setup!$B$4,bk_download!$J$2:$J$1902,"Yes")</f>
        <v>0</v>
      </c>
      <c r="M17" s="5">
        <f t="shared" si="2"/>
        <v>30</v>
      </c>
    </row>
    <row r="18" spans="1:13" x14ac:dyDescent="0.3">
      <c r="A18" s="7" t="s">
        <v>100</v>
      </c>
      <c r="B18" s="7" t="s">
        <v>199</v>
      </c>
      <c r="C18" s="6"/>
      <c r="D18" s="18">
        <f>IF(Setup!$B$8="Bank (Closed)",L18,K18)</f>
        <v>0</v>
      </c>
      <c r="E18" s="18">
        <f t="shared" si="0"/>
        <v>0</v>
      </c>
      <c r="F18" s="21">
        <f t="shared" si="1"/>
        <v>0</v>
      </c>
      <c r="G18" t="s">
        <v>289</v>
      </c>
      <c r="H18" t="s">
        <v>291</v>
      </c>
      <c r="K18" s="5">
        <f>SUMIFS('Manual Actuals'!$C$2:$C$861,'Manual Actuals'!$D$2:$D$861,$A18,'Manual Actuals'!$E$2:$E$861,$B18,'Manual Actuals'!$H$2:$H$861,Setup!$B$4,'Manual Actuals'!$G$2:$G$861,"Yes")</f>
        <v>0</v>
      </c>
      <c r="L18" s="5">
        <f>SUMIFS(bk_download!$L$2:$L$1902,bk_download!$H$2:$H$1902,$A18,bk_download!$I$2:$I$1902,$B18,bk_download!$K$2:$K$1902,Setup!$B$4,bk_download!$J$2:$J$1902,"Yes")</f>
        <v>3.97</v>
      </c>
      <c r="M18" s="5">
        <f t="shared" si="2"/>
        <v>-3.97</v>
      </c>
    </row>
    <row r="19" spans="1:13" x14ac:dyDescent="0.3">
      <c r="A19" s="7" t="s">
        <v>100</v>
      </c>
      <c r="B19" s="7" t="s">
        <v>208</v>
      </c>
      <c r="C19" s="6"/>
      <c r="D19" s="18">
        <f>IF(Setup!$B$8="Bank (Closed)",L19,K19)</f>
        <v>0</v>
      </c>
      <c r="E19" s="18">
        <f t="shared" si="0"/>
        <v>0</v>
      </c>
      <c r="F19" s="21">
        <f t="shared" si="1"/>
        <v>0</v>
      </c>
      <c r="G19" t="s">
        <v>289</v>
      </c>
      <c r="H19" t="s">
        <v>291</v>
      </c>
      <c r="K19" s="5">
        <f>SUMIFS('Manual Actuals'!$C$2:$C$861,'Manual Actuals'!$D$2:$D$861,$A19,'Manual Actuals'!$E$2:$E$861,$B19,'Manual Actuals'!$H$2:$H$861,Setup!$B$4,'Manual Actuals'!$G$2:$G$861,"Yes")</f>
        <v>0</v>
      </c>
      <c r="L19" s="5">
        <f>SUMIFS(bk_download!$L$2:$L$1902,bk_download!$H$2:$H$1902,$A19,bk_download!$I$2:$I$1902,$B19,bk_download!$K$2:$K$1902,Setup!$B$4,bk_download!$J$2:$J$1902,"Yes")</f>
        <v>0</v>
      </c>
      <c r="M19" s="5">
        <f t="shared" si="2"/>
        <v>0</v>
      </c>
    </row>
    <row r="20" spans="1:13" x14ac:dyDescent="0.3">
      <c r="A20" s="7" t="s">
        <v>104</v>
      </c>
      <c r="B20" s="7" t="s">
        <v>147</v>
      </c>
      <c r="C20" s="6">
        <v>800</v>
      </c>
      <c r="D20" s="18">
        <f>IF(Setup!$B$8="Bank (Closed)",L20,K20)</f>
        <v>0</v>
      </c>
      <c r="E20" s="18">
        <f t="shared" si="0"/>
        <v>800</v>
      </c>
      <c r="F20" s="21">
        <f t="shared" si="1"/>
        <v>1</v>
      </c>
      <c r="G20" t="s">
        <v>289</v>
      </c>
      <c r="H20" t="s">
        <v>291</v>
      </c>
      <c r="K20" s="5">
        <f>SUMIFS('Manual Actuals'!$C$2:$C$861,'Manual Actuals'!$D$2:$D$861,$A20,'Manual Actuals'!$E$2:$E$861,$B20,'Manual Actuals'!$H$2:$H$861,Setup!$B$4,'Manual Actuals'!$G$2:$G$861,"Yes")</f>
        <v>0</v>
      </c>
      <c r="L20" s="5">
        <f>SUMIFS(bk_download!$L$2:$L$1902,bk_download!$H$2:$H$1902,$A20,bk_download!$I$2:$I$1902,$B20,bk_download!$K$2:$K$1902,Setup!$B$4,bk_download!$J$2:$J$1902,"Yes")</f>
        <v>0</v>
      </c>
      <c r="M20" s="5">
        <f t="shared" si="2"/>
        <v>0</v>
      </c>
    </row>
    <row r="21" spans="1:13" x14ac:dyDescent="0.3">
      <c r="A21" s="7" t="s">
        <v>104</v>
      </c>
      <c r="B21" s="7" t="s">
        <v>169</v>
      </c>
      <c r="C21" s="6">
        <v>500</v>
      </c>
      <c r="D21" s="18">
        <f>IF(Setup!$B$8="Bank (Closed)",L21,K21)</f>
        <v>20.47</v>
      </c>
      <c r="E21" s="18">
        <f t="shared" si="0"/>
        <v>479.53</v>
      </c>
      <c r="F21" s="21">
        <f t="shared" si="1"/>
        <v>0.95905999999999991</v>
      </c>
      <c r="G21" t="s">
        <v>289</v>
      </c>
      <c r="H21" t="s">
        <v>291</v>
      </c>
      <c r="K21" s="5">
        <f>SUMIFS('Manual Actuals'!$C$2:$C$861,'Manual Actuals'!$D$2:$D$861,$A21,'Manual Actuals'!$E$2:$E$861,$B21,'Manual Actuals'!$H$2:$H$861,Setup!$B$4,'Manual Actuals'!$G$2:$G$861,"Yes")</f>
        <v>20.47</v>
      </c>
      <c r="L21" s="5">
        <f>SUMIFS(bk_download!$L$2:$L$1902,bk_download!$H$2:$H$1902,$A21,bk_download!$I$2:$I$1902,$B21,bk_download!$K$2:$K$1902,Setup!$B$4,bk_download!$J$2:$J$1902,"Yes")</f>
        <v>0</v>
      </c>
      <c r="M21" s="5">
        <f t="shared" si="2"/>
        <v>20.47</v>
      </c>
    </row>
    <row r="22" spans="1:13" x14ac:dyDescent="0.3">
      <c r="A22" s="7" t="s">
        <v>104</v>
      </c>
      <c r="B22" s="7" t="s">
        <v>188</v>
      </c>
      <c r="C22" s="6">
        <v>0</v>
      </c>
      <c r="D22" s="18">
        <f>IF(Setup!$B$8="Bank (Closed)",L22,K22)</f>
        <v>0</v>
      </c>
      <c r="E22" s="18">
        <f t="shared" si="0"/>
        <v>0</v>
      </c>
      <c r="F22" s="21">
        <f t="shared" si="1"/>
        <v>0</v>
      </c>
      <c r="G22" t="s">
        <v>289</v>
      </c>
      <c r="H22" t="s">
        <v>291</v>
      </c>
      <c r="K22" s="5">
        <f>SUMIFS('Manual Actuals'!$C$2:$C$861,'Manual Actuals'!$D$2:$D$861,$A22,'Manual Actuals'!$E$2:$E$861,$B22,'Manual Actuals'!$H$2:$H$861,Setup!$B$4,'Manual Actuals'!$G$2:$G$861,"Yes")</f>
        <v>0</v>
      </c>
      <c r="L22" s="5">
        <f>SUMIFS(bk_download!$L$2:$L$1902,bk_download!$H$2:$H$1902,$A22,bk_download!$I$2:$I$1902,$B22,bk_download!$K$2:$K$1902,Setup!$B$4,bk_download!$J$2:$J$1902,"Yes")</f>
        <v>0</v>
      </c>
      <c r="M22" s="5">
        <f t="shared" si="2"/>
        <v>0</v>
      </c>
    </row>
    <row r="23" spans="1:13" x14ac:dyDescent="0.3">
      <c r="A23" s="7" t="s">
        <v>134</v>
      </c>
      <c r="B23" s="7" t="s">
        <v>148</v>
      </c>
      <c r="C23" s="6">
        <v>0</v>
      </c>
      <c r="D23" s="18">
        <f>IF(Setup!$B$8="Bank (Closed)",L23,K23)</f>
        <v>0</v>
      </c>
      <c r="E23" s="18">
        <f t="shared" si="0"/>
        <v>0</v>
      </c>
      <c r="F23" s="21">
        <f t="shared" si="1"/>
        <v>0</v>
      </c>
      <c r="G23" t="s">
        <v>289</v>
      </c>
      <c r="H23" t="s">
        <v>291</v>
      </c>
      <c r="K23" s="5">
        <f>SUMIFS('Manual Actuals'!$C$2:$C$861,'Manual Actuals'!$D$2:$D$861,$A23,'Manual Actuals'!$E$2:$E$861,$B23,'Manual Actuals'!$H$2:$H$861,Setup!$B$4,'Manual Actuals'!$G$2:$G$861,"Yes")</f>
        <v>0</v>
      </c>
      <c r="L23" s="5">
        <f>SUMIFS(bk_download!$L$2:$L$1902,bk_download!$H$2:$H$1902,$A23,bk_download!$I$2:$I$1902,$B23,bk_download!$K$2:$K$1902,Setup!$B$4,bk_download!$J$2:$J$1902,"Yes")</f>
        <v>0</v>
      </c>
      <c r="M23" s="5">
        <f t="shared" si="2"/>
        <v>0</v>
      </c>
    </row>
    <row r="24" spans="1:13" x14ac:dyDescent="0.3">
      <c r="A24" s="7" t="s">
        <v>134</v>
      </c>
      <c r="B24" s="7" t="s">
        <v>170</v>
      </c>
      <c r="C24" s="6">
        <v>0</v>
      </c>
      <c r="D24" s="18">
        <f>IF(Setup!$B$8="Bank (Closed)",L24,K24)</f>
        <v>0</v>
      </c>
      <c r="E24" s="18">
        <f t="shared" si="0"/>
        <v>0</v>
      </c>
      <c r="F24" s="21">
        <f t="shared" si="1"/>
        <v>0</v>
      </c>
      <c r="G24" t="s">
        <v>289</v>
      </c>
      <c r="H24" t="s">
        <v>291</v>
      </c>
      <c r="K24" s="5">
        <f>SUMIFS('Manual Actuals'!$C$2:$C$861,'Manual Actuals'!$D$2:$D$861,$A24,'Manual Actuals'!$E$2:$E$861,$B24,'Manual Actuals'!$H$2:$H$861,Setup!$B$4,'Manual Actuals'!$G$2:$G$861,"Yes")</f>
        <v>0</v>
      </c>
      <c r="L24" s="5">
        <f>SUMIFS(bk_download!$L$2:$L$1902,bk_download!$H$2:$H$1902,$A24,bk_download!$I$2:$I$1902,$B24,bk_download!$K$2:$K$1902,Setup!$B$4,bk_download!$J$2:$J$1902,"Yes")</f>
        <v>0</v>
      </c>
      <c r="M24" s="5">
        <f t="shared" si="2"/>
        <v>0</v>
      </c>
    </row>
    <row r="25" spans="1:13" x14ac:dyDescent="0.3">
      <c r="A25" s="7" t="s">
        <v>135</v>
      </c>
      <c r="B25" s="7" t="s">
        <v>149</v>
      </c>
      <c r="C25" s="6">
        <v>0</v>
      </c>
      <c r="D25" s="18">
        <f>IF(Setup!$B$8="Bank (Closed)",L25,K25)</f>
        <v>0</v>
      </c>
      <c r="E25" s="18">
        <f t="shared" si="0"/>
        <v>0</v>
      </c>
      <c r="F25" s="21">
        <f t="shared" si="1"/>
        <v>0</v>
      </c>
      <c r="G25" t="s">
        <v>289</v>
      </c>
      <c r="H25" t="s">
        <v>291</v>
      </c>
      <c r="J25" t="s">
        <v>296</v>
      </c>
      <c r="K25" s="5">
        <f>SUMIFS('Manual Actuals'!$C$2:$C$861,'Manual Actuals'!$D$2:$D$861,$A25,'Manual Actuals'!$E$2:$E$861,$B25,'Manual Actuals'!$H$2:$H$861,Setup!$B$4,'Manual Actuals'!$G$2:$G$861,"Yes")</f>
        <v>0</v>
      </c>
      <c r="L25" s="5">
        <f>SUMIFS(bk_download!$L$2:$L$1902,bk_download!$H$2:$H$1902,$A25,bk_download!$I$2:$I$1902,$B25,bk_download!$K$2:$K$1902,Setup!$B$4,bk_download!$J$2:$J$1902,"Yes")</f>
        <v>0</v>
      </c>
      <c r="M25" s="5">
        <f t="shared" si="2"/>
        <v>0</v>
      </c>
    </row>
    <row r="26" spans="1:13" x14ac:dyDescent="0.3">
      <c r="A26" s="7" t="s">
        <v>135</v>
      </c>
      <c r="B26" s="7" t="s">
        <v>171</v>
      </c>
      <c r="C26" s="6">
        <v>0</v>
      </c>
      <c r="D26" s="18">
        <f>IF(Setup!$B$8="Bank (Closed)",L26,K26)</f>
        <v>0</v>
      </c>
      <c r="E26" s="18">
        <f t="shared" si="0"/>
        <v>0</v>
      </c>
      <c r="F26" s="21">
        <f t="shared" si="1"/>
        <v>0</v>
      </c>
      <c r="G26" t="s">
        <v>289</v>
      </c>
      <c r="H26" t="s">
        <v>291</v>
      </c>
      <c r="J26" t="s">
        <v>296</v>
      </c>
      <c r="K26" s="5">
        <f>SUMIFS('Manual Actuals'!$C$2:$C$861,'Manual Actuals'!$D$2:$D$861,$A26,'Manual Actuals'!$E$2:$E$861,$B26,'Manual Actuals'!$H$2:$H$861,Setup!$B$4,'Manual Actuals'!$G$2:$G$861,"Yes")</f>
        <v>0</v>
      </c>
      <c r="L26" s="5">
        <f>SUMIFS(bk_download!$L$2:$L$1902,bk_download!$H$2:$H$1902,$A26,bk_download!$I$2:$I$1902,$B26,bk_download!$K$2:$K$1902,Setup!$B$4,bk_download!$J$2:$J$1902,"Yes")</f>
        <v>0</v>
      </c>
      <c r="M26" s="5">
        <f t="shared" si="2"/>
        <v>0</v>
      </c>
    </row>
    <row r="27" spans="1:13" x14ac:dyDescent="0.3">
      <c r="A27" s="7" t="s">
        <v>135</v>
      </c>
      <c r="B27" s="7" t="s">
        <v>189</v>
      </c>
      <c r="C27" s="6">
        <f>40.76+12.31</f>
        <v>53.07</v>
      </c>
      <c r="D27" s="18">
        <f>IF(Setup!$B$8="Bank (Closed)",L27,K27)</f>
        <v>0</v>
      </c>
      <c r="E27" s="18">
        <f t="shared" si="0"/>
        <v>53.07</v>
      </c>
      <c r="F27" s="21">
        <f t="shared" si="1"/>
        <v>1</v>
      </c>
      <c r="G27" t="s">
        <v>289</v>
      </c>
      <c r="H27" t="s">
        <v>290</v>
      </c>
      <c r="J27" t="s">
        <v>297</v>
      </c>
      <c r="K27" s="5">
        <f>SUMIFS('Manual Actuals'!$C$2:$C$861,'Manual Actuals'!$D$2:$D$861,$A27,'Manual Actuals'!$E$2:$E$861,$B27,'Manual Actuals'!$H$2:$H$861,Setup!$B$4,'Manual Actuals'!$G$2:$G$861,"Yes")</f>
        <v>0</v>
      </c>
      <c r="L27" s="5">
        <f>SUMIFS(bk_download!$L$2:$L$1902,bk_download!$H$2:$H$1902,$A27,bk_download!$I$2:$I$1902,$B27,bk_download!$K$2:$K$1902,Setup!$B$4,bk_download!$J$2:$J$1902,"Yes")</f>
        <v>0</v>
      </c>
      <c r="M27" s="5">
        <f t="shared" si="2"/>
        <v>0</v>
      </c>
    </row>
    <row r="28" spans="1:13" x14ac:dyDescent="0.3">
      <c r="A28" s="7" t="s">
        <v>136</v>
      </c>
      <c r="B28" s="7" t="s">
        <v>150</v>
      </c>
      <c r="C28" s="6">
        <v>0</v>
      </c>
      <c r="D28" s="18">
        <f>IF(Setup!$B$8="Bank (Closed)",L28,K28)</f>
        <v>0</v>
      </c>
      <c r="E28" s="18">
        <f t="shared" si="0"/>
        <v>0</v>
      </c>
      <c r="F28" s="21">
        <f t="shared" si="1"/>
        <v>0</v>
      </c>
      <c r="G28" t="s">
        <v>289</v>
      </c>
      <c r="H28" t="s">
        <v>291</v>
      </c>
      <c r="K28" s="5">
        <f>SUMIFS('Manual Actuals'!$C$2:$C$861,'Manual Actuals'!$D$2:$D$861,$A28,'Manual Actuals'!$E$2:$E$861,$B28,'Manual Actuals'!$H$2:$H$861,Setup!$B$4,'Manual Actuals'!$G$2:$G$861,"Yes")</f>
        <v>0</v>
      </c>
      <c r="L28" s="5">
        <f>SUMIFS(bk_download!$L$2:$L$1902,bk_download!$H$2:$H$1902,$A28,bk_download!$I$2:$I$1902,$B28,bk_download!$K$2:$K$1902,Setup!$B$4,bk_download!$J$2:$J$1902,"Yes")</f>
        <v>0</v>
      </c>
      <c r="M28" s="5">
        <f t="shared" si="2"/>
        <v>0</v>
      </c>
    </row>
    <row r="29" spans="1:13" x14ac:dyDescent="0.3">
      <c r="A29" s="7" t="s">
        <v>136</v>
      </c>
      <c r="B29" s="7" t="s">
        <v>172</v>
      </c>
      <c r="C29" s="6">
        <v>0</v>
      </c>
      <c r="D29" s="18">
        <f>IF(Setup!$B$8="Bank (Closed)",L29,K29)</f>
        <v>0</v>
      </c>
      <c r="E29" s="18">
        <f t="shared" si="0"/>
        <v>0</v>
      </c>
      <c r="F29" s="21">
        <f t="shared" si="1"/>
        <v>0</v>
      </c>
      <c r="G29" t="s">
        <v>289</v>
      </c>
      <c r="H29" t="s">
        <v>291</v>
      </c>
      <c r="K29" s="5">
        <f>SUMIFS('Manual Actuals'!$C$2:$C$861,'Manual Actuals'!$D$2:$D$861,$A29,'Manual Actuals'!$E$2:$E$861,$B29,'Manual Actuals'!$H$2:$H$861,Setup!$B$4,'Manual Actuals'!$G$2:$G$861,"Yes")</f>
        <v>0</v>
      </c>
      <c r="L29" s="5">
        <f>SUMIFS(bk_download!$L$2:$L$1902,bk_download!$H$2:$H$1902,$A29,bk_download!$I$2:$I$1902,$B29,bk_download!$K$2:$K$1902,Setup!$B$4,bk_download!$J$2:$J$1902,"Yes")</f>
        <v>0</v>
      </c>
      <c r="M29" s="5">
        <f t="shared" si="2"/>
        <v>0</v>
      </c>
    </row>
    <row r="30" spans="1:13" x14ac:dyDescent="0.3">
      <c r="A30" s="7" t="s">
        <v>137</v>
      </c>
      <c r="B30" s="7" t="s">
        <v>137</v>
      </c>
      <c r="C30" s="6">
        <v>120</v>
      </c>
      <c r="D30" s="18">
        <f>IF(Setup!$B$8="Bank (Closed)",L30,K30)</f>
        <v>0</v>
      </c>
      <c r="E30" s="18">
        <f t="shared" si="0"/>
        <v>120</v>
      </c>
      <c r="F30" s="21">
        <f t="shared" si="1"/>
        <v>1</v>
      </c>
      <c r="G30" t="s">
        <v>289</v>
      </c>
      <c r="H30" t="s">
        <v>291</v>
      </c>
      <c r="J30" t="s">
        <v>295</v>
      </c>
      <c r="K30" s="5">
        <f>SUMIFS('Manual Actuals'!$C$2:$C$861,'Manual Actuals'!$D$2:$D$861,$A30,'Manual Actuals'!$E$2:$E$861,$B30,'Manual Actuals'!$H$2:$H$861,Setup!$B$4,'Manual Actuals'!$G$2:$G$861,"Yes")</f>
        <v>0</v>
      </c>
      <c r="L30" s="5">
        <f>SUMIFS(bk_download!$L$2:$L$1902,bk_download!$H$2:$H$1902,$A30,bk_download!$I$2:$I$1902,$B30,bk_download!$K$2:$K$1902,Setup!$B$4,bk_download!$J$2:$J$1902,"Yes")</f>
        <v>16.5</v>
      </c>
      <c r="M30" s="5">
        <f t="shared" si="2"/>
        <v>-16.5</v>
      </c>
    </row>
    <row r="31" spans="1:13" x14ac:dyDescent="0.3">
      <c r="A31" s="7" t="s">
        <v>137</v>
      </c>
      <c r="B31" s="7" t="s">
        <v>173</v>
      </c>
      <c r="C31" s="6">
        <v>0</v>
      </c>
      <c r="D31" s="18">
        <f>IF(Setup!$B$8="Bank (Closed)",L31,K31)</f>
        <v>0</v>
      </c>
      <c r="E31" s="18">
        <f t="shared" si="0"/>
        <v>0</v>
      </c>
      <c r="F31" s="21">
        <f t="shared" si="1"/>
        <v>0</v>
      </c>
      <c r="G31" t="s">
        <v>289</v>
      </c>
      <c r="H31" t="s">
        <v>291</v>
      </c>
      <c r="K31" s="5">
        <f>SUMIFS('Manual Actuals'!$C$2:$C$861,'Manual Actuals'!$D$2:$D$861,$A31,'Manual Actuals'!$E$2:$E$861,$B31,'Manual Actuals'!$H$2:$H$861,Setup!$B$4,'Manual Actuals'!$G$2:$G$861,"Yes")</f>
        <v>0</v>
      </c>
      <c r="L31" s="5">
        <f>SUMIFS(bk_download!$L$2:$L$1902,bk_download!$H$2:$H$1902,$A31,bk_download!$I$2:$I$1902,$B31,bk_download!$K$2:$K$1902,Setup!$B$4,bk_download!$J$2:$J$1902,"Yes")</f>
        <v>0</v>
      </c>
      <c r="M31" s="5">
        <f t="shared" si="2"/>
        <v>0</v>
      </c>
    </row>
    <row r="32" spans="1:13" x14ac:dyDescent="0.3">
      <c r="A32" s="7" t="s">
        <v>137</v>
      </c>
      <c r="B32" s="7" t="s">
        <v>190</v>
      </c>
      <c r="C32" s="6">
        <v>350</v>
      </c>
      <c r="D32" s="18">
        <f>IF(Setup!$B$8="Bank (Closed)",L32,K32)</f>
        <v>0</v>
      </c>
      <c r="E32" s="18">
        <f t="shared" si="0"/>
        <v>350</v>
      </c>
      <c r="F32" s="21">
        <f t="shared" si="1"/>
        <v>1</v>
      </c>
      <c r="G32" t="s">
        <v>289</v>
      </c>
      <c r="H32" t="s">
        <v>291</v>
      </c>
      <c r="J32" t="s">
        <v>295</v>
      </c>
      <c r="K32" s="5">
        <f>SUMIFS('Manual Actuals'!$C$2:$C$861,'Manual Actuals'!$D$2:$D$861,$A32,'Manual Actuals'!$E$2:$E$861,$B32,'Manual Actuals'!$H$2:$H$861,Setup!$B$4,'Manual Actuals'!$G$2:$G$861,"Yes")</f>
        <v>0</v>
      </c>
      <c r="L32" s="5">
        <f>SUMIFS(bk_download!$L$2:$L$1902,bk_download!$H$2:$H$1902,$A32,bk_download!$I$2:$I$1902,$B32,bk_download!$K$2:$K$1902,Setup!$B$4,bk_download!$J$2:$J$1902,"Yes")</f>
        <v>0</v>
      </c>
      <c r="M32" s="5">
        <f t="shared" si="2"/>
        <v>0</v>
      </c>
    </row>
    <row r="33" spans="1:13" x14ac:dyDescent="0.3">
      <c r="A33" s="7" t="s">
        <v>113</v>
      </c>
      <c r="B33" s="7" t="s">
        <v>113</v>
      </c>
      <c r="C33" s="6">
        <v>400</v>
      </c>
      <c r="D33" s="18">
        <f>IF(Setup!$B$8="Bank (Closed)",L33,K33)</f>
        <v>0</v>
      </c>
      <c r="E33" s="18">
        <f t="shared" si="0"/>
        <v>400</v>
      </c>
      <c r="F33" s="21">
        <f t="shared" si="1"/>
        <v>1</v>
      </c>
      <c r="G33" t="s">
        <v>289</v>
      </c>
      <c r="H33" t="s">
        <v>291</v>
      </c>
      <c r="K33" s="5">
        <f>SUMIFS('Manual Actuals'!$C$2:$C$861,'Manual Actuals'!$D$2:$D$861,$A33,'Manual Actuals'!$E$2:$E$861,$B33,'Manual Actuals'!$H$2:$H$861,Setup!$B$4,'Manual Actuals'!$G$2:$G$861,"Yes")</f>
        <v>0</v>
      </c>
      <c r="L33" s="5">
        <f>SUMIFS(bk_download!$L$2:$L$1902,bk_download!$H$2:$H$1902,$A33,bk_download!$I$2:$I$1902,$B33,bk_download!$K$2:$K$1902,Setup!$B$4,bk_download!$J$2:$J$1902,"Yes")</f>
        <v>0</v>
      </c>
      <c r="M33" s="5">
        <f t="shared" si="2"/>
        <v>0</v>
      </c>
    </row>
    <row r="34" spans="1:13" x14ac:dyDescent="0.3">
      <c r="A34" s="7" t="s">
        <v>113</v>
      </c>
      <c r="B34" s="7" t="s">
        <v>174</v>
      </c>
      <c r="C34" s="6">
        <v>300</v>
      </c>
      <c r="D34" s="18">
        <f>IF(Setup!$B$8="Bank (Closed)",L34,K34)</f>
        <v>0</v>
      </c>
      <c r="E34" s="18">
        <f t="shared" si="0"/>
        <v>300</v>
      </c>
      <c r="F34" s="21">
        <f t="shared" si="1"/>
        <v>1</v>
      </c>
      <c r="G34" t="s">
        <v>289</v>
      </c>
      <c r="H34" t="s">
        <v>291</v>
      </c>
      <c r="K34" s="5">
        <f>SUMIFS('Manual Actuals'!$C$2:$C$861,'Manual Actuals'!$D$2:$D$861,$A34,'Manual Actuals'!$E$2:$E$861,$B34,'Manual Actuals'!$H$2:$H$861,Setup!$B$4,'Manual Actuals'!$G$2:$G$861,"Yes")</f>
        <v>0</v>
      </c>
      <c r="L34" s="5">
        <f>SUMIFS(bk_download!$L$2:$L$1902,bk_download!$H$2:$H$1902,$A34,bk_download!$I$2:$I$1902,$B34,bk_download!$K$2:$K$1902,Setup!$B$4,bk_download!$J$2:$J$1902,"Yes")</f>
        <v>0</v>
      </c>
      <c r="M34" s="5">
        <f t="shared" si="2"/>
        <v>0</v>
      </c>
    </row>
    <row r="35" spans="1:13" x14ac:dyDescent="0.3">
      <c r="A35" s="7" t="s">
        <v>113</v>
      </c>
      <c r="B35" s="7" t="s">
        <v>114</v>
      </c>
      <c r="C35" s="6">
        <v>300</v>
      </c>
      <c r="D35" s="18">
        <f>IF(Setup!$B$8="Bank (Closed)",L35,K35)</f>
        <v>0</v>
      </c>
      <c r="E35" s="18">
        <f t="shared" si="0"/>
        <v>300</v>
      </c>
      <c r="F35" s="21">
        <f t="shared" si="1"/>
        <v>1</v>
      </c>
      <c r="G35" t="s">
        <v>289</v>
      </c>
      <c r="H35" t="s">
        <v>291</v>
      </c>
      <c r="K35" s="5">
        <f>SUMIFS('Manual Actuals'!$C$2:$C$861,'Manual Actuals'!$D$2:$D$861,$A35,'Manual Actuals'!$E$2:$E$861,$B35,'Manual Actuals'!$H$2:$H$861,Setup!$B$4,'Manual Actuals'!$G$2:$G$861,"Yes")</f>
        <v>0</v>
      </c>
      <c r="L35" s="5">
        <f>SUMIFS(bk_download!$L$2:$L$1902,bk_download!$H$2:$H$1902,$A35,bk_download!$I$2:$I$1902,$B35,bk_download!$K$2:$K$1902,Setup!$B$4,bk_download!$J$2:$J$1902,"Yes")</f>
        <v>0</v>
      </c>
      <c r="M35" s="5">
        <f t="shared" si="2"/>
        <v>0</v>
      </c>
    </row>
    <row r="36" spans="1:13" x14ac:dyDescent="0.3">
      <c r="A36" s="7" t="s">
        <v>114</v>
      </c>
      <c r="B36" s="7" t="s">
        <v>151</v>
      </c>
      <c r="C36" s="6">
        <v>400</v>
      </c>
      <c r="D36" s="18">
        <f>IF(Setup!$B$8="Bank (Closed)",L36,K36)</f>
        <v>112.11</v>
      </c>
      <c r="E36" s="18">
        <f>C36-D36</f>
        <v>287.89</v>
      </c>
      <c r="F36" s="21">
        <f>IF(C36=0,IF(D36=0,0,-1),(C36-D36)/C36)</f>
        <v>0.71972499999999995</v>
      </c>
      <c r="G36" t="s">
        <v>289</v>
      </c>
      <c r="H36" t="s">
        <v>290</v>
      </c>
      <c r="K36" s="5">
        <f>SUMIFS('Manual Actuals'!$C$2:$C$861,'Manual Actuals'!$D$2:$D$861,$A36,'Manual Actuals'!$E$2:$E$861,$B36,'Manual Actuals'!$H$2:$H$861,Setup!$B$4,'Manual Actuals'!$G$2:$G$861,"Yes")</f>
        <v>112.11</v>
      </c>
      <c r="L36" s="5">
        <f>SUMIFS(bk_download!$L$2:$L$1902,bk_download!$H$2:$H$1902,$A36,bk_download!$I$2:$I$1902,$B36,bk_download!$K$2:$K$1902,Setup!$B$4,bk_download!$J$2:$J$1902,"Yes")</f>
        <v>0</v>
      </c>
      <c r="M36" s="5">
        <f>K36-L36</f>
        <v>112.11</v>
      </c>
    </row>
    <row r="37" spans="1:13" x14ac:dyDescent="0.3">
      <c r="A37" s="7" t="s">
        <v>114</v>
      </c>
      <c r="B37" s="7" t="s">
        <v>175</v>
      </c>
      <c r="C37" s="6">
        <v>200</v>
      </c>
      <c r="D37" s="18">
        <f>IF(Setup!$B$8="Bank (Closed)",L37,K37)</f>
        <v>0</v>
      </c>
      <c r="E37" s="18">
        <f>C37-D37</f>
        <v>200</v>
      </c>
      <c r="F37" s="21">
        <f>IF(C37=0,IF(D37=0,0,-1),(C37-D37)/C37)</f>
        <v>1</v>
      </c>
      <c r="G37" t="s">
        <v>289</v>
      </c>
      <c r="H37" t="s">
        <v>290</v>
      </c>
      <c r="K37" s="5">
        <f>SUMIFS('Manual Actuals'!$C$2:$C$861,'Manual Actuals'!$D$2:$D$861,$A37,'Manual Actuals'!$E$2:$E$861,$B37,'Manual Actuals'!$H$2:$H$861,Setup!$B$4,'Manual Actuals'!$G$2:$G$861,"Yes")</f>
        <v>0</v>
      </c>
      <c r="L37" s="5">
        <f>SUMIFS(bk_download!$L$2:$L$1902,bk_download!$H$2:$H$1902,$A37,bk_download!$I$2:$I$1902,$B37,bk_download!$K$2:$K$1902,Setup!$B$4,bk_download!$J$2:$J$1902,"Yes")</f>
        <v>0</v>
      </c>
      <c r="M37" s="5">
        <f>K37-L37</f>
        <v>0</v>
      </c>
    </row>
    <row r="38" spans="1:13" x14ac:dyDescent="0.3">
      <c r="A38" s="7" t="s">
        <v>114</v>
      </c>
      <c r="B38" s="7" t="s">
        <v>191</v>
      </c>
      <c r="C38" s="6">
        <v>500</v>
      </c>
      <c r="D38" s="18">
        <f>IF(Setup!$B$8="Bank (Closed)",L38,K38)</f>
        <v>0</v>
      </c>
      <c r="E38" s="18">
        <f>C38-D38</f>
        <v>500</v>
      </c>
      <c r="F38" s="21">
        <f>IF(C38=0,IF(D38=0,0,-1),(C38-D38)/C38)</f>
        <v>1</v>
      </c>
      <c r="G38" t="s">
        <v>289</v>
      </c>
      <c r="H38" t="s">
        <v>290</v>
      </c>
      <c r="K38" s="5">
        <f>SUMIFS('Manual Actuals'!$C$2:$C$861,'Manual Actuals'!$D$2:$D$861,$A38,'Manual Actuals'!$E$2:$E$861,$B38,'Manual Actuals'!$H$2:$H$861,Setup!$B$4,'Manual Actuals'!$G$2:$G$861,"Yes")</f>
        <v>0</v>
      </c>
      <c r="L38" s="5">
        <f>SUMIFS(bk_download!$L$2:$L$1902,bk_download!$H$2:$H$1902,$A38,bk_download!$I$2:$I$1902,$B38,bk_download!$K$2:$K$1902,Setup!$B$4,bk_download!$J$2:$J$1902,"Yes")</f>
        <v>203.99</v>
      </c>
      <c r="M38" s="5">
        <f>K38-L38</f>
        <v>-203.99</v>
      </c>
    </row>
    <row r="39" spans="1:13" x14ac:dyDescent="0.3">
      <c r="A39" s="7" t="s">
        <v>114</v>
      </c>
      <c r="B39" s="7" t="s">
        <v>200</v>
      </c>
      <c r="C39" s="6">
        <v>500</v>
      </c>
      <c r="D39" s="18">
        <f>IF(Setup!$B$8="Bank (Closed)",L39,K39)</f>
        <v>265.65999999999997</v>
      </c>
      <c r="E39" s="18">
        <f>C39-D39</f>
        <v>234.34000000000003</v>
      </c>
      <c r="F39" s="21">
        <f>IF(C39=0,IF(D39=0,0,-1),(C39-D39)/C39)</f>
        <v>0.46868000000000004</v>
      </c>
      <c r="G39" t="s">
        <v>289</v>
      </c>
      <c r="H39" t="s">
        <v>290</v>
      </c>
      <c r="K39" s="5">
        <f>SUMIFS('Manual Actuals'!$C$2:$C$861,'Manual Actuals'!$D$2:$D$861,$A39,'Manual Actuals'!$E$2:$E$861,$B39,'Manual Actuals'!$H$2:$H$861,Setup!$B$4,'Manual Actuals'!$G$2:$G$861,"Yes")</f>
        <v>265.65999999999997</v>
      </c>
      <c r="L39" s="5">
        <f>SUMIFS(bk_download!$L$2:$L$1902,bk_download!$H$2:$H$1902,$A39,bk_download!$I$2:$I$1902,$B39,bk_download!$K$2:$K$1902,Setup!$B$4,bk_download!$J$2:$J$1902,"Yes")</f>
        <v>0</v>
      </c>
      <c r="M39" s="5">
        <f>K39-L39</f>
        <v>265.65999999999997</v>
      </c>
    </row>
    <row r="40" spans="1:13" x14ac:dyDescent="0.3">
      <c r="A40" s="7" t="s">
        <v>138</v>
      </c>
      <c r="B40" s="7" t="s">
        <v>152</v>
      </c>
      <c r="C40" s="6">
        <v>0</v>
      </c>
      <c r="D40" s="18">
        <f>IF(Setup!$B$8="Bank (Closed)",L40,K40)</f>
        <v>0</v>
      </c>
      <c r="E40" s="18">
        <f t="shared" si="0"/>
        <v>0</v>
      </c>
      <c r="F40" s="21">
        <f t="shared" si="1"/>
        <v>0</v>
      </c>
      <c r="G40" t="s">
        <v>289</v>
      </c>
      <c r="H40" t="s">
        <v>291</v>
      </c>
      <c r="K40" s="5">
        <f>SUMIFS('Manual Actuals'!$C$2:$C$861,'Manual Actuals'!$D$2:$D$861,$A40,'Manual Actuals'!$E$2:$E$861,$B40,'Manual Actuals'!$H$2:$H$861,Setup!$B$4,'Manual Actuals'!$G$2:$G$861,"Yes")</f>
        <v>0</v>
      </c>
      <c r="L40" s="5">
        <f>SUMIFS(bk_download!$L$2:$L$1902,bk_download!$H$2:$H$1902,$A40,bk_download!$I$2:$I$1902,$B40,bk_download!$K$2:$K$1902,Setup!$B$4,bk_download!$J$2:$J$1902,"Yes")</f>
        <v>0</v>
      </c>
      <c r="M40" s="5">
        <f t="shared" ref="M40:M57" si="3">K40-L40</f>
        <v>0</v>
      </c>
    </row>
    <row r="41" spans="1:13" x14ac:dyDescent="0.3">
      <c r="A41" s="7" t="s">
        <v>138</v>
      </c>
      <c r="B41" s="7" t="s">
        <v>176</v>
      </c>
      <c r="C41" s="6">
        <v>0</v>
      </c>
      <c r="D41" s="18">
        <f>IF(Setup!$B$8="Bank (Closed)",L41,K41)</f>
        <v>0</v>
      </c>
      <c r="E41" s="18">
        <f t="shared" si="0"/>
        <v>0</v>
      </c>
      <c r="F41" s="21">
        <f t="shared" si="1"/>
        <v>0</v>
      </c>
      <c r="G41" t="s">
        <v>289</v>
      </c>
      <c r="H41" t="s">
        <v>291</v>
      </c>
      <c r="K41" s="5">
        <f>SUMIFS('Manual Actuals'!$C$2:$C$861,'Manual Actuals'!$D$2:$D$861,$A41,'Manual Actuals'!$E$2:$E$861,$B41,'Manual Actuals'!$H$2:$H$861,Setup!$B$4,'Manual Actuals'!$G$2:$G$861,"Yes")</f>
        <v>0</v>
      </c>
      <c r="L41" s="5">
        <f>SUMIFS(bk_download!$L$2:$L$1902,bk_download!$H$2:$H$1902,$A41,bk_download!$I$2:$I$1902,$B41,bk_download!$K$2:$K$1902,Setup!$B$4,bk_download!$J$2:$J$1902,"Yes")</f>
        <v>0</v>
      </c>
      <c r="M41" s="5">
        <f t="shared" si="3"/>
        <v>0</v>
      </c>
    </row>
    <row r="42" spans="1:13" x14ac:dyDescent="0.3">
      <c r="A42" s="7" t="s">
        <v>139</v>
      </c>
      <c r="B42" s="7" t="s">
        <v>153</v>
      </c>
      <c r="C42" s="6">
        <v>200</v>
      </c>
      <c r="D42" s="18">
        <f>IF(Setup!$B$8="Bank (Closed)",L42,K42)</f>
        <v>0</v>
      </c>
      <c r="E42" s="18">
        <f t="shared" si="0"/>
        <v>200</v>
      </c>
      <c r="F42" s="21">
        <f t="shared" si="1"/>
        <v>1</v>
      </c>
      <c r="G42" t="s">
        <v>289</v>
      </c>
      <c r="H42" t="s">
        <v>291</v>
      </c>
      <c r="K42" s="5">
        <f>SUMIFS('Manual Actuals'!$C$2:$C$861,'Manual Actuals'!$D$2:$D$861,$A42,'Manual Actuals'!$E$2:$E$861,$B42,'Manual Actuals'!$H$2:$H$861,Setup!$B$4,'Manual Actuals'!$G$2:$G$861,"Yes")</f>
        <v>0</v>
      </c>
      <c r="L42" s="5">
        <f>SUMIFS(bk_download!$L$2:$L$1902,bk_download!$H$2:$H$1902,$A42,bk_download!$I$2:$I$1902,$B42,bk_download!$K$2:$K$1902,Setup!$B$4,bk_download!$J$2:$J$1902,"Yes")</f>
        <v>0</v>
      </c>
      <c r="M42" s="5">
        <f t="shared" si="3"/>
        <v>0</v>
      </c>
    </row>
    <row r="43" spans="1:13" x14ac:dyDescent="0.3">
      <c r="A43" s="7" t="s">
        <v>108</v>
      </c>
      <c r="B43" s="7" t="s">
        <v>154</v>
      </c>
      <c r="C43" s="6">
        <f>191.61+235.06+193.22</f>
        <v>619.89</v>
      </c>
      <c r="D43" s="18">
        <f>IF(Setup!$B$8="Bank (Closed)",L43,K43)</f>
        <v>289.12</v>
      </c>
      <c r="E43" s="18">
        <f t="shared" si="0"/>
        <v>330.77</v>
      </c>
      <c r="F43" s="21">
        <f t="shared" si="1"/>
        <v>0.5335946700221007</v>
      </c>
      <c r="G43" t="s">
        <v>289</v>
      </c>
      <c r="H43" t="s">
        <v>290</v>
      </c>
      <c r="J43" t="s">
        <v>298</v>
      </c>
      <c r="K43" s="5">
        <f>SUMIFS('Manual Actuals'!$C$2:$C$861,'Manual Actuals'!$D$2:$D$861,$A43,'Manual Actuals'!$E$2:$E$861,$B43,'Manual Actuals'!$H$2:$H$861,Setup!$B$4,'Manual Actuals'!$G$2:$G$861,"Yes")</f>
        <v>289.12</v>
      </c>
      <c r="L43" s="5">
        <f>SUMIFS(bk_download!$L$2:$L$1902,bk_download!$H$2:$H$1902,$A43,bk_download!$I$2:$I$1902,$B43,bk_download!$K$2:$K$1902,Setup!$B$4,bk_download!$J$2:$J$1902,"Yes")</f>
        <v>0</v>
      </c>
      <c r="M43" s="5">
        <f t="shared" si="3"/>
        <v>289.12</v>
      </c>
    </row>
    <row r="44" spans="1:13" x14ac:dyDescent="0.3">
      <c r="A44" s="7" t="s">
        <v>108</v>
      </c>
      <c r="B44" s="7" t="s">
        <v>177</v>
      </c>
      <c r="C44" s="6">
        <v>0</v>
      </c>
      <c r="D44" s="18">
        <f>IF(Setup!$B$8="Bank (Closed)",L44,K44)</f>
        <v>0</v>
      </c>
      <c r="E44" s="18">
        <f t="shared" si="0"/>
        <v>0</v>
      </c>
      <c r="F44" s="21">
        <f t="shared" si="1"/>
        <v>0</v>
      </c>
      <c r="G44" t="s">
        <v>289</v>
      </c>
      <c r="H44" t="s">
        <v>291</v>
      </c>
      <c r="K44" s="5">
        <f>SUMIFS('Manual Actuals'!$C$2:$C$861,'Manual Actuals'!$D$2:$D$861,$A44,'Manual Actuals'!$E$2:$E$861,$B44,'Manual Actuals'!$H$2:$H$861,Setup!$B$4,'Manual Actuals'!$G$2:$G$861,"Yes")</f>
        <v>0</v>
      </c>
      <c r="L44" s="5">
        <f>SUMIFS(bk_download!$L$2:$L$1902,bk_download!$H$2:$H$1902,$A44,bk_download!$I$2:$I$1902,$B44,bk_download!$K$2:$K$1902,Setup!$B$4,bk_download!$J$2:$J$1902,"Yes")</f>
        <v>0</v>
      </c>
      <c r="M44" s="5">
        <f t="shared" si="3"/>
        <v>0</v>
      </c>
    </row>
    <row r="45" spans="1:13" x14ac:dyDescent="0.3">
      <c r="A45" s="7" t="s">
        <v>108</v>
      </c>
      <c r="B45" s="7" t="s">
        <v>192</v>
      </c>
      <c r="C45" s="6">
        <v>0</v>
      </c>
      <c r="D45" s="18">
        <f>IF(Setup!$B$8="Bank (Closed)",L45,K45)</f>
        <v>0</v>
      </c>
      <c r="E45" s="18">
        <f t="shared" si="0"/>
        <v>0</v>
      </c>
      <c r="F45" s="21">
        <f t="shared" si="1"/>
        <v>0</v>
      </c>
      <c r="G45" t="s">
        <v>289</v>
      </c>
      <c r="H45" t="s">
        <v>291</v>
      </c>
      <c r="K45" s="5">
        <f>SUMIFS('Manual Actuals'!$C$2:$C$861,'Manual Actuals'!$D$2:$D$861,$A45,'Manual Actuals'!$E$2:$E$861,$B45,'Manual Actuals'!$H$2:$H$861,Setup!$B$4,'Manual Actuals'!$G$2:$G$861,"Yes")</f>
        <v>0</v>
      </c>
      <c r="L45" s="5">
        <f>SUMIFS(bk_download!$L$2:$L$1902,bk_download!$H$2:$H$1902,$A45,bk_download!$I$2:$I$1902,$B45,bk_download!$K$2:$K$1902,Setup!$B$4,bk_download!$J$2:$J$1902,"Yes")</f>
        <v>0</v>
      </c>
      <c r="M45" s="5">
        <f t="shared" si="3"/>
        <v>0</v>
      </c>
    </row>
    <row r="46" spans="1:13" x14ac:dyDescent="0.3">
      <c r="A46" s="7" t="s">
        <v>112</v>
      </c>
      <c r="B46" s="7" t="s">
        <v>155</v>
      </c>
      <c r="C46" s="6">
        <v>50</v>
      </c>
      <c r="D46" s="18">
        <f>IF(Setup!$B$8="Bank (Closed)",L46,K46)</f>
        <v>0</v>
      </c>
      <c r="E46" s="18">
        <f t="shared" si="0"/>
        <v>50</v>
      </c>
      <c r="F46" s="21">
        <f t="shared" si="1"/>
        <v>1</v>
      </c>
      <c r="G46" t="s">
        <v>289</v>
      </c>
      <c r="H46" t="s">
        <v>291</v>
      </c>
      <c r="K46" s="5">
        <f>SUMIFS('Manual Actuals'!$C$2:$C$861,'Manual Actuals'!$D$2:$D$861,$A46,'Manual Actuals'!$E$2:$E$861,$B46,'Manual Actuals'!$H$2:$H$861,Setup!$B$4,'Manual Actuals'!$G$2:$G$861,"Yes")</f>
        <v>0</v>
      </c>
      <c r="L46" s="5">
        <f>SUMIFS(bk_download!$L$2:$L$1902,bk_download!$H$2:$H$1902,$A46,bk_download!$I$2:$I$1902,$B46,bk_download!$K$2:$K$1902,Setup!$B$4,bk_download!$J$2:$J$1902,"Yes")</f>
        <v>0</v>
      </c>
      <c r="M46" s="5">
        <f t="shared" si="3"/>
        <v>0</v>
      </c>
    </row>
    <row r="47" spans="1:13" x14ac:dyDescent="0.3">
      <c r="A47" s="7" t="s">
        <v>112</v>
      </c>
      <c r="B47" s="7" t="s">
        <v>178</v>
      </c>
      <c r="C47" s="6">
        <v>20</v>
      </c>
      <c r="D47" s="18">
        <f>IF(Setup!$B$8="Bank (Closed)",L47,K47)</f>
        <v>0</v>
      </c>
      <c r="E47" s="18">
        <f t="shared" si="0"/>
        <v>20</v>
      </c>
      <c r="F47" s="21">
        <f t="shared" si="1"/>
        <v>1</v>
      </c>
      <c r="G47" t="s">
        <v>289</v>
      </c>
      <c r="H47" t="s">
        <v>291</v>
      </c>
      <c r="K47" s="5">
        <f>SUMIFS('Manual Actuals'!$C$2:$C$861,'Manual Actuals'!$D$2:$D$861,$A47,'Manual Actuals'!$E$2:$E$861,$B47,'Manual Actuals'!$H$2:$H$861,Setup!$B$4,'Manual Actuals'!$G$2:$G$861,"Yes")</f>
        <v>0</v>
      </c>
      <c r="L47" s="5">
        <f>SUMIFS(bk_download!$L$2:$L$1902,bk_download!$H$2:$H$1902,$A47,bk_download!$I$2:$I$1902,$B47,bk_download!$K$2:$K$1902,Setup!$B$4,bk_download!$J$2:$J$1902,"Yes")</f>
        <v>0</v>
      </c>
      <c r="M47" s="5">
        <f t="shared" si="3"/>
        <v>0</v>
      </c>
    </row>
    <row r="48" spans="1:13" x14ac:dyDescent="0.3">
      <c r="A48" s="7" t="s">
        <v>112</v>
      </c>
      <c r="B48" s="7" t="s">
        <v>193</v>
      </c>
      <c r="C48" s="6">
        <v>20</v>
      </c>
      <c r="D48" s="18">
        <f>IF(Setup!$B$8="Bank (Closed)",L48,K48)</f>
        <v>0</v>
      </c>
      <c r="E48" s="18">
        <f t="shared" si="0"/>
        <v>20</v>
      </c>
      <c r="F48" s="21">
        <f t="shared" si="1"/>
        <v>1</v>
      </c>
      <c r="G48" t="s">
        <v>289</v>
      </c>
      <c r="H48" t="s">
        <v>291</v>
      </c>
      <c r="K48" s="5">
        <f>SUMIFS('Manual Actuals'!$C$2:$C$861,'Manual Actuals'!$D$2:$D$861,$A48,'Manual Actuals'!$E$2:$E$861,$B48,'Manual Actuals'!$H$2:$H$861,Setup!$B$4,'Manual Actuals'!$G$2:$G$861,"Yes")</f>
        <v>0</v>
      </c>
      <c r="L48" s="5">
        <f>SUMIFS(bk_download!$L$2:$L$1902,bk_download!$H$2:$H$1902,$A48,bk_download!$I$2:$I$1902,$B48,bk_download!$K$2:$K$1902,Setup!$B$4,bk_download!$J$2:$J$1902,"Yes")</f>
        <v>0</v>
      </c>
      <c r="M48" s="5">
        <f t="shared" si="3"/>
        <v>0</v>
      </c>
    </row>
    <row r="49" spans="1:13" x14ac:dyDescent="0.3">
      <c r="A49" s="7" t="s">
        <v>112</v>
      </c>
      <c r="B49" s="7" t="s">
        <v>201</v>
      </c>
      <c r="C49" s="6">
        <v>0</v>
      </c>
      <c r="D49" s="18">
        <f>IF(Setup!$B$8="Bank (Closed)",L49,K49)</f>
        <v>0</v>
      </c>
      <c r="E49" s="18">
        <f t="shared" si="0"/>
        <v>0</v>
      </c>
      <c r="F49" s="21">
        <f t="shared" si="1"/>
        <v>0</v>
      </c>
      <c r="G49" t="s">
        <v>289</v>
      </c>
      <c r="H49" t="s">
        <v>291</v>
      </c>
      <c r="K49" s="5">
        <f>SUMIFS('Manual Actuals'!$C$2:$C$861,'Manual Actuals'!$D$2:$D$861,$A49,'Manual Actuals'!$E$2:$E$861,$B49,'Manual Actuals'!$H$2:$H$861,Setup!$B$4,'Manual Actuals'!$G$2:$G$861,"Yes")</f>
        <v>0</v>
      </c>
      <c r="L49" s="5">
        <f>SUMIFS(bk_download!$L$2:$L$1902,bk_download!$H$2:$H$1902,$A49,bk_download!$I$2:$I$1902,$B49,bk_download!$K$2:$K$1902,Setup!$B$4,bk_download!$J$2:$J$1902,"Yes")</f>
        <v>0</v>
      </c>
      <c r="M49" s="5">
        <f t="shared" si="3"/>
        <v>0</v>
      </c>
    </row>
    <row r="50" spans="1:13" x14ac:dyDescent="0.3">
      <c r="A50" s="7" t="s">
        <v>140</v>
      </c>
      <c r="B50" s="7" t="s">
        <v>156</v>
      </c>
      <c r="C50" s="6">
        <v>0</v>
      </c>
      <c r="D50" s="18">
        <f>IF(Setup!$B$8="Bank (Closed)",L50,K50)</f>
        <v>0</v>
      </c>
      <c r="E50" s="18">
        <f t="shared" si="0"/>
        <v>0</v>
      </c>
      <c r="F50" s="21">
        <f t="shared" si="1"/>
        <v>0</v>
      </c>
      <c r="G50" t="s">
        <v>289</v>
      </c>
      <c r="H50" t="s">
        <v>291</v>
      </c>
      <c r="K50" s="5">
        <f>SUMIFS('Manual Actuals'!$C$2:$C$861,'Manual Actuals'!$D$2:$D$861,$A50,'Manual Actuals'!$E$2:$E$861,$B50,'Manual Actuals'!$H$2:$H$861,Setup!$B$4,'Manual Actuals'!$G$2:$G$861,"Yes")</f>
        <v>0</v>
      </c>
      <c r="L50" s="5">
        <f>SUMIFS(bk_download!$L$2:$L$1902,bk_download!$H$2:$H$1902,$A50,bk_download!$I$2:$I$1902,$B50,bk_download!$K$2:$K$1902,Setup!$B$4,bk_download!$J$2:$J$1902,"Yes")</f>
        <v>0</v>
      </c>
      <c r="M50" s="5">
        <f t="shared" si="3"/>
        <v>0</v>
      </c>
    </row>
    <row r="51" spans="1:13" x14ac:dyDescent="0.3">
      <c r="A51" s="7" t="s">
        <v>141</v>
      </c>
      <c r="B51" s="7" t="s">
        <v>141</v>
      </c>
      <c r="C51" s="6">
        <v>0</v>
      </c>
      <c r="D51" s="18">
        <f>IF(Setup!$B$8="Bank (Closed)",L51,K51)</f>
        <v>0</v>
      </c>
      <c r="E51" s="18">
        <f t="shared" si="0"/>
        <v>0</v>
      </c>
      <c r="F51" s="21">
        <f t="shared" si="1"/>
        <v>0</v>
      </c>
      <c r="G51" t="s">
        <v>289</v>
      </c>
      <c r="H51" t="s">
        <v>291</v>
      </c>
      <c r="K51" s="5">
        <f>SUMIFS('Manual Actuals'!$C$2:$C$861,'Manual Actuals'!$D$2:$D$861,$A51,'Manual Actuals'!$E$2:$E$861,$B51,'Manual Actuals'!$H$2:$H$861,Setup!$B$4,'Manual Actuals'!$G$2:$G$861,"Yes")</f>
        <v>0</v>
      </c>
      <c r="L51" s="5">
        <f>SUMIFS(bk_download!$L$2:$L$1902,bk_download!$H$2:$H$1902,$A51,bk_download!$I$2:$I$1902,$B51,bk_download!$K$2:$K$1902,Setup!$B$4,bk_download!$J$2:$J$1902,"Yes")</f>
        <v>0</v>
      </c>
      <c r="M51" s="5">
        <f t="shared" si="3"/>
        <v>0</v>
      </c>
    </row>
    <row r="52" spans="1:13" x14ac:dyDescent="0.3">
      <c r="A52" s="7" t="s">
        <v>116</v>
      </c>
      <c r="B52" s="7" t="s">
        <v>157</v>
      </c>
      <c r="C52" s="6">
        <v>400</v>
      </c>
      <c r="D52" s="18">
        <f>IF(Setup!$B$8="Bank (Closed)",L52,K52)</f>
        <v>202.95</v>
      </c>
      <c r="E52" s="18">
        <f t="shared" si="0"/>
        <v>197.05</v>
      </c>
      <c r="F52" s="21">
        <f t="shared" si="1"/>
        <v>0.49262500000000004</v>
      </c>
      <c r="G52" t="s">
        <v>289</v>
      </c>
      <c r="H52" t="s">
        <v>291</v>
      </c>
      <c r="K52" s="5">
        <f>SUMIFS('Manual Actuals'!$C$2:$C$861,'Manual Actuals'!$D$2:$D$861,$A52,'Manual Actuals'!$E$2:$E$861,$B52,'Manual Actuals'!$H$2:$H$861,Setup!$B$4,'Manual Actuals'!$G$2:$G$861,"Yes")</f>
        <v>202.95</v>
      </c>
      <c r="L52" s="5">
        <f>SUMIFS(bk_download!$L$2:$L$1902,bk_download!$H$2:$H$1902,$A52,bk_download!$I$2:$I$1902,$B52,bk_download!$K$2:$K$1902,Setup!$B$4,bk_download!$J$2:$J$1902,"Yes")</f>
        <v>0</v>
      </c>
      <c r="M52" s="5">
        <f t="shared" si="3"/>
        <v>202.95</v>
      </c>
    </row>
    <row r="53" spans="1:13" x14ac:dyDescent="0.3">
      <c r="A53" s="7" t="s">
        <v>116</v>
      </c>
      <c r="B53" s="7" t="s">
        <v>179</v>
      </c>
      <c r="C53" s="6">
        <v>500</v>
      </c>
      <c r="D53" s="18">
        <f>IF(Setup!$B$8="Bank (Closed)",L53,K53)</f>
        <v>0</v>
      </c>
      <c r="E53" s="18">
        <f t="shared" si="0"/>
        <v>500</v>
      </c>
      <c r="F53" s="21">
        <f t="shared" si="1"/>
        <v>1</v>
      </c>
      <c r="G53" t="s">
        <v>289</v>
      </c>
      <c r="H53" t="s">
        <v>291</v>
      </c>
      <c r="K53" s="5">
        <f>SUMIFS('Manual Actuals'!$C$2:$C$861,'Manual Actuals'!$D$2:$D$861,$A53,'Manual Actuals'!$E$2:$E$861,$B53,'Manual Actuals'!$H$2:$H$861,Setup!$B$4,'Manual Actuals'!$G$2:$G$861,"Yes")</f>
        <v>0</v>
      </c>
      <c r="L53" s="5">
        <f>SUMIFS(bk_download!$L$2:$L$1902,bk_download!$H$2:$H$1902,$A53,bk_download!$I$2:$I$1902,$B53,bk_download!$K$2:$K$1902,Setup!$B$4,bk_download!$J$2:$J$1902,"Yes")</f>
        <v>0</v>
      </c>
      <c r="M53" s="5">
        <f t="shared" si="3"/>
        <v>0</v>
      </c>
    </row>
    <row r="54" spans="1:13" x14ac:dyDescent="0.3">
      <c r="A54" s="7" t="s">
        <v>116</v>
      </c>
      <c r="B54" s="7" t="s">
        <v>194</v>
      </c>
      <c r="C54" s="6">
        <v>900</v>
      </c>
      <c r="D54" s="18">
        <f>IF(Setup!$B$8="Bank (Closed)",L54,K54)</f>
        <v>718.8</v>
      </c>
      <c r="E54" s="18">
        <f t="shared" si="0"/>
        <v>181.20000000000005</v>
      </c>
      <c r="F54" s="21">
        <f t="shared" si="1"/>
        <v>0.20133333333333339</v>
      </c>
      <c r="G54" t="s">
        <v>289</v>
      </c>
      <c r="H54" t="s">
        <v>291</v>
      </c>
      <c r="K54" s="5">
        <f>SUMIFS('Manual Actuals'!$C$2:$C$861,'Manual Actuals'!$D$2:$D$861,$A54,'Manual Actuals'!$E$2:$E$861,$B54,'Manual Actuals'!$H$2:$H$861,Setup!$B$4,'Manual Actuals'!$G$2:$G$861,"Yes")</f>
        <v>718.8</v>
      </c>
      <c r="L54" s="5">
        <f>SUMIFS(bk_download!$L$2:$L$1902,bk_download!$H$2:$H$1902,$A54,bk_download!$I$2:$I$1902,$B54,bk_download!$K$2:$K$1902,Setup!$B$4,bk_download!$J$2:$J$1902,"Yes")</f>
        <v>0</v>
      </c>
      <c r="M54" s="5">
        <f t="shared" si="3"/>
        <v>718.8</v>
      </c>
    </row>
    <row r="55" spans="1:13" x14ac:dyDescent="0.3">
      <c r="A55" s="7" t="s">
        <v>116</v>
      </c>
      <c r="B55" s="7" t="s">
        <v>202</v>
      </c>
      <c r="C55" s="6">
        <v>1000</v>
      </c>
      <c r="D55" s="18">
        <f>IF(Setup!$B$8="Bank (Closed)",L55,K55)</f>
        <v>0</v>
      </c>
      <c r="E55" s="18">
        <f t="shared" si="0"/>
        <v>1000</v>
      </c>
      <c r="F55" s="21">
        <f t="shared" si="1"/>
        <v>1</v>
      </c>
      <c r="G55" t="s">
        <v>289</v>
      </c>
      <c r="H55" t="s">
        <v>291</v>
      </c>
      <c r="K55" s="5">
        <f>SUMIFS('Manual Actuals'!$C$2:$C$861,'Manual Actuals'!$D$2:$D$861,$A55,'Manual Actuals'!$E$2:$E$861,$B55,'Manual Actuals'!$H$2:$H$861,Setup!$B$4,'Manual Actuals'!$G$2:$G$861,"Yes")</f>
        <v>0</v>
      </c>
      <c r="L55" s="5">
        <f>SUMIFS(bk_download!$L$2:$L$1902,bk_download!$H$2:$H$1902,$A55,bk_download!$I$2:$I$1902,$B55,bk_download!$K$2:$K$1902,Setup!$B$4,bk_download!$J$2:$J$1902,"Yes")</f>
        <v>0</v>
      </c>
      <c r="M55" s="5">
        <f t="shared" si="3"/>
        <v>0</v>
      </c>
    </row>
    <row r="56" spans="1:13" x14ac:dyDescent="0.3">
      <c r="D56">
        <f>IF(Setup!$B$8="Bank (Closed)",L56,K56)</f>
        <v>0</v>
      </c>
      <c r="K56" s="5">
        <f>SUMIFS('Manual Actuals'!$C$2:$C$861,'Manual Actuals'!$D$2:$D$861,$A56,'Manual Actuals'!$E$2:$E$861,$B56,'Manual Actuals'!$H$2:$H$861,Setup!$B$4,'Manual Actuals'!$G$2:$G$861,"Yes")</f>
        <v>0</v>
      </c>
      <c r="L56" s="5">
        <f>SUMIFS(bk_download!$L$2:$L$1902,bk_download!$H$2:$H$1902,$A56,bk_download!$I$2:$I$1902,$B56,bk_download!$K$2:$K$1902,Setup!$B$4,bk_download!$J$2:$J$1902,"Yes")</f>
        <v>0</v>
      </c>
      <c r="M56" s="5">
        <f t="shared" si="3"/>
        <v>0</v>
      </c>
    </row>
    <row r="57" spans="1:13" x14ac:dyDescent="0.3">
      <c r="A57" s="74" t="s">
        <v>299</v>
      </c>
      <c r="B57" s="74"/>
      <c r="C57" s="60">
        <f>SUM(C4:C55)</f>
        <v>15915.13</v>
      </c>
      <c r="D57" s="60">
        <f>IF(Setup!$B$8="Bank (Closed)",L57,K57)</f>
        <v>0</v>
      </c>
      <c r="E57" s="60">
        <f>C57-D57</f>
        <v>15915.13</v>
      </c>
      <c r="F57" s="61">
        <f>IF(C57=0,0,E57/C57)</f>
        <v>1</v>
      </c>
      <c r="K57" s="5">
        <f>SUMIFS('Manual Actuals'!$C$2:$C$861,'Manual Actuals'!$D$2:$D$861,$A57,'Manual Actuals'!$E$2:$E$861,$B57,'Manual Actuals'!$H$2:$H$861,Setup!$B$4,'Manual Actuals'!$G$2:$G$861,"Yes")</f>
        <v>0</v>
      </c>
      <c r="L57" s="5">
        <f>SUMIFS(bk_download!$M$2:$M$1902,bk_download!$I$2:$I$1902,$A57,bk_download!$J$2:$J$1902,$B57,bk_download!$L$2:$L$1902,Setup!$B$4,bk_download!$K$2:$K$1902,"Yes")</f>
        <v>0</v>
      </c>
      <c r="M57" s="5">
        <f t="shared" si="3"/>
        <v>0</v>
      </c>
    </row>
  </sheetData>
  <mergeCells count="2">
    <mergeCell ref="A1:J1"/>
    <mergeCell ref="A57:B57"/>
  </mergeCells>
  <conditionalFormatting sqref="E4:E55">
    <cfRule type="expression" dxfId="9" priority="1">
      <formula>E4&lt;0</formula>
    </cfRule>
    <cfRule type="expression" dxfId="8" priority="2">
      <formula>E4&gt;=0</formula>
    </cfRule>
  </conditionalFormatting>
  <conditionalFormatting sqref="M4:M57">
    <cfRule type="expression" dxfId="7" priority="3">
      <formula>ABS(M4)&gt;1</formula>
    </cfRule>
  </conditionalFormatting>
  <dataValidations count="2">
    <dataValidation type="list" sqref="G4:G55" xr:uid="{00000000-0002-0000-0600-000000000000}">
      <formula1>"Critical,High,Medium,Low"</formula1>
    </dataValidation>
    <dataValidation type="list" sqref="H4:H55" xr:uid="{00000000-0002-0000-0600-000001000000}">
      <formula1>"Fixed,Variable,Sinking Fund"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61"/>
  <sheetViews>
    <sheetView tabSelected="1" topLeftCell="A8" workbookViewId="0">
      <selection activeCell="A21" sqref="A21:XFD154"/>
    </sheetView>
  </sheetViews>
  <sheetFormatPr defaultRowHeight="14.4" x14ac:dyDescent="0.3"/>
  <cols>
    <col min="1" max="1" width="12" style="50" customWidth="1"/>
    <col min="2" max="2" width="30" customWidth="1"/>
    <col min="3" max="3" width="16" customWidth="1"/>
    <col min="4" max="4" width="18" customWidth="1"/>
    <col min="5" max="5" width="22" customWidth="1"/>
    <col min="6" max="6" width="18" customWidth="1"/>
    <col min="7" max="7" width="11" customWidth="1"/>
    <col min="8" max="8" width="12" customWidth="1"/>
    <col min="9" max="9" width="30" customWidth="1"/>
  </cols>
  <sheetData>
    <row r="1" spans="1:9" x14ac:dyDescent="0.3">
      <c r="A1" s="49" t="s">
        <v>300</v>
      </c>
      <c r="B1" s="30" t="s">
        <v>301</v>
      </c>
      <c r="C1" s="30" t="s">
        <v>302</v>
      </c>
      <c r="D1" s="30" t="s">
        <v>216</v>
      </c>
      <c r="E1" s="30" t="s">
        <v>223</v>
      </c>
      <c r="F1" s="30" t="s">
        <v>143</v>
      </c>
      <c r="G1" s="30" t="s">
        <v>303</v>
      </c>
      <c r="H1" s="30" t="s">
        <v>304</v>
      </c>
      <c r="I1" s="30" t="s">
        <v>121</v>
      </c>
    </row>
    <row r="2" spans="1:9" x14ac:dyDescent="0.3">
      <c r="A2" s="51">
        <v>46232</v>
      </c>
      <c r="B2" s="7" t="s">
        <v>305</v>
      </c>
      <c r="C2" s="6">
        <v>121</v>
      </c>
      <c r="D2" s="7" t="s">
        <v>96</v>
      </c>
      <c r="E2" s="7" t="s">
        <v>167</v>
      </c>
      <c r="F2" s="7" t="s">
        <v>158</v>
      </c>
      <c r="G2" s="7" t="s">
        <v>220</v>
      </c>
      <c r="H2" s="17" t="str">
        <f>IF(A2="","",IF(A2&gt;=46232,TEXT(DATE(YEAR(A2),MONTH(A2)+1,1),"mmmm yyyy"),TEXT(DATE(YEAR(A2),MONTH(A2),1),"mmmm yyyy")))</f>
        <v>August 2026</v>
      </c>
    </row>
    <row r="3" spans="1:9" x14ac:dyDescent="0.3">
      <c r="A3" s="51">
        <v>46233</v>
      </c>
      <c r="B3" s="7" t="s">
        <v>306</v>
      </c>
      <c r="C3" s="6">
        <v>82.89</v>
      </c>
      <c r="D3" s="7" t="s">
        <v>114</v>
      </c>
      <c r="E3" s="7" t="s">
        <v>151</v>
      </c>
      <c r="F3" s="7" t="s">
        <v>158</v>
      </c>
      <c r="G3" s="7" t="s">
        <v>220</v>
      </c>
      <c r="H3" s="17" t="str">
        <f t="shared" ref="H3:H20" si="0">IF(A3="","",IF(A3&gt;=46232,TEXT(DATE(YEAR(A3),MONTH(A3)+1,1),"mmmm yyyy"),TEXT(DATE(YEAR(A3),MONTH(A3),1),"mmmm yyyy")))</f>
        <v>August 2026</v>
      </c>
    </row>
    <row r="4" spans="1:9" x14ac:dyDescent="0.3">
      <c r="A4" s="51">
        <v>46232</v>
      </c>
      <c r="B4" s="7" t="s">
        <v>307</v>
      </c>
      <c r="C4" s="6">
        <v>16.5</v>
      </c>
      <c r="D4" s="7" t="s">
        <v>104</v>
      </c>
      <c r="E4" s="7" t="s">
        <v>169</v>
      </c>
      <c r="F4" s="7" t="s">
        <v>158</v>
      </c>
      <c r="G4" s="7" t="s">
        <v>220</v>
      </c>
      <c r="H4" s="17" t="str">
        <f t="shared" si="0"/>
        <v>August 2026</v>
      </c>
    </row>
    <row r="5" spans="1:9" x14ac:dyDescent="0.3">
      <c r="A5" s="51">
        <v>46232</v>
      </c>
      <c r="B5" s="7" t="s">
        <v>308</v>
      </c>
      <c r="C5" s="6">
        <v>3.97</v>
      </c>
      <c r="D5" s="7" t="s">
        <v>104</v>
      </c>
      <c r="E5" s="7" t="s">
        <v>169</v>
      </c>
      <c r="F5" s="7" t="s">
        <v>158</v>
      </c>
      <c r="G5" s="7" t="s">
        <v>220</v>
      </c>
      <c r="H5" s="17" t="str">
        <f t="shared" si="0"/>
        <v>August 2026</v>
      </c>
    </row>
    <row r="6" spans="1:9" x14ac:dyDescent="0.3">
      <c r="A6" s="51">
        <v>46231</v>
      </c>
      <c r="B6" s="7" t="s">
        <v>309</v>
      </c>
      <c r="C6" s="6">
        <v>29.99</v>
      </c>
      <c r="D6" s="7" t="s">
        <v>114</v>
      </c>
      <c r="E6" s="7" t="s">
        <v>151</v>
      </c>
      <c r="F6" s="7" t="s">
        <v>158</v>
      </c>
      <c r="G6" s="7" t="s">
        <v>220</v>
      </c>
      <c r="H6" s="17" t="str">
        <f t="shared" si="0"/>
        <v>July 2026</v>
      </c>
    </row>
    <row r="7" spans="1:9" x14ac:dyDescent="0.3">
      <c r="A7" s="51">
        <v>46232</v>
      </c>
      <c r="B7" s="7" t="s">
        <v>310</v>
      </c>
      <c r="C7" s="6">
        <v>30</v>
      </c>
      <c r="D7" s="7" t="s">
        <v>100</v>
      </c>
      <c r="E7" s="7" t="s">
        <v>187</v>
      </c>
      <c r="F7" s="7" t="s">
        <v>158</v>
      </c>
      <c r="G7" s="7" t="s">
        <v>220</v>
      </c>
      <c r="H7" s="17" t="str">
        <f t="shared" si="0"/>
        <v>August 2026</v>
      </c>
    </row>
    <row r="8" spans="1:9" x14ac:dyDescent="0.3">
      <c r="A8" s="51">
        <v>46232</v>
      </c>
      <c r="B8" s="7" t="s">
        <v>311</v>
      </c>
      <c r="C8" s="6">
        <v>75.040000000000006</v>
      </c>
      <c r="D8" s="7" t="s">
        <v>114</v>
      </c>
      <c r="E8" s="7" t="s">
        <v>200</v>
      </c>
      <c r="F8" s="7" t="s">
        <v>158</v>
      </c>
      <c r="G8" s="7" t="s">
        <v>220</v>
      </c>
      <c r="H8" s="17" t="str">
        <f t="shared" si="0"/>
        <v>August 2026</v>
      </c>
    </row>
    <row r="9" spans="1:9" x14ac:dyDescent="0.3">
      <c r="A9" s="51">
        <v>46233</v>
      </c>
      <c r="B9" s="7" t="s">
        <v>312</v>
      </c>
      <c r="C9" s="6">
        <v>406.91</v>
      </c>
      <c r="D9" s="7" t="s">
        <v>92</v>
      </c>
      <c r="E9" s="7" t="s">
        <v>144</v>
      </c>
      <c r="F9" s="7" t="s">
        <v>158</v>
      </c>
      <c r="G9" s="7" t="s">
        <v>220</v>
      </c>
      <c r="H9" s="17" t="str">
        <f t="shared" si="0"/>
        <v>August 2026</v>
      </c>
    </row>
    <row r="10" spans="1:9" x14ac:dyDescent="0.3">
      <c r="A10" s="51">
        <v>46232</v>
      </c>
      <c r="B10" s="7" t="s">
        <v>313</v>
      </c>
      <c r="C10" s="6">
        <v>138.99</v>
      </c>
      <c r="D10" s="7" t="s">
        <v>92</v>
      </c>
      <c r="E10" s="7" t="s">
        <v>185</v>
      </c>
      <c r="F10" s="7" t="s">
        <v>158</v>
      </c>
      <c r="G10" s="7" t="s">
        <v>220</v>
      </c>
      <c r="H10" s="17" t="str">
        <f t="shared" si="0"/>
        <v>August 2026</v>
      </c>
    </row>
    <row r="11" spans="1:9" x14ac:dyDescent="0.3">
      <c r="A11" s="51">
        <v>46232</v>
      </c>
      <c r="B11" s="7" t="s">
        <v>310</v>
      </c>
      <c r="C11" s="6">
        <v>202.95</v>
      </c>
      <c r="D11" s="7" t="s">
        <v>116</v>
      </c>
      <c r="E11" s="7" t="s">
        <v>157</v>
      </c>
      <c r="F11" s="7" t="s">
        <v>158</v>
      </c>
      <c r="G11" s="7" t="s">
        <v>220</v>
      </c>
      <c r="H11" s="17" t="str">
        <f t="shared" si="0"/>
        <v>August 2026</v>
      </c>
    </row>
    <row r="12" spans="1:9" x14ac:dyDescent="0.3">
      <c r="A12" s="51">
        <v>46233</v>
      </c>
      <c r="B12" s="7" t="s">
        <v>314</v>
      </c>
      <c r="C12" s="6">
        <v>50.98</v>
      </c>
      <c r="D12" s="7" t="s">
        <v>114</v>
      </c>
      <c r="E12" s="7" t="s">
        <v>200</v>
      </c>
      <c r="F12" s="7" t="s">
        <v>158</v>
      </c>
      <c r="G12" s="7" t="s">
        <v>220</v>
      </c>
      <c r="H12" s="17" t="str">
        <f t="shared" si="0"/>
        <v>August 2026</v>
      </c>
    </row>
    <row r="13" spans="1:9" x14ac:dyDescent="0.3">
      <c r="A13" s="51">
        <v>46233</v>
      </c>
      <c r="B13" s="7" t="s">
        <v>315</v>
      </c>
      <c r="C13" s="6">
        <v>29.22</v>
      </c>
      <c r="D13" s="7" t="s">
        <v>114</v>
      </c>
      <c r="E13" s="7" t="s">
        <v>151</v>
      </c>
      <c r="F13" s="7" t="s">
        <v>158</v>
      </c>
      <c r="G13" s="7" t="s">
        <v>220</v>
      </c>
      <c r="H13" s="17" t="str">
        <f t="shared" si="0"/>
        <v>August 2026</v>
      </c>
    </row>
    <row r="14" spans="1:9" x14ac:dyDescent="0.3">
      <c r="A14" s="51">
        <v>46232</v>
      </c>
      <c r="B14" s="7" t="s">
        <v>316</v>
      </c>
      <c r="C14" s="6">
        <v>139.63999999999999</v>
      </c>
      <c r="D14" s="7" t="s">
        <v>114</v>
      </c>
      <c r="E14" s="7" t="s">
        <v>200</v>
      </c>
      <c r="F14" s="7" t="s">
        <v>158</v>
      </c>
      <c r="G14" s="7" t="s">
        <v>220</v>
      </c>
      <c r="H14" s="17" t="str">
        <f t="shared" si="0"/>
        <v>August 2026</v>
      </c>
    </row>
    <row r="15" spans="1:9" x14ac:dyDescent="0.3">
      <c r="A15" s="51" t="s">
        <v>317</v>
      </c>
      <c r="B15" s="7" t="s">
        <v>318</v>
      </c>
      <c r="C15" s="6">
        <v>1459.84</v>
      </c>
      <c r="D15" s="7" t="s">
        <v>100</v>
      </c>
      <c r="E15" s="7" t="s">
        <v>146</v>
      </c>
      <c r="F15" s="7" t="s">
        <v>158</v>
      </c>
      <c r="G15" s="7" t="s">
        <v>220</v>
      </c>
      <c r="H15" s="17" t="str">
        <f t="shared" si="0"/>
        <v>August 2026</v>
      </c>
    </row>
    <row r="16" spans="1:9" x14ac:dyDescent="0.3">
      <c r="A16" s="51" t="s">
        <v>319</v>
      </c>
      <c r="B16" s="7" t="s">
        <v>320</v>
      </c>
      <c r="C16" s="6">
        <v>718.8</v>
      </c>
      <c r="D16" s="7" t="s">
        <v>116</v>
      </c>
      <c r="E16" s="7" t="s">
        <v>194</v>
      </c>
      <c r="F16" s="7" t="s">
        <v>158</v>
      </c>
      <c r="G16" s="7" t="s">
        <v>220</v>
      </c>
      <c r="H16" s="17" t="str">
        <f t="shared" si="0"/>
        <v>August 2026</v>
      </c>
    </row>
    <row r="17" spans="1:8" x14ac:dyDescent="0.3">
      <c r="A17" s="51" t="s">
        <v>321</v>
      </c>
      <c r="B17" s="7" t="s">
        <v>322</v>
      </c>
      <c r="C17" s="6">
        <v>216.34</v>
      </c>
      <c r="D17" s="7" t="s">
        <v>108</v>
      </c>
      <c r="E17" s="7" t="s">
        <v>154</v>
      </c>
      <c r="F17" s="7" t="s">
        <v>158</v>
      </c>
      <c r="G17" s="7" t="s">
        <v>220</v>
      </c>
      <c r="H17" s="17" t="str">
        <f t="shared" si="0"/>
        <v>August 2026</v>
      </c>
    </row>
    <row r="18" spans="1:8" x14ac:dyDescent="0.3">
      <c r="A18" s="51" t="s">
        <v>321</v>
      </c>
      <c r="B18" s="7" t="s">
        <v>322</v>
      </c>
      <c r="C18" s="6">
        <v>17.02</v>
      </c>
      <c r="D18" s="7" t="s">
        <v>108</v>
      </c>
      <c r="E18" s="7" t="s">
        <v>154</v>
      </c>
      <c r="F18" s="7" t="s">
        <v>158</v>
      </c>
      <c r="G18" s="7" t="s">
        <v>220</v>
      </c>
      <c r="H18" s="17" t="str">
        <f t="shared" si="0"/>
        <v>August 2026</v>
      </c>
    </row>
    <row r="19" spans="1:8" x14ac:dyDescent="0.3">
      <c r="A19" s="51" t="s">
        <v>321</v>
      </c>
      <c r="B19" s="7" t="s">
        <v>298</v>
      </c>
      <c r="C19" s="6">
        <v>33.450000000000003</v>
      </c>
      <c r="D19" s="7" t="s">
        <v>108</v>
      </c>
      <c r="E19" s="7" t="s">
        <v>154</v>
      </c>
      <c r="F19" s="7" t="s">
        <v>158</v>
      </c>
      <c r="G19" s="7" t="s">
        <v>220</v>
      </c>
      <c r="H19" s="17" t="str">
        <f t="shared" si="0"/>
        <v>August 2026</v>
      </c>
    </row>
    <row r="20" spans="1:8" x14ac:dyDescent="0.3">
      <c r="A20" s="51" t="s">
        <v>323</v>
      </c>
      <c r="B20" s="7" t="s">
        <v>298</v>
      </c>
      <c r="C20" s="6">
        <v>22.31</v>
      </c>
      <c r="D20" s="7" t="s">
        <v>108</v>
      </c>
      <c r="E20" s="7" t="s">
        <v>154</v>
      </c>
      <c r="F20" s="7" t="s">
        <v>158</v>
      </c>
      <c r="G20" s="7" t="s">
        <v>220</v>
      </c>
      <c r="H20" s="17" t="str">
        <f t="shared" si="0"/>
        <v>August 2026</v>
      </c>
    </row>
    <row r="21" spans="1:8" x14ac:dyDescent="0.3">
      <c r="A21" s="48"/>
      <c r="B21" s="7"/>
      <c r="C21" s="6"/>
      <c r="D21" s="7"/>
      <c r="E21" s="7"/>
      <c r="F21" s="7"/>
      <c r="G21" s="7"/>
      <c r="H21" s="17" t="str">
        <f t="shared" ref="H21:H55" si="1">IF(A21="","",IF(A21&gt;=46232,TEXT(DATE(YEAR(A21),MONTH(A21)+1,1),"mmmm yyyy"),TEXT(DATE(YEAR(A21),MONTH(A21),1),"mmmm yyyy")))</f>
        <v/>
      </c>
    </row>
    <row r="22" spans="1:8" x14ac:dyDescent="0.3">
      <c r="A22" s="48"/>
      <c r="B22" s="7"/>
      <c r="C22" s="6"/>
      <c r="D22" s="7"/>
      <c r="E22" s="7"/>
      <c r="F22" s="7"/>
      <c r="G22" s="7"/>
      <c r="H22" s="17" t="str">
        <f t="shared" si="1"/>
        <v/>
      </c>
    </row>
    <row r="23" spans="1:8" x14ac:dyDescent="0.3">
      <c r="A23" s="48"/>
      <c r="B23" s="7"/>
      <c r="C23" s="6"/>
      <c r="D23" s="7"/>
      <c r="E23" s="7"/>
      <c r="F23" s="7"/>
      <c r="G23" s="7"/>
      <c r="H23" s="17" t="str">
        <f t="shared" si="1"/>
        <v/>
      </c>
    </row>
    <row r="24" spans="1:8" x14ac:dyDescent="0.3">
      <c r="A24" s="48"/>
      <c r="B24" s="7"/>
      <c r="C24" s="6"/>
      <c r="D24" s="7"/>
      <c r="E24" s="7"/>
      <c r="F24" s="7"/>
      <c r="G24" s="7"/>
      <c r="H24" s="17" t="str">
        <f t="shared" si="1"/>
        <v/>
      </c>
    </row>
    <row r="25" spans="1:8" x14ac:dyDescent="0.3">
      <c r="A25" s="48"/>
      <c r="B25" s="7"/>
      <c r="C25" s="6"/>
      <c r="D25" s="7"/>
      <c r="E25" s="7"/>
      <c r="F25" s="7"/>
      <c r="G25" s="7"/>
      <c r="H25" s="17" t="str">
        <f t="shared" si="1"/>
        <v/>
      </c>
    </row>
    <row r="26" spans="1:8" x14ac:dyDescent="0.3">
      <c r="A26" s="48"/>
      <c r="B26" s="7"/>
      <c r="C26" s="6"/>
      <c r="D26" s="7"/>
      <c r="E26" s="7"/>
      <c r="F26" s="7"/>
      <c r="G26" s="7"/>
      <c r="H26" s="17" t="str">
        <f t="shared" si="1"/>
        <v/>
      </c>
    </row>
    <row r="27" spans="1:8" x14ac:dyDescent="0.3">
      <c r="A27" s="48"/>
      <c r="B27" s="7"/>
      <c r="C27" s="6"/>
      <c r="D27" s="7"/>
      <c r="E27" s="7"/>
      <c r="F27" s="7"/>
      <c r="G27" s="7"/>
      <c r="H27" s="17" t="str">
        <f t="shared" si="1"/>
        <v/>
      </c>
    </row>
    <row r="28" spans="1:8" x14ac:dyDescent="0.3">
      <c r="A28" s="48"/>
      <c r="B28" s="7"/>
      <c r="C28" s="6"/>
      <c r="D28" s="7"/>
      <c r="E28" s="7"/>
      <c r="F28" s="7"/>
      <c r="G28" s="7"/>
      <c r="H28" s="17" t="str">
        <f t="shared" si="1"/>
        <v/>
      </c>
    </row>
    <row r="29" spans="1:8" x14ac:dyDescent="0.3">
      <c r="A29" s="48"/>
      <c r="B29" s="7"/>
      <c r="C29" s="6"/>
      <c r="D29" s="7"/>
      <c r="E29" s="7"/>
      <c r="F29" s="7"/>
      <c r="G29" s="7"/>
      <c r="H29" s="17" t="str">
        <f t="shared" si="1"/>
        <v/>
      </c>
    </row>
    <row r="30" spans="1:8" x14ac:dyDescent="0.3">
      <c r="A30" s="48"/>
      <c r="B30" s="7"/>
      <c r="C30" s="6"/>
      <c r="D30" s="7"/>
      <c r="E30" s="7"/>
      <c r="F30" s="7"/>
      <c r="G30" s="7"/>
      <c r="H30" s="17" t="str">
        <f t="shared" si="1"/>
        <v/>
      </c>
    </row>
    <row r="31" spans="1:8" x14ac:dyDescent="0.3">
      <c r="A31" s="48"/>
      <c r="B31" s="7"/>
      <c r="C31" s="6"/>
      <c r="D31" s="7"/>
      <c r="E31" s="7"/>
      <c r="F31" s="7"/>
      <c r="G31" s="7"/>
      <c r="H31" s="17" t="str">
        <f t="shared" si="1"/>
        <v/>
      </c>
    </row>
    <row r="32" spans="1:8" x14ac:dyDescent="0.3">
      <c r="A32" s="48"/>
      <c r="B32" s="7"/>
      <c r="C32" s="6"/>
      <c r="D32" s="7"/>
      <c r="E32" s="7"/>
      <c r="F32" s="7"/>
      <c r="G32" s="7"/>
      <c r="H32" s="17" t="str">
        <f t="shared" si="1"/>
        <v/>
      </c>
    </row>
    <row r="33" spans="1:8" x14ac:dyDescent="0.3">
      <c r="A33" s="48"/>
      <c r="B33" s="7"/>
      <c r="C33" s="6"/>
      <c r="D33" s="7"/>
      <c r="E33" s="7"/>
      <c r="F33" s="7"/>
      <c r="G33" s="7"/>
      <c r="H33" s="17" t="str">
        <f t="shared" si="1"/>
        <v/>
      </c>
    </row>
    <row r="34" spans="1:8" x14ac:dyDescent="0.3">
      <c r="A34" s="48"/>
      <c r="B34" s="7"/>
      <c r="C34" s="6"/>
      <c r="D34" s="7"/>
      <c r="E34" s="7"/>
      <c r="F34" s="7"/>
      <c r="G34" s="7"/>
      <c r="H34" s="17" t="str">
        <f t="shared" si="1"/>
        <v/>
      </c>
    </row>
    <row r="35" spans="1:8" x14ac:dyDescent="0.3">
      <c r="A35" s="48"/>
      <c r="B35" s="7"/>
      <c r="C35" s="6"/>
      <c r="D35" s="7"/>
      <c r="E35" s="7"/>
      <c r="F35" s="7"/>
      <c r="G35" s="7"/>
      <c r="H35" s="17" t="str">
        <f t="shared" si="1"/>
        <v/>
      </c>
    </row>
    <row r="36" spans="1:8" x14ac:dyDescent="0.3">
      <c r="A36" s="48"/>
      <c r="B36" s="7"/>
      <c r="C36" s="6"/>
      <c r="D36" s="7"/>
      <c r="E36" s="7"/>
      <c r="F36" s="7"/>
      <c r="G36" s="7"/>
      <c r="H36" s="17" t="str">
        <f t="shared" si="1"/>
        <v/>
      </c>
    </row>
    <row r="37" spans="1:8" x14ac:dyDescent="0.3">
      <c r="A37" s="48"/>
      <c r="B37" s="7"/>
      <c r="C37" s="6"/>
      <c r="D37" s="7"/>
      <c r="E37" s="7"/>
      <c r="F37" s="7"/>
      <c r="G37" s="7"/>
      <c r="H37" s="17" t="str">
        <f t="shared" si="1"/>
        <v/>
      </c>
    </row>
    <row r="38" spans="1:8" x14ac:dyDescent="0.3">
      <c r="A38" s="48"/>
      <c r="B38" s="7"/>
      <c r="C38" s="6"/>
      <c r="D38" s="7"/>
      <c r="E38" s="7"/>
      <c r="F38" s="7"/>
      <c r="G38" s="7"/>
      <c r="H38" s="17" t="str">
        <f t="shared" si="1"/>
        <v/>
      </c>
    </row>
    <row r="39" spans="1:8" x14ac:dyDescent="0.3">
      <c r="A39" s="48"/>
      <c r="B39" s="7"/>
      <c r="C39" s="6"/>
      <c r="D39" s="7"/>
      <c r="E39" s="7"/>
      <c r="F39" s="7"/>
      <c r="G39" s="7"/>
      <c r="H39" s="17" t="str">
        <f t="shared" si="1"/>
        <v/>
      </c>
    </row>
    <row r="40" spans="1:8" x14ac:dyDescent="0.3">
      <c r="A40" s="48"/>
      <c r="B40" s="7"/>
      <c r="C40" s="6"/>
      <c r="D40" s="7"/>
      <c r="E40" s="7"/>
      <c r="F40" s="7"/>
      <c r="G40" s="7"/>
      <c r="H40" s="17" t="str">
        <f t="shared" si="1"/>
        <v/>
      </c>
    </row>
    <row r="41" spans="1:8" x14ac:dyDescent="0.3">
      <c r="A41" s="48"/>
      <c r="B41" s="7"/>
      <c r="C41" s="6"/>
      <c r="D41" s="7"/>
      <c r="E41" s="7"/>
      <c r="F41" s="7"/>
      <c r="G41" s="7"/>
      <c r="H41" s="17" t="str">
        <f t="shared" si="1"/>
        <v/>
      </c>
    </row>
    <row r="42" spans="1:8" x14ac:dyDescent="0.3">
      <c r="A42" s="48"/>
      <c r="B42" s="7"/>
      <c r="C42" s="6"/>
      <c r="D42" s="7"/>
      <c r="E42" s="7"/>
      <c r="F42" s="7"/>
      <c r="G42" s="7"/>
      <c r="H42" s="17" t="str">
        <f t="shared" si="1"/>
        <v/>
      </c>
    </row>
    <row r="43" spans="1:8" x14ac:dyDescent="0.3">
      <c r="A43" s="48"/>
      <c r="B43" s="7"/>
      <c r="C43" s="6"/>
      <c r="D43" s="7"/>
      <c r="E43" s="7"/>
      <c r="F43" s="7"/>
      <c r="G43" s="7"/>
      <c r="H43" s="17" t="str">
        <f t="shared" si="1"/>
        <v/>
      </c>
    </row>
    <row r="44" spans="1:8" x14ac:dyDescent="0.3">
      <c r="A44" s="48"/>
      <c r="B44" s="7"/>
      <c r="C44" s="6"/>
      <c r="D44" s="7"/>
      <c r="E44" s="7"/>
      <c r="F44" s="7"/>
      <c r="G44" s="7"/>
      <c r="H44" s="17" t="str">
        <f t="shared" si="1"/>
        <v/>
      </c>
    </row>
    <row r="45" spans="1:8" x14ac:dyDescent="0.3">
      <c r="A45" s="48"/>
      <c r="B45" s="7"/>
      <c r="C45" s="6"/>
      <c r="D45" s="7"/>
      <c r="E45" s="7"/>
      <c r="F45" s="7"/>
      <c r="G45" s="7"/>
      <c r="H45" s="17" t="str">
        <f t="shared" si="1"/>
        <v/>
      </c>
    </row>
    <row r="46" spans="1:8" x14ac:dyDescent="0.3">
      <c r="A46" s="48"/>
      <c r="B46" s="7"/>
      <c r="C46" s="6"/>
      <c r="D46" s="7"/>
      <c r="E46" s="7"/>
      <c r="F46" s="7"/>
      <c r="G46" s="7"/>
      <c r="H46" s="17" t="str">
        <f t="shared" si="1"/>
        <v/>
      </c>
    </row>
    <row r="47" spans="1:8" x14ac:dyDescent="0.3">
      <c r="A47" s="48"/>
      <c r="B47" s="7"/>
      <c r="C47" s="6"/>
      <c r="D47" s="7"/>
      <c r="E47" s="7"/>
      <c r="F47" s="7"/>
      <c r="G47" s="7"/>
      <c r="H47" s="17" t="str">
        <f t="shared" si="1"/>
        <v/>
      </c>
    </row>
    <row r="48" spans="1:8" x14ac:dyDescent="0.3">
      <c r="A48" s="48"/>
      <c r="B48" s="7"/>
      <c r="C48" s="6"/>
      <c r="D48" s="7"/>
      <c r="E48" s="7"/>
      <c r="F48" s="7"/>
      <c r="G48" s="7"/>
      <c r="H48" s="17" t="str">
        <f t="shared" si="1"/>
        <v/>
      </c>
    </row>
    <row r="49" spans="1:8" x14ac:dyDescent="0.3">
      <c r="A49" s="48"/>
      <c r="B49" s="7"/>
      <c r="C49" s="6"/>
      <c r="D49" s="7"/>
      <c r="E49" s="7"/>
      <c r="F49" s="7"/>
      <c r="G49" s="7"/>
      <c r="H49" s="17" t="str">
        <f t="shared" si="1"/>
        <v/>
      </c>
    </row>
    <row r="50" spans="1:8" x14ac:dyDescent="0.3">
      <c r="A50" s="48"/>
      <c r="B50" s="7"/>
      <c r="C50" s="6"/>
      <c r="D50" s="7"/>
      <c r="E50" s="7"/>
      <c r="F50" s="7"/>
      <c r="G50" s="7"/>
      <c r="H50" s="17" t="str">
        <f t="shared" si="1"/>
        <v/>
      </c>
    </row>
    <row r="51" spans="1:8" x14ac:dyDescent="0.3">
      <c r="A51" s="48"/>
      <c r="B51" s="7"/>
      <c r="C51" s="6"/>
      <c r="D51" s="7"/>
      <c r="E51" s="7"/>
      <c r="F51" s="7"/>
      <c r="G51" s="7"/>
      <c r="H51" s="17" t="str">
        <f t="shared" si="1"/>
        <v/>
      </c>
    </row>
    <row r="52" spans="1:8" x14ac:dyDescent="0.3">
      <c r="A52" s="48"/>
      <c r="B52" s="7"/>
      <c r="C52" s="6"/>
      <c r="D52" s="7"/>
      <c r="E52" s="7"/>
      <c r="F52" s="7"/>
      <c r="G52" s="7"/>
      <c r="H52" s="17" t="str">
        <f t="shared" si="1"/>
        <v/>
      </c>
    </row>
    <row r="53" spans="1:8" x14ac:dyDescent="0.3">
      <c r="A53" s="48"/>
      <c r="B53" s="7"/>
      <c r="C53" s="6"/>
      <c r="D53" s="7"/>
      <c r="E53" s="7"/>
      <c r="F53" s="7"/>
      <c r="G53" s="7"/>
      <c r="H53" s="17" t="str">
        <f t="shared" si="1"/>
        <v/>
      </c>
    </row>
    <row r="54" spans="1:8" x14ac:dyDescent="0.3">
      <c r="A54" s="48"/>
      <c r="B54" s="7"/>
      <c r="C54" s="6"/>
      <c r="D54" s="7"/>
      <c r="E54" s="7"/>
      <c r="F54" s="7"/>
      <c r="G54" s="7"/>
      <c r="H54" s="17" t="str">
        <f t="shared" si="1"/>
        <v/>
      </c>
    </row>
    <row r="55" spans="1:8" x14ac:dyDescent="0.3">
      <c r="A55" s="48"/>
      <c r="B55" s="7"/>
      <c r="C55" s="6"/>
      <c r="D55" s="7"/>
      <c r="E55" s="7"/>
      <c r="F55" s="7"/>
      <c r="G55" s="7"/>
      <c r="H55" s="17" t="str">
        <f t="shared" si="1"/>
        <v/>
      </c>
    </row>
    <row r="56" spans="1:8" x14ac:dyDescent="0.3">
      <c r="A56" s="48"/>
      <c r="B56" s="7"/>
      <c r="C56" s="6"/>
      <c r="D56" s="7"/>
      <c r="E56" s="7"/>
      <c r="F56" s="7"/>
      <c r="G56" s="7"/>
      <c r="H56" s="17" t="str">
        <f t="shared" ref="H56:H119" si="2">IF(A56="","",IF(A56&gt;=46232,TEXT(DATE(YEAR(A56),MONTH(A56)+1,1),"mmmm yyyy"),TEXT(DATE(YEAR(A56),MONTH(A56),1),"mmmm yyyy")))</f>
        <v/>
      </c>
    </row>
    <row r="57" spans="1:8" x14ac:dyDescent="0.3">
      <c r="A57" s="48"/>
      <c r="B57" s="7"/>
      <c r="C57" s="6"/>
      <c r="D57" s="7"/>
      <c r="E57" s="7"/>
      <c r="F57" s="7"/>
      <c r="G57" s="7"/>
      <c r="H57" s="17" t="str">
        <f t="shared" si="2"/>
        <v/>
      </c>
    </row>
    <row r="58" spans="1:8" x14ac:dyDescent="0.3">
      <c r="A58" s="48"/>
      <c r="B58" s="7"/>
      <c r="C58" s="6"/>
      <c r="D58" s="7"/>
      <c r="E58" s="7"/>
      <c r="F58" s="7"/>
      <c r="G58" s="7"/>
      <c r="H58" s="17" t="str">
        <f t="shared" si="2"/>
        <v/>
      </c>
    </row>
    <row r="59" spans="1:8" x14ac:dyDescent="0.3">
      <c r="A59" s="48"/>
      <c r="B59" s="7"/>
      <c r="C59" s="6"/>
      <c r="D59" s="7"/>
      <c r="E59" s="7"/>
      <c r="F59" s="7"/>
      <c r="G59" s="7"/>
      <c r="H59" s="17" t="str">
        <f t="shared" si="2"/>
        <v/>
      </c>
    </row>
    <row r="60" spans="1:8" x14ac:dyDescent="0.3">
      <c r="A60" s="48"/>
      <c r="B60" s="7"/>
      <c r="C60" s="6"/>
      <c r="D60" s="7"/>
      <c r="E60" s="7"/>
      <c r="F60" s="7"/>
      <c r="G60" s="7"/>
      <c r="H60" s="17" t="str">
        <f t="shared" si="2"/>
        <v/>
      </c>
    </row>
    <row r="61" spans="1:8" x14ac:dyDescent="0.3">
      <c r="A61" s="48"/>
      <c r="B61" s="7"/>
      <c r="C61" s="6"/>
      <c r="D61" s="7"/>
      <c r="E61" s="7"/>
      <c r="F61" s="7"/>
      <c r="G61" s="7"/>
      <c r="H61" s="17" t="str">
        <f t="shared" si="2"/>
        <v/>
      </c>
    </row>
    <row r="62" spans="1:8" x14ac:dyDescent="0.3">
      <c r="A62" s="48"/>
      <c r="B62" s="7"/>
      <c r="C62" s="6"/>
      <c r="D62" s="7"/>
      <c r="E62" s="7"/>
      <c r="F62" s="7"/>
      <c r="G62" s="7"/>
      <c r="H62" s="17" t="str">
        <f t="shared" si="2"/>
        <v/>
      </c>
    </row>
    <row r="63" spans="1:8" x14ac:dyDescent="0.3">
      <c r="A63" s="48"/>
      <c r="B63" s="7"/>
      <c r="C63" s="6"/>
      <c r="D63" s="7"/>
      <c r="E63" s="7"/>
      <c r="F63" s="7"/>
      <c r="G63" s="7"/>
      <c r="H63" s="17" t="str">
        <f t="shared" si="2"/>
        <v/>
      </c>
    </row>
    <row r="64" spans="1:8" x14ac:dyDescent="0.3">
      <c r="A64" s="48"/>
      <c r="B64" s="7"/>
      <c r="C64" s="6"/>
      <c r="D64" s="7"/>
      <c r="E64" s="7"/>
      <c r="F64" s="7"/>
      <c r="G64" s="7"/>
      <c r="H64" s="17" t="str">
        <f t="shared" si="2"/>
        <v/>
      </c>
    </row>
    <row r="65" spans="1:8" x14ac:dyDescent="0.3">
      <c r="A65" s="48"/>
      <c r="B65" s="7"/>
      <c r="C65" s="6"/>
      <c r="D65" s="7"/>
      <c r="E65" s="7"/>
      <c r="F65" s="7"/>
      <c r="G65" s="7"/>
      <c r="H65" s="17" t="str">
        <f t="shared" si="2"/>
        <v/>
      </c>
    </row>
    <row r="66" spans="1:8" x14ac:dyDescent="0.3">
      <c r="A66" s="48"/>
      <c r="B66" s="7"/>
      <c r="C66" s="6"/>
      <c r="D66" s="7"/>
      <c r="E66" s="7"/>
      <c r="F66" s="7"/>
      <c r="G66" s="7"/>
      <c r="H66" s="17" t="str">
        <f t="shared" si="2"/>
        <v/>
      </c>
    </row>
    <row r="67" spans="1:8" x14ac:dyDescent="0.3">
      <c r="A67" s="48"/>
      <c r="B67" s="7"/>
      <c r="C67" s="6"/>
      <c r="D67" s="7"/>
      <c r="E67" s="7"/>
      <c r="F67" s="7"/>
      <c r="G67" s="7"/>
      <c r="H67" s="17" t="str">
        <f t="shared" si="2"/>
        <v/>
      </c>
    </row>
    <row r="68" spans="1:8" x14ac:dyDescent="0.3">
      <c r="A68" s="48"/>
      <c r="B68" s="7"/>
      <c r="C68" s="6"/>
      <c r="D68" s="7"/>
      <c r="E68" s="7"/>
      <c r="F68" s="7"/>
      <c r="G68" s="7"/>
      <c r="H68" s="17" t="str">
        <f t="shared" si="2"/>
        <v/>
      </c>
    </row>
    <row r="69" spans="1:8" x14ac:dyDescent="0.3">
      <c r="A69" s="48"/>
      <c r="B69" s="7"/>
      <c r="C69" s="6"/>
      <c r="D69" s="7"/>
      <c r="E69" s="7"/>
      <c r="F69" s="7"/>
      <c r="G69" s="7"/>
      <c r="H69" s="17" t="str">
        <f t="shared" si="2"/>
        <v/>
      </c>
    </row>
    <row r="70" spans="1:8" x14ac:dyDescent="0.3">
      <c r="A70" s="48"/>
      <c r="B70" s="7"/>
      <c r="C70" s="6"/>
      <c r="D70" s="7"/>
      <c r="E70" s="7"/>
      <c r="F70" s="7"/>
      <c r="G70" s="7"/>
      <c r="H70" s="17" t="str">
        <f t="shared" si="2"/>
        <v/>
      </c>
    </row>
    <row r="71" spans="1:8" x14ac:dyDescent="0.3">
      <c r="A71" s="48"/>
      <c r="B71" s="7"/>
      <c r="C71" s="6"/>
      <c r="D71" s="7"/>
      <c r="E71" s="7"/>
      <c r="F71" s="7"/>
      <c r="G71" s="7"/>
      <c r="H71" s="17" t="str">
        <f t="shared" si="2"/>
        <v/>
      </c>
    </row>
    <row r="72" spans="1:8" x14ac:dyDescent="0.3">
      <c r="A72" s="48"/>
      <c r="B72" s="7"/>
      <c r="C72" s="6"/>
      <c r="D72" s="7"/>
      <c r="E72" s="7"/>
      <c r="F72" s="7"/>
      <c r="G72" s="7"/>
      <c r="H72" s="17" t="str">
        <f t="shared" si="2"/>
        <v/>
      </c>
    </row>
    <row r="73" spans="1:8" x14ac:dyDescent="0.3">
      <c r="A73" s="48"/>
      <c r="B73" s="7"/>
      <c r="C73" s="6"/>
      <c r="D73" s="7"/>
      <c r="E73" s="7"/>
      <c r="F73" s="7"/>
      <c r="G73" s="7"/>
      <c r="H73" s="17" t="str">
        <f t="shared" si="2"/>
        <v/>
      </c>
    </row>
    <row r="74" spans="1:8" x14ac:dyDescent="0.3">
      <c r="A74" s="48"/>
      <c r="B74" s="7"/>
      <c r="C74" s="6"/>
      <c r="D74" s="7"/>
      <c r="E74" s="7"/>
      <c r="F74" s="7"/>
      <c r="G74" s="7"/>
      <c r="H74" s="17" t="str">
        <f t="shared" si="2"/>
        <v/>
      </c>
    </row>
    <row r="75" spans="1:8" x14ac:dyDescent="0.3">
      <c r="A75" s="48"/>
      <c r="B75" s="7"/>
      <c r="C75" s="6"/>
      <c r="D75" s="7"/>
      <c r="E75" s="7"/>
      <c r="F75" s="7"/>
      <c r="G75" s="7"/>
      <c r="H75" s="17" t="str">
        <f t="shared" si="2"/>
        <v/>
      </c>
    </row>
    <row r="76" spans="1:8" x14ac:dyDescent="0.3">
      <c r="A76" s="48"/>
      <c r="B76" s="7"/>
      <c r="C76" s="6"/>
      <c r="D76" s="7"/>
      <c r="E76" s="7"/>
      <c r="F76" s="7"/>
      <c r="G76" s="7"/>
      <c r="H76" s="17" t="str">
        <f t="shared" si="2"/>
        <v/>
      </c>
    </row>
    <row r="77" spans="1:8" x14ac:dyDescent="0.3">
      <c r="A77" s="48"/>
      <c r="B77" s="7"/>
      <c r="C77" s="6"/>
      <c r="D77" s="7"/>
      <c r="E77" s="7"/>
      <c r="F77" s="7"/>
      <c r="G77" s="7"/>
      <c r="H77" s="17" t="str">
        <f t="shared" si="2"/>
        <v/>
      </c>
    </row>
    <row r="78" spans="1:8" x14ac:dyDescent="0.3">
      <c r="A78" s="48"/>
      <c r="B78" s="7"/>
      <c r="C78" s="6"/>
      <c r="D78" s="7"/>
      <c r="E78" s="7"/>
      <c r="F78" s="7"/>
      <c r="G78" s="7"/>
      <c r="H78" s="17" t="str">
        <f t="shared" si="2"/>
        <v/>
      </c>
    </row>
    <row r="79" spans="1:8" x14ac:dyDescent="0.3">
      <c r="A79" s="48"/>
      <c r="B79" s="7"/>
      <c r="C79" s="6"/>
      <c r="D79" s="7"/>
      <c r="E79" s="7"/>
      <c r="F79" s="7"/>
      <c r="G79" s="7"/>
      <c r="H79" s="17" t="str">
        <f t="shared" si="2"/>
        <v/>
      </c>
    </row>
    <row r="80" spans="1:8" x14ac:dyDescent="0.3">
      <c r="A80" s="48"/>
      <c r="B80" s="7"/>
      <c r="C80" s="6"/>
      <c r="D80" s="7"/>
      <c r="E80" s="7"/>
      <c r="F80" s="7"/>
      <c r="G80" s="7"/>
      <c r="H80" s="17" t="str">
        <f t="shared" si="2"/>
        <v/>
      </c>
    </row>
    <row r="81" spans="1:8" x14ac:dyDescent="0.3">
      <c r="A81" s="48"/>
      <c r="B81" s="7"/>
      <c r="C81" s="6"/>
      <c r="D81" s="7"/>
      <c r="E81" s="7"/>
      <c r="F81" s="7"/>
      <c r="G81" s="7"/>
      <c r="H81" s="17" t="str">
        <f t="shared" si="2"/>
        <v/>
      </c>
    </row>
    <row r="82" spans="1:8" x14ac:dyDescent="0.3">
      <c r="A82" s="48"/>
      <c r="B82" s="7"/>
      <c r="C82" s="6"/>
      <c r="D82" s="7"/>
      <c r="E82" s="7"/>
      <c r="F82" s="7"/>
      <c r="G82" s="7"/>
      <c r="H82" s="17" t="str">
        <f t="shared" si="2"/>
        <v/>
      </c>
    </row>
    <row r="83" spans="1:8" x14ac:dyDescent="0.3">
      <c r="A83" s="48"/>
      <c r="B83" s="7"/>
      <c r="C83" s="6"/>
      <c r="D83" s="7"/>
      <c r="E83" s="7"/>
      <c r="F83" s="7"/>
      <c r="G83" s="7"/>
      <c r="H83" s="17" t="str">
        <f t="shared" si="2"/>
        <v/>
      </c>
    </row>
    <row r="84" spans="1:8" x14ac:dyDescent="0.3">
      <c r="A84" s="48"/>
      <c r="B84" s="7"/>
      <c r="C84" s="6"/>
      <c r="D84" s="7"/>
      <c r="E84" s="7"/>
      <c r="F84" s="7"/>
      <c r="G84" s="7"/>
      <c r="H84" s="17" t="str">
        <f t="shared" si="2"/>
        <v/>
      </c>
    </row>
    <row r="85" spans="1:8" x14ac:dyDescent="0.3">
      <c r="A85" s="48"/>
      <c r="B85" s="7"/>
      <c r="C85" s="6"/>
      <c r="D85" s="7"/>
      <c r="E85" s="7"/>
      <c r="F85" s="7"/>
      <c r="G85" s="7"/>
      <c r="H85" s="17" t="str">
        <f t="shared" si="2"/>
        <v/>
      </c>
    </row>
    <row r="86" spans="1:8" x14ac:dyDescent="0.3">
      <c r="A86" s="48"/>
      <c r="B86" s="7"/>
      <c r="C86" s="6"/>
      <c r="D86" s="7"/>
      <c r="E86" s="7"/>
      <c r="F86" s="7"/>
      <c r="G86" s="7"/>
      <c r="H86" s="17" t="str">
        <f t="shared" si="2"/>
        <v/>
      </c>
    </row>
    <row r="87" spans="1:8" x14ac:dyDescent="0.3">
      <c r="A87" s="48"/>
      <c r="B87" s="7"/>
      <c r="C87" s="6"/>
      <c r="D87" s="7"/>
      <c r="E87" s="7"/>
      <c r="F87" s="7"/>
      <c r="G87" s="7"/>
      <c r="H87" s="17" t="str">
        <f t="shared" si="2"/>
        <v/>
      </c>
    </row>
    <row r="88" spans="1:8" x14ac:dyDescent="0.3">
      <c r="A88" s="48"/>
      <c r="B88" s="7"/>
      <c r="C88" s="6"/>
      <c r="D88" s="7"/>
      <c r="E88" s="7"/>
      <c r="F88" s="7"/>
      <c r="G88" s="7"/>
      <c r="H88" s="17" t="str">
        <f t="shared" si="2"/>
        <v/>
      </c>
    </row>
    <row r="89" spans="1:8" x14ac:dyDescent="0.3">
      <c r="A89" s="48"/>
      <c r="B89" s="7"/>
      <c r="C89" s="6"/>
      <c r="D89" s="7"/>
      <c r="E89" s="7"/>
      <c r="F89" s="7"/>
      <c r="G89" s="7"/>
      <c r="H89" s="17" t="str">
        <f t="shared" si="2"/>
        <v/>
      </c>
    </row>
    <row r="90" spans="1:8" x14ac:dyDescent="0.3">
      <c r="A90" s="48"/>
      <c r="B90" s="7"/>
      <c r="C90" s="6"/>
      <c r="D90" s="7"/>
      <c r="E90" s="7"/>
      <c r="F90" s="7"/>
      <c r="G90" s="7"/>
      <c r="H90" s="17" t="str">
        <f t="shared" si="2"/>
        <v/>
      </c>
    </row>
    <row r="91" spans="1:8" x14ac:dyDescent="0.3">
      <c r="A91" s="48"/>
      <c r="B91" s="7"/>
      <c r="C91" s="6"/>
      <c r="D91" s="7"/>
      <c r="E91" s="7"/>
      <c r="F91" s="7"/>
      <c r="G91" s="7"/>
      <c r="H91" s="17" t="str">
        <f t="shared" si="2"/>
        <v/>
      </c>
    </row>
    <row r="92" spans="1:8" x14ac:dyDescent="0.3">
      <c r="A92" s="48"/>
      <c r="B92" s="7"/>
      <c r="C92" s="6"/>
      <c r="D92" s="7"/>
      <c r="E92" s="7"/>
      <c r="F92" s="7"/>
      <c r="G92" s="7"/>
      <c r="H92" s="17" t="str">
        <f t="shared" si="2"/>
        <v/>
      </c>
    </row>
    <row r="93" spans="1:8" x14ac:dyDescent="0.3">
      <c r="A93" s="48"/>
      <c r="B93" s="7"/>
      <c r="C93" s="6"/>
      <c r="D93" s="7"/>
      <c r="E93" s="7"/>
      <c r="F93" s="7"/>
      <c r="G93" s="7"/>
      <c r="H93" s="17" t="str">
        <f t="shared" si="2"/>
        <v/>
      </c>
    </row>
    <row r="94" spans="1:8" x14ac:dyDescent="0.3">
      <c r="A94" s="48"/>
      <c r="B94" s="7"/>
      <c r="C94" s="6"/>
      <c r="D94" s="7"/>
      <c r="E94" s="7"/>
      <c r="F94" s="7"/>
      <c r="G94" s="7"/>
      <c r="H94" s="17" t="str">
        <f t="shared" si="2"/>
        <v/>
      </c>
    </row>
    <row r="95" spans="1:8" x14ac:dyDescent="0.3">
      <c r="A95" s="48"/>
      <c r="B95" s="7"/>
      <c r="C95" s="6"/>
      <c r="D95" s="7"/>
      <c r="E95" s="7"/>
      <c r="F95" s="7"/>
      <c r="G95" s="7"/>
      <c r="H95" s="17" t="str">
        <f t="shared" si="2"/>
        <v/>
      </c>
    </row>
    <row r="96" spans="1:8" x14ac:dyDescent="0.3">
      <c r="A96" s="48"/>
      <c r="B96" s="7"/>
      <c r="C96" s="6"/>
      <c r="D96" s="7"/>
      <c r="E96" s="7"/>
      <c r="F96" s="7"/>
      <c r="G96" s="7"/>
      <c r="H96" s="17" t="str">
        <f t="shared" si="2"/>
        <v/>
      </c>
    </row>
    <row r="97" spans="1:8" x14ac:dyDescent="0.3">
      <c r="A97" s="48"/>
      <c r="B97" s="7"/>
      <c r="C97" s="6"/>
      <c r="D97" s="7"/>
      <c r="E97" s="7"/>
      <c r="F97" s="7"/>
      <c r="G97" s="7"/>
      <c r="H97" s="17" t="str">
        <f t="shared" si="2"/>
        <v/>
      </c>
    </row>
    <row r="98" spans="1:8" x14ac:dyDescent="0.3">
      <c r="A98" s="48"/>
      <c r="B98" s="7"/>
      <c r="C98" s="6"/>
      <c r="D98" s="7"/>
      <c r="E98" s="7"/>
      <c r="F98" s="7"/>
      <c r="G98" s="7"/>
      <c r="H98" s="17" t="str">
        <f t="shared" si="2"/>
        <v/>
      </c>
    </row>
    <row r="99" spans="1:8" x14ac:dyDescent="0.3">
      <c r="A99" s="48"/>
      <c r="B99" s="7"/>
      <c r="C99" s="6"/>
      <c r="D99" s="7"/>
      <c r="E99" s="7"/>
      <c r="F99" s="7"/>
      <c r="G99" s="7"/>
      <c r="H99" s="17" t="str">
        <f t="shared" si="2"/>
        <v/>
      </c>
    </row>
    <row r="100" spans="1:8" x14ac:dyDescent="0.3">
      <c r="A100" s="48"/>
      <c r="B100" s="7"/>
      <c r="C100" s="6"/>
      <c r="D100" s="7"/>
      <c r="E100" s="7"/>
      <c r="F100" s="7"/>
      <c r="G100" s="7"/>
      <c r="H100" s="17" t="str">
        <f t="shared" si="2"/>
        <v/>
      </c>
    </row>
    <row r="101" spans="1:8" x14ac:dyDescent="0.3">
      <c r="A101" s="48"/>
      <c r="B101" s="7"/>
      <c r="C101" s="6"/>
      <c r="D101" s="7"/>
      <c r="E101" s="7"/>
      <c r="F101" s="7"/>
      <c r="G101" s="7"/>
      <c r="H101" s="17" t="str">
        <f t="shared" si="2"/>
        <v/>
      </c>
    </row>
    <row r="102" spans="1:8" x14ac:dyDescent="0.3">
      <c r="A102" s="48"/>
      <c r="B102" s="7"/>
      <c r="C102" s="6"/>
      <c r="D102" s="7"/>
      <c r="E102" s="7"/>
      <c r="F102" s="7"/>
      <c r="G102" s="7"/>
      <c r="H102" s="17" t="str">
        <f t="shared" si="2"/>
        <v/>
      </c>
    </row>
    <row r="103" spans="1:8" x14ac:dyDescent="0.3">
      <c r="A103" s="48"/>
      <c r="B103" s="7"/>
      <c r="C103" s="6"/>
      <c r="D103" s="7"/>
      <c r="E103" s="7"/>
      <c r="F103" s="7"/>
      <c r="G103" s="7"/>
      <c r="H103" s="17" t="str">
        <f t="shared" si="2"/>
        <v/>
      </c>
    </row>
    <row r="104" spans="1:8" x14ac:dyDescent="0.3">
      <c r="A104" s="48"/>
      <c r="B104" s="7"/>
      <c r="C104" s="6"/>
      <c r="D104" s="7"/>
      <c r="E104" s="7"/>
      <c r="F104" s="7"/>
      <c r="G104" s="7"/>
      <c r="H104" s="17" t="str">
        <f t="shared" si="2"/>
        <v/>
      </c>
    </row>
    <row r="105" spans="1:8" x14ac:dyDescent="0.3">
      <c r="A105" s="48"/>
      <c r="B105" s="7"/>
      <c r="C105" s="6"/>
      <c r="D105" s="7"/>
      <c r="E105" s="7"/>
      <c r="F105" s="7"/>
      <c r="G105" s="7"/>
      <c r="H105" s="17" t="str">
        <f t="shared" si="2"/>
        <v/>
      </c>
    </row>
    <row r="106" spans="1:8" x14ac:dyDescent="0.3">
      <c r="A106" s="48"/>
      <c r="B106" s="7"/>
      <c r="C106" s="6"/>
      <c r="D106" s="7"/>
      <c r="E106" s="7"/>
      <c r="F106" s="7"/>
      <c r="G106" s="7"/>
      <c r="H106" s="17" t="str">
        <f t="shared" si="2"/>
        <v/>
      </c>
    </row>
    <row r="107" spans="1:8" x14ac:dyDescent="0.3">
      <c r="A107" s="48"/>
      <c r="B107" s="7"/>
      <c r="C107" s="6"/>
      <c r="D107" s="7"/>
      <c r="E107" s="7"/>
      <c r="F107" s="7"/>
      <c r="G107" s="7"/>
      <c r="H107" s="17" t="str">
        <f t="shared" si="2"/>
        <v/>
      </c>
    </row>
    <row r="108" spans="1:8" x14ac:dyDescent="0.3">
      <c r="A108" s="48"/>
      <c r="B108" s="7"/>
      <c r="C108" s="6"/>
      <c r="D108" s="7"/>
      <c r="E108" s="7"/>
      <c r="F108" s="7"/>
      <c r="G108" s="7"/>
      <c r="H108" s="17" t="str">
        <f t="shared" si="2"/>
        <v/>
      </c>
    </row>
    <row r="109" spans="1:8" x14ac:dyDescent="0.3">
      <c r="A109" s="48"/>
      <c r="B109" s="7"/>
      <c r="C109" s="6"/>
      <c r="D109" s="7"/>
      <c r="E109" s="7"/>
      <c r="F109" s="7"/>
      <c r="G109" s="7"/>
      <c r="H109" s="17" t="str">
        <f t="shared" si="2"/>
        <v/>
      </c>
    </row>
    <row r="110" spans="1:8" x14ac:dyDescent="0.3">
      <c r="A110" s="48"/>
      <c r="B110" s="7"/>
      <c r="C110" s="6"/>
      <c r="D110" s="7"/>
      <c r="E110" s="7"/>
      <c r="F110" s="7"/>
      <c r="G110" s="7"/>
      <c r="H110" s="17" t="str">
        <f t="shared" si="2"/>
        <v/>
      </c>
    </row>
    <row r="111" spans="1:8" x14ac:dyDescent="0.3">
      <c r="A111" s="48"/>
      <c r="B111" s="7"/>
      <c r="C111" s="6"/>
      <c r="D111" s="7"/>
      <c r="E111" s="7"/>
      <c r="F111" s="7"/>
      <c r="G111" s="7"/>
      <c r="H111" s="17" t="str">
        <f t="shared" si="2"/>
        <v/>
      </c>
    </row>
    <row r="112" spans="1:8" x14ac:dyDescent="0.3">
      <c r="A112" s="48"/>
      <c r="B112" s="7"/>
      <c r="C112" s="6"/>
      <c r="D112" s="7"/>
      <c r="E112" s="7"/>
      <c r="F112" s="7"/>
      <c r="G112" s="7"/>
      <c r="H112" s="17" t="str">
        <f t="shared" si="2"/>
        <v/>
      </c>
    </row>
    <row r="113" spans="1:8" x14ac:dyDescent="0.3">
      <c r="A113" s="48"/>
      <c r="B113" s="7"/>
      <c r="C113" s="6"/>
      <c r="D113" s="7"/>
      <c r="E113" s="7"/>
      <c r="F113" s="7"/>
      <c r="G113" s="7"/>
      <c r="H113" s="17" t="str">
        <f t="shared" si="2"/>
        <v/>
      </c>
    </row>
    <row r="114" spans="1:8" x14ac:dyDescent="0.3">
      <c r="A114" s="48"/>
      <c r="B114" s="7"/>
      <c r="C114" s="6"/>
      <c r="D114" s="7"/>
      <c r="E114" s="7"/>
      <c r="F114" s="7"/>
      <c r="G114" s="7"/>
      <c r="H114" s="17" t="str">
        <f t="shared" si="2"/>
        <v/>
      </c>
    </row>
    <row r="115" spans="1:8" x14ac:dyDescent="0.3">
      <c r="A115" s="48"/>
      <c r="B115" s="7"/>
      <c r="C115" s="6"/>
      <c r="D115" s="7"/>
      <c r="E115" s="7"/>
      <c r="F115" s="7"/>
      <c r="G115" s="7"/>
      <c r="H115" s="17" t="str">
        <f t="shared" si="2"/>
        <v/>
      </c>
    </row>
    <row r="116" spans="1:8" x14ac:dyDescent="0.3">
      <c r="A116" s="48"/>
      <c r="B116" s="7"/>
      <c r="C116" s="6"/>
      <c r="D116" s="7"/>
      <c r="E116" s="7"/>
      <c r="F116" s="7"/>
      <c r="G116" s="7"/>
      <c r="H116" s="17" t="str">
        <f t="shared" si="2"/>
        <v/>
      </c>
    </row>
    <row r="117" spans="1:8" x14ac:dyDescent="0.3">
      <c r="A117" s="48"/>
      <c r="B117" s="7"/>
      <c r="C117" s="6"/>
      <c r="D117" s="7"/>
      <c r="E117" s="7"/>
      <c r="F117" s="7"/>
      <c r="G117" s="7"/>
      <c r="H117" s="17" t="str">
        <f t="shared" si="2"/>
        <v/>
      </c>
    </row>
    <row r="118" spans="1:8" x14ac:dyDescent="0.3">
      <c r="A118" s="48"/>
      <c r="B118" s="7"/>
      <c r="C118" s="6"/>
      <c r="D118" s="7"/>
      <c r="E118" s="7"/>
      <c r="F118" s="7"/>
      <c r="G118" s="7"/>
      <c r="H118" s="17" t="str">
        <f t="shared" si="2"/>
        <v/>
      </c>
    </row>
    <row r="119" spans="1:8" x14ac:dyDescent="0.3">
      <c r="A119" s="48"/>
      <c r="B119" s="7"/>
      <c r="C119" s="6"/>
      <c r="D119" s="7"/>
      <c r="E119" s="7"/>
      <c r="F119" s="7"/>
      <c r="G119" s="7"/>
      <c r="H119" s="17" t="str">
        <f t="shared" si="2"/>
        <v/>
      </c>
    </row>
    <row r="120" spans="1:8" x14ac:dyDescent="0.3">
      <c r="A120" s="48"/>
      <c r="B120" s="7"/>
      <c r="C120" s="6"/>
      <c r="D120" s="7"/>
      <c r="E120" s="7"/>
      <c r="F120" s="7"/>
      <c r="G120" s="7"/>
      <c r="H120" s="17" t="str">
        <f t="shared" ref="H120:H183" si="3">IF(A120="","",IF(A120&gt;=46232,TEXT(DATE(YEAR(A120),MONTH(A120)+1,1),"mmmm yyyy"),TEXT(DATE(YEAR(A120),MONTH(A120),1),"mmmm yyyy")))</f>
        <v/>
      </c>
    </row>
    <row r="121" spans="1:8" x14ac:dyDescent="0.3">
      <c r="A121" s="48"/>
      <c r="B121" s="7"/>
      <c r="C121" s="6"/>
      <c r="D121" s="7"/>
      <c r="E121" s="7"/>
      <c r="F121" s="7"/>
      <c r="G121" s="7"/>
      <c r="H121" s="17" t="str">
        <f t="shared" si="3"/>
        <v/>
      </c>
    </row>
    <row r="122" spans="1:8" x14ac:dyDescent="0.3">
      <c r="A122" s="48"/>
      <c r="B122" s="7"/>
      <c r="C122" s="6"/>
      <c r="D122" s="7"/>
      <c r="E122" s="7"/>
      <c r="F122" s="7"/>
      <c r="G122" s="7"/>
      <c r="H122" s="17" t="str">
        <f t="shared" si="3"/>
        <v/>
      </c>
    </row>
    <row r="123" spans="1:8" x14ac:dyDescent="0.3">
      <c r="A123" s="48"/>
      <c r="B123" s="7"/>
      <c r="C123" s="6"/>
      <c r="D123" s="7"/>
      <c r="E123" s="7"/>
      <c r="F123" s="7"/>
      <c r="G123" s="7"/>
      <c r="H123" s="17" t="str">
        <f t="shared" si="3"/>
        <v/>
      </c>
    </row>
    <row r="124" spans="1:8" x14ac:dyDescent="0.3">
      <c r="A124" s="48"/>
      <c r="B124" s="7"/>
      <c r="C124" s="6"/>
      <c r="D124" s="7"/>
      <c r="E124" s="7"/>
      <c r="F124" s="7"/>
      <c r="G124" s="7"/>
      <c r="H124" s="17" t="str">
        <f t="shared" si="3"/>
        <v/>
      </c>
    </row>
    <row r="125" spans="1:8" x14ac:dyDescent="0.3">
      <c r="A125" s="48"/>
      <c r="B125" s="7"/>
      <c r="C125" s="6"/>
      <c r="D125" s="7"/>
      <c r="E125" s="7"/>
      <c r="F125" s="7"/>
      <c r="G125" s="7"/>
      <c r="H125" s="17" t="str">
        <f t="shared" si="3"/>
        <v/>
      </c>
    </row>
    <row r="126" spans="1:8" x14ac:dyDescent="0.3">
      <c r="A126" s="48"/>
      <c r="B126" s="7"/>
      <c r="C126" s="6"/>
      <c r="D126" s="7"/>
      <c r="E126" s="7"/>
      <c r="F126" s="7"/>
      <c r="G126" s="7"/>
      <c r="H126" s="17" t="str">
        <f t="shared" si="3"/>
        <v/>
      </c>
    </row>
    <row r="127" spans="1:8" x14ac:dyDescent="0.3">
      <c r="A127" s="48"/>
      <c r="B127" s="7"/>
      <c r="C127" s="6"/>
      <c r="D127" s="7"/>
      <c r="E127" s="7"/>
      <c r="F127" s="7"/>
      <c r="G127" s="7"/>
      <c r="H127" s="17" t="str">
        <f t="shared" si="3"/>
        <v/>
      </c>
    </row>
    <row r="128" spans="1:8" x14ac:dyDescent="0.3">
      <c r="A128" s="48"/>
      <c r="B128" s="7"/>
      <c r="C128" s="6"/>
      <c r="D128" s="7"/>
      <c r="E128" s="7"/>
      <c r="F128" s="7"/>
      <c r="G128" s="7"/>
      <c r="H128" s="17" t="str">
        <f t="shared" si="3"/>
        <v/>
      </c>
    </row>
    <row r="129" spans="1:8" x14ac:dyDescent="0.3">
      <c r="A129" s="48"/>
      <c r="B129" s="7"/>
      <c r="C129" s="6"/>
      <c r="D129" s="7"/>
      <c r="E129" s="7"/>
      <c r="F129" s="7"/>
      <c r="G129" s="7"/>
      <c r="H129" s="17" t="str">
        <f t="shared" si="3"/>
        <v/>
      </c>
    </row>
    <row r="130" spans="1:8" x14ac:dyDescent="0.3">
      <c r="A130" s="48"/>
      <c r="B130" s="7"/>
      <c r="C130" s="6"/>
      <c r="D130" s="7"/>
      <c r="E130" s="7"/>
      <c r="F130" s="7"/>
      <c r="G130" s="7"/>
      <c r="H130" s="17" t="str">
        <f t="shared" si="3"/>
        <v/>
      </c>
    </row>
    <row r="131" spans="1:8" x14ac:dyDescent="0.3">
      <c r="A131" s="48"/>
      <c r="B131" s="7"/>
      <c r="C131" s="6"/>
      <c r="D131" s="7"/>
      <c r="E131" s="7"/>
      <c r="F131" s="7"/>
      <c r="G131" s="7"/>
      <c r="H131" s="17" t="str">
        <f t="shared" si="3"/>
        <v/>
      </c>
    </row>
    <row r="132" spans="1:8" x14ac:dyDescent="0.3">
      <c r="A132" s="48"/>
      <c r="B132" s="7"/>
      <c r="C132" s="6"/>
      <c r="D132" s="7"/>
      <c r="E132" s="7"/>
      <c r="F132" s="7"/>
      <c r="G132" s="7"/>
      <c r="H132" s="17" t="str">
        <f t="shared" si="3"/>
        <v/>
      </c>
    </row>
    <row r="133" spans="1:8" x14ac:dyDescent="0.3">
      <c r="A133" s="48"/>
      <c r="B133" s="7"/>
      <c r="C133" s="6"/>
      <c r="D133" s="7"/>
      <c r="E133" s="7"/>
      <c r="F133" s="7"/>
      <c r="G133" s="7"/>
      <c r="H133" s="17" t="str">
        <f t="shared" si="3"/>
        <v/>
      </c>
    </row>
    <row r="134" spans="1:8" x14ac:dyDescent="0.3">
      <c r="A134" s="48"/>
      <c r="B134" s="7"/>
      <c r="C134" s="6"/>
      <c r="D134" s="7"/>
      <c r="E134" s="7"/>
      <c r="F134" s="7"/>
      <c r="G134" s="7"/>
      <c r="H134" s="17" t="str">
        <f t="shared" si="3"/>
        <v/>
      </c>
    </row>
    <row r="135" spans="1:8" x14ac:dyDescent="0.3">
      <c r="A135" s="48"/>
      <c r="B135" s="7"/>
      <c r="C135" s="6"/>
      <c r="D135" s="7"/>
      <c r="E135" s="7"/>
      <c r="F135" s="7"/>
      <c r="G135" s="7"/>
      <c r="H135" s="17" t="str">
        <f t="shared" si="3"/>
        <v/>
      </c>
    </row>
    <row r="136" spans="1:8" x14ac:dyDescent="0.3">
      <c r="A136" s="48"/>
      <c r="B136" s="7"/>
      <c r="C136" s="6"/>
      <c r="D136" s="7"/>
      <c r="E136" s="7"/>
      <c r="F136" s="7"/>
      <c r="G136" s="7"/>
      <c r="H136" s="17" t="str">
        <f t="shared" si="3"/>
        <v/>
      </c>
    </row>
    <row r="137" spans="1:8" x14ac:dyDescent="0.3">
      <c r="A137" s="48"/>
      <c r="B137" s="7"/>
      <c r="C137" s="6"/>
      <c r="D137" s="7"/>
      <c r="E137" s="7"/>
      <c r="F137" s="7"/>
      <c r="G137" s="7"/>
      <c r="H137" s="17" t="str">
        <f t="shared" si="3"/>
        <v/>
      </c>
    </row>
    <row r="138" spans="1:8" x14ac:dyDescent="0.3">
      <c r="A138" s="48"/>
      <c r="B138" s="7"/>
      <c r="C138" s="6"/>
      <c r="D138" s="7"/>
      <c r="E138" s="7"/>
      <c r="F138" s="7"/>
      <c r="G138" s="7"/>
      <c r="H138" s="17" t="str">
        <f t="shared" si="3"/>
        <v/>
      </c>
    </row>
    <row r="139" spans="1:8" x14ac:dyDescent="0.3">
      <c r="A139" s="48"/>
      <c r="B139" s="7"/>
      <c r="C139" s="6"/>
      <c r="D139" s="7"/>
      <c r="E139" s="7"/>
      <c r="F139" s="7"/>
      <c r="G139" s="7"/>
      <c r="H139" s="17" t="str">
        <f t="shared" si="3"/>
        <v/>
      </c>
    </row>
    <row r="140" spans="1:8" x14ac:dyDescent="0.3">
      <c r="A140" s="48"/>
      <c r="B140" s="7"/>
      <c r="C140" s="6"/>
      <c r="D140" s="7"/>
      <c r="E140" s="7"/>
      <c r="F140" s="7"/>
      <c r="G140" s="7"/>
      <c r="H140" s="17" t="str">
        <f t="shared" si="3"/>
        <v/>
      </c>
    </row>
    <row r="141" spans="1:8" x14ac:dyDescent="0.3">
      <c r="A141" s="48"/>
      <c r="B141" s="7"/>
      <c r="C141" s="6"/>
      <c r="D141" s="7"/>
      <c r="E141" s="7"/>
      <c r="F141" s="7"/>
      <c r="G141" s="7"/>
      <c r="H141" s="17" t="str">
        <f t="shared" si="3"/>
        <v/>
      </c>
    </row>
    <row r="142" spans="1:8" x14ac:dyDescent="0.3">
      <c r="A142" s="48"/>
      <c r="B142" s="7"/>
      <c r="C142" s="6"/>
      <c r="D142" s="7"/>
      <c r="E142" s="7"/>
      <c r="F142" s="7"/>
      <c r="G142" s="7"/>
      <c r="H142" s="17" t="str">
        <f t="shared" si="3"/>
        <v/>
      </c>
    </row>
    <row r="143" spans="1:8" x14ac:dyDescent="0.3">
      <c r="A143" s="48"/>
      <c r="B143" s="7"/>
      <c r="C143" s="6"/>
      <c r="D143" s="7"/>
      <c r="E143" s="7"/>
      <c r="F143" s="7"/>
      <c r="G143" s="7"/>
      <c r="H143" s="17" t="str">
        <f t="shared" si="3"/>
        <v/>
      </c>
    </row>
    <row r="144" spans="1:8" x14ac:dyDescent="0.3">
      <c r="A144" s="48"/>
      <c r="B144" s="7"/>
      <c r="C144" s="6"/>
      <c r="D144" s="7"/>
      <c r="E144" s="7"/>
      <c r="F144" s="7"/>
      <c r="G144" s="7"/>
      <c r="H144" s="17" t="str">
        <f t="shared" si="3"/>
        <v/>
      </c>
    </row>
    <row r="145" spans="1:8" x14ac:dyDescent="0.3">
      <c r="A145" s="48"/>
      <c r="B145" s="7"/>
      <c r="C145" s="6"/>
      <c r="D145" s="7"/>
      <c r="E145" s="7"/>
      <c r="F145" s="7"/>
      <c r="G145" s="7"/>
      <c r="H145" s="17" t="str">
        <f t="shared" si="3"/>
        <v/>
      </c>
    </row>
    <row r="146" spans="1:8" x14ac:dyDescent="0.3">
      <c r="A146" s="48"/>
      <c r="B146" s="7"/>
      <c r="C146" s="6"/>
      <c r="D146" s="7"/>
      <c r="E146" s="7"/>
      <c r="F146" s="7"/>
      <c r="G146" s="7"/>
      <c r="H146" s="17" t="str">
        <f t="shared" si="3"/>
        <v/>
      </c>
    </row>
    <row r="147" spans="1:8" x14ac:dyDescent="0.3">
      <c r="A147" s="48"/>
      <c r="B147" s="7"/>
      <c r="C147" s="6"/>
      <c r="D147" s="7"/>
      <c r="E147" s="7"/>
      <c r="F147" s="7"/>
      <c r="G147" s="7"/>
      <c r="H147" s="17" t="str">
        <f t="shared" si="3"/>
        <v/>
      </c>
    </row>
    <row r="148" spans="1:8" x14ac:dyDescent="0.3">
      <c r="A148" s="48"/>
      <c r="B148" s="7"/>
      <c r="C148" s="6"/>
      <c r="D148" s="7"/>
      <c r="E148" s="7"/>
      <c r="F148" s="7"/>
      <c r="G148" s="7"/>
      <c r="H148" s="17" t="str">
        <f t="shared" si="3"/>
        <v/>
      </c>
    </row>
    <row r="149" spans="1:8" x14ac:dyDescent="0.3">
      <c r="A149" s="48"/>
      <c r="B149" s="7"/>
      <c r="C149" s="6"/>
      <c r="D149" s="7"/>
      <c r="E149" s="7"/>
      <c r="F149" s="7"/>
      <c r="G149" s="7"/>
      <c r="H149" s="17" t="str">
        <f t="shared" si="3"/>
        <v/>
      </c>
    </row>
    <row r="150" spans="1:8" x14ac:dyDescent="0.3">
      <c r="A150" s="48"/>
      <c r="B150" s="7"/>
      <c r="C150" s="6"/>
      <c r="D150" s="7"/>
      <c r="E150" s="7"/>
      <c r="F150" s="7"/>
      <c r="G150" s="7"/>
      <c r="H150" s="17" t="str">
        <f t="shared" si="3"/>
        <v/>
      </c>
    </row>
    <row r="151" spans="1:8" x14ac:dyDescent="0.3">
      <c r="A151" s="48"/>
      <c r="B151" s="7"/>
      <c r="C151" s="6"/>
      <c r="D151" s="7"/>
      <c r="E151" s="7"/>
      <c r="F151" s="7"/>
      <c r="G151" s="7"/>
      <c r="H151" s="17" t="str">
        <f t="shared" si="3"/>
        <v/>
      </c>
    </row>
    <row r="152" spans="1:8" x14ac:dyDescent="0.3">
      <c r="A152" s="48"/>
      <c r="B152" s="7"/>
      <c r="C152" s="6"/>
      <c r="D152" s="7"/>
      <c r="E152" s="7"/>
      <c r="F152" s="7"/>
      <c r="G152" s="7"/>
      <c r="H152" s="17" t="str">
        <f t="shared" si="3"/>
        <v/>
      </c>
    </row>
    <row r="153" spans="1:8" x14ac:dyDescent="0.3">
      <c r="A153" s="48"/>
      <c r="B153" s="7"/>
      <c r="C153" s="6"/>
      <c r="D153" s="7"/>
      <c r="E153" s="7"/>
      <c r="F153" s="7"/>
      <c r="G153" s="7"/>
      <c r="H153" s="17" t="str">
        <f t="shared" si="3"/>
        <v/>
      </c>
    </row>
    <row r="154" spans="1:8" x14ac:dyDescent="0.3">
      <c r="A154" s="48"/>
      <c r="B154" s="7"/>
      <c r="C154" s="6"/>
      <c r="D154" s="7"/>
      <c r="E154" s="7"/>
      <c r="F154" s="7"/>
      <c r="G154" s="7"/>
      <c r="H154" s="17" t="str">
        <f t="shared" si="3"/>
        <v/>
      </c>
    </row>
    <row r="155" spans="1:8" x14ac:dyDescent="0.3">
      <c r="A155" s="48"/>
      <c r="B155" s="7"/>
      <c r="C155" s="6"/>
      <c r="D155" s="7"/>
      <c r="E155" s="7"/>
      <c r="F155" s="7"/>
      <c r="G155" s="7"/>
      <c r="H155" s="17" t="str">
        <f t="shared" si="3"/>
        <v/>
      </c>
    </row>
    <row r="156" spans="1:8" x14ac:dyDescent="0.3">
      <c r="A156" s="48"/>
      <c r="B156" s="7"/>
      <c r="C156" s="6"/>
      <c r="D156" s="7"/>
      <c r="E156" s="7"/>
      <c r="F156" s="7"/>
      <c r="G156" s="7"/>
      <c r="H156" s="17" t="str">
        <f t="shared" si="3"/>
        <v/>
      </c>
    </row>
    <row r="157" spans="1:8" x14ac:dyDescent="0.3">
      <c r="A157" s="48"/>
      <c r="B157" s="7"/>
      <c r="C157" s="6"/>
      <c r="D157" s="7"/>
      <c r="E157" s="7"/>
      <c r="F157" s="7"/>
      <c r="G157" s="7"/>
      <c r="H157" s="17" t="str">
        <f t="shared" si="3"/>
        <v/>
      </c>
    </row>
    <row r="158" spans="1:8" x14ac:dyDescent="0.3">
      <c r="A158" s="48"/>
      <c r="B158" s="7"/>
      <c r="C158" s="6"/>
      <c r="D158" s="7"/>
      <c r="E158" s="7"/>
      <c r="F158" s="7"/>
      <c r="G158" s="7"/>
      <c r="H158" s="17" t="str">
        <f t="shared" si="3"/>
        <v/>
      </c>
    </row>
    <row r="159" spans="1:8" x14ac:dyDescent="0.3">
      <c r="A159" s="48"/>
      <c r="B159" s="7"/>
      <c r="C159" s="6"/>
      <c r="D159" s="7"/>
      <c r="E159" s="7"/>
      <c r="F159" s="7"/>
      <c r="G159" s="7"/>
      <c r="H159" s="17" t="str">
        <f t="shared" si="3"/>
        <v/>
      </c>
    </row>
    <row r="160" spans="1:8" x14ac:dyDescent="0.3">
      <c r="A160" s="48"/>
      <c r="B160" s="7"/>
      <c r="C160" s="6"/>
      <c r="D160" s="7"/>
      <c r="E160" s="7"/>
      <c r="F160" s="7"/>
      <c r="G160" s="7"/>
      <c r="H160" s="17" t="str">
        <f t="shared" si="3"/>
        <v/>
      </c>
    </row>
    <row r="161" spans="1:8" x14ac:dyDescent="0.3">
      <c r="A161" s="48"/>
      <c r="B161" s="7"/>
      <c r="C161" s="6"/>
      <c r="D161" s="7"/>
      <c r="E161" s="7"/>
      <c r="F161" s="7"/>
      <c r="G161" s="7"/>
      <c r="H161" s="17" t="str">
        <f t="shared" si="3"/>
        <v/>
      </c>
    </row>
    <row r="162" spans="1:8" x14ac:dyDescent="0.3">
      <c r="A162" s="48"/>
      <c r="B162" s="7"/>
      <c r="C162" s="6"/>
      <c r="D162" s="7"/>
      <c r="E162" s="7"/>
      <c r="F162" s="7"/>
      <c r="G162" s="7"/>
      <c r="H162" s="17" t="str">
        <f t="shared" si="3"/>
        <v/>
      </c>
    </row>
    <row r="163" spans="1:8" x14ac:dyDescent="0.3">
      <c r="A163" s="48"/>
      <c r="B163" s="7"/>
      <c r="C163" s="6"/>
      <c r="D163" s="7"/>
      <c r="E163" s="7"/>
      <c r="F163" s="7"/>
      <c r="G163" s="7"/>
      <c r="H163" s="17" t="str">
        <f t="shared" si="3"/>
        <v/>
      </c>
    </row>
    <row r="164" spans="1:8" x14ac:dyDescent="0.3">
      <c r="A164" s="48"/>
      <c r="B164" s="7"/>
      <c r="C164" s="6"/>
      <c r="D164" s="7"/>
      <c r="E164" s="7"/>
      <c r="F164" s="7"/>
      <c r="G164" s="7"/>
      <c r="H164" s="17" t="str">
        <f t="shared" si="3"/>
        <v/>
      </c>
    </row>
    <row r="165" spans="1:8" x14ac:dyDescent="0.3">
      <c r="A165" s="48"/>
      <c r="B165" s="7"/>
      <c r="C165" s="6"/>
      <c r="D165" s="7"/>
      <c r="E165" s="7"/>
      <c r="F165" s="7"/>
      <c r="G165" s="7"/>
      <c r="H165" s="17" t="str">
        <f t="shared" si="3"/>
        <v/>
      </c>
    </row>
    <row r="166" spans="1:8" x14ac:dyDescent="0.3">
      <c r="A166" s="48"/>
      <c r="B166" s="7"/>
      <c r="C166" s="6"/>
      <c r="D166" s="7"/>
      <c r="E166" s="7"/>
      <c r="F166" s="7"/>
      <c r="G166" s="7"/>
      <c r="H166" s="17" t="str">
        <f t="shared" si="3"/>
        <v/>
      </c>
    </row>
    <row r="167" spans="1:8" x14ac:dyDescent="0.3">
      <c r="A167" s="48"/>
      <c r="B167" s="7"/>
      <c r="C167" s="6"/>
      <c r="D167" s="7"/>
      <c r="E167" s="7"/>
      <c r="F167" s="7"/>
      <c r="G167" s="7"/>
      <c r="H167" s="17" t="str">
        <f t="shared" si="3"/>
        <v/>
      </c>
    </row>
    <row r="168" spans="1:8" x14ac:dyDescent="0.3">
      <c r="A168" s="48"/>
      <c r="B168" s="7"/>
      <c r="C168" s="6"/>
      <c r="D168" s="7"/>
      <c r="E168" s="7"/>
      <c r="F168" s="7"/>
      <c r="G168" s="7"/>
      <c r="H168" s="17" t="str">
        <f t="shared" si="3"/>
        <v/>
      </c>
    </row>
    <row r="169" spans="1:8" x14ac:dyDescent="0.3">
      <c r="A169" s="48"/>
      <c r="B169" s="7"/>
      <c r="C169" s="6"/>
      <c r="D169" s="7"/>
      <c r="E169" s="7"/>
      <c r="F169" s="7"/>
      <c r="G169" s="7"/>
      <c r="H169" s="17" t="str">
        <f t="shared" si="3"/>
        <v/>
      </c>
    </row>
    <row r="170" spans="1:8" x14ac:dyDescent="0.3">
      <c r="A170" s="48"/>
      <c r="B170" s="7"/>
      <c r="C170" s="6"/>
      <c r="D170" s="7"/>
      <c r="E170" s="7"/>
      <c r="F170" s="7"/>
      <c r="G170" s="7"/>
      <c r="H170" s="17" t="str">
        <f t="shared" si="3"/>
        <v/>
      </c>
    </row>
    <row r="171" spans="1:8" x14ac:dyDescent="0.3">
      <c r="A171" s="48"/>
      <c r="B171" s="7"/>
      <c r="C171" s="6"/>
      <c r="D171" s="7"/>
      <c r="E171" s="7"/>
      <c r="F171" s="7"/>
      <c r="G171" s="7"/>
      <c r="H171" s="17" t="str">
        <f t="shared" si="3"/>
        <v/>
      </c>
    </row>
    <row r="172" spans="1:8" x14ac:dyDescent="0.3">
      <c r="A172" s="48"/>
      <c r="B172" s="7"/>
      <c r="C172" s="6"/>
      <c r="D172" s="7"/>
      <c r="E172" s="7"/>
      <c r="F172" s="7"/>
      <c r="G172" s="7"/>
      <c r="H172" s="17" t="str">
        <f t="shared" si="3"/>
        <v/>
      </c>
    </row>
    <row r="173" spans="1:8" x14ac:dyDescent="0.3">
      <c r="A173" s="48"/>
      <c r="B173" s="7"/>
      <c r="C173" s="6"/>
      <c r="D173" s="7"/>
      <c r="E173" s="7"/>
      <c r="F173" s="7"/>
      <c r="G173" s="7"/>
      <c r="H173" s="17" t="str">
        <f t="shared" si="3"/>
        <v/>
      </c>
    </row>
    <row r="174" spans="1:8" x14ac:dyDescent="0.3">
      <c r="A174" s="48"/>
      <c r="B174" s="7"/>
      <c r="C174" s="6"/>
      <c r="D174" s="7"/>
      <c r="E174" s="7"/>
      <c r="F174" s="7"/>
      <c r="G174" s="7"/>
      <c r="H174" s="17" t="str">
        <f t="shared" si="3"/>
        <v/>
      </c>
    </row>
    <row r="175" spans="1:8" x14ac:dyDescent="0.3">
      <c r="A175" s="48"/>
      <c r="B175" s="7"/>
      <c r="C175" s="6"/>
      <c r="D175" s="7"/>
      <c r="E175" s="7"/>
      <c r="F175" s="7"/>
      <c r="G175" s="7"/>
      <c r="H175" s="17" t="str">
        <f t="shared" si="3"/>
        <v/>
      </c>
    </row>
    <row r="176" spans="1:8" x14ac:dyDescent="0.3">
      <c r="A176" s="48"/>
      <c r="B176" s="7"/>
      <c r="C176" s="6"/>
      <c r="D176" s="7"/>
      <c r="E176" s="7"/>
      <c r="F176" s="7"/>
      <c r="G176" s="7"/>
      <c r="H176" s="17" t="str">
        <f t="shared" si="3"/>
        <v/>
      </c>
    </row>
    <row r="177" spans="1:8" x14ac:dyDescent="0.3">
      <c r="A177" s="48"/>
      <c r="B177" s="7"/>
      <c r="C177" s="6"/>
      <c r="D177" s="7"/>
      <c r="E177" s="7"/>
      <c r="F177" s="7"/>
      <c r="G177" s="7"/>
      <c r="H177" s="17" t="str">
        <f t="shared" si="3"/>
        <v/>
      </c>
    </row>
    <row r="178" spans="1:8" x14ac:dyDescent="0.3">
      <c r="A178" s="48"/>
      <c r="B178" s="7"/>
      <c r="C178" s="6"/>
      <c r="D178" s="7"/>
      <c r="E178" s="7"/>
      <c r="F178" s="7"/>
      <c r="G178" s="7"/>
      <c r="H178" s="17" t="str">
        <f t="shared" si="3"/>
        <v/>
      </c>
    </row>
    <row r="179" spans="1:8" x14ac:dyDescent="0.3">
      <c r="A179" s="48"/>
      <c r="B179" s="7"/>
      <c r="C179" s="6"/>
      <c r="D179" s="7"/>
      <c r="E179" s="7"/>
      <c r="F179" s="7"/>
      <c r="G179" s="7"/>
      <c r="H179" s="17" t="str">
        <f t="shared" si="3"/>
        <v/>
      </c>
    </row>
    <row r="180" spans="1:8" x14ac:dyDescent="0.3">
      <c r="A180" s="48"/>
      <c r="B180" s="7"/>
      <c r="C180" s="6"/>
      <c r="D180" s="7"/>
      <c r="E180" s="7"/>
      <c r="F180" s="7"/>
      <c r="G180" s="7"/>
      <c r="H180" s="17" t="str">
        <f t="shared" si="3"/>
        <v/>
      </c>
    </row>
    <row r="181" spans="1:8" x14ac:dyDescent="0.3">
      <c r="A181" s="48"/>
      <c r="B181" s="7"/>
      <c r="C181" s="6"/>
      <c r="D181" s="7"/>
      <c r="E181" s="7"/>
      <c r="F181" s="7"/>
      <c r="G181" s="7"/>
      <c r="H181" s="17" t="str">
        <f t="shared" si="3"/>
        <v/>
      </c>
    </row>
    <row r="182" spans="1:8" x14ac:dyDescent="0.3">
      <c r="A182" s="48"/>
      <c r="B182" s="7"/>
      <c r="C182" s="6"/>
      <c r="D182" s="7"/>
      <c r="E182" s="7"/>
      <c r="F182" s="7"/>
      <c r="G182" s="7"/>
      <c r="H182" s="17" t="str">
        <f t="shared" si="3"/>
        <v/>
      </c>
    </row>
    <row r="183" spans="1:8" x14ac:dyDescent="0.3">
      <c r="A183" s="48"/>
      <c r="B183" s="7"/>
      <c r="C183" s="6"/>
      <c r="D183" s="7"/>
      <c r="E183" s="7"/>
      <c r="F183" s="7"/>
      <c r="G183" s="7"/>
      <c r="H183" s="17" t="str">
        <f t="shared" si="3"/>
        <v/>
      </c>
    </row>
    <row r="184" spans="1:8" x14ac:dyDescent="0.3">
      <c r="A184" s="48"/>
      <c r="B184" s="7"/>
      <c r="C184" s="6"/>
      <c r="D184" s="7"/>
      <c r="E184" s="7"/>
      <c r="F184" s="7"/>
      <c r="G184" s="7"/>
      <c r="H184" s="17" t="str">
        <f t="shared" ref="H184:H247" si="4">IF(A184="","",IF(A184&gt;=46232,TEXT(DATE(YEAR(A184),MONTH(A184)+1,1),"mmmm yyyy"),TEXT(DATE(YEAR(A184),MONTH(A184),1),"mmmm yyyy")))</f>
        <v/>
      </c>
    </row>
    <row r="185" spans="1:8" x14ac:dyDescent="0.3">
      <c r="A185" s="48"/>
      <c r="B185" s="7"/>
      <c r="C185" s="6"/>
      <c r="D185" s="7"/>
      <c r="E185" s="7"/>
      <c r="F185" s="7"/>
      <c r="G185" s="7"/>
      <c r="H185" s="17" t="str">
        <f t="shared" si="4"/>
        <v/>
      </c>
    </row>
    <row r="186" spans="1:8" x14ac:dyDescent="0.3">
      <c r="A186" s="48"/>
      <c r="B186" s="7"/>
      <c r="C186" s="6"/>
      <c r="D186" s="7"/>
      <c r="E186" s="7"/>
      <c r="F186" s="7"/>
      <c r="G186" s="7"/>
      <c r="H186" s="17" t="str">
        <f t="shared" si="4"/>
        <v/>
      </c>
    </row>
    <row r="187" spans="1:8" x14ac:dyDescent="0.3">
      <c r="A187" s="48"/>
      <c r="B187" s="7"/>
      <c r="C187" s="6"/>
      <c r="D187" s="7"/>
      <c r="E187" s="7"/>
      <c r="F187" s="7"/>
      <c r="G187" s="7"/>
      <c r="H187" s="17" t="str">
        <f t="shared" si="4"/>
        <v/>
      </c>
    </row>
    <row r="188" spans="1:8" x14ac:dyDescent="0.3">
      <c r="A188" s="48"/>
      <c r="B188" s="7"/>
      <c r="C188" s="6"/>
      <c r="D188" s="7"/>
      <c r="E188" s="7"/>
      <c r="F188" s="7"/>
      <c r="G188" s="7"/>
      <c r="H188" s="17" t="str">
        <f t="shared" si="4"/>
        <v/>
      </c>
    </row>
    <row r="189" spans="1:8" x14ac:dyDescent="0.3">
      <c r="A189" s="48"/>
      <c r="B189" s="7"/>
      <c r="C189" s="6"/>
      <c r="D189" s="7"/>
      <c r="E189" s="7"/>
      <c r="F189" s="7"/>
      <c r="G189" s="7"/>
      <c r="H189" s="17" t="str">
        <f t="shared" si="4"/>
        <v/>
      </c>
    </row>
    <row r="190" spans="1:8" x14ac:dyDescent="0.3">
      <c r="A190" s="48"/>
      <c r="B190" s="7"/>
      <c r="C190" s="6"/>
      <c r="D190" s="7"/>
      <c r="E190" s="7"/>
      <c r="F190" s="7"/>
      <c r="G190" s="7"/>
      <c r="H190" s="17" t="str">
        <f t="shared" si="4"/>
        <v/>
      </c>
    </row>
    <row r="191" spans="1:8" x14ac:dyDescent="0.3">
      <c r="A191" s="48"/>
      <c r="B191" s="7"/>
      <c r="C191" s="6"/>
      <c r="D191" s="7"/>
      <c r="E191" s="7"/>
      <c r="F191" s="7"/>
      <c r="G191" s="7"/>
      <c r="H191" s="17" t="str">
        <f t="shared" si="4"/>
        <v/>
      </c>
    </row>
    <row r="192" spans="1:8" x14ac:dyDescent="0.3">
      <c r="A192" s="48"/>
      <c r="B192" s="7"/>
      <c r="C192" s="6"/>
      <c r="D192" s="7"/>
      <c r="E192" s="7"/>
      <c r="F192" s="7"/>
      <c r="G192" s="7"/>
      <c r="H192" s="17" t="str">
        <f t="shared" si="4"/>
        <v/>
      </c>
    </row>
    <row r="193" spans="1:8" x14ac:dyDescent="0.3">
      <c r="A193" s="48"/>
      <c r="B193" s="7"/>
      <c r="C193" s="6"/>
      <c r="D193" s="7"/>
      <c r="E193" s="7"/>
      <c r="F193" s="7"/>
      <c r="G193" s="7"/>
      <c r="H193" s="17" t="str">
        <f t="shared" si="4"/>
        <v/>
      </c>
    </row>
    <row r="194" spans="1:8" x14ac:dyDescent="0.3">
      <c r="A194" s="48"/>
      <c r="B194" s="7"/>
      <c r="C194" s="6"/>
      <c r="D194" s="7"/>
      <c r="E194" s="7"/>
      <c r="F194" s="7"/>
      <c r="G194" s="7"/>
      <c r="H194" s="17" t="str">
        <f t="shared" si="4"/>
        <v/>
      </c>
    </row>
    <row r="195" spans="1:8" x14ac:dyDescent="0.3">
      <c r="A195" s="48"/>
      <c r="B195" s="7"/>
      <c r="C195" s="6"/>
      <c r="D195" s="7"/>
      <c r="E195" s="7"/>
      <c r="F195" s="7"/>
      <c r="G195" s="7"/>
      <c r="H195" s="17" t="str">
        <f t="shared" si="4"/>
        <v/>
      </c>
    </row>
    <row r="196" spans="1:8" x14ac:dyDescent="0.3">
      <c r="A196" s="48"/>
      <c r="B196" s="7"/>
      <c r="C196" s="6"/>
      <c r="D196" s="7"/>
      <c r="E196" s="7"/>
      <c r="F196" s="7"/>
      <c r="G196" s="7"/>
      <c r="H196" s="17" t="str">
        <f t="shared" si="4"/>
        <v/>
      </c>
    </row>
    <row r="197" spans="1:8" x14ac:dyDescent="0.3">
      <c r="A197" s="48"/>
      <c r="B197" s="7"/>
      <c r="C197" s="6"/>
      <c r="D197" s="7"/>
      <c r="E197" s="7"/>
      <c r="F197" s="7"/>
      <c r="G197" s="7"/>
      <c r="H197" s="17" t="str">
        <f t="shared" si="4"/>
        <v/>
      </c>
    </row>
    <row r="198" spans="1:8" x14ac:dyDescent="0.3">
      <c r="A198" s="48"/>
      <c r="B198" s="7"/>
      <c r="C198" s="6"/>
      <c r="D198" s="7"/>
      <c r="E198" s="7"/>
      <c r="F198" s="7"/>
      <c r="G198" s="7"/>
      <c r="H198" s="17" t="str">
        <f t="shared" si="4"/>
        <v/>
      </c>
    </row>
    <row r="199" spans="1:8" x14ac:dyDescent="0.3">
      <c r="A199" s="48"/>
      <c r="B199" s="7"/>
      <c r="C199" s="6"/>
      <c r="D199" s="7"/>
      <c r="E199" s="7"/>
      <c r="F199" s="7"/>
      <c r="G199" s="7"/>
      <c r="H199" s="17" t="str">
        <f t="shared" si="4"/>
        <v/>
      </c>
    </row>
    <row r="200" spans="1:8" x14ac:dyDescent="0.3">
      <c r="A200" s="48"/>
      <c r="B200" s="7"/>
      <c r="C200" s="6"/>
      <c r="D200" s="7"/>
      <c r="E200" s="7"/>
      <c r="F200" s="7"/>
      <c r="G200" s="7"/>
      <c r="H200" s="17" t="str">
        <f t="shared" si="4"/>
        <v/>
      </c>
    </row>
    <row r="201" spans="1:8" x14ac:dyDescent="0.3">
      <c r="A201" s="48"/>
      <c r="B201" s="7"/>
      <c r="C201" s="6"/>
      <c r="D201" s="7"/>
      <c r="E201" s="7"/>
      <c r="F201" s="7"/>
      <c r="G201" s="7"/>
      <c r="H201" s="17" t="str">
        <f t="shared" si="4"/>
        <v/>
      </c>
    </row>
    <row r="202" spans="1:8" x14ac:dyDescent="0.3">
      <c r="A202" s="48"/>
      <c r="B202" s="7"/>
      <c r="C202" s="6"/>
      <c r="D202" s="7"/>
      <c r="E202" s="7"/>
      <c r="F202" s="7"/>
      <c r="G202" s="7"/>
      <c r="H202" s="17" t="str">
        <f t="shared" si="4"/>
        <v/>
      </c>
    </row>
    <row r="203" spans="1:8" x14ac:dyDescent="0.3">
      <c r="A203" s="48"/>
      <c r="B203" s="7"/>
      <c r="C203" s="6"/>
      <c r="D203" s="7"/>
      <c r="E203" s="7"/>
      <c r="F203" s="7"/>
      <c r="G203" s="7"/>
      <c r="H203" s="17" t="str">
        <f t="shared" si="4"/>
        <v/>
      </c>
    </row>
    <row r="204" spans="1:8" x14ac:dyDescent="0.3">
      <c r="A204" s="48"/>
      <c r="B204" s="7"/>
      <c r="C204" s="6"/>
      <c r="D204" s="7"/>
      <c r="E204" s="7"/>
      <c r="F204" s="7"/>
      <c r="G204" s="7"/>
      <c r="H204" s="17" t="str">
        <f t="shared" si="4"/>
        <v/>
      </c>
    </row>
    <row r="205" spans="1:8" x14ac:dyDescent="0.3">
      <c r="A205" s="48"/>
      <c r="B205" s="7"/>
      <c r="C205" s="6"/>
      <c r="D205" s="7"/>
      <c r="E205" s="7"/>
      <c r="F205" s="7"/>
      <c r="G205" s="7"/>
      <c r="H205" s="17" t="str">
        <f t="shared" si="4"/>
        <v/>
      </c>
    </row>
    <row r="206" spans="1:8" x14ac:dyDescent="0.3">
      <c r="A206" s="48"/>
      <c r="B206" s="7"/>
      <c r="C206" s="6"/>
      <c r="D206" s="7"/>
      <c r="E206" s="7"/>
      <c r="F206" s="7"/>
      <c r="G206" s="7"/>
      <c r="H206" s="17" t="str">
        <f t="shared" si="4"/>
        <v/>
      </c>
    </row>
    <row r="207" spans="1:8" x14ac:dyDescent="0.3">
      <c r="A207" s="48"/>
      <c r="B207" s="7"/>
      <c r="C207" s="6"/>
      <c r="D207" s="7"/>
      <c r="E207" s="7"/>
      <c r="F207" s="7"/>
      <c r="G207" s="7"/>
      <c r="H207" s="17" t="str">
        <f t="shared" si="4"/>
        <v/>
      </c>
    </row>
    <row r="208" spans="1:8" x14ac:dyDescent="0.3">
      <c r="A208" s="48"/>
      <c r="B208" s="7"/>
      <c r="C208" s="6"/>
      <c r="D208" s="7"/>
      <c r="E208" s="7"/>
      <c r="F208" s="7"/>
      <c r="G208" s="7"/>
      <c r="H208" s="17" t="str">
        <f t="shared" si="4"/>
        <v/>
      </c>
    </row>
    <row r="209" spans="1:8" x14ac:dyDescent="0.3">
      <c r="A209" s="48"/>
      <c r="B209" s="7"/>
      <c r="C209" s="6"/>
      <c r="D209" s="7"/>
      <c r="E209" s="7"/>
      <c r="F209" s="7"/>
      <c r="G209" s="7"/>
      <c r="H209" s="17" t="str">
        <f t="shared" si="4"/>
        <v/>
      </c>
    </row>
    <row r="210" spans="1:8" x14ac:dyDescent="0.3">
      <c r="A210" s="48"/>
      <c r="B210" s="7"/>
      <c r="C210" s="6"/>
      <c r="D210" s="7"/>
      <c r="E210" s="7"/>
      <c r="F210" s="7"/>
      <c r="G210" s="7"/>
      <c r="H210" s="17" t="str">
        <f t="shared" si="4"/>
        <v/>
      </c>
    </row>
    <row r="211" spans="1:8" x14ac:dyDescent="0.3">
      <c r="A211" s="48"/>
      <c r="B211" s="7"/>
      <c r="C211" s="6"/>
      <c r="D211" s="7"/>
      <c r="E211" s="7"/>
      <c r="F211" s="7"/>
      <c r="G211" s="7"/>
      <c r="H211" s="17" t="str">
        <f t="shared" si="4"/>
        <v/>
      </c>
    </row>
    <row r="212" spans="1:8" x14ac:dyDescent="0.3">
      <c r="A212" s="48"/>
      <c r="B212" s="7"/>
      <c r="C212" s="6"/>
      <c r="D212" s="7"/>
      <c r="E212" s="7"/>
      <c r="F212" s="7"/>
      <c r="G212" s="7"/>
      <c r="H212" s="17" t="str">
        <f t="shared" si="4"/>
        <v/>
      </c>
    </row>
    <row r="213" spans="1:8" x14ac:dyDescent="0.3">
      <c r="A213" s="48"/>
      <c r="B213" s="7"/>
      <c r="C213" s="6"/>
      <c r="D213" s="7"/>
      <c r="E213" s="7"/>
      <c r="F213" s="7"/>
      <c r="G213" s="7"/>
      <c r="H213" s="17" t="str">
        <f t="shared" si="4"/>
        <v/>
      </c>
    </row>
    <row r="214" spans="1:8" x14ac:dyDescent="0.3">
      <c r="A214" s="48"/>
      <c r="B214" s="7"/>
      <c r="C214" s="6"/>
      <c r="D214" s="7"/>
      <c r="E214" s="7"/>
      <c r="F214" s="7"/>
      <c r="G214" s="7"/>
      <c r="H214" s="17" t="str">
        <f t="shared" si="4"/>
        <v/>
      </c>
    </row>
    <row r="215" spans="1:8" x14ac:dyDescent="0.3">
      <c r="A215" s="48"/>
      <c r="B215" s="7"/>
      <c r="C215" s="6"/>
      <c r="D215" s="7"/>
      <c r="E215" s="7"/>
      <c r="F215" s="7"/>
      <c r="G215" s="7"/>
      <c r="H215" s="17" t="str">
        <f t="shared" si="4"/>
        <v/>
      </c>
    </row>
    <row r="216" spans="1:8" x14ac:dyDescent="0.3">
      <c r="A216" s="48"/>
      <c r="B216" s="7"/>
      <c r="C216" s="6"/>
      <c r="D216" s="7"/>
      <c r="E216" s="7"/>
      <c r="F216" s="7"/>
      <c r="G216" s="7"/>
      <c r="H216" s="17" t="str">
        <f t="shared" si="4"/>
        <v/>
      </c>
    </row>
    <row r="217" spans="1:8" x14ac:dyDescent="0.3">
      <c r="A217" s="48"/>
      <c r="B217" s="7"/>
      <c r="C217" s="6"/>
      <c r="D217" s="7"/>
      <c r="E217" s="7"/>
      <c r="F217" s="7"/>
      <c r="G217" s="7"/>
      <c r="H217" s="17" t="str">
        <f t="shared" si="4"/>
        <v/>
      </c>
    </row>
    <row r="218" spans="1:8" x14ac:dyDescent="0.3">
      <c r="A218" s="48"/>
      <c r="B218" s="7"/>
      <c r="C218" s="6"/>
      <c r="D218" s="7"/>
      <c r="E218" s="7"/>
      <c r="F218" s="7"/>
      <c r="G218" s="7"/>
      <c r="H218" s="17" t="str">
        <f t="shared" si="4"/>
        <v/>
      </c>
    </row>
    <row r="219" spans="1:8" x14ac:dyDescent="0.3">
      <c r="A219" s="48"/>
      <c r="B219" s="7"/>
      <c r="C219" s="6"/>
      <c r="D219" s="7"/>
      <c r="E219" s="7"/>
      <c r="F219" s="7"/>
      <c r="G219" s="7"/>
      <c r="H219" s="17" t="str">
        <f t="shared" si="4"/>
        <v/>
      </c>
    </row>
    <row r="220" spans="1:8" x14ac:dyDescent="0.3">
      <c r="A220" s="48"/>
      <c r="B220" s="7"/>
      <c r="C220" s="6"/>
      <c r="D220" s="7"/>
      <c r="E220" s="7"/>
      <c r="F220" s="7"/>
      <c r="G220" s="7"/>
      <c r="H220" s="17" t="str">
        <f t="shared" si="4"/>
        <v/>
      </c>
    </row>
    <row r="221" spans="1:8" x14ac:dyDescent="0.3">
      <c r="A221" s="48"/>
      <c r="B221" s="7"/>
      <c r="C221" s="6"/>
      <c r="D221" s="7"/>
      <c r="E221" s="7"/>
      <c r="F221" s="7"/>
      <c r="G221" s="7"/>
      <c r="H221" s="17" t="str">
        <f t="shared" si="4"/>
        <v/>
      </c>
    </row>
    <row r="222" spans="1:8" x14ac:dyDescent="0.3">
      <c r="A222" s="48"/>
      <c r="B222" s="7"/>
      <c r="C222" s="6"/>
      <c r="D222" s="7"/>
      <c r="E222" s="7"/>
      <c r="F222" s="7"/>
      <c r="G222" s="7"/>
      <c r="H222" s="17" t="str">
        <f t="shared" si="4"/>
        <v/>
      </c>
    </row>
    <row r="223" spans="1:8" x14ac:dyDescent="0.3">
      <c r="A223" s="48"/>
      <c r="B223" s="7"/>
      <c r="C223" s="6"/>
      <c r="D223" s="7"/>
      <c r="E223" s="7"/>
      <c r="F223" s="7"/>
      <c r="G223" s="7"/>
      <c r="H223" s="17" t="str">
        <f t="shared" si="4"/>
        <v/>
      </c>
    </row>
    <row r="224" spans="1:8" x14ac:dyDescent="0.3">
      <c r="A224" s="48"/>
      <c r="B224" s="7"/>
      <c r="C224" s="6"/>
      <c r="D224" s="7"/>
      <c r="E224" s="7"/>
      <c r="F224" s="7"/>
      <c r="G224" s="7"/>
      <c r="H224" s="17" t="str">
        <f t="shared" si="4"/>
        <v/>
      </c>
    </row>
    <row r="225" spans="1:8" x14ac:dyDescent="0.3">
      <c r="A225" s="48"/>
      <c r="B225" s="7"/>
      <c r="C225" s="6"/>
      <c r="D225" s="7"/>
      <c r="E225" s="7"/>
      <c r="F225" s="7"/>
      <c r="G225" s="7"/>
      <c r="H225" s="17" t="str">
        <f t="shared" si="4"/>
        <v/>
      </c>
    </row>
    <row r="226" spans="1:8" x14ac:dyDescent="0.3">
      <c r="A226" s="48"/>
      <c r="B226" s="7"/>
      <c r="C226" s="6"/>
      <c r="D226" s="7"/>
      <c r="E226" s="7"/>
      <c r="F226" s="7"/>
      <c r="G226" s="7"/>
      <c r="H226" s="17" t="str">
        <f t="shared" si="4"/>
        <v/>
      </c>
    </row>
    <row r="227" spans="1:8" x14ac:dyDescent="0.3">
      <c r="A227" s="48"/>
      <c r="B227" s="7"/>
      <c r="C227" s="6"/>
      <c r="D227" s="7"/>
      <c r="E227" s="7"/>
      <c r="F227" s="7"/>
      <c r="G227" s="7"/>
      <c r="H227" s="17" t="str">
        <f t="shared" si="4"/>
        <v/>
      </c>
    </row>
    <row r="228" spans="1:8" x14ac:dyDescent="0.3">
      <c r="A228" s="48"/>
      <c r="B228" s="7"/>
      <c r="C228" s="6"/>
      <c r="D228" s="7"/>
      <c r="E228" s="7"/>
      <c r="F228" s="7"/>
      <c r="G228" s="7"/>
      <c r="H228" s="17" t="str">
        <f t="shared" si="4"/>
        <v/>
      </c>
    </row>
    <row r="229" spans="1:8" x14ac:dyDescent="0.3">
      <c r="A229" s="48"/>
      <c r="B229" s="7"/>
      <c r="C229" s="6"/>
      <c r="D229" s="7"/>
      <c r="E229" s="7"/>
      <c r="F229" s="7"/>
      <c r="G229" s="7"/>
      <c r="H229" s="17" t="str">
        <f t="shared" si="4"/>
        <v/>
      </c>
    </row>
    <row r="230" spans="1:8" x14ac:dyDescent="0.3">
      <c r="A230" s="48"/>
      <c r="B230" s="7"/>
      <c r="C230" s="6"/>
      <c r="D230" s="7"/>
      <c r="E230" s="7"/>
      <c r="F230" s="7"/>
      <c r="G230" s="7"/>
      <c r="H230" s="17" t="str">
        <f t="shared" si="4"/>
        <v/>
      </c>
    </row>
    <row r="231" spans="1:8" x14ac:dyDescent="0.3">
      <c r="A231" s="48"/>
      <c r="B231" s="7"/>
      <c r="C231" s="6"/>
      <c r="D231" s="7"/>
      <c r="E231" s="7"/>
      <c r="F231" s="7"/>
      <c r="G231" s="7"/>
      <c r="H231" s="17" t="str">
        <f t="shared" si="4"/>
        <v/>
      </c>
    </row>
    <row r="232" spans="1:8" x14ac:dyDescent="0.3">
      <c r="A232" s="48"/>
      <c r="B232" s="7"/>
      <c r="C232" s="6"/>
      <c r="D232" s="7"/>
      <c r="E232" s="7"/>
      <c r="F232" s="7"/>
      <c r="G232" s="7"/>
      <c r="H232" s="17" t="str">
        <f t="shared" si="4"/>
        <v/>
      </c>
    </row>
    <row r="233" spans="1:8" x14ac:dyDescent="0.3">
      <c r="A233" s="48"/>
      <c r="B233" s="7"/>
      <c r="C233" s="6"/>
      <c r="D233" s="7"/>
      <c r="E233" s="7"/>
      <c r="F233" s="7"/>
      <c r="G233" s="7"/>
      <c r="H233" s="17" t="str">
        <f t="shared" si="4"/>
        <v/>
      </c>
    </row>
    <row r="234" spans="1:8" x14ac:dyDescent="0.3">
      <c r="A234" s="48"/>
      <c r="B234" s="7"/>
      <c r="C234" s="6"/>
      <c r="D234" s="7"/>
      <c r="E234" s="7"/>
      <c r="F234" s="7"/>
      <c r="G234" s="7"/>
      <c r="H234" s="17" t="str">
        <f t="shared" si="4"/>
        <v/>
      </c>
    </row>
    <row r="235" spans="1:8" x14ac:dyDescent="0.3">
      <c r="A235" s="48"/>
      <c r="B235" s="7"/>
      <c r="C235" s="6"/>
      <c r="D235" s="7"/>
      <c r="E235" s="7"/>
      <c r="F235" s="7"/>
      <c r="G235" s="7"/>
      <c r="H235" s="17" t="str">
        <f t="shared" si="4"/>
        <v/>
      </c>
    </row>
    <row r="236" spans="1:8" x14ac:dyDescent="0.3">
      <c r="A236" s="48"/>
      <c r="B236" s="7"/>
      <c r="C236" s="6"/>
      <c r="D236" s="7"/>
      <c r="E236" s="7"/>
      <c r="F236" s="7"/>
      <c r="G236" s="7"/>
      <c r="H236" s="17" t="str">
        <f t="shared" si="4"/>
        <v/>
      </c>
    </row>
    <row r="237" spans="1:8" x14ac:dyDescent="0.3">
      <c r="A237" s="48"/>
      <c r="B237" s="7"/>
      <c r="C237" s="6"/>
      <c r="D237" s="7"/>
      <c r="E237" s="7"/>
      <c r="F237" s="7"/>
      <c r="G237" s="7"/>
      <c r="H237" s="17" t="str">
        <f t="shared" si="4"/>
        <v/>
      </c>
    </row>
    <row r="238" spans="1:8" x14ac:dyDescent="0.3">
      <c r="A238" s="48"/>
      <c r="B238" s="7"/>
      <c r="C238" s="6"/>
      <c r="D238" s="7"/>
      <c r="E238" s="7"/>
      <c r="F238" s="7"/>
      <c r="G238" s="7"/>
      <c r="H238" s="17" t="str">
        <f t="shared" si="4"/>
        <v/>
      </c>
    </row>
    <row r="239" spans="1:8" x14ac:dyDescent="0.3">
      <c r="A239" s="48"/>
      <c r="B239" s="7"/>
      <c r="C239" s="6"/>
      <c r="D239" s="7"/>
      <c r="E239" s="7"/>
      <c r="F239" s="7"/>
      <c r="G239" s="7"/>
      <c r="H239" s="17" t="str">
        <f t="shared" si="4"/>
        <v/>
      </c>
    </row>
    <row r="240" spans="1:8" x14ac:dyDescent="0.3">
      <c r="A240" s="48"/>
      <c r="B240" s="7"/>
      <c r="C240" s="6"/>
      <c r="D240" s="7"/>
      <c r="E240" s="7"/>
      <c r="F240" s="7"/>
      <c r="G240" s="7"/>
      <c r="H240" s="17" t="str">
        <f t="shared" si="4"/>
        <v/>
      </c>
    </row>
    <row r="241" spans="1:8" x14ac:dyDescent="0.3">
      <c r="A241" s="48"/>
      <c r="B241" s="7"/>
      <c r="C241" s="6"/>
      <c r="D241" s="7"/>
      <c r="E241" s="7"/>
      <c r="F241" s="7"/>
      <c r="G241" s="7"/>
      <c r="H241" s="17" t="str">
        <f t="shared" si="4"/>
        <v/>
      </c>
    </row>
    <row r="242" spans="1:8" x14ac:dyDescent="0.3">
      <c r="A242" s="48"/>
      <c r="B242" s="7"/>
      <c r="C242" s="6"/>
      <c r="D242" s="7"/>
      <c r="E242" s="7"/>
      <c r="F242" s="7"/>
      <c r="G242" s="7"/>
      <c r="H242" s="17" t="str">
        <f t="shared" si="4"/>
        <v/>
      </c>
    </row>
    <row r="243" spans="1:8" x14ac:dyDescent="0.3">
      <c r="A243" s="48"/>
      <c r="B243" s="7"/>
      <c r="C243" s="6"/>
      <c r="D243" s="7"/>
      <c r="E243" s="7"/>
      <c r="F243" s="7"/>
      <c r="G243" s="7"/>
      <c r="H243" s="17" t="str">
        <f t="shared" si="4"/>
        <v/>
      </c>
    </row>
    <row r="244" spans="1:8" x14ac:dyDescent="0.3">
      <c r="A244" s="48"/>
      <c r="B244" s="7"/>
      <c r="C244" s="6"/>
      <c r="D244" s="7"/>
      <c r="E244" s="7"/>
      <c r="F244" s="7"/>
      <c r="G244" s="7"/>
      <c r="H244" s="17" t="str">
        <f t="shared" si="4"/>
        <v/>
      </c>
    </row>
    <row r="245" spans="1:8" x14ac:dyDescent="0.3">
      <c r="A245" s="48"/>
      <c r="B245" s="7"/>
      <c r="C245" s="6"/>
      <c r="D245" s="7"/>
      <c r="E245" s="7"/>
      <c r="F245" s="7"/>
      <c r="G245" s="7"/>
      <c r="H245" s="17" t="str">
        <f t="shared" si="4"/>
        <v/>
      </c>
    </row>
    <row r="246" spans="1:8" x14ac:dyDescent="0.3">
      <c r="A246" s="48"/>
      <c r="B246" s="7"/>
      <c r="C246" s="6"/>
      <c r="D246" s="7"/>
      <c r="E246" s="7"/>
      <c r="F246" s="7"/>
      <c r="G246" s="7"/>
      <c r="H246" s="17" t="str">
        <f t="shared" si="4"/>
        <v/>
      </c>
    </row>
    <row r="247" spans="1:8" x14ac:dyDescent="0.3">
      <c r="A247" s="48"/>
      <c r="B247" s="7"/>
      <c r="C247" s="6"/>
      <c r="D247" s="7"/>
      <c r="E247" s="7"/>
      <c r="F247" s="7"/>
      <c r="G247" s="7"/>
      <c r="H247" s="17" t="str">
        <f t="shared" si="4"/>
        <v/>
      </c>
    </row>
    <row r="248" spans="1:8" x14ac:dyDescent="0.3">
      <c r="A248" s="48"/>
      <c r="B248" s="7"/>
      <c r="C248" s="6"/>
      <c r="D248" s="7"/>
      <c r="E248" s="7"/>
      <c r="F248" s="7"/>
      <c r="G248" s="7"/>
      <c r="H248" s="17" t="str">
        <f t="shared" ref="H248:H311" si="5">IF(A248="","",IF(A248&gt;=46232,TEXT(DATE(YEAR(A248),MONTH(A248)+1,1),"mmmm yyyy"),TEXT(DATE(YEAR(A248),MONTH(A248),1),"mmmm yyyy")))</f>
        <v/>
      </c>
    </row>
    <row r="249" spans="1:8" x14ac:dyDescent="0.3">
      <c r="A249" s="48"/>
      <c r="B249" s="7"/>
      <c r="C249" s="6"/>
      <c r="D249" s="7"/>
      <c r="E249" s="7"/>
      <c r="F249" s="7"/>
      <c r="G249" s="7"/>
      <c r="H249" s="17" t="str">
        <f t="shared" si="5"/>
        <v/>
      </c>
    </row>
    <row r="250" spans="1:8" x14ac:dyDescent="0.3">
      <c r="A250" s="48"/>
      <c r="B250" s="7"/>
      <c r="C250" s="6"/>
      <c r="D250" s="7"/>
      <c r="E250" s="7"/>
      <c r="F250" s="7"/>
      <c r="G250" s="7"/>
      <c r="H250" s="17" t="str">
        <f t="shared" si="5"/>
        <v/>
      </c>
    </row>
    <row r="251" spans="1:8" x14ac:dyDescent="0.3">
      <c r="A251" s="48"/>
      <c r="B251" s="7"/>
      <c r="C251" s="6"/>
      <c r="D251" s="7"/>
      <c r="E251" s="7"/>
      <c r="F251" s="7"/>
      <c r="G251" s="7"/>
      <c r="H251" s="17" t="str">
        <f t="shared" si="5"/>
        <v/>
      </c>
    </row>
    <row r="252" spans="1:8" x14ac:dyDescent="0.3">
      <c r="A252" s="48"/>
      <c r="B252" s="7"/>
      <c r="C252" s="6"/>
      <c r="D252" s="7"/>
      <c r="E252" s="7"/>
      <c r="F252" s="7"/>
      <c r="G252" s="7"/>
      <c r="H252" s="17" t="str">
        <f t="shared" si="5"/>
        <v/>
      </c>
    </row>
    <row r="253" spans="1:8" x14ac:dyDescent="0.3">
      <c r="A253" s="48"/>
      <c r="B253" s="7"/>
      <c r="C253" s="6"/>
      <c r="D253" s="7"/>
      <c r="E253" s="7"/>
      <c r="F253" s="7"/>
      <c r="G253" s="7"/>
      <c r="H253" s="17" t="str">
        <f t="shared" si="5"/>
        <v/>
      </c>
    </row>
    <row r="254" spans="1:8" x14ac:dyDescent="0.3">
      <c r="A254" s="48"/>
      <c r="B254" s="7"/>
      <c r="C254" s="6"/>
      <c r="D254" s="7"/>
      <c r="E254" s="7"/>
      <c r="F254" s="7"/>
      <c r="G254" s="7"/>
      <c r="H254" s="17" t="str">
        <f t="shared" si="5"/>
        <v/>
      </c>
    </row>
    <row r="255" spans="1:8" x14ac:dyDescent="0.3">
      <c r="A255" s="48"/>
      <c r="B255" s="7"/>
      <c r="C255" s="6"/>
      <c r="D255" s="7"/>
      <c r="E255" s="7"/>
      <c r="F255" s="7"/>
      <c r="G255" s="7"/>
      <c r="H255" s="17" t="str">
        <f t="shared" si="5"/>
        <v/>
      </c>
    </row>
    <row r="256" spans="1:8" x14ac:dyDescent="0.3">
      <c r="A256" s="48"/>
      <c r="B256" s="7"/>
      <c r="C256" s="6"/>
      <c r="D256" s="7"/>
      <c r="E256" s="7"/>
      <c r="F256" s="7"/>
      <c r="G256" s="7"/>
      <c r="H256" s="17" t="str">
        <f t="shared" si="5"/>
        <v/>
      </c>
    </row>
    <row r="257" spans="1:8" x14ac:dyDescent="0.3">
      <c r="A257" s="48"/>
      <c r="B257" s="7"/>
      <c r="C257" s="6"/>
      <c r="D257" s="7"/>
      <c r="E257" s="7"/>
      <c r="F257" s="7"/>
      <c r="G257" s="7"/>
      <c r="H257" s="17" t="str">
        <f t="shared" si="5"/>
        <v/>
      </c>
    </row>
    <row r="258" spans="1:8" x14ac:dyDescent="0.3">
      <c r="A258" s="48"/>
      <c r="B258" s="7"/>
      <c r="C258" s="6"/>
      <c r="D258" s="7"/>
      <c r="E258" s="7"/>
      <c r="F258" s="7"/>
      <c r="G258" s="7"/>
      <c r="H258" s="17" t="str">
        <f t="shared" si="5"/>
        <v/>
      </c>
    </row>
    <row r="259" spans="1:8" x14ac:dyDescent="0.3">
      <c r="A259" s="48"/>
      <c r="B259" s="7"/>
      <c r="C259" s="6"/>
      <c r="D259" s="7"/>
      <c r="E259" s="7"/>
      <c r="F259" s="7"/>
      <c r="G259" s="7"/>
      <c r="H259" s="17" t="str">
        <f t="shared" si="5"/>
        <v/>
      </c>
    </row>
    <row r="260" spans="1:8" x14ac:dyDescent="0.3">
      <c r="A260" s="48"/>
      <c r="B260" s="7"/>
      <c r="C260" s="6"/>
      <c r="D260" s="7"/>
      <c r="E260" s="7"/>
      <c r="F260" s="7"/>
      <c r="G260" s="7"/>
      <c r="H260" s="17" t="str">
        <f t="shared" si="5"/>
        <v/>
      </c>
    </row>
    <row r="261" spans="1:8" x14ac:dyDescent="0.3">
      <c r="A261" s="48"/>
      <c r="B261" s="7"/>
      <c r="C261" s="6"/>
      <c r="D261" s="7"/>
      <c r="E261" s="7"/>
      <c r="F261" s="7"/>
      <c r="G261" s="7"/>
      <c r="H261" s="17" t="str">
        <f t="shared" si="5"/>
        <v/>
      </c>
    </row>
    <row r="262" spans="1:8" x14ac:dyDescent="0.3">
      <c r="A262" s="48"/>
      <c r="B262" s="7"/>
      <c r="C262" s="6"/>
      <c r="D262" s="7"/>
      <c r="E262" s="7"/>
      <c r="F262" s="7"/>
      <c r="G262" s="7"/>
      <c r="H262" s="17" t="str">
        <f t="shared" si="5"/>
        <v/>
      </c>
    </row>
    <row r="263" spans="1:8" x14ac:dyDescent="0.3">
      <c r="A263" s="48"/>
      <c r="B263" s="7"/>
      <c r="C263" s="6"/>
      <c r="D263" s="7"/>
      <c r="E263" s="7"/>
      <c r="F263" s="7"/>
      <c r="G263" s="7"/>
      <c r="H263" s="17" t="str">
        <f t="shared" si="5"/>
        <v/>
      </c>
    </row>
    <row r="264" spans="1:8" x14ac:dyDescent="0.3">
      <c r="A264" s="48"/>
      <c r="B264" s="7"/>
      <c r="C264" s="6"/>
      <c r="D264" s="7"/>
      <c r="E264" s="7"/>
      <c r="F264" s="7"/>
      <c r="G264" s="7"/>
      <c r="H264" s="17" t="str">
        <f t="shared" si="5"/>
        <v/>
      </c>
    </row>
    <row r="265" spans="1:8" x14ac:dyDescent="0.3">
      <c r="A265" s="48"/>
      <c r="B265" s="7"/>
      <c r="C265" s="6"/>
      <c r="D265" s="7"/>
      <c r="E265" s="7"/>
      <c r="F265" s="7"/>
      <c r="G265" s="7"/>
      <c r="H265" s="17" t="str">
        <f t="shared" si="5"/>
        <v/>
      </c>
    </row>
    <row r="266" spans="1:8" x14ac:dyDescent="0.3">
      <c r="A266" s="48"/>
      <c r="B266" s="7"/>
      <c r="C266" s="6"/>
      <c r="D266" s="7"/>
      <c r="E266" s="7"/>
      <c r="F266" s="7"/>
      <c r="G266" s="7"/>
      <c r="H266" s="17" t="str">
        <f t="shared" si="5"/>
        <v/>
      </c>
    </row>
    <row r="267" spans="1:8" x14ac:dyDescent="0.3">
      <c r="A267" s="48"/>
      <c r="B267" s="7"/>
      <c r="C267" s="6"/>
      <c r="D267" s="7"/>
      <c r="E267" s="7"/>
      <c r="F267" s="7"/>
      <c r="G267" s="7"/>
      <c r="H267" s="17" t="str">
        <f t="shared" si="5"/>
        <v/>
      </c>
    </row>
    <row r="268" spans="1:8" x14ac:dyDescent="0.3">
      <c r="A268" s="48"/>
      <c r="B268" s="7"/>
      <c r="C268" s="6"/>
      <c r="D268" s="7"/>
      <c r="E268" s="7"/>
      <c r="F268" s="7"/>
      <c r="G268" s="7"/>
      <c r="H268" s="17" t="str">
        <f t="shared" si="5"/>
        <v/>
      </c>
    </row>
    <row r="269" spans="1:8" x14ac:dyDescent="0.3">
      <c r="A269" s="48"/>
      <c r="B269" s="7"/>
      <c r="C269" s="6"/>
      <c r="D269" s="7"/>
      <c r="E269" s="7"/>
      <c r="F269" s="7"/>
      <c r="G269" s="7"/>
      <c r="H269" s="17" t="str">
        <f t="shared" si="5"/>
        <v/>
      </c>
    </row>
    <row r="270" spans="1:8" x14ac:dyDescent="0.3">
      <c r="A270" s="48"/>
      <c r="B270" s="7"/>
      <c r="C270" s="6"/>
      <c r="D270" s="7"/>
      <c r="E270" s="7"/>
      <c r="F270" s="7"/>
      <c r="G270" s="7"/>
      <c r="H270" s="17" t="str">
        <f t="shared" si="5"/>
        <v/>
      </c>
    </row>
    <row r="271" spans="1:8" x14ac:dyDescent="0.3">
      <c r="A271" s="48"/>
      <c r="B271" s="7"/>
      <c r="C271" s="6"/>
      <c r="D271" s="7"/>
      <c r="E271" s="7"/>
      <c r="F271" s="7"/>
      <c r="G271" s="7"/>
      <c r="H271" s="17" t="str">
        <f t="shared" si="5"/>
        <v/>
      </c>
    </row>
    <row r="272" spans="1:8" x14ac:dyDescent="0.3">
      <c r="A272" s="48"/>
      <c r="B272" s="7"/>
      <c r="C272" s="6"/>
      <c r="D272" s="7"/>
      <c r="E272" s="7"/>
      <c r="F272" s="7"/>
      <c r="G272" s="7"/>
      <c r="H272" s="17" t="str">
        <f t="shared" si="5"/>
        <v/>
      </c>
    </row>
    <row r="273" spans="1:8" x14ac:dyDescent="0.3">
      <c r="A273" s="48"/>
      <c r="B273" s="7"/>
      <c r="C273" s="6"/>
      <c r="D273" s="7"/>
      <c r="E273" s="7"/>
      <c r="F273" s="7"/>
      <c r="G273" s="7"/>
      <c r="H273" s="17" t="str">
        <f t="shared" si="5"/>
        <v/>
      </c>
    </row>
    <row r="274" spans="1:8" x14ac:dyDescent="0.3">
      <c r="A274" s="48"/>
      <c r="B274" s="7"/>
      <c r="C274" s="6"/>
      <c r="D274" s="7"/>
      <c r="E274" s="7"/>
      <c r="F274" s="7"/>
      <c r="G274" s="7"/>
      <c r="H274" s="17" t="str">
        <f t="shared" si="5"/>
        <v/>
      </c>
    </row>
    <row r="275" spans="1:8" x14ac:dyDescent="0.3">
      <c r="A275" s="48"/>
      <c r="B275" s="7"/>
      <c r="C275" s="6"/>
      <c r="D275" s="7"/>
      <c r="E275" s="7"/>
      <c r="F275" s="7"/>
      <c r="G275" s="7"/>
      <c r="H275" s="17" t="str">
        <f t="shared" si="5"/>
        <v/>
      </c>
    </row>
    <row r="276" spans="1:8" x14ac:dyDescent="0.3">
      <c r="A276" s="48"/>
      <c r="B276" s="7"/>
      <c r="C276" s="6"/>
      <c r="D276" s="7"/>
      <c r="E276" s="7"/>
      <c r="F276" s="7"/>
      <c r="G276" s="7"/>
      <c r="H276" s="17" t="str">
        <f t="shared" si="5"/>
        <v/>
      </c>
    </row>
    <row r="277" spans="1:8" x14ac:dyDescent="0.3">
      <c r="A277" s="48"/>
      <c r="B277" s="7"/>
      <c r="C277" s="6"/>
      <c r="D277" s="7"/>
      <c r="E277" s="7"/>
      <c r="F277" s="7"/>
      <c r="G277" s="7"/>
      <c r="H277" s="17" t="str">
        <f t="shared" si="5"/>
        <v/>
      </c>
    </row>
    <row r="278" spans="1:8" x14ac:dyDescent="0.3">
      <c r="A278" s="48"/>
      <c r="B278" s="7"/>
      <c r="C278" s="6"/>
      <c r="D278" s="7"/>
      <c r="E278" s="7"/>
      <c r="F278" s="7"/>
      <c r="G278" s="7"/>
      <c r="H278" s="17" t="str">
        <f t="shared" si="5"/>
        <v/>
      </c>
    </row>
    <row r="279" spans="1:8" x14ac:dyDescent="0.3">
      <c r="A279" s="48"/>
      <c r="B279" s="7"/>
      <c r="C279" s="6"/>
      <c r="D279" s="7"/>
      <c r="E279" s="7"/>
      <c r="F279" s="7"/>
      <c r="G279" s="7"/>
      <c r="H279" s="17" t="str">
        <f t="shared" si="5"/>
        <v/>
      </c>
    </row>
    <row r="280" spans="1:8" x14ac:dyDescent="0.3">
      <c r="A280" s="48"/>
      <c r="B280" s="7"/>
      <c r="C280" s="6"/>
      <c r="D280" s="7"/>
      <c r="E280" s="7"/>
      <c r="F280" s="7"/>
      <c r="G280" s="7"/>
      <c r="H280" s="17" t="str">
        <f t="shared" si="5"/>
        <v/>
      </c>
    </row>
    <row r="281" spans="1:8" x14ac:dyDescent="0.3">
      <c r="A281" s="48"/>
      <c r="B281" s="7"/>
      <c r="C281" s="6"/>
      <c r="D281" s="7"/>
      <c r="E281" s="7"/>
      <c r="F281" s="7"/>
      <c r="G281" s="7"/>
      <c r="H281" s="17" t="str">
        <f t="shared" si="5"/>
        <v/>
      </c>
    </row>
    <row r="282" spans="1:8" x14ac:dyDescent="0.3">
      <c r="A282" s="48"/>
      <c r="B282" s="7"/>
      <c r="C282" s="6"/>
      <c r="D282" s="7"/>
      <c r="E282" s="7"/>
      <c r="F282" s="7"/>
      <c r="G282" s="7"/>
      <c r="H282" s="17" t="str">
        <f t="shared" si="5"/>
        <v/>
      </c>
    </row>
    <row r="283" spans="1:8" x14ac:dyDescent="0.3">
      <c r="A283" s="48"/>
      <c r="B283" s="7"/>
      <c r="C283" s="6"/>
      <c r="D283" s="7"/>
      <c r="E283" s="7"/>
      <c r="F283" s="7"/>
      <c r="G283" s="7"/>
      <c r="H283" s="17" t="str">
        <f t="shared" si="5"/>
        <v/>
      </c>
    </row>
    <row r="284" spans="1:8" x14ac:dyDescent="0.3">
      <c r="A284" s="48"/>
      <c r="B284" s="7"/>
      <c r="C284" s="6"/>
      <c r="D284" s="7"/>
      <c r="E284" s="7"/>
      <c r="F284" s="7"/>
      <c r="G284" s="7"/>
      <c r="H284" s="17" t="str">
        <f t="shared" si="5"/>
        <v/>
      </c>
    </row>
    <row r="285" spans="1:8" x14ac:dyDescent="0.3">
      <c r="A285" s="48"/>
      <c r="B285" s="7"/>
      <c r="C285" s="6"/>
      <c r="D285" s="7"/>
      <c r="E285" s="7"/>
      <c r="F285" s="7"/>
      <c r="G285" s="7"/>
      <c r="H285" s="17" t="str">
        <f t="shared" si="5"/>
        <v/>
      </c>
    </row>
    <row r="286" spans="1:8" x14ac:dyDescent="0.3">
      <c r="A286" s="48"/>
      <c r="B286" s="7"/>
      <c r="C286" s="6"/>
      <c r="D286" s="7"/>
      <c r="E286" s="7"/>
      <c r="F286" s="7"/>
      <c r="G286" s="7"/>
      <c r="H286" s="17" t="str">
        <f t="shared" si="5"/>
        <v/>
      </c>
    </row>
    <row r="287" spans="1:8" x14ac:dyDescent="0.3">
      <c r="A287" s="48"/>
      <c r="B287" s="7"/>
      <c r="C287" s="6"/>
      <c r="D287" s="7"/>
      <c r="E287" s="7"/>
      <c r="F287" s="7"/>
      <c r="G287" s="7"/>
      <c r="H287" s="17" t="str">
        <f t="shared" si="5"/>
        <v/>
      </c>
    </row>
    <row r="288" spans="1:8" x14ac:dyDescent="0.3">
      <c r="A288" s="48"/>
      <c r="B288" s="7"/>
      <c r="C288" s="6"/>
      <c r="D288" s="7"/>
      <c r="E288" s="7"/>
      <c r="F288" s="7"/>
      <c r="G288" s="7"/>
      <c r="H288" s="17" t="str">
        <f t="shared" si="5"/>
        <v/>
      </c>
    </row>
    <row r="289" spans="1:8" x14ac:dyDescent="0.3">
      <c r="A289" s="48"/>
      <c r="B289" s="7"/>
      <c r="C289" s="6"/>
      <c r="D289" s="7"/>
      <c r="E289" s="7"/>
      <c r="F289" s="7"/>
      <c r="G289" s="7"/>
      <c r="H289" s="17" t="str">
        <f t="shared" si="5"/>
        <v/>
      </c>
    </row>
    <row r="290" spans="1:8" x14ac:dyDescent="0.3">
      <c r="A290" s="48"/>
      <c r="B290" s="7"/>
      <c r="C290" s="6"/>
      <c r="D290" s="7"/>
      <c r="E290" s="7"/>
      <c r="F290" s="7"/>
      <c r="G290" s="7"/>
      <c r="H290" s="17" t="str">
        <f t="shared" si="5"/>
        <v/>
      </c>
    </row>
    <row r="291" spans="1:8" x14ac:dyDescent="0.3">
      <c r="A291" s="48"/>
      <c r="B291" s="7"/>
      <c r="C291" s="6"/>
      <c r="D291" s="7"/>
      <c r="E291" s="7"/>
      <c r="F291" s="7"/>
      <c r="G291" s="7"/>
      <c r="H291" s="17" t="str">
        <f t="shared" si="5"/>
        <v/>
      </c>
    </row>
    <row r="292" spans="1:8" x14ac:dyDescent="0.3">
      <c r="A292" s="48"/>
      <c r="B292" s="7"/>
      <c r="C292" s="6"/>
      <c r="D292" s="7"/>
      <c r="E292" s="7"/>
      <c r="F292" s="7"/>
      <c r="G292" s="7"/>
      <c r="H292" s="17" t="str">
        <f t="shared" si="5"/>
        <v/>
      </c>
    </row>
    <row r="293" spans="1:8" x14ac:dyDescent="0.3">
      <c r="A293" s="48"/>
      <c r="B293" s="7"/>
      <c r="C293" s="6"/>
      <c r="D293" s="7"/>
      <c r="E293" s="7"/>
      <c r="F293" s="7"/>
      <c r="G293" s="7"/>
      <c r="H293" s="17" t="str">
        <f t="shared" si="5"/>
        <v/>
      </c>
    </row>
    <row r="294" spans="1:8" x14ac:dyDescent="0.3">
      <c r="A294" s="48"/>
      <c r="B294" s="7"/>
      <c r="C294" s="6"/>
      <c r="D294" s="7"/>
      <c r="E294" s="7"/>
      <c r="F294" s="7"/>
      <c r="G294" s="7"/>
      <c r="H294" s="17" t="str">
        <f t="shared" si="5"/>
        <v/>
      </c>
    </row>
    <row r="295" spans="1:8" x14ac:dyDescent="0.3">
      <c r="A295" s="48"/>
      <c r="B295" s="7"/>
      <c r="C295" s="6"/>
      <c r="D295" s="7"/>
      <c r="E295" s="7"/>
      <c r="F295" s="7"/>
      <c r="G295" s="7"/>
      <c r="H295" s="17" t="str">
        <f t="shared" si="5"/>
        <v/>
      </c>
    </row>
    <row r="296" spans="1:8" x14ac:dyDescent="0.3">
      <c r="A296" s="48"/>
      <c r="B296" s="7"/>
      <c r="C296" s="6"/>
      <c r="D296" s="7"/>
      <c r="E296" s="7"/>
      <c r="F296" s="7"/>
      <c r="G296" s="7"/>
      <c r="H296" s="17" t="str">
        <f t="shared" si="5"/>
        <v/>
      </c>
    </row>
    <row r="297" spans="1:8" x14ac:dyDescent="0.3">
      <c r="A297" s="48"/>
      <c r="B297" s="7"/>
      <c r="C297" s="6"/>
      <c r="D297" s="7"/>
      <c r="E297" s="7"/>
      <c r="F297" s="7"/>
      <c r="G297" s="7"/>
      <c r="H297" s="17" t="str">
        <f t="shared" si="5"/>
        <v/>
      </c>
    </row>
    <row r="298" spans="1:8" x14ac:dyDescent="0.3">
      <c r="A298" s="48"/>
      <c r="B298" s="7"/>
      <c r="C298" s="6"/>
      <c r="D298" s="7"/>
      <c r="E298" s="7"/>
      <c r="F298" s="7"/>
      <c r="G298" s="7"/>
      <c r="H298" s="17" t="str">
        <f t="shared" si="5"/>
        <v/>
      </c>
    </row>
    <row r="299" spans="1:8" x14ac:dyDescent="0.3">
      <c r="A299" s="48"/>
      <c r="B299" s="7"/>
      <c r="C299" s="6"/>
      <c r="D299" s="7"/>
      <c r="E299" s="7"/>
      <c r="F299" s="7"/>
      <c r="G299" s="7"/>
      <c r="H299" s="17" t="str">
        <f t="shared" si="5"/>
        <v/>
      </c>
    </row>
    <row r="300" spans="1:8" x14ac:dyDescent="0.3">
      <c r="A300" s="48"/>
      <c r="B300" s="7"/>
      <c r="C300" s="6"/>
      <c r="D300" s="7"/>
      <c r="E300" s="7"/>
      <c r="F300" s="7"/>
      <c r="G300" s="7"/>
      <c r="H300" s="17" t="str">
        <f t="shared" si="5"/>
        <v/>
      </c>
    </row>
    <row r="301" spans="1:8" x14ac:dyDescent="0.3">
      <c r="A301" s="48"/>
      <c r="B301" s="7"/>
      <c r="C301" s="6"/>
      <c r="D301" s="7"/>
      <c r="E301" s="7"/>
      <c r="F301" s="7"/>
      <c r="G301" s="7"/>
      <c r="H301" s="17" t="str">
        <f t="shared" si="5"/>
        <v/>
      </c>
    </row>
    <row r="302" spans="1:8" x14ac:dyDescent="0.3">
      <c r="A302" s="48"/>
      <c r="B302" s="7"/>
      <c r="C302" s="6"/>
      <c r="D302" s="7"/>
      <c r="E302" s="7"/>
      <c r="F302" s="7"/>
      <c r="G302" s="7"/>
      <c r="H302" s="17" t="str">
        <f t="shared" si="5"/>
        <v/>
      </c>
    </row>
    <row r="303" spans="1:8" x14ac:dyDescent="0.3">
      <c r="A303" s="48"/>
      <c r="B303" s="7"/>
      <c r="C303" s="6"/>
      <c r="D303" s="7"/>
      <c r="E303" s="7"/>
      <c r="F303" s="7"/>
      <c r="G303" s="7"/>
      <c r="H303" s="17" t="str">
        <f t="shared" si="5"/>
        <v/>
      </c>
    </row>
    <row r="304" spans="1:8" x14ac:dyDescent="0.3">
      <c r="A304" s="48"/>
      <c r="B304" s="7"/>
      <c r="C304" s="6"/>
      <c r="D304" s="7"/>
      <c r="E304" s="7"/>
      <c r="F304" s="7"/>
      <c r="G304" s="7"/>
      <c r="H304" s="17" t="str">
        <f t="shared" si="5"/>
        <v/>
      </c>
    </row>
    <row r="305" spans="1:8" x14ac:dyDescent="0.3">
      <c r="A305" s="48"/>
      <c r="B305" s="7"/>
      <c r="C305" s="6"/>
      <c r="D305" s="7"/>
      <c r="E305" s="7"/>
      <c r="F305" s="7"/>
      <c r="G305" s="7"/>
      <c r="H305" s="17" t="str">
        <f t="shared" si="5"/>
        <v/>
      </c>
    </row>
    <row r="306" spans="1:8" x14ac:dyDescent="0.3">
      <c r="A306" s="48"/>
      <c r="B306" s="7"/>
      <c r="C306" s="6"/>
      <c r="D306" s="7"/>
      <c r="E306" s="7"/>
      <c r="F306" s="7"/>
      <c r="G306" s="7"/>
      <c r="H306" s="17" t="str">
        <f t="shared" si="5"/>
        <v/>
      </c>
    </row>
    <row r="307" spans="1:8" x14ac:dyDescent="0.3">
      <c r="A307" s="48"/>
      <c r="B307" s="7"/>
      <c r="C307" s="6"/>
      <c r="D307" s="7"/>
      <c r="E307" s="7"/>
      <c r="F307" s="7"/>
      <c r="G307" s="7"/>
      <c r="H307" s="17" t="str">
        <f t="shared" si="5"/>
        <v/>
      </c>
    </row>
    <row r="308" spans="1:8" x14ac:dyDescent="0.3">
      <c r="A308" s="48"/>
      <c r="B308" s="7"/>
      <c r="C308" s="6"/>
      <c r="D308" s="7"/>
      <c r="E308" s="7"/>
      <c r="F308" s="7"/>
      <c r="G308" s="7"/>
      <c r="H308" s="17" t="str">
        <f t="shared" si="5"/>
        <v/>
      </c>
    </row>
    <row r="309" spans="1:8" x14ac:dyDescent="0.3">
      <c r="A309" s="48"/>
      <c r="B309" s="7"/>
      <c r="C309" s="6"/>
      <c r="D309" s="7"/>
      <c r="E309" s="7"/>
      <c r="F309" s="7"/>
      <c r="G309" s="7"/>
      <c r="H309" s="17" t="str">
        <f t="shared" si="5"/>
        <v/>
      </c>
    </row>
    <row r="310" spans="1:8" x14ac:dyDescent="0.3">
      <c r="A310" s="48"/>
      <c r="B310" s="7"/>
      <c r="C310" s="6"/>
      <c r="D310" s="7"/>
      <c r="E310" s="7"/>
      <c r="F310" s="7"/>
      <c r="G310" s="7"/>
      <c r="H310" s="17" t="str">
        <f t="shared" si="5"/>
        <v/>
      </c>
    </row>
    <row r="311" spans="1:8" x14ac:dyDescent="0.3">
      <c r="A311" s="48"/>
      <c r="B311" s="7"/>
      <c r="C311" s="6"/>
      <c r="D311" s="7"/>
      <c r="E311" s="7"/>
      <c r="F311" s="7"/>
      <c r="G311" s="7"/>
      <c r="H311" s="17" t="str">
        <f t="shared" si="5"/>
        <v/>
      </c>
    </row>
    <row r="312" spans="1:8" x14ac:dyDescent="0.3">
      <c r="A312" s="48"/>
      <c r="B312" s="7"/>
      <c r="C312" s="6"/>
      <c r="D312" s="7"/>
      <c r="E312" s="7"/>
      <c r="F312" s="7"/>
      <c r="G312" s="7"/>
      <c r="H312" s="17" t="str">
        <f t="shared" ref="H312:H375" si="6">IF(A312="","",IF(A312&gt;=46232,TEXT(DATE(YEAR(A312),MONTH(A312)+1,1),"mmmm yyyy"),TEXT(DATE(YEAR(A312),MONTH(A312),1),"mmmm yyyy")))</f>
        <v/>
      </c>
    </row>
    <row r="313" spans="1:8" x14ac:dyDescent="0.3">
      <c r="A313" s="48"/>
      <c r="B313" s="7"/>
      <c r="C313" s="6"/>
      <c r="D313" s="7"/>
      <c r="E313" s="7"/>
      <c r="F313" s="7"/>
      <c r="G313" s="7"/>
      <c r="H313" s="17" t="str">
        <f t="shared" si="6"/>
        <v/>
      </c>
    </row>
    <row r="314" spans="1:8" x14ac:dyDescent="0.3">
      <c r="A314" s="48"/>
      <c r="B314" s="7"/>
      <c r="C314" s="6"/>
      <c r="D314" s="7"/>
      <c r="E314" s="7"/>
      <c r="F314" s="7"/>
      <c r="G314" s="7"/>
      <c r="H314" s="17" t="str">
        <f t="shared" si="6"/>
        <v/>
      </c>
    </row>
    <row r="315" spans="1:8" x14ac:dyDescent="0.3">
      <c r="A315" s="48"/>
      <c r="B315" s="7"/>
      <c r="C315" s="6"/>
      <c r="D315" s="7"/>
      <c r="E315" s="7"/>
      <c r="F315" s="7"/>
      <c r="G315" s="7"/>
      <c r="H315" s="17" t="str">
        <f t="shared" si="6"/>
        <v/>
      </c>
    </row>
    <row r="316" spans="1:8" x14ac:dyDescent="0.3">
      <c r="A316" s="48"/>
      <c r="B316" s="7"/>
      <c r="C316" s="6"/>
      <c r="D316" s="7"/>
      <c r="E316" s="7"/>
      <c r="F316" s="7"/>
      <c r="G316" s="7"/>
      <c r="H316" s="17" t="str">
        <f t="shared" si="6"/>
        <v/>
      </c>
    </row>
    <row r="317" spans="1:8" x14ac:dyDescent="0.3">
      <c r="A317" s="48"/>
      <c r="B317" s="7"/>
      <c r="C317" s="6"/>
      <c r="D317" s="7"/>
      <c r="E317" s="7"/>
      <c r="F317" s="7"/>
      <c r="G317" s="7"/>
      <c r="H317" s="17" t="str">
        <f t="shared" si="6"/>
        <v/>
      </c>
    </row>
    <row r="318" spans="1:8" x14ac:dyDescent="0.3">
      <c r="A318" s="48"/>
      <c r="B318" s="7"/>
      <c r="C318" s="6"/>
      <c r="D318" s="7"/>
      <c r="E318" s="7"/>
      <c r="F318" s="7"/>
      <c r="G318" s="7"/>
      <c r="H318" s="17" t="str">
        <f t="shared" si="6"/>
        <v/>
      </c>
    </row>
    <row r="319" spans="1:8" x14ac:dyDescent="0.3">
      <c r="A319" s="48"/>
      <c r="B319" s="7"/>
      <c r="C319" s="6"/>
      <c r="D319" s="7"/>
      <c r="E319" s="7"/>
      <c r="F319" s="7"/>
      <c r="G319" s="7"/>
      <c r="H319" s="17" t="str">
        <f t="shared" si="6"/>
        <v/>
      </c>
    </row>
    <row r="320" spans="1:8" x14ac:dyDescent="0.3">
      <c r="A320" s="48"/>
      <c r="B320" s="7"/>
      <c r="C320" s="6"/>
      <c r="D320" s="7"/>
      <c r="E320" s="7"/>
      <c r="F320" s="7"/>
      <c r="G320" s="7"/>
      <c r="H320" s="17" t="str">
        <f t="shared" si="6"/>
        <v/>
      </c>
    </row>
    <row r="321" spans="1:8" x14ac:dyDescent="0.3">
      <c r="A321" s="48"/>
      <c r="B321" s="7"/>
      <c r="C321" s="6"/>
      <c r="D321" s="7"/>
      <c r="E321" s="7"/>
      <c r="F321" s="7"/>
      <c r="G321" s="7"/>
      <c r="H321" s="17" t="str">
        <f t="shared" si="6"/>
        <v/>
      </c>
    </row>
    <row r="322" spans="1:8" x14ac:dyDescent="0.3">
      <c r="A322" s="48"/>
      <c r="B322" s="7"/>
      <c r="C322" s="6"/>
      <c r="D322" s="7"/>
      <c r="E322" s="7"/>
      <c r="F322" s="7"/>
      <c r="G322" s="7"/>
      <c r="H322" s="17" t="str">
        <f t="shared" si="6"/>
        <v/>
      </c>
    </row>
    <row r="323" spans="1:8" x14ac:dyDescent="0.3">
      <c r="A323" s="48"/>
      <c r="B323" s="7"/>
      <c r="C323" s="6"/>
      <c r="D323" s="7"/>
      <c r="E323" s="7"/>
      <c r="F323" s="7"/>
      <c r="G323" s="7"/>
      <c r="H323" s="17" t="str">
        <f t="shared" si="6"/>
        <v/>
      </c>
    </row>
    <row r="324" spans="1:8" x14ac:dyDescent="0.3">
      <c r="A324" s="48"/>
      <c r="B324" s="7"/>
      <c r="C324" s="6"/>
      <c r="D324" s="7"/>
      <c r="E324" s="7"/>
      <c r="F324" s="7"/>
      <c r="G324" s="7"/>
      <c r="H324" s="17" t="str">
        <f t="shared" si="6"/>
        <v/>
      </c>
    </row>
    <row r="325" spans="1:8" x14ac:dyDescent="0.3">
      <c r="A325" s="48"/>
      <c r="B325" s="7"/>
      <c r="C325" s="6"/>
      <c r="D325" s="7"/>
      <c r="E325" s="7"/>
      <c r="F325" s="7"/>
      <c r="G325" s="7"/>
      <c r="H325" s="17" t="str">
        <f t="shared" si="6"/>
        <v/>
      </c>
    </row>
    <row r="326" spans="1:8" x14ac:dyDescent="0.3">
      <c r="A326" s="48"/>
      <c r="B326" s="7"/>
      <c r="C326" s="6"/>
      <c r="D326" s="7"/>
      <c r="E326" s="7"/>
      <c r="F326" s="7"/>
      <c r="G326" s="7"/>
      <c r="H326" s="17" t="str">
        <f t="shared" si="6"/>
        <v/>
      </c>
    </row>
    <row r="327" spans="1:8" x14ac:dyDescent="0.3">
      <c r="A327" s="48"/>
      <c r="B327" s="7"/>
      <c r="C327" s="6"/>
      <c r="D327" s="7"/>
      <c r="E327" s="7"/>
      <c r="F327" s="7"/>
      <c r="G327" s="7"/>
      <c r="H327" s="17" t="str">
        <f t="shared" si="6"/>
        <v/>
      </c>
    </row>
    <row r="328" spans="1:8" x14ac:dyDescent="0.3">
      <c r="A328" s="48"/>
      <c r="B328" s="7"/>
      <c r="C328" s="6"/>
      <c r="D328" s="7"/>
      <c r="E328" s="7"/>
      <c r="F328" s="7"/>
      <c r="G328" s="7"/>
      <c r="H328" s="17" t="str">
        <f t="shared" si="6"/>
        <v/>
      </c>
    </row>
    <row r="329" spans="1:8" x14ac:dyDescent="0.3">
      <c r="A329" s="48"/>
      <c r="B329" s="7"/>
      <c r="C329" s="6"/>
      <c r="D329" s="7"/>
      <c r="E329" s="7"/>
      <c r="F329" s="7"/>
      <c r="G329" s="7"/>
      <c r="H329" s="17" t="str">
        <f t="shared" si="6"/>
        <v/>
      </c>
    </row>
    <row r="330" spans="1:8" x14ac:dyDescent="0.3">
      <c r="A330" s="48"/>
      <c r="B330" s="7"/>
      <c r="C330" s="6"/>
      <c r="D330" s="7"/>
      <c r="E330" s="7"/>
      <c r="F330" s="7"/>
      <c r="G330" s="7"/>
      <c r="H330" s="17" t="str">
        <f t="shared" si="6"/>
        <v/>
      </c>
    </row>
    <row r="331" spans="1:8" x14ac:dyDescent="0.3">
      <c r="A331" s="48"/>
      <c r="B331" s="7"/>
      <c r="C331" s="6"/>
      <c r="D331" s="7"/>
      <c r="E331" s="7"/>
      <c r="F331" s="7"/>
      <c r="G331" s="7"/>
      <c r="H331" s="17" t="str">
        <f t="shared" si="6"/>
        <v/>
      </c>
    </row>
    <row r="332" spans="1:8" x14ac:dyDescent="0.3">
      <c r="A332" s="48"/>
      <c r="B332" s="7"/>
      <c r="C332" s="6"/>
      <c r="D332" s="7"/>
      <c r="E332" s="7"/>
      <c r="F332" s="7"/>
      <c r="G332" s="7"/>
      <c r="H332" s="17" t="str">
        <f t="shared" si="6"/>
        <v/>
      </c>
    </row>
    <row r="333" spans="1:8" x14ac:dyDescent="0.3">
      <c r="A333" s="48"/>
      <c r="B333" s="7"/>
      <c r="C333" s="6"/>
      <c r="D333" s="7"/>
      <c r="E333" s="7"/>
      <c r="F333" s="7"/>
      <c r="G333" s="7"/>
      <c r="H333" s="17" t="str">
        <f t="shared" si="6"/>
        <v/>
      </c>
    </row>
    <row r="334" spans="1:8" x14ac:dyDescent="0.3">
      <c r="A334" s="48"/>
      <c r="B334" s="7"/>
      <c r="C334" s="6"/>
      <c r="D334" s="7"/>
      <c r="E334" s="7"/>
      <c r="F334" s="7"/>
      <c r="G334" s="7"/>
      <c r="H334" s="17" t="str">
        <f t="shared" si="6"/>
        <v/>
      </c>
    </row>
    <row r="335" spans="1:8" x14ac:dyDescent="0.3">
      <c r="A335" s="48"/>
      <c r="B335" s="7"/>
      <c r="C335" s="6"/>
      <c r="D335" s="7"/>
      <c r="E335" s="7"/>
      <c r="F335" s="7"/>
      <c r="G335" s="7"/>
      <c r="H335" s="17" t="str">
        <f t="shared" si="6"/>
        <v/>
      </c>
    </row>
    <row r="336" spans="1:8" x14ac:dyDescent="0.3">
      <c r="A336" s="48"/>
      <c r="B336" s="7"/>
      <c r="C336" s="6"/>
      <c r="D336" s="7"/>
      <c r="E336" s="7"/>
      <c r="F336" s="7"/>
      <c r="G336" s="7"/>
      <c r="H336" s="17" t="str">
        <f t="shared" si="6"/>
        <v/>
      </c>
    </row>
    <row r="337" spans="1:8" x14ac:dyDescent="0.3">
      <c r="A337" s="48"/>
      <c r="B337" s="7"/>
      <c r="C337" s="6"/>
      <c r="D337" s="7"/>
      <c r="E337" s="7"/>
      <c r="F337" s="7"/>
      <c r="G337" s="7"/>
      <c r="H337" s="17" t="str">
        <f t="shared" si="6"/>
        <v/>
      </c>
    </row>
    <row r="338" spans="1:8" x14ac:dyDescent="0.3">
      <c r="A338" s="48"/>
      <c r="B338" s="7"/>
      <c r="C338" s="6"/>
      <c r="D338" s="7"/>
      <c r="E338" s="7"/>
      <c r="F338" s="7"/>
      <c r="G338" s="7"/>
      <c r="H338" s="17" t="str">
        <f t="shared" si="6"/>
        <v/>
      </c>
    </row>
    <row r="339" spans="1:8" x14ac:dyDescent="0.3">
      <c r="A339" s="48"/>
      <c r="B339" s="7"/>
      <c r="C339" s="6"/>
      <c r="D339" s="7"/>
      <c r="E339" s="7"/>
      <c r="F339" s="7"/>
      <c r="G339" s="7"/>
      <c r="H339" s="17" t="str">
        <f t="shared" si="6"/>
        <v/>
      </c>
    </row>
    <row r="340" spans="1:8" x14ac:dyDescent="0.3">
      <c r="A340" s="48"/>
      <c r="B340" s="7"/>
      <c r="C340" s="6"/>
      <c r="D340" s="7"/>
      <c r="E340" s="7"/>
      <c r="F340" s="7"/>
      <c r="G340" s="7"/>
      <c r="H340" s="17" t="str">
        <f t="shared" si="6"/>
        <v/>
      </c>
    </row>
    <row r="341" spans="1:8" x14ac:dyDescent="0.3">
      <c r="A341" s="48"/>
      <c r="B341" s="7"/>
      <c r="C341" s="6"/>
      <c r="D341" s="7"/>
      <c r="E341" s="7"/>
      <c r="F341" s="7"/>
      <c r="G341" s="7"/>
      <c r="H341" s="17" t="str">
        <f t="shared" si="6"/>
        <v/>
      </c>
    </row>
    <row r="342" spans="1:8" x14ac:dyDescent="0.3">
      <c r="A342" s="48"/>
      <c r="B342" s="7"/>
      <c r="C342" s="6"/>
      <c r="D342" s="7"/>
      <c r="E342" s="7"/>
      <c r="F342" s="7"/>
      <c r="G342" s="7"/>
      <c r="H342" s="17" t="str">
        <f t="shared" si="6"/>
        <v/>
      </c>
    </row>
    <row r="343" spans="1:8" x14ac:dyDescent="0.3">
      <c r="A343" s="48"/>
      <c r="B343" s="7"/>
      <c r="C343" s="6"/>
      <c r="D343" s="7"/>
      <c r="E343" s="7"/>
      <c r="F343" s="7"/>
      <c r="G343" s="7"/>
      <c r="H343" s="17" t="str">
        <f t="shared" si="6"/>
        <v/>
      </c>
    </row>
    <row r="344" spans="1:8" x14ac:dyDescent="0.3">
      <c r="A344" s="48"/>
      <c r="B344" s="7"/>
      <c r="C344" s="6"/>
      <c r="D344" s="7"/>
      <c r="E344" s="7"/>
      <c r="F344" s="7"/>
      <c r="G344" s="7"/>
      <c r="H344" s="17" t="str">
        <f t="shared" si="6"/>
        <v/>
      </c>
    </row>
    <row r="345" spans="1:8" x14ac:dyDescent="0.3">
      <c r="A345" s="48"/>
      <c r="B345" s="7"/>
      <c r="C345" s="6"/>
      <c r="D345" s="7"/>
      <c r="E345" s="7"/>
      <c r="F345" s="7"/>
      <c r="G345" s="7"/>
      <c r="H345" s="17" t="str">
        <f t="shared" si="6"/>
        <v/>
      </c>
    </row>
    <row r="346" spans="1:8" x14ac:dyDescent="0.3">
      <c r="A346" s="48"/>
      <c r="B346" s="7"/>
      <c r="C346" s="6"/>
      <c r="D346" s="7"/>
      <c r="E346" s="7"/>
      <c r="F346" s="7"/>
      <c r="G346" s="7"/>
      <c r="H346" s="17" t="str">
        <f t="shared" si="6"/>
        <v/>
      </c>
    </row>
    <row r="347" spans="1:8" x14ac:dyDescent="0.3">
      <c r="A347" s="48"/>
      <c r="B347" s="7"/>
      <c r="C347" s="6"/>
      <c r="D347" s="7"/>
      <c r="E347" s="7"/>
      <c r="F347" s="7"/>
      <c r="G347" s="7"/>
      <c r="H347" s="17" t="str">
        <f t="shared" si="6"/>
        <v/>
      </c>
    </row>
    <row r="348" spans="1:8" x14ac:dyDescent="0.3">
      <c r="A348" s="48"/>
      <c r="B348" s="7"/>
      <c r="C348" s="6"/>
      <c r="D348" s="7"/>
      <c r="E348" s="7"/>
      <c r="F348" s="7"/>
      <c r="G348" s="7"/>
      <c r="H348" s="17" t="str">
        <f t="shared" si="6"/>
        <v/>
      </c>
    </row>
    <row r="349" spans="1:8" x14ac:dyDescent="0.3">
      <c r="A349" s="48"/>
      <c r="B349" s="7"/>
      <c r="C349" s="6"/>
      <c r="D349" s="7"/>
      <c r="E349" s="7"/>
      <c r="F349" s="7"/>
      <c r="G349" s="7"/>
      <c r="H349" s="17" t="str">
        <f t="shared" si="6"/>
        <v/>
      </c>
    </row>
    <row r="350" spans="1:8" x14ac:dyDescent="0.3">
      <c r="A350" s="48"/>
      <c r="B350" s="7"/>
      <c r="C350" s="6"/>
      <c r="D350" s="7"/>
      <c r="E350" s="7"/>
      <c r="F350" s="7"/>
      <c r="G350" s="7"/>
      <c r="H350" s="17" t="str">
        <f t="shared" si="6"/>
        <v/>
      </c>
    </row>
    <row r="351" spans="1:8" x14ac:dyDescent="0.3">
      <c r="A351" s="48"/>
      <c r="B351" s="7"/>
      <c r="C351" s="6"/>
      <c r="D351" s="7"/>
      <c r="E351" s="7"/>
      <c r="F351" s="7"/>
      <c r="G351" s="7"/>
      <c r="H351" s="17" t="str">
        <f t="shared" si="6"/>
        <v/>
      </c>
    </row>
    <row r="352" spans="1:8" x14ac:dyDescent="0.3">
      <c r="A352" s="48"/>
      <c r="B352" s="7"/>
      <c r="C352" s="6"/>
      <c r="D352" s="7"/>
      <c r="E352" s="7"/>
      <c r="F352" s="7"/>
      <c r="G352" s="7"/>
      <c r="H352" s="17" t="str">
        <f t="shared" si="6"/>
        <v/>
      </c>
    </row>
    <row r="353" spans="1:8" x14ac:dyDescent="0.3">
      <c r="A353" s="48"/>
      <c r="B353" s="7"/>
      <c r="C353" s="6"/>
      <c r="D353" s="7"/>
      <c r="E353" s="7"/>
      <c r="F353" s="7"/>
      <c r="G353" s="7"/>
      <c r="H353" s="17" t="str">
        <f t="shared" si="6"/>
        <v/>
      </c>
    </row>
    <row r="354" spans="1:8" x14ac:dyDescent="0.3">
      <c r="A354" s="48"/>
      <c r="B354" s="7"/>
      <c r="C354" s="6"/>
      <c r="D354" s="7"/>
      <c r="E354" s="7"/>
      <c r="F354" s="7"/>
      <c r="G354" s="7"/>
      <c r="H354" s="17" t="str">
        <f t="shared" si="6"/>
        <v/>
      </c>
    </row>
    <row r="355" spans="1:8" x14ac:dyDescent="0.3">
      <c r="A355" s="48"/>
      <c r="B355" s="7"/>
      <c r="C355" s="6"/>
      <c r="D355" s="7"/>
      <c r="E355" s="7"/>
      <c r="F355" s="7"/>
      <c r="G355" s="7"/>
      <c r="H355" s="17" t="str">
        <f t="shared" si="6"/>
        <v/>
      </c>
    </row>
    <row r="356" spans="1:8" x14ac:dyDescent="0.3">
      <c r="A356" s="48"/>
      <c r="B356" s="7"/>
      <c r="C356" s="6"/>
      <c r="D356" s="7"/>
      <c r="E356" s="7"/>
      <c r="F356" s="7"/>
      <c r="G356" s="7"/>
      <c r="H356" s="17" t="str">
        <f t="shared" si="6"/>
        <v/>
      </c>
    </row>
    <row r="357" spans="1:8" x14ac:dyDescent="0.3">
      <c r="A357" s="48"/>
      <c r="B357" s="7"/>
      <c r="C357" s="6"/>
      <c r="D357" s="7"/>
      <c r="E357" s="7"/>
      <c r="F357" s="7"/>
      <c r="G357" s="7"/>
      <c r="H357" s="17" t="str">
        <f t="shared" si="6"/>
        <v/>
      </c>
    </row>
    <row r="358" spans="1:8" x14ac:dyDescent="0.3">
      <c r="A358" s="48"/>
      <c r="B358" s="7"/>
      <c r="C358" s="6"/>
      <c r="D358" s="7"/>
      <c r="E358" s="7"/>
      <c r="F358" s="7"/>
      <c r="G358" s="7"/>
      <c r="H358" s="17" t="str">
        <f t="shared" si="6"/>
        <v/>
      </c>
    </row>
    <row r="359" spans="1:8" x14ac:dyDescent="0.3">
      <c r="A359" s="48"/>
      <c r="B359" s="7"/>
      <c r="C359" s="6"/>
      <c r="D359" s="7"/>
      <c r="E359" s="7"/>
      <c r="F359" s="7"/>
      <c r="G359" s="7"/>
      <c r="H359" s="17" t="str">
        <f t="shared" si="6"/>
        <v/>
      </c>
    </row>
    <row r="360" spans="1:8" x14ac:dyDescent="0.3">
      <c r="A360" s="48"/>
      <c r="B360" s="7"/>
      <c r="C360" s="6"/>
      <c r="D360" s="7"/>
      <c r="E360" s="7"/>
      <c r="F360" s="7"/>
      <c r="G360" s="7"/>
      <c r="H360" s="17" t="str">
        <f t="shared" si="6"/>
        <v/>
      </c>
    </row>
    <row r="361" spans="1:8" x14ac:dyDescent="0.3">
      <c r="A361" s="48"/>
      <c r="B361" s="7"/>
      <c r="C361" s="6"/>
      <c r="D361" s="7"/>
      <c r="E361" s="7"/>
      <c r="F361" s="7"/>
      <c r="G361" s="7"/>
      <c r="H361" s="17" t="str">
        <f t="shared" si="6"/>
        <v/>
      </c>
    </row>
    <row r="362" spans="1:8" x14ac:dyDescent="0.3">
      <c r="A362" s="48"/>
      <c r="B362" s="7"/>
      <c r="C362" s="6"/>
      <c r="D362" s="7"/>
      <c r="E362" s="7"/>
      <c r="F362" s="7"/>
      <c r="G362" s="7"/>
      <c r="H362" s="17" t="str">
        <f t="shared" si="6"/>
        <v/>
      </c>
    </row>
    <row r="363" spans="1:8" x14ac:dyDescent="0.3">
      <c r="A363" s="48"/>
      <c r="B363" s="7"/>
      <c r="C363" s="6"/>
      <c r="D363" s="7"/>
      <c r="E363" s="7"/>
      <c r="F363" s="7"/>
      <c r="G363" s="7"/>
      <c r="H363" s="17" t="str">
        <f t="shared" si="6"/>
        <v/>
      </c>
    </row>
    <row r="364" spans="1:8" x14ac:dyDescent="0.3">
      <c r="A364" s="48"/>
      <c r="B364" s="7"/>
      <c r="C364" s="6"/>
      <c r="D364" s="7"/>
      <c r="E364" s="7"/>
      <c r="F364" s="7"/>
      <c r="G364" s="7"/>
      <c r="H364" s="17" t="str">
        <f t="shared" si="6"/>
        <v/>
      </c>
    </row>
    <row r="365" spans="1:8" x14ac:dyDescent="0.3">
      <c r="A365" s="48"/>
      <c r="B365" s="7"/>
      <c r="C365" s="6"/>
      <c r="D365" s="7"/>
      <c r="E365" s="7"/>
      <c r="F365" s="7"/>
      <c r="G365" s="7"/>
      <c r="H365" s="17" t="str">
        <f t="shared" si="6"/>
        <v/>
      </c>
    </row>
    <row r="366" spans="1:8" x14ac:dyDescent="0.3">
      <c r="A366" s="48"/>
      <c r="B366" s="7"/>
      <c r="C366" s="6"/>
      <c r="D366" s="7"/>
      <c r="E366" s="7"/>
      <c r="F366" s="7"/>
      <c r="G366" s="7"/>
      <c r="H366" s="17" t="str">
        <f t="shared" si="6"/>
        <v/>
      </c>
    </row>
    <row r="367" spans="1:8" x14ac:dyDescent="0.3">
      <c r="A367" s="48"/>
      <c r="B367" s="7"/>
      <c r="C367" s="6"/>
      <c r="D367" s="7"/>
      <c r="E367" s="7"/>
      <c r="F367" s="7"/>
      <c r="G367" s="7"/>
      <c r="H367" s="17" t="str">
        <f t="shared" si="6"/>
        <v/>
      </c>
    </row>
    <row r="368" spans="1:8" x14ac:dyDescent="0.3">
      <c r="A368" s="48"/>
      <c r="B368" s="7"/>
      <c r="C368" s="6"/>
      <c r="D368" s="7"/>
      <c r="E368" s="7"/>
      <c r="F368" s="7"/>
      <c r="G368" s="7"/>
      <c r="H368" s="17" t="str">
        <f t="shared" si="6"/>
        <v/>
      </c>
    </row>
    <row r="369" spans="1:8" x14ac:dyDescent="0.3">
      <c r="A369" s="48"/>
      <c r="B369" s="7"/>
      <c r="C369" s="6"/>
      <c r="D369" s="7"/>
      <c r="E369" s="7"/>
      <c r="F369" s="7"/>
      <c r="G369" s="7"/>
      <c r="H369" s="17" t="str">
        <f t="shared" si="6"/>
        <v/>
      </c>
    </row>
    <row r="370" spans="1:8" x14ac:dyDescent="0.3">
      <c r="A370" s="48"/>
      <c r="B370" s="7"/>
      <c r="C370" s="6"/>
      <c r="D370" s="7"/>
      <c r="E370" s="7"/>
      <c r="F370" s="7"/>
      <c r="G370" s="7"/>
      <c r="H370" s="17" t="str">
        <f t="shared" si="6"/>
        <v/>
      </c>
    </row>
    <row r="371" spans="1:8" x14ac:dyDescent="0.3">
      <c r="A371" s="48"/>
      <c r="B371" s="7"/>
      <c r="C371" s="6"/>
      <c r="D371" s="7"/>
      <c r="E371" s="7"/>
      <c r="F371" s="7"/>
      <c r="G371" s="7"/>
      <c r="H371" s="17" t="str">
        <f t="shared" si="6"/>
        <v/>
      </c>
    </row>
    <row r="372" spans="1:8" x14ac:dyDescent="0.3">
      <c r="A372" s="48"/>
      <c r="B372" s="7"/>
      <c r="C372" s="6"/>
      <c r="D372" s="7"/>
      <c r="E372" s="7"/>
      <c r="F372" s="7"/>
      <c r="G372" s="7"/>
      <c r="H372" s="17" t="str">
        <f t="shared" si="6"/>
        <v/>
      </c>
    </row>
    <row r="373" spans="1:8" x14ac:dyDescent="0.3">
      <c r="A373" s="48"/>
      <c r="B373" s="7"/>
      <c r="C373" s="6"/>
      <c r="D373" s="7"/>
      <c r="E373" s="7"/>
      <c r="F373" s="7"/>
      <c r="G373" s="7"/>
      <c r="H373" s="17" t="str">
        <f t="shared" si="6"/>
        <v/>
      </c>
    </row>
    <row r="374" spans="1:8" x14ac:dyDescent="0.3">
      <c r="A374" s="48"/>
      <c r="B374" s="7"/>
      <c r="C374" s="6"/>
      <c r="D374" s="7"/>
      <c r="E374" s="7"/>
      <c r="F374" s="7"/>
      <c r="G374" s="7"/>
      <c r="H374" s="17" t="str">
        <f t="shared" si="6"/>
        <v/>
      </c>
    </row>
    <row r="375" spans="1:8" x14ac:dyDescent="0.3">
      <c r="A375" s="48"/>
      <c r="B375" s="7"/>
      <c r="C375" s="6"/>
      <c r="D375" s="7"/>
      <c r="E375" s="7"/>
      <c r="F375" s="7"/>
      <c r="G375" s="7"/>
      <c r="H375" s="17" t="str">
        <f t="shared" si="6"/>
        <v/>
      </c>
    </row>
    <row r="376" spans="1:8" x14ac:dyDescent="0.3">
      <c r="A376" s="48"/>
      <c r="B376" s="7"/>
      <c r="C376" s="6"/>
      <c r="D376" s="7"/>
      <c r="E376" s="7"/>
      <c r="F376" s="7"/>
      <c r="G376" s="7"/>
      <c r="H376" s="17" t="str">
        <f t="shared" ref="H376:H439" si="7">IF(A376="","",IF(A376&gt;=46232,TEXT(DATE(YEAR(A376),MONTH(A376)+1,1),"mmmm yyyy"),TEXT(DATE(YEAR(A376),MONTH(A376),1),"mmmm yyyy")))</f>
        <v/>
      </c>
    </row>
    <row r="377" spans="1:8" x14ac:dyDescent="0.3">
      <c r="A377" s="48"/>
      <c r="B377" s="7"/>
      <c r="C377" s="6"/>
      <c r="D377" s="7"/>
      <c r="E377" s="7"/>
      <c r="F377" s="7"/>
      <c r="G377" s="7"/>
      <c r="H377" s="17" t="str">
        <f t="shared" si="7"/>
        <v/>
      </c>
    </row>
    <row r="378" spans="1:8" x14ac:dyDescent="0.3">
      <c r="A378" s="48"/>
      <c r="B378" s="7"/>
      <c r="C378" s="6"/>
      <c r="D378" s="7"/>
      <c r="E378" s="7"/>
      <c r="F378" s="7"/>
      <c r="G378" s="7"/>
      <c r="H378" s="17" t="str">
        <f t="shared" si="7"/>
        <v/>
      </c>
    </row>
    <row r="379" spans="1:8" x14ac:dyDescent="0.3">
      <c r="A379" s="48"/>
      <c r="B379" s="7"/>
      <c r="C379" s="6"/>
      <c r="D379" s="7"/>
      <c r="E379" s="7"/>
      <c r="F379" s="7"/>
      <c r="G379" s="7"/>
      <c r="H379" s="17" t="str">
        <f t="shared" si="7"/>
        <v/>
      </c>
    </row>
    <row r="380" spans="1:8" x14ac:dyDescent="0.3">
      <c r="A380" s="48"/>
      <c r="B380" s="7"/>
      <c r="C380" s="6"/>
      <c r="D380" s="7"/>
      <c r="E380" s="7"/>
      <c r="F380" s="7"/>
      <c r="G380" s="7"/>
      <c r="H380" s="17" t="str">
        <f t="shared" si="7"/>
        <v/>
      </c>
    </row>
    <row r="381" spans="1:8" x14ac:dyDescent="0.3">
      <c r="A381" s="48"/>
      <c r="B381" s="7"/>
      <c r="C381" s="6"/>
      <c r="D381" s="7"/>
      <c r="E381" s="7"/>
      <c r="F381" s="7"/>
      <c r="G381" s="7"/>
      <c r="H381" s="17" t="str">
        <f t="shared" si="7"/>
        <v/>
      </c>
    </row>
    <row r="382" spans="1:8" x14ac:dyDescent="0.3">
      <c r="A382" s="48"/>
      <c r="B382" s="7"/>
      <c r="C382" s="6"/>
      <c r="D382" s="7"/>
      <c r="E382" s="7"/>
      <c r="F382" s="7"/>
      <c r="G382" s="7"/>
      <c r="H382" s="17" t="str">
        <f t="shared" si="7"/>
        <v/>
      </c>
    </row>
    <row r="383" spans="1:8" x14ac:dyDescent="0.3">
      <c r="A383" s="48"/>
      <c r="B383" s="7"/>
      <c r="C383" s="6"/>
      <c r="D383" s="7"/>
      <c r="E383" s="7"/>
      <c r="F383" s="7"/>
      <c r="G383" s="7"/>
      <c r="H383" s="17" t="str">
        <f t="shared" si="7"/>
        <v/>
      </c>
    </row>
    <row r="384" spans="1:8" x14ac:dyDescent="0.3">
      <c r="A384" s="48"/>
      <c r="B384" s="7"/>
      <c r="C384" s="6"/>
      <c r="D384" s="7"/>
      <c r="E384" s="7"/>
      <c r="F384" s="7"/>
      <c r="G384" s="7"/>
      <c r="H384" s="17" t="str">
        <f t="shared" si="7"/>
        <v/>
      </c>
    </row>
    <row r="385" spans="1:8" x14ac:dyDescent="0.3">
      <c r="A385" s="48"/>
      <c r="B385" s="7"/>
      <c r="C385" s="6"/>
      <c r="D385" s="7"/>
      <c r="E385" s="7"/>
      <c r="F385" s="7"/>
      <c r="G385" s="7"/>
      <c r="H385" s="17" t="str">
        <f t="shared" si="7"/>
        <v/>
      </c>
    </row>
    <row r="386" spans="1:8" x14ac:dyDescent="0.3">
      <c r="A386" s="48"/>
      <c r="B386" s="7"/>
      <c r="C386" s="6"/>
      <c r="D386" s="7"/>
      <c r="E386" s="7"/>
      <c r="F386" s="7"/>
      <c r="G386" s="7"/>
      <c r="H386" s="17" t="str">
        <f t="shared" si="7"/>
        <v/>
      </c>
    </row>
    <row r="387" spans="1:8" x14ac:dyDescent="0.3">
      <c r="A387" s="48"/>
      <c r="B387" s="7"/>
      <c r="C387" s="6"/>
      <c r="D387" s="7"/>
      <c r="E387" s="7"/>
      <c r="F387" s="7"/>
      <c r="G387" s="7"/>
      <c r="H387" s="17" t="str">
        <f t="shared" si="7"/>
        <v/>
      </c>
    </row>
    <row r="388" spans="1:8" x14ac:dyDescent="0.3">
      <c r="A388" s="48"/>
      <c r="B388" s="7"/>
      <c r="C388" s="6"/>
      <c r="D388" s="7"/>
      <c r="E388" s="7"/>
      <c r="F388" s="7"/>
      <c r="G388" s="7"/>
      <c r="H388" s="17" t="str">
        <f t="shared" si="7"/>
        <v/>
      </c>
    </row>
    <row r="389" spans="1:8" x14ac:dyDescent="0.3">
      <c r="A389" s="48"/>
      <c r="B389" s="7"/>
      <c r="C389" s="6"/>
      <c r="D389" s="7"/>
      <c r="E389" s="7"/>
      <c r="F389" s="7"/>
      <c r="G389" s="7"/>
      <c r="H389" s="17" t="str">
        <f t="shared" si="7"/>
        <v/>
      </c>
    </row>
    <row r="390" spans="1:8" x14ac:dyDescent="0.3">
      <c r="A390" s="48"/>
      <c r="B390" s="7"/>
      <c r="C390" s="6"/>
      <c r="D390" s="7"/>
      <c r="E390" s="7"/>
      <c r="F390" s="7"/>
      <c r="G390" s="7"/>
      <c r="H390" s="17" t="str">
        <f t="shared" si="7"/>
        <v/>
      </c>
    </row>
    <row r="391" spans="1:8" x14ac:dyDescent="0.3">
      <c r="A391" s="48"/>
      <c r="B391" s="7"/>
      <c r="C391" s="6"/>
      <c r="D391" s="7"/>
      <c r="E391" s="7"/>
      <c r="F391" s="7"/>
      <c r="G391" s="7"/>
      <c r="H391" s="17" t="str">
        <f t="shared" si="7"/>
        <v/>
      </c>
    </row>
    <row r="392" spans="1:8" x14ac:dyDescent="0.3">
      <c r="A392" s="48"/>
      <c r="B392" s="7"/>
      <c r="C392" s="6"/>
      <c r="D392" s="7"/>
      <c r="E392" s="7"/>
      <c r="F392" s="7"/>
      <c r="G392" s="7"/>
      <c r="H392" s="17" t="str">
        <f t="shared" si="7"/>
        <v/>
      </c>
    </row>
    <row r="393" spans="1:8" x14ac:dyDescent="0.3">
      <c r="A393" s="48"/>
      <c r="B393" s="7"/>
      <c r="C393" s="6"/>
      <c r="D393" s="7"/>
      <c r="E393" s="7"/>
      <c r="F393" s="7"/>
      <c r="G393" s="7"/>
      <c r="H393" s="17" t="str">
        <f t="shared" si="7"/>
        <v/>
      </c>
    </row>
    <row r="394" spans="1:8" x14ac:dyDescent="0.3">
      <c r="A394" s="48"/>
      <c r="B394" s="7"/>
      <c r="C394" s="6"/>
      <c r="D394" s="7"/>
      <c r="E394" s="7"/>
      <c r="F394" s="7"/>
      <c r="G394" s="7"/>
      <c r="H394" s="17" t="str">
        <f t="shared" si="7"/>
        <v/>
      </c>
    </row>
    <row r="395" spans="1:8" x14ac:dyDescent="0.3">
      <c r="A395" s="48"/>
      <c r="B395" s="7"/>
      <c r="C395" s="6"/>
      <c r="D395" s="7"/>
      <c r="E395" s="7"/>
      <c r="F395" s="7"/>
      <c r="G395" s="7"/>
      <c r="H395" s="17" t="str">
        <f t="shared" si="7"/>
        <v/>
      </c>
    </row>
    <row r="396" spans="1:8" x14ac:dyDescent="0.3">
      <c r="A396" s="48"/>
      <c r="B396" s="7"/>
      <c r="C396" s="6"/>
      <c r="D396" s="7"/>
      <c r="E396" s="7"/>
      <c r="F396" s="7"/>
      <c r="G396" s="7"/>
      <c r="H396" s="17" t="str">
        <f t="shared" si="7"/>
        <v/>
      </c>
    </row>
    <row r="397" spans="1:8" x14ac:dyDescent="0.3">
      <c r="A397" s="48"/>
      <c r="B397" s="7"/>
      <c r="C397" s="6"/>
      <c r="D397" s="7"/>
      <c r="E397" s="7"/>
      <c r="F397" s="7"/>
      <c r="G397" s="7"/>
      <c r="H397" s="17" t="str">
        <f t="shared" si="7"/>
        <v/>
      </c>
    </row>
    <row r="398" spans="1:8" x14ac:dyDescent="0.3">
      <c r="A398" s="48"/>
      <c r="B398" s="7"/>
      <c r="C398" s="6"/>
      <c r="D398" s="7"/>
      <c r="E398" s="7"/>
      <c r="F398" s="7"/>
      <c r="G398" s="7"/>
      <c r="H398" s="17" t="str">
        <f t="shared" si="7"/>
        <v/>
      </c>
    </row>
    <row r="399" spans="1:8" x14ac:dyDescent="0.3">
      <c r="A399" s="48"/>
      <c r="B399" s="7"/>
      <c r="C399" s="6"/>
      <c r="D399" s="7"/>
      <c r="E399" s="7"/>
      <c r="F399" s="7"/>
      <c r="G399" s="7"/>
      <c r="H399" s="17" t="str">
        <f t="shared" si="7"/>
        <v/>
      </c>
    </row>
    <row r="400" spans="1:8" x14ac:dyDescent="0.3">
      <c r="A400" s="48"/>
      <c r="B400" s="7"/>
      <c r="C400" s="6"/>
      <c r="D400" s="7"/>
      <c r="E400" s="7"/>
      <c r="F400" s="7"/>
      <c r="G400" s="7"/>
      <c r="H400" s="17" t="str">
        <f t="shared" si="7"/>
        <v/>
      </c>
    </row>
    <row r="401" spans="1:8" x14ac:dyDescent="0.3">
      <c r="A401" s="48"/>
      <c r="B401" s="7"/>
      <c r="C401" s="6"/>
      <c r="D401" s="7"/>
      <c r="E401" s="7"/>
      <c r="F401" s="7"/>
      <c r="G401" s="7"/>
      <c r="H401" s="17" t="str">
        <f t="shared" si="7"/>
        <v/>
      </c>
    </row>
    <row r="402" spans="1:8" x14ac:dyDescent="0.3">
      <c r="A402" s="48"/>
      <c r="B402" s="7"/>
      <c r="C402" s="6"/>
      <c r="D402" s="7"/>
      <c r="E402" s="7"/>
      <c r="F402" s="7"/>
      <c r="G402" s="7"/>
      <c r="H402" s="17" t="str">
        <f t="shared" si="7"/>
        <v/>
      </c>
    </row>
    <row r="403" spans="1:8" x14ac:dyDescent="0.3">
      <c r="A403" s="48"/>
      <c r="B403" s="7"/>
      <c r="C403" s="6"/>
      <c r="D403" s="7"/>
      <c r="E403" s="7"/>
      <c r="F403" s="7"/>
      <c r="G403" s="7"/>
      <c r="H403" s="17" t="str">
        <f t="shared" si="7"/>
        <v/>
      </c>
    </row>
    <row r="404" spans="1:8" x14ac:dyDescent="0.3">
      <c r="A404" s="48"/>
      <c r="B404" s="7"/>
      <c r="C404" s="6"/>
      <c r="D404" s="7"/>
      <c r="E404" s="7"/>
      <c r="F404" s="7"/>
      <c r="G404" s="7"/>
      <c r="H404" s="17" t="str">
        <f t="shared" si="7"/>
        <v/>
      </c>
    </row>
    <row r="405" spans="1:8" x14ac:dyDescent="0.3">
      <c r="A405" s="48"/>
      <c r="B405" s="7"/>
      <c r="C405" s="6"/>
      <c r="D405" s="7"/>
      <c r="E405" s="7"/>
      <c r="F405" s="7"/>
      <c r="G405" s="7"/>
      <c r="H405" s="17" t="str">
        <f t="shared" si="7"/>
        <v/>
      </c>
    </row>
    <row r="406" spans="1:8" x14ac:dyDescent="0.3">
      <c r="A406" s="48"/>
      <c r="B406" s="7"/>
      <c r="C406" s="6"/>
      <c r="D406" s="7"/>
      <c r="E406" s="7"/>
      <c r="F406" s="7"/>
      <c r="G406" s="7"/>
      <c r="H406" s="17" t="str">
        <f t="shared" si="7"/>
        <v/>
      </c>
    </row>
    <row r="407" spans="1:8" x14ac:dyDescent="0.3">
      <c r="A407" s="48"/>
      <c r="B407" s="7"/>
      <c r="C407" s="6"/>
      <c r="D407" s="7"/>
      <c r="E407" s="7"/>
      <c r="F407" s="7"/>
      <c r="G407" s="7"/>
      <c r="H407" s="17" t="str">
        <f t="shared" si="7"/>
        <v/>
      </c>
    </row>
    <row r="408" spans="1:8" x14ac:dyDescent="0.3">
      <c r="A408" s="48"/>
      <c r="B408" s="7"/>
      <c r="C408" s="6"/>
      <c r="D408" s="7"/>
      <c r="E408" s="7"/>
      <c r="F408" s="7"/>
      <c r="G408" s="7"/>
      <c r="H408" s="17" t="str">
        <f t="shared" si="7"/>
        <v/>
      </c>
    </row>
    <row r="409" spans="1:8" x14ac:dyDescent="0.3">
      <c r="A409" s="48"/>
      <c r="B409" s="7"/>
      <c r="C409" s="6"/>
      <c r="D409" s="7"/>
      <c r="E409" s="7"/>
      <c r="F409" s="7"/>
      <c r="G409" s="7"/>
      <c r="H409" s="17" t="str">
        <f t="shared" si="7"/>
        <v/>
      </c>
    </row>
    <row r="410" spans="1:8" x14ac:dyDescent="0.3">
      <c r="A410" s="48"/>
      <c r="B410" s="7"/>
      <c r="C410" s="6"/>
      <c r="D410" s="7"/>
      <c r="E410" s="7"/>
      <c r="F410" s="7"/>
      <c r="G410" s="7"/>
      <c r="H410" s="17" t="str">
        <f t="shared" si="7"/>
        <v/>
      </c>
    </row>
    <row r="411" spans="1:8" x14ac:dyDescent="0.3">
      <c r="A411" s="48"/>
      <c r="B411" s="7"/>
      <c r="C411" s="6"/>
      <c r="D411" s="7"/>
      <c r="E411" s="7"/>
      <c r="F411" s="7"/>
      <c r="G411" s="7"/>
      <c r="H411" s="17" t="str">
        <f t="shared" si="7"/>
        <v/>
      </c>
    </row>
    <row r="412" spans="1:8" x14ac:dyDescent="0.3">
      <c r="A412" s="48"/>
      <c r="B412" s="7"/>
      <c r="C412" s="6"/>
      <c r="D412" s="7"/>
      <c r="E412" s="7"/>
      <c r="F412" s="7"/>
      <c r="G412" s="7"/>
      <c r="H412" s="17" t="str">
        <f t="shared" si="7"/>
        <v/>
      </c>
    </row>
    <row r="413" spans="1:8" x14ac:dyDescent="0.3">
      <c r="A413" s="48"/>
      <c r="B413" s="7"/>
      <c r="C413" s="6"/>
      <c r="D413" s="7"/>
      <c r="E413" s="7"/>
      <c r="F413" s="7"/>
      <c r="G413" s="7"/>
      <c r="H413" s="17" t="str">
        <f t="shared" si="7"/>
        <v/>
      </c>
    </row>
    <row r="414" spans="1:8" x14ac:dyDescent="0.3">
      <c r="A414" s="48"/>
      <c r="B414" s="7"/>
      <c r="C414" s="6"/>
      <c r="D414" s="7"/>
      <c r="E414" s="7"/>
      <c r="F414" s="7"/>
      <c r="G414" s="7"/>
      <c r="H414" s="17" t="str">
        <f t="shared" si="7"/>
        <v/>
      </c>
    </row>
    <row r="415" spans="1:8" x14ac:dyDescent="0.3">
      <c r="A415" s="48"/>
      <c r="B415" s="7"/>
      <c r="C415" s="6"/>
      <c r="D415" s="7"/>
      <c r="E415" s="7"/>
      <c r="F415" s="7"/>
      <c r="G415" s="7"/>
      <c r="H415" s="17" t="str">
        <f t="shared" si="7"/>
        <v/>
      </c>
    </row>
    <row r="416" spans="1:8" x14ac:dyDescent="0.3">
      <c r="A416" s="48"/>
      <c r="B416" s="7"/>
      <c r="C416" s="6"/>
      <c r="D416" s="7"/>
      <c r="E416" s="7"/>
      <c r="F416" s="7"/>
      <c r="G416" s="7"/>
      <c r="H416" s="17" t="str">
        <f t="shared" si="7"/>
        <v/>
      </c>
    </row>
    <row r="417" spans="1:8" x14ac:dyDescent="0.3">
      <c r="A417" s="48"/>
      <c r="B417" s="7"/>
      <c r="C417" s="6"/>
      <c r="D417" s="7"/>
      <c r="E417" s="7"/>
      <c r="F417" s="7"/>
      <c r="G417" s="7"/>
      <c r="H417" s="17" t="str">
        <f t="shared" si="7"/>
        <v/>
      </c>
    </row>
    <row r="418" spans="1:8" x14ac:dyDescent="0.3">
      <c r="A418" s="48"/>
      <c r="B418" s="7"/>
      <c r="C418" s="6"/>
      <c r="D418" s="7"/>
      <c r="E418" s="7"/>
      <c r="F418" s="7"/>
      <c r="G418" s="7"/>
      <c r="H418" s="17" t="str">
        <f t="shared" si="7"/>
        <v/>
      </c>
    </row>
    <row r="419" spans="1:8" x14ac:dyDescent="0.3">
      <c r="A419" s="48"/>
      <c r="B419" s="7"/>
      <c r="C419" s="6"/>
      <c r="D419" s="7"/>
      <c r="E419" s="7"/>
      <c r="F419" s="7"/>
      <c r="G419" s="7"/>
      <c r="H419" s="17" t="str">
        <f t="shared" si="7"/>
        <v/>
      </c>
    </row>
    <row r="420" spans="1:8" x14ac:dyDescent="0.3">
      <c r="A420" s="48"/>
      <c r="B420" s="7"/>
      <c r="C420" s="6"/>
      <c r="D420" s="7"/>
      <c r="E420" s="7"/>
      <c r="F420" s="7"/>
      <c r="G420" s="7"/>
      <c r="H420" s="17" t="str">
        <f t="shared" si="7"/>
        <v/>
      </c>
    </row>
    <row r="421" spans="1:8" x14ac:dyDescent="0.3">
      <c r="A421" s="48"/>
      <c r="B421" s="7"/>
      <c r="C421" s="6"/>
      <c r="D421" s="7"/>
      <c r="E421" s="7"/>
      <c r="F421" s="7"/>
      <c r="G421" s="7"/>
      <c r="H421" s="17" t="str">
        <f t="shared" si="7"/>
        <v/>
      </c>
    </row>
    <row r="422" spans="1:8" x14ac:dyDescent="0.3">
      <c r="A422" s="48"/>
      <c r="B422" s="7"/>
      <c r="C422" s="6"/>
      <c r="D422" s="7"/>
      <c r="E422" s="7"/>
      <c r="F422" s="7"/>
      <c r="G422" s="7"/>
      <c r="H422" s="17" t="str">
        <f t="shared" si="7"/>
        <v/>
      </c>
    </row>
    <row r="423" spans="1:8" x14ac:dyDescent="0.3">
      <c r="A423" s="48"/>
      <c r="B423" s="7"/>
      <c r="C423" s="6"/>
      <c r="D423" s="7"/>
      <c r="E423" s="7"/>
      <c r="F423" s="7"/>
      <c r="G423" s="7"/>
      <c r="H423" s="17" t="str">
        <f t="shared" si="7"/>
        <v/>
      </c>
    </row>
    <row r="424" spans="1:8" x14ac:dyDescent="0.3">
      <c r="A424" s="48"/>
      <c r="B424" s="7"/>
      <c r="C424" s="6"/>
      <c r="D424" s="7"/>
      <c r="E424" s="7"/>
      <c r="F424" s="7"/>
      <c r="G424" s="7"/>
      <c r="H424" s="17" t="str">
        <f t="shared" si="7"/>
        <v/>
      </c>
    </row>
    <row r="425" spans="1:8" x14ac:dyDescent="0.3">
      <c r="A425" s="48"/>
      <c r="B425" s="7"/>
      <c r="C425" s="6"/>
      <c r="D425" s="7"/>
      <c r="E425" s="7"/>
      <c r="F425" s="7"/>
      <c r="G425" s="7"/>
      <c r="H425" s="17" t="str">
        <f t="shared" si="7"/>
        <v/>
      </c>
    </row>
    <row r="426" spans="1:8" x14ac:dyDescent="0.3">
      <c r="A426" s="48"/>
      <c r="B426" s="7"/>
      <c r="C426" s="6"/>
      <c r="D426" s="7"/>
      <c r="E426" s="7"/>
      <c r="F426" s="7"/>
      <c r="G426" s="7"/>
      <c r="H426" s="17" t="str">
        <f t="shared" si="7"/>
        <v/>
      </c>
    </row>
    <row r="427" spans="1:8" x14ac:dyDescent="0.3">
      <c r="A427" s="48"/>
      <c r="B427" s="7"/>
      <c r="C427" s="6"/>
      <c r="D427" s="7"/>
      <c r="E427" s="7"/>
      <c r="F427" s="7"/>
      <c r="G427" s="7"/>
      <c r="H427" s="17" t="str">
        <f t="shared" si="7"/>
        <v/>
      </c>
    </row>
    <row r="428" spans="1:8" x14ac:dyDescent="0.3">
      <c r="A428" s="48"/>
      <c r="B428" s="7"/>
      <c r="C428" s="6"/>
      <c r="D428" s="7"/>
      <c r="E428" s="7"/>
      <c r="F428" s="7"/>
      <c r="G428" s="7"/>
      <c r="H428" s="17" t="str">
        <f t="shared" si="7"/>
        <v/>
      </c>
    </row>
    <row r="429" spans="1:8" x14ac:dyDescent="0.3">
      <c r="A429" s="48"/>
      <c r="B429" s="7"/>
      <c r="C429" s="6"/>
      <c r="D429" s="7"/>
      <c r="E429" s="7"/>
      <c r="F429" s="7"/>
      <c r="G429" s="7"/>
      <c r="H429" s="17" t="str">
        <f t="shared" si="7"/>
        <v/>
      </c>
    </row>
    <row r="430" spans="1:8" x14ac:dyDescent="0.3">
      <c r="A430" s="48"/>
      <c r="B430" s="7"/>
      <c r="C430" s="6"/>
      <c r="D430" s="7"/>
      <c r="E430" s="7"/>
      <c r="F430" s="7"/>
      <c r="G430" s="7"/>
      <c r="H430" s="17" t="str">
        <f t="shared" si="7"/>
        <v/>
      </c>
    </row>
    <row r="431" spans="1:8" x14ac:dyDescent="0.3">
      <c r="A431" s="48"/>
      <c r="B431" s="7"/>
      <c r="C431" s="6"/>
      <c r="D431" s="7"/>
      <c r="E431" s="7"/>
      <c r="F431" s="7"/>
      <c r="G431" s="7"/>
      <c r="H431" s="17" t="str">
        <f t="shared" si="7"/>
        <v/>
      </c>
    </row>
    <row r="432" spans="1:8" x14ac:dyDescent="0.3">
      <c r="A432" s="48"/>
      <c r="B432" s="7"/>
      <c r="C432" s="6"/>
      <c r="D432" s="7"/>
      <c r="E432" s="7"/>
      <c r="F432" s="7"/>
      <c r="G432" s="7"/>
      <c r="H432" s="17" t="str">
        <f t="shared" si="7"/>
        <v/>
      </c>
    </row>
    <row r="433" spans="1:8" x14ac:dyDescent="0.3">
      <c r="A433" s="48"/>
      <c r="B433" s="7"/>
      <c r="C433" s="6"/>
      <c r="D433" s="7"/>
      <c r="E433" s="7"/>
      <c r="F433" s="7"/>
      <c r="G433" s="7"/>
      <c r="H433" s="17" t="str">
        <f t="shared" si="7"/>
        <v/>
      </c>
    </row>
    <row r="434" spans="1:8" x14ac:dyDescent="0.3">
      <c r="A434" s="48"/>
      <c r="B434" s="7"/>
      <c r="C434" s="6"/>
      <c r="D434" s="7"/>
      <c r="E434" s="7"/>
      <c r="F434" s="7"/>
      <c r="G434" s="7"/>
      <c r="H434" s="17" t="str">
        <f t="shared" si="7"/>
        <v/>
      </c>
    </row>
    <row r="435" spans="1:8" x14ac:dyDescent="0.3">
      <c r="A435" s="48"/>
      <c r="B435" s="7"/>
      <c r="C435" s="6"/>
      <c r="D435" s="7"/>
      <c r="E435" s="7"/>
      <c r="F435" s="7"/>
      <c r="G435" s="7"/>
      <c r="H435" s="17" t="str">
        <f t="shared" si="7"/>
        <v/>
      </c>
    </row>
    <row r="436" spans="1:8" x14ac:dyDescent="0.3">
      <c r="A436" s="48"/>
      <c r="B436" s="7"/>
      <c r="C436" s="6"/>
      <c r="D436" s="7"/>
      <c r="E436" s="7"/>
      <c r="F436" s="7"/>
      <c r="G436" s="7"/>
      <c r="H436" s="17" t="str">
        <f t="shared" si="7"/>
        <v/>
      </c>
    </row>
    <row r="437" spans="1:8" x14ac:dyDescent="0.3">
      <c r="A437" s="48"/>
      <c r="B437" s="7"/>
      <c r="C437" s="6"/>
      <c r="D437" s="7"/>
      <c r="E437" s="7"/>
      <c r="F437" s="7"/>
      <c r="G437" s="7"/>
      <c r="H437" s="17" t="str">
        <f t="shared" si="7"/>
        <v/>
      </c>
    </row>
    <row r="438" spans="1:8" x14ac:dyDescent="0.3">
      <c r="A438" s="48"/>
      <c r="B438" s="7"/>
      <c r="C438" s="6"/>
      <c r="D438" s="7"/>
      <c r="E438" s="7"/>
      <c r="F438" s="7"/>
      <c r="G438" s="7"/>
      <c r="H438" s="17" t="str">
        <f t="shared" si="7"/>
        <v/>
      </c>
    </row>
    <row r="439" spans="1:8" x14ac:dyDescent="0.3">
      <c r="A439" s="48"/>
      <c r="B439" s="7"/>
      <c r="C439" s="6"/>
      <c r="D439" s="7"/>
      <c r="E439" s="7"/>
      <c r="F439" s="7"/>
      <c r="G439" s="7"/>
      <c r="H439" s="17" t="str">
        <f t="shared" si="7"/>
        <v/>
      </c>
    </row>
    <row r="440" spans="1:8" x14ac:dyDescent="0.3">
      <c r="A440" s="48"/>
      <c r="B440" s="7"/>
      <c r="C440" s="6"/>
      <c r="D440" s="7"/>
      <c r="E440" s="7"/>
      <c r="F440" s="7"/>
      <c r="G440" s="7"/>
      <c r="H440" s="17" t="str">
        <f t="shared" ref="H440:H503" si="8">IF(A440="","",IF(A440&gt;=46232,TEXT(DATE(YEAR(A440),MONTH(A440)+1,1),"mmmm yyyy"),TEXT(DATE(YEAR(A440),MONTH(A440),1),"mmmm yyyy")))</f>
        <v/>
      </c>
    </row>
    <row r="441" spans="1:8" x14ac:dyDescent="0.3">
      <c r="A441" s="48"/>
      <c r="B441" s="7"/>
      <c r="C441" s="6"/>
      <c r="D441" s="7"/>
      <c r="E441" s="7"/>
      <c r="F441" s="7"/>
      <c r="G441" s="7"/>
      <c r="H441" s="17" t="str">
        <f t="shared" si="8"/>
        <v/>
      </c>
    </row>
    <row r="442" spans="1:8" x14ac:dyDescent="0.3">
      <c r="A442" s="48"/>
      <c r="B442" s="7"/>
      <c r="C442" s="6"/>
      <c r="D442" s="7"/>
      <c r="E442" s="7"/>
      <c r="F442" s="7"/>
      <c r="G442" s="7"/>
      <c r="H442" s="17" t="str">
        <f t="shared" si="8"/>
        <v/>
      </c>
    </row>
    <row r="443" spans="1:8" x14ac:dyDescent="0.3">
      <c r="A443" s="48"/>
      <c r="B443" s="7"/>
      <c r="C443" s="6"/>
      <c r="D443" s="7"/>
      <c r="E443" s="7"/>
      <c r="F443" s="7"/>
      <c r="G443" s="7"/>
      <c r="H443" s="17" t="str">
        <f t="shared" si="8"/>
        <v/>
      </c>
    </row>
    <row r="444" spans="1:8" x14ac:dyDescent="0.3">
      <c r="A444" s="48"/>
      <c r="B444" s="7"/>
      <c r="C444" s="6"/>
      <c r="D444" s="7"/>
      <c r="E444" s="7"/>
      <c r="F444" s="7"/>
      <c r="G444" s="7"/>
      <c r="H444" s="17" t="str">
        <f t="shared" si="8"/>
        <v/>
      </c>
    </row>
    <row r="445" spans="1:8" x14ac:dyDescent="0.3">
      <c r="A445" s="48"/>
      <c r="B445" s="7"/>
      <c r="C445" s="6"/>
      <c r="D445" s="7"/>
      <c r="E445" s="7"/>
      <c r="F445" s="7"/>
      <c r="G445" s="7"/>
      <c r="H445" s="17" t="str">
        <f t="shared" si="8"/>
        <v/>
      </c>
    </row>
    <row r="446" spans="1:8" x14ac:dyDescent="0.3">
      <c r="A446" s="48"/>
      <c r="B446" s="7"/>
      <c r="C446" s="6"/>
      <c r="D446" s="7"/>
      <c r="E446" s="7"/>
      <c r="F446" s="7"/>
      <c r="G446" s="7"/>
      <c r="H446" s="17" t="str">
        <f t="shared" si="8"/>
        <v/>
      </c>
    </row>
    <row r="447" spans="1:8" x14ac:dyDescent="0.3">
      <c r="A447" s="48"/>
      <c r="B447" s="7"/>
      <c r="C447" s="6"/>
      <c r="D447" s="7"/>
      <c r="E447" s="7"/>
      <c r="F447" s="7"/>
      <c r="G447" s="7"/>
      <c r="H447" s="17" t="str">
        <f t="shared" si="8"/>
        <v/>
      </c>
    </row>
    <row r="448" spans="1:8" x14ac:dyDescent="0.3">
      <c r="A448" s="48"/>
      <c r="B448" s="7"/>
      <c r="C448" s="6"/>
      <c r="D448" s="7"/>
      <c r="E448" s="7"/>
      <c r="F448" s="7"/>
      <c r="G448" s="7"/>
      <c r="H448" s="17" t="str">
        <f t="shared" si="8"/>
        <v/>
      </c>
    </row>
    <row r="449" spans="1:8" x14ac:dyDescent="0.3">
      <c r="A449" s="48"/>
      <c r="B449" s="7"/>
      <c r="C449" s="6"/>
      <c r="D449" s="7"/>
      <c r="E449" s="7"/>
      <c r="F449" s="7"/>
      <c r="G449" s="7"/>
      <c r="H449" s="17" t="str">
        <f t="shared" si="8"/>
        <v/>
      </c>
    </row>
    <row r="450" spans="1:8" x14ac:dyDescent="0.3">
      <c r="A450" s="48"/>
      <c r="B450" s="7"/>
      <c r="C450" s="6"/>
      <c r="D450" s="7"/>
      <c r="E450" s="7"/>
      <c r="F450" s="7"/>
      <c r="G450" s="7"/>
      <c r="H450" s="17" t="str">
        <f t="shared" si="8"/>
        <v/>
      </c>
    </row>
    <row r="451" spans="1:8" x14ac:dyDescent="0.3">
      <c r="A451" s="48"/>
      <c r="B451" s="7"/>
      <c r="C451" s="6"/>
      <c r="D451" s="7"/>
      <c r="E451" s="7"/>
      <c r="F451" s="7"/>
      <c r="G451" s="7"/>
      <c r="H451" s="17" t="str">
        <f t="shared" si="8"/>
        <v/>
      </c>
    </row>
    <row r="452" spans="1:8" x14ac:dyDescent="0.3">
      <c r="A452" s="48"/>
      <c r="B452" s="7"/>
      <c r="C452" s="6"/>
      <c r="D452" s="7"/>
      <c r="E452" s="7"/>
      <c r="F452" s="7"/>
      <c r="G452" s="7"/>
      <c r="H452" s="17" t="str">
        <f t="shared" si="8"/>
        <v/>
      </c>
    </row>
    <row r="453" spans="1:8" x14ac:dyDescent="0.3">
      <c r="A453" s="48"/>
      <c r="B453" s="7"/>
      <c r="C453" s="6"/>
      <c r="D453" s="7"/>
      <c r="E453" s="7"/>
      <c r="F453" s="7"/>
      <c r="G453" s="7"/>
      <c r="H453" s="17" t="str">
        <f t="shared" si="8"/>
        <v/>
      </c>
    </row>
    <row r="454" spans="1:8" x14ac:dyDescent="0.3">
      <c r="A454" s="48"/>
      <c r="B454" s="7"/>
      <c r="C454" s="6"/>
      <c r="D454" s="7"/>
      <c r="E454" s="7"/>
      <c r="F454" s="7"/>
      <c r="G454" s="7"/>
      <c r="H454" s="17" t="str">
        <f t="shared" si="8"/>
        <v/>
      </c>
    </row>
    <row r="455" spans="1:8" x14ac:dyDescent="0.3">
      <c r="A455" s="48"/>
      <c r="B455" s="7"/>
      <c r="C455" s="6"/>
      <c r="D455" s="7"/>
      <c r="E455" s="7"/>
      <c r="F455" s="7"/>
      <c r="G455" s="7"/>
      <c r="H455" s="17" t="str">
        <f t="shared" si="8"/>
        <v/>
      </c>
    </row>
    <row r="456" spans="1:8" x14ac:dyDescent="0.3">
      <c r="A456" s="48"/>
      <c r="B456" s="7"/>
      <c r="C456" s="6"/>
      <c r="D456" s="7"/>
      <c r="E456" s="7"/>
      <c r="F456" s="7"/>
      <c r="G456" s="7"/>
      <c r="H456" s="17" t="str">
        <f t="shared" si="8"/>
        <v/>
      </c>
    </row>
    <row r="457" spans="1:8" x14ac:dyDescent="0.3">
      <c r="A457" s="48"/>
      <c r="B457" s="7"/>
      <c r="C457" s="6"/>
      <c r="D457" s="7"/>
      <c r="E457" s="7"/>
      <c r="F457" s="7"/>
      <c r="G457" s="7"/>
      <c r="H457" s="17" t="str">
        <f t="shared" si="8"/>
        <v/>
      </c>
    </row>
    <row r="458" spans="1:8" x14ac:dyDescent="0.3">
      <c r="A458" s="48"/>
      <c r="B458" s="7"/>
      <c r="C458" s="6"/>
      <c r="D458" s="7"/>
      <c r="E458" s="7"/>
      <c r="F458" s="7"/>
      <c r="G458" s="7"/>
      <c r="H458" s="17" t="str">
        <f t="shared" si="8"/>
        <v/>
      </c>
    </row>
    <row r="459" spans="1:8" x14ac:dyDescent="0.3">
      <c r="A459" s="48"/>
      <c r="B459" s="7"/>
      <c r="C459" s="6"/>
      <c r="D459" s="7"/>
      <c r="E459" s="7"/>
      <c r="F459" s="7"/>
      <c r="G459" s="7"/>
      <c r="H459" s="17" t="str">
        <f t="shared" si="8"/>
        <v/>
      </c>
    </row>
    <row r="460" spans="1:8" x14ac:dyDescent="0.3">
      <c r="A460" s="48"/>
      <c r="B460" s="7"/>
      <c r="C460" s="6"/>
      <c r="D460" s="7"/>
      <c r="E460" s="7"/>
      <c r="F460" s="7"/>
      <c r="G460" s="7"/>
      <c r="H460" s="17" t="str">
        <f t="shared" si="8"/>
        <v/>
      </c>
    </row>
    <row r="461" spans="1:8" x14ac:dyDescent="0.3">
      <c r="A461" s="48"/>
      <c r="B461" s="7"/>
      <c r="C461" s="6"/>
      <c r="D461" s="7"/>
      <c r="E461" s="7"/>
      <c r="F461" s="7"/>
      <c r="G461" s="7"/>
      <c r="H461" s="17" t="str">
        <f t="shared" si="8"/>
        <v/>
      </c>
    </row>
    <row r="462" spans="1:8" x14ac:dyDescent="0.3">
      <c r="A462" s="48"/>
      <c r="B462" s="7"/>
      <c r="C462" s="6"/>
      <c r="D462" s="7"/>
      <c r="E462" s="7"/>
      <c r="F462" s="7"/>
      <c r="G462" s="7"/>
      <c r="H462" s="17" t="str">
        <f t="shared" si="8"/>
        <v/>
      </c>
    </row>
    <row r="463" spans="1:8" x14ac:dyDescent="0.3">
      <c r="A463" s="48"/>
      <c r="B463" s="7"/>
      <c r="C463" s="6"/>
      <c r="D463" s="7"/>
      <c r="E463" s="7"/>
      <c r="F463" s="7"/>
      <c r="G463" s="7"/>
      <c r="H463" s="17" t="str">
        <f t="shared" si="8"/>
        <v/>
      </c>
    </row>
    <row r="464" spans="1:8" x14ac:dyDescent="0.3">
      <c r="A464" s="48"/>
      <c r="B464" s="7"/>
      <c r="C464" s="6"/>
      <c r="D464" s="7"/>
      <c r="E464" s="7"/>
      <c r="F464" s="7"/>
      <c r="G464" s="7"/>
      <c r="H464" s="17" t="str">
        <f t="shared" si="8"/>
        <v/>
      </c>
    </row>
    <row r="465" spans="1:8" x14ac:dyDescent="0.3">
      <c r="A465" s="48"/>
      <c r="B465" s="7"/>
      <c r="C465" s="6"/>
      <c r="D465" s="7"/>
      <c r="E465" s="7"/>
      <c r="F465" s="7"/>
      <c r="G465" s="7"/>
      <c r="H465" s="17" t="str">
        <f t="shared" si="8"/>
        <v/>
      </c>
    </row>
    <row r="466" spans="1:8" x14ac:dyDescent="0.3">
      <c r="A466" s="48"/>
      <c r="B466" s="7"/>
      <c r="C466" s="6"/>
      <c r="D466" s="7"/>
      <c r="E466" s="7"/>
      <c r="F466" s="7"/>
      <c r="G466" s="7"/>
      <c r="H466" s="17" t="str">
        <f t="shared" si="8"/>
        <v/>
      </c>
    </row>
    <row r="467" spans="1:8" x14ac:dyDescent="0.3">
      <c r="A467" s="48"/>
      <c r="B467" s="7"/>
      <c r="C467" s="6"/>
      <c r="D467" s="7"/>
      <c r="E467" s="7"/>
      <c r="F467" s="7"/>
      <c r="G467" s="7"/>
      <c r="H467" s="17" t="str">
        <f t="shared" si="8"/>
        <v/>
      </c>
    </row>
    <row r="468" spans="1:8" x14ac:dyDescent="0.3">
      <c r="A468" s="48"/>
      <c r="B468" s="7"/>
      <c r="C468" s="6"/>
      <c r="D468" s="7"/>
      <c r="E468" s="7"/>
      <c r="F468" s="7"/>
      <c r="G468" s="7"/>
      <c r="H468" s="17" t="str">
        <f t="shared" si="8"/>
        <v/>
      </c>
    </row>
    <row r="469" spans="1:8" x14ac:dyDescent="0.3">
      <c r="A469" s="48"/>
      <c r="B469" s="7"/>
      <c r="C469" s="6"/>
      <c r="D469" s="7"/>
      <c r="E469" s="7"/>
      <c r="F469" s="7"/>
      <c r="G469" s="7"/>
      <c r="H469" s="17" t="str">
        <f t="shared" si="8"/>
        <v/>
      </c>
    </row>
    <row r="470" spans="1:8" x14ac:dyDescent="0.3">
      <c r="A470" s="48"/>
      <c r="B470" s="7"/>
      <c r="C470" s="6"/>
      <c r="D470" s="7"/>
      <c r="E470" s="7"/>
      <c r="F470" s="7"/>
      <c r="G470" s="7"/>
      <c r="H470" s="17" t="str">
        <f t="shared" si="8"/>
        <v/>
      </c>
    </row>
    <row r="471" spans="1:8" x14ac:dyDescent="0.3">
      <c r="A471" s="48"/>
      <c r="B471" s="7"/>
      <c r="C471" s="6"/>
      <c r="D471" s="7"/>
      <c r="E471" s="7"/>
      <c r="F471" s="7"/>
      <c r="G471" s="7"/>
      <c r="H471" s="17" t="str">
        <f t="shared" si="8"/>
        <v/>
      </c>
    </row>
    <row r="472" spans="1:8" x14ac:dyDescent="0.3">
      <c r="A472" s="48"/>
      <c r="B472" s="7"/>
      <c r="C472" s="6"/>
      <c r="D472" s="7"/>
      <c r="E472" s="7"/>
      <c r="F472" s="7"/>
      <c r="G472" s="7"/>
      <c r="H472" s="17" t="str">
        <f t="shared" si="8"/>
        <v/>
      </c>
    </row>
    <row r="473" spans="1:8" x14ac:dyDescent="0.3">
      <c r="A473" s="48"/>
      <c r="B473" s="7"/>
      <c r="C473" s="6"/>
      <c r="D473" s="7"/>
      <c r="E473" s="7"/>
      <c r="F473" s="7"/>
      <c r="G473" s="7"/>
      <c r="H473" s="17" t="str">
        <f t="shared" si="8"/>
        <v/>
      </c>
    </row>
    <row r="474" spans="1:8" x14ac:dyDescent="0.3">
      <c r="A474" s="48"/>
      <c r="B474" s="7"/>
      <c r="C474" s="6"/>
      <c r="D474" s="7"/>
      <c r="E474" s="7"/>
      <c r="F474" s="7"/>
      <c r="G474" s="7"/>
      <c r="H474" s="17" t="str">
        <f t="shared" si="8"/>
        <v/>
      </c>
    </row>
    <row r="475" spans="1:8" x14ac:dyDescent="0.3">
      <c r="A475" s="48"/>
      <c r="B475" s="7"/>
      <c r="C475" s="6"/>
      <c r="D475" s="7"/>
      <c r="E475" s="7"/>
      <c r="F475" s="7"/>
      <c r="G475" s="7"/>
      <c r="H475" s="17" t="str">
        <f t="shared" si="8"/>
        <v/>
      </c>
    </row>
    <row r="476" spans="1:8" x14ac:dyDescent="0.3">
      <c r="A476" s="48"/>
      <c r="B476" s="7"/>
      <c r="C476" s="6"/>
      <c r="D476" s="7"/>
      <c r="E476" s="7"/>
      <c r="F476" s="7"/>
      <c r="G476" s="7"/>
      <c r="H476" s="17" t="str">
        <f t="shared" si="8"/>
        <v/>
      </c>
    </row>
    <row r="477" spans="1:8" x14ac:dyDescent="0.3">
      <c r="A477" s="48"/>
      <c r="B477" s="7"/>
      <c r="C477" s="6"/>
      <c r="D477" s="7"/>
      <c r="E477" s="7"/>
      <c r="F477" s="7"/>
      <c r="G477" s="7"/>
      <c r="H477" s="17" t="str">
        <f t="shared" si="8"/>
        <v/>
      </c>
    </row>
    <row r="478" spans="1:8" x14ac:dyDescent="0.3">
      <c r="A478" s="48"/>
      <c r="B478" s="7"/>
      <c r="C478" s="6"/>
      <c r="D478" s="7"/>
      <c r="E478" s="7"/>
      <c r="F478" s="7"/>
      <c r="G478" s="7"/>
      <c r="H478" s="17" t="str">
        <f t="shared" si="8"/>
        <v/>
      </c>
    </row>
    <row r="479" spans="1:8" x14ac:dyDescent="0.3">
      <c r="A479" s="48"/>
      <c r="B479" s="7"/>
      <c r="C479" s="6"/>
      <c r="D479" s="7"/>
      <c r="E479" s="7"/>
      <c r="F479" s="7"/>
      <c r="G479" s="7"/>
      <c r="H479" s="17" t="str">
        <f t="shared" si="8"/>
        <v/>
      </c>
    </row>
    <row r="480" spans="1:8" x14ac:dyDescent="0.3">
      <c r="A480" s="48"/>
      <c r="B480" s="7"/>
      <c r="C480" s="6"/>
      <c r="D480" s="7"/>
      <c r="E480" s="7"/>
      <c r="F480" s="7"/>
      <c r="G480" s="7"/>
      <c r="H480" s="17" t="str">
        <f t="shared" si="8"/>
        <v/>
      </c>
    </row>
    <row r="481" spans="1:8" x14ac:dyDescent="0.3">
      <c r="A481" s="48"/>
      <c r="B481" s="7"/>
      <c r="C481" s="6"/>
      <c r="D481" s="7"/>
      <c r="E481" s="7"/>
      <c r="F481" s="7"/>
      <c r="G481" s="7"/>
      <c r="H481" s="17" t="str">
        <f t="shared" si="8"/>
        <v/>
      </c>
    </row>
    <row r="482" spans="1:8" x14ac:dyDescent="0.3">
      <c r="A482" s="48"/>
      <c r="B482" s="7"/>
      <c r="C482" s="6"/>
      <c r="D482" s="7"/>
      <c r="E482" s="7"/>
      <c r="F482" s="7"/>
      <c r="G482" s="7"/>
      <c r="H482" s="17" t="str">
        <f t="shared" si="8"/>
        <v/>
      </c>
    </row>
    <row r="483" spans="1:8" x14ac:dyDescent="0.3">
      <c r="A483" s="48"/>
      <c r="B483" s="7"/>
      <c r="C483" s="6"/>
      <c r="D483" s="7"/>
      <c r="E483" s="7"/>
      <c r="F483" s="7"/>
      <c r="G483" s="7"/>
      <c r="H483" s="17" t="str">
        <f t="shared" si="8"/>
        <v/>
      </c>
    </row>
    <row r="484" spans="1:8" x14ac:dyDescent="0.3">
      <c r="A484" s="48"/>
      <c r="B484" s="7"/>
      <c r="C484" s="6"/>
      <c r="D484" s="7"/>
      <c r="E484" s="7"/>
      <c r="F484" s="7"/>
      <c r="G484" s="7"/>
      <c r="H484" s="17" t="str">
        <f t="shared" si="8"/>
        <v/>
      </c>
    </row>
    <row r="485" spans="1:8" x14ac:dyDescent="0.3">
      <c r="A485" s="48"/>
      <c r="B485" s="7"/>
      <c r="C485" s="6"/>
      <c r="D485" s="7"/>
      <c r="E485" s="7"/>
      <c r="F485" s="7"/>
      <c r="G485" s="7"/>
      <c r="H485" s="17" t="str">
        <f t="shared" si="8"/>
        <v/>
      </c>
    </row>
    <row r="486" spans="1:8" x14ac:dyDescent="0.3">
      <c r="A486" s="48"/>
      <c r="B486" s="7"/>
      <c r="C486" s="6"/>
      <c r="D486" s="7"/>
      <c r="E486" s="7"/>
      <c r="F486" s="7"/>
      <c r="G486" s="7"/>
      <c r="H486" s="17" t="str">
        <f t="shared" si="8"/>
        <v/>
      </c>
    </row>
    <row r="487" spans="1:8" x14ac:dyDescent="0.3">
      <c r="A487" s="48"/>
      <c r="B487" s="7"/>
      <c r="C487" s="6"/>
      <c r="D487" s="7"/>
      <c r="E487" s="7"/>
      <c r="F487" s="7"/>
      <c r="G487" s="7"/>
      <c r="H487" s="17" t="str">
        <f t="shared" si="8"/>
        <v/>
      </c>
    </row>
    <row r="488" spans="1:8" x14ac:dyDescent="0.3">
      <c r="A488" s="48"/>
      <c r="B488" s="7"/>
      <c r="C488" s="6"/>
      <c r="D488" s="7"/>
      <c r="E488" s="7"/>
      <c r="F488" s="7"/>
      <c r="G488" s="7"/>
      <c r="H488" s="17" t="str">
        <f t="shared" si="8"/>
        <v/>
      </c>
    </row>
    <row r="489" spans="1:8" x14ac:dyDescent="0.3">
      <c r="A489" s="48"/>
      <c r="B489" s="7"/>
      <c r="C489" s="6"/>
      <c r="D489" s="7"/>
      <c r="E489" s="7"/>
      <c r="F489" s="7"/>
      <c r="G489" s="7"/>
      <c r="H489" s="17" t="str">
        <f t="shared" si="8"/>
        <v/>
      </c>
    </row>
    <row r="490" spans="1:8" x14ac:dyDescent="0.3">
      <c r="A490" s="48"/>
      <c r="B490" s="7"/>
      <c r="C490" s="6"/>
      <c r="D490" s="7"/>
      <c r="E490" s="7"/>
      <c r="F490" s="7"/>
      <c r="G490" s="7"/>
      <c r="H490" s="17" t="str">
        <f t="shared" si="8"/>
        <v/>
      </c>
    </row>
    <row r="491" spans="1:8" x14ac:dyDescent="0.3">
      <c r="A491" s="48"/>
      <c r="B491" s="7"/>
      <c r="C491" s="6"/>
      <c r="D491" s="7"/>
      <c r="E491" s="7"/>
      <c r="F491" s="7"/>
      <c r="G491" s="7"/>
      <c r="H491" s="17" t="str">
        <f t="shared" si="8"/>
        <v/>
      </c>
    </row>
    <row r="492" spans="1:8" x14ac:dyDescent="0.3">
      <c r="A492" s="48"/>
      <c r="B492" s="7"/>
      <c r="C492" s="6"/>
      <c r="D492" s="7"/>
      <c r="E492" s="7"/>
      <c r="F492" s="7"/>
      <c r="G492" s="7"/>
      <c r="H492" s="17" t="str">
        <f t="shared" si="8"/>
        <v/>
      </c>
    </row>
    <row r="493" spans="1:8" x14ac:dyDescent="0.3">
      <c r="A493" s="48"/>
      <c r="B493" s="7"/>
      <c r="C493" s="6"/>
      <c r="D493" s="7"/>
      <c r="E493" s="7"/>
      <c r="F493" s="7"/>
      <c r="G493" s="7"/>
      <c r="H493" s="17" t="str">
        <f t="shared" si="8"/>
        <v/>
      </c>
    </row>
    <row r="494" spans="1:8" x14ac:dyDescent="0.3">
      <c r="A494" s="48"/>
      <c r="B494" s="7"/>
      <c r="C494" s="6"/>
      <c r="D494" s="7"/>
      <c r="E494" s="7"/>
      <c r="F494" s="7"/>
      <c r="G494" s="7"/>
      <c r="H494" s="17" t="str">
        <f t="shared" si="8"/>
        <v/>
      </c>
    </row>
    <row r="495" spans="1:8" x14ac:dyDescent="0.3">
      <c r="A495" s="48"/>
      <c r="B495" s="7"/>
      <c r="C495" s="6"/>
      <c r="D495" s="7"/>
      <c r="E495" s="7"/>
      <c r="F495" s="7"/>
      <c r="G495" s="7"/>
      <c r="H495" s="17" t="str">
        <f t="shared" si="8"/>
        <v/>
      </c>
    </row>
    <row r="496" spans="1:8" x14ac:dyDescent="0.3">
      <c r="A496" s="48"/>
      <c r="B496" s="7"/>
      <c r="C496" s="6"/>
      <c r="D496" s="7"/>
      <c r="E496" s="7"/>
      <c r="F496" s="7"/>
      <c r="G496" s="7"/>
      <c r="H496" s="17" t="str">
        <f t="shared" si="8"/>
        <v/>
      </c>
    </row>
    <row r="497" spans="1:8" x14ac:dyDescent="0.3">
      <c r="A497" s="48"/>
      <c r="B497" s="7"/>
      <c r="C497" s="6"/>
      <c r="D497" s="7"/>
      <c r="E497" s="7"/>
      <c r="F497" s="7"/>
      <c r="G497" s="7"/>
      <c r="H497" s="17" t="str">
        <f t="shared" si="8"/>
        <v/>
      </c>
    </row>
    <row r="498" spans="1:8" x14ac:dyDescent="0.3">
      <c r="A498" s="48"/>
      <c r="B498" s="7"/>
      <c r="C498" s="6"/>
      <c r="D498" s="7"/>
      <c r="E498" s="7"/>
      <c r="F498" s="7"/>
      <c r="G498" s="7"/>
      <c r="H498" s="17" t="str">
        <f t="shared" si="8"/>
        <v/>
      </c>
    </row>
    <row r="499" spans="1:8" x14ac:dyDescent="0.3">
      <c r="A499" s="48"/>
      <c r="B499" s="7"/>
      <c r="C499" s="6"/>
      <c r="D499" s="7"/>
      <c r="E499" s="7"/>
      <c r="F499" s="7"/>
      <c r="G499" s="7"/>
      <c r="H499" s="17" t="str">
        <f t="shared" si="8"/>
        <v/>
      </c>
    </row>
    <row r="500" spans="1:8" x14ac:dyDescent="0.3">
      <c r="A500" s="48"/>
      <c r="B500" s="7"/>
      <c r="C500" s="6"/>
      <c r="D500" s="7"/>
      <c r="E500" s="7"/>
      <c r="F500" s="7"/>
      <c r="G500" s="7"/>
      <c r="H500" s="17" t="str">
        <f t="shared" si="8"/>
        <v/>
      </c>
    </row>
    <row r="501" spans="1:8" x14ac:dyDescent="0.3">
      <c r="A501" s="48"/>
      <c r="B501" s="7"/>
      <c r="C501" s="6"/>
      <c r="D501" s="7"/>
      <c r="E501" s="7"/>
      <c r="F501" s="7"/>
      <c r="G501" s="7"/>
      <c r="H501" s="17" t="str">
        <f t="shared" si="8"/>
        <v/>
      </c>
    </row>
    <row r="502" spans="1:8" x14ac:dyDescent="0.3">
      <c r="A502" s="48"/>
      <c r="B502" s="7"/>
      <c r="C502" s="6"/>
      <c r="D502" s="7"/>
      <c r="E502" s="7"/>
      <c r="F502" s="7"/>
      <c r="G502" s="7"/>
      <c r="H502" s="17" t="str">
        <f t="shared" si="8"/>
        <v/>
      </c>
    </row>
    <row r="503" spans="1:8" x14ac:dyDescent="0.3">
      <c r="A503" s="48"/>
      <c r="B503" s="7"/>
      <c r="C503" s="6"/>
      <c r="D503" s="7"/>
      <c r="E503" s="7"/>
      <c r="F503" s="7"/>
      <c r="G503" s="7"/>
      <c r="H503" s="17" t="str">
        <f t="shared" si="8"/>
        <v/>
      </c>
    </row>
    <row r="504" spans="1:8" x14ac:dyDescent="0.3">
      <c r="A504" s="48"/>
      <c r="B504" s="7"/>
      <c r="C504" s="6"/>
      <c r="D504" s="7"/>
      <c r="E504" s="7"/>
      <c r="F504" s="7"/>
      <c r="G504" s="7"/>
      <c r="H504" s="17" t="str">
        <f t="shared" ref="H504:H567" si="9">IF(A504="","",IF(A504&gt;=46232,TEXT(DATE(YEAR(A504),MONTH(A504)+1,1),"mmmm yyyy"),TEXT(DATE(YEAR(A504),MONTH(A504),1),"mmmm yyyy")))</f>
        <v/>
      </c>
    </row>
    <row r="505" spans="1:8" x14ac:dyDescent="0.3">
      <c r="A505" s="48"/>
      <c r="B505" s="7"/>
      <c r="C505" s="6"/>
      <c r="D505" s="7"/>
      <c r="E505" s="7"/>
      <c r="F505" s="7"/>
      <c r="G505" s="7"/>
      <c r="H505" s="17" t="str">
        <f t="shared" si="9"/>
        <v/>
      </c>
    </row>
    <row r="506" spans="1:8" x14ac:dyDescent="0.3">
      <c r="A506" s="48"/>
      <c r="B506" s="7"/>
      <c r="C506" s="6"/>
      <c r="D506" s="7"/>
      <c r="E506" s="7"/>
      <c r="F506" s="7"/>
      <c r="G506" s="7"/>
      <c r="H506" s="17" t="str">
        <f t="shared" si="9"/>
        <v/>
      </c>
    </row>
    <row r="507" spans="1:8" x14ac:dyDescent="0.3">
      <c r="A507" s="48"/>
      <c r="B507" s="7"/>
      <c r="C507" s="6"/>
      <c r="D507" s="7"/>
      <c r="E507" s="7"/>
      <c r="F507" s="7"/>
      <c r="G507" s="7"/>
      <c r="H507" s="17" t="str">
        <f t="shared" si="9"/>
        <v/>
      </c>
    </row>
    <row r="508" spans="1:8" x14ac:dyDescent="0.3">
      <c r="A508" s="48"/>
      <c r="B508" s="7"/>
      <c r="C508" s="6"/>
      <c r="D508" s="7"/>
      <c r="E508" s="7"/>
      <c r="F508" s="7"/>
      <c r="G508" s="7"/>
      <c r="H508" s="17" t="str">
        <f t="shared" si="9"/>
        <v/>
      </c>
    </row>
    <row r="509" spans="1:8" x14ac:dyDescent="0.3">
      <c r="A509" s="48"/>
      <c r="B509" s="7"/>
      <c r="C509" s="6"/>
      <c r="D509" s="7"/>
      <c r="E509" s="7"/>
      <c r="F509" s="7"/>
      <c r="G509" s="7"/>
      <c r="H509" s="17" t="str">
        <f t="shared" si="9"/>
        <v/>
      </c>
    </row>
    <row r="510" spans="1:8" x14ac:dyDescent="0.3">
      <c r="A510" s="48"/>
      <c r="B510" s="7"/>
      <c r="C510" s="6"/>
      <c r="D510" s="7"/>
      <c r="E510" s="7"/>
      <c r="F510" s="7"/>
      <c r="G510" s="7"/>
      <c r="H510" s="17" t="str">
        <f t="shared" si="9"/>
        <v/>
      </c>
    </row>
    <row r="511" spans="1:8" x14ac:dyDescent="0.3">
      <c r="A511" s="48"/>
      <c r="B511" s="7"/>
      <c r="C511" s="6"/>
      <c r="D511" s="7"/>
      <c r="E511" s="7"/>
      <c r="F511" s="7"/>
      <c r="G511" s="7"/>
      <c r="H511" s="17" t="str">
        <f t="shared" si="9"/>
        <v/>
      </c>
    </row>
    <row r="512" spans="1:8" x14ac:dyDescent="0.3">
      <c r="A512" s="48"/>
      <c r="B512" s="7"/>
      <c r="C512" s="6"/>
      <c r="D512" s="7"/>
      <c r="E512" s="7"/>
      <c r="F512" s="7"/>
      <c r="G512" s="7"/>
      <c r="H512" s="17" t="str">
        <f t="shared" si="9"/>
        <v/>
      </c>
    </row>
    <row r="513" spans="1:8" x14ac:dyDescent="0.3">
      <c r="A513" s="48"/>
      <c r="B513" s="7"/>
      <c r="C513" s="6"/>
      <c r="D513" s="7"/>
      <c r="E513" s="7"/>
      <c r="F513" s="7"/>
      <c r="G513" s="7"/>
      <c r="H513" s="17" t="str">
        <f t="shared" si="9"/>
        <v/>
      </c>
    </row>
    <row r="514" spans="1:8" x14ac:dyDescent="0.3">
      <c r="A514" s="48"/>
      <c r="B514" s="7"/>
      <c r="C514" s="6"/>
      <c r="D514" s="7"/>
      <c r="E514" s="7"/>
      <c r="F514" s="7"/>
      <c r="G514" s="7"/>
      <c r="H514" s="17" t="str">
        <f t="shared" si="9"/>
        <v/>
      </c>
    </row>
    <row r="515" spans="1:8" x14ac:dyDescent="0.3">
      <c r="A515" s="48"/>
      <c r="B515" s="7"/>
      <c r="C515" s="6"/>
      <c r="D515" s="7"/>
      <c r="E515" s="7"/>
      <c r="F515" s="7"/>
      <c r="G515" s="7"/>
      <c r="H515" s="17" t="str">
        <f t="shared" si="9"/>
        <v/>
      </c>
    </row>
    <row r="516" spans="1:8" x14ac:dyDescent="0.3">
      <c r="A516" s="48"/>
      <c r="B516" s="7"/>
      <c r="C516" s="6"/>
      <c r="D516" s="7"/>
      <c r="E516" s="7"/>
      <c r="F516" s="7"/>
      <c r="G516" s="7"/>
      <c r="H516" s="17" t="str">
        <f t="shared" si="9"/>
        <v/>
      </c>
    </row>
    <row r="517" spans="1:8" x14ac:dyDescent="0.3">
      <c r="A517" s="48"/>
      <c r="B517" s="7"/>
      <c r="C517" s="6"/>
      <c r="D517" s="7"/>
      <c r="E517" s="7"/>
      <c r="F517" s="7"/>
      <c r="G517" s="7"/>
      <c r="H517" s="17" t="str">
        <f t="shared" si="9"/>
        <v/>
      </c>
    </row>
    <row r="518" spans="1:8" x14ac:dyDescent="0.3">
      <c r="A518" s="48"/>
      <c r="B518" s="7"/>
      <c r="C518" s="6"/>
      <c r="D518" s="7"/>
      <c r="E518" s="7"/>
      <c r="F518" s="7"/>
      <c r="G518" s="7"/>
      <c r="H518" s="17" t="str">
        <f t="shared" si="9"/>
        <v/>
      </c>
    </row>
    <row r="519" spans="1:8" x14ac:dyDescent="0.3">
      <c r="A519" s="48"/>
      <c r="B519" s="7"/>
      <c r="C519" s="6"/>
      <c r="D519" s="7"/>
      <c r="E519" s="7"/>
      <c r="F519" s="7"/>
      <c r="G519" s="7"/>
      <c r="H519" s="17" t="str">
        <f t="shared" si="9"/>
        <v/>
      </c>
    </row>
    <row r="520" spans="1:8" x14ac:dyDescent="0.3">
      <c r="A520" s="48"/>
      <c r="B520" s="7"/>
      <c r="C520" s="6"/>
      <c r="D520" s="7"/>
      <c r="E520" s="7"/>
      <c r="F520" s="7"/>
      <c r="G520" s="7"/>
      <c r="H520" s="17" t="str">
        <f t="shared" si="9"/>
        <v/>
      </c>
    </row>
    <row r="521" spans="1:8" x14ac:dyDescent="0.3">
      <c r="A521" s="48"/>
      <c r="B521" s="7"/>
      <c r="C521" s="6"/>
      <c r="D521" s="7"/>
      <c r="E521" s="7"/>
      <c r="F521" s="7"/>
      <c r="G521" s="7"/>
      <c r="H521" s="17" t="str">
        <f t="shared" si="9"/>
        <v/>
      </c>
    </row>
    <row r="522" spans="1:8" x14ac:dyDescent="0.3">
      <c r="A522" s="48"/>
      <c r="B522" s="7"/>
      <c r="C522" s="6"/>
      <c r="D522" s="7"/>
      <c r="E522" s="7"/>
      <c r="F522" s="7"/>
      <c r="G522" s="7"/>
      <c r="H522" s="17" t="str">
        <f t="shared" si="9"/>
        <v/>
      </c>
    </row>
    <row r="523" spans="1:8" x14ac:dyDescent="0.3">
      <c r="A523" s="48"/>
      <c r="B523" s="7"/>
      <c r="C523" s="6"/>
      <c r="D523" s="7"/>
      <c r="E523" s="7"/>
      <c r="F523" s="7"/>
      <c r="G523" s="7"/>
      <c r="H523" s="17" t="str">
        <f t="shared" si="9"/>
        <v/>
      </c>
    </row>
    <row r="524" spans="1:8" x14ac:dyDescent="0.3">
      <c r="A524" s="48"/>
      <c r="B524" s="7"/>
      <c r="C524" s="6"/>
      <c r="D524" s="7"/>
      <c r="E524" s="7"/>
      <c r="F524" s="7"/>
      <c r="G524" s="7"/>
      <c r="H524" s="17" t="str">
        <f t="shared" si="9"/>
        <v/>
      </c>
    </row>
    <row r="525" spans="1:8" x14ac:dyDescent="0.3">
      <c r="A525" s="48"/>
      <c r="B525" s="7"/>
      <c r="C525" s="6"/>
      <c r="D525" s="7"/>
      <c r="E525" s="7"/>
      <c r="F525" s="7"/>
      <c r="G525" s="7"/>
      <c r="H525" s="17" t="str">
        <f t="shared" si="9"/>
        <v/>
      </c>
    </row>
    <row r="526" spans="1:8" x14ac:dyDescent="0.3">
      <c r="A526" s="48"/>
      <c r="B526" s="7"/>
      <c r="C526" s="6"/>
      <c r="D526" s="7"/>
      <c r="E526" s="7"/>
      <c r="F526" s="7"/>
      <c r="G526" s="7"/>
      <c r="H526" s="17" t="str">
        <f t="shared" si="9"/>
        <v/>
      </c>
    </row>
    <row r="527" spans="1:8" x14ac:dyDescent="0.3">
      <c r="A527" s="48"/>
      <c r="B527" s="7"/>
      <c r="C527" s="6"/>
      <c r="D527" s="7"/>
      <c r="E527" s="7"/>
      <c r="F527" s="7"/>
      <c r="G527" s="7"/>
      <c r="H527" s="17" t="str">
        <f t="shared" si="9"/>
        <v/>
      </c>
    </row>
    <row r="528" spans="1:8" x14ac:dyDescent="0.3">
      <c r="A528" s="48"/>
      <c r="B528" s="7"/>
      <c r="C528" s="6"/>
      <c r="D528" s="7"/>
      <c r="E528" s="7"/>
      <c r="F528" s="7"/>
      <c r="G528" s="7"/>
      <c r="H528" s="17" t="str">
        <f t="shared" si="9"/>
        <v/>
      </c>
    </row>
    <row r="529" spans="1:8" x14ac:dyDescent="0.3">
      <c r="A529" s="48"/>
      <c r="B529" s="7"/>
      <c r="C529" s="6"/>
      <c r="D529" s="7"/>
      <c r="E529" s="7"/>
      <c r="F529" s="7"/>
      <c r="G529" s="7"/>
      <c r="H529" s="17" t="str">
        <f t="shared" si="9"/>
        <v/>
      </c>
    </row>
    <row r="530" spans="1:8" x14ac:dyDescent="0.3">
      <c r="A530" s="48"/>
      <c r="B530" s="7"/>
      <c r="C530" s="6"/>
      <c r="D530" s="7"/>
      <c r="E530" s="7"/>
      <c r="F530" s="7"/>
      <c r="G530" s="7"/>
      <c r="H530" s="17" t="str">
        <f t="shared" si="9"/>
        <v/>
      </c>
    </row>
    <row r="531" spans="1:8" x14ac:dyDescent="0.3">
      <c r="A531" s="48"/>
      <c r="B531" s="7"/>
      <c r="C531" s="6"/>
      <c r="D531" s="7"/>
      <c r="E531" s="7"/>
      <c r="F531" s="7"/>
      <c r="G531" s="7"/>
      <c r="H531" s="17" t="str">
        <f t="shared" si="9"/>
        <v/>
      </c>
    </row>
    <row r="532" spans="1:8" x14ac:dyDescent="0.3">
      <c r="A532" s="48"/>
      <c r="B532" s="7"/>
      <c r="C532" s="6"/>
      <c r="D532" s="7"/>
      <c r="E532" s="7"/>
      <c r="F532" s="7"/>
      <c r="G532" s="7"/>
      <c r="H532" s="17" t="str">
        <f t="shared" si="9"/>
        <v/>
      </c>
    </row>
    <row r="533" spans="1:8" x14ac:dyDescent="0.3">
      <c r="A533" s="48"/>
      <c r="B533" s="7"/>
      <c r="C533" s="6"/>
      <c r="D533" s="7"/>
      <c r="E533" s="7"/>
      <c r="F533" s="7"/>
      <c r="G533" s="7"/>
      <c r="H533" s="17" t="str">
        <f t="shared" si="9"/>
        <v/>
      </c>
    </row>
    <row r="534" spans="1:8" x14ac:dyDescent="0.3">
      <c r="A534" s="48"/>
      <c r="B534" s="7"/>
      <c r="C534" s="6"/>
      <c r="D534" s="7"/>
      <c r="E534" s="7"/>
      <c r="F534" s="7"/>
      <c r="G534" s="7"/>
      <c r="H534" s="17" t="str">
        <f t="shared" si="9"/>
        <v/>
      </c>
    </row>
    <row r="535" spans="1:8" x14ac:dyDescent="0.3">
      <c r="A535" s="48"/>
      <c r="B535" s="7"/>
      <c r="C535" s="6"/>
      <c r="D535" s="7"/>
      <c r="E535" s="7"/>
      <c r="F535" s="7"/>
      <c r="G535" s="7"/>
      <c r="H535" s="17" t="str">
        <f t="shared" si="9"/>
        <v/>
      </c>
    </row>
    <row r="536" spans="1:8" x14ac:dyDescent="0.3">
      <c r="A536" s="48"/>
      <c r="B536" s="7"/>
      <c r="C536" s="6"/>
      <c r="D536" s="7"/>
      <c r="E536" s="7"/>
      <c r="F536" s="7"/>
      <c r="G536" s="7"/>
      <c r="H536" s="17" t="str">
        <f t="shared" si="9"/>
        <v/>
      </c>
    </row>
    <row r="537" spans="1:8" x14ac:dyDescent="0.3">
      <c r="A537" s="48"/>
      <c r="B537" s="7"/>
      <c r="C537" s="6"/>
      <c r="D537" s="7"/>
      <c r="E537" s="7"/>
      <c r="F537" s="7"/>
      <c r="G537" s="7"/>
      <c r="H537" s="17" t="str">
        <f t="shared" si="9"/>
        <v/>
      </c>
    </row>
    <row r="538" spans="1:8" x14ac:dyDescent="0.3">
      <c r="A538" s="48"/>
      <c r="B538" s="7"/>
      <c r="C538" s="6"/>
      <c r="D538" s="7"/>
      <c r="E538" s="7"/>
      <c r="F538" s="7"/>
      <c r="G538" s="7"/>
      <c r="H538" s="17" t="str">
        <f t="shared" si="9"/>
        <v/>
      </c>
    </row>
    <row r="539" spans="1:8" x14ac:dyDescent="0.3">
      <c r="A539" s="48"/>
      <c r="B539" s="7"/>
      <c r="C539" s="6"/>
      <c r="D539" s="7"/>
      <c r="E539" s="7"/>
      <c r="F539" s="7"/>
      <c r="G539" s="7"/>
      <c r="H539" s="17" t="str">
        <f t="shared" si="9"/>
        <v/>
      </c>
    </row>
    <row r="540" spans="1:8" x14ac:dyDescent="0.3">
      <c r="A540" s="48"/>
      <c r="B540" s="7"/>
      <c r="C540" s="6"/>
      <c r="D540" s="7"/>
      <c r="E540" s="7"/>
      <c r="F540" s="7"/>
      <c r="G540" s="7"/>
      <c r="H540" s="17" t="str">
        <f t="shared" si="9"/>
        <v/>
      </c>
    </row>
    <row r="541" spans="1:8" x14ac:dyDescent="0.3">
      <c r="A541" s="48"/>
      <c r="B541" s="7"/>
      <c r="C541" s="6"/>
      <c r="D541" s="7"/>
      <c r="E541" s="7"/>
      <c r="F541" s="7"/>
      <c r="G541" s="7"/>
      <c r="H541" s="17" t="str">
        <f t="shared" si="9"/>
        <v/>
      </c>
    </row>
    <row r="542" spans="1:8" x14ac:dyDescent="0.3">
      <c r="A542" s="48"/>
      <c r="B542" s="7"/>
      <c r="C542" s="6"/>
      <c r="D542" s="7"/>
      <c r="E542" s="7"/>
      <c r="F542" s="7"/>
      <c r="G542" s="7"/>
      <c r="H542" s="17" t="str">
        <f t="shared" si="9"/>
        <v/>
      </c>
    </row>
    <row r="543" spans="1:8" x14ac:dyDescent="0.3">
      <c r="A543" s="48"/>
      <c r="B543" s="7"/>
      <c r="C543" s="6"/>
      <c r="D543" s="7"/>
      <c r="E543" s="7"/>
      <c r="F543" s="7"/>
      <c r="G543" s="7"/>
      <c r="H543" s="17" t="str">
        <f t="shared" si="9"/>
        <v/>
      </c>
    </row>
    <row r="544" spans="1:8" x14ac:dyDescent="0.3">
      <c r="A544" s="48"/>
      <c r="B544" s="7"/>
      <c r="C544" s="6"/>
      <c r="D544" s="7"/>
      <c r="E544" s="7"/>
      <c r="F544" s="7"/>
      <c r="G544" s="7"/>
      <c r="H544" s="17" t="str">
        <f t="shared" si="9"/>
        <v/>
      </c>
    </row>
    <row r="545" spans="1:8" x14ac:dyDescent="0.3">
      <c r="A545" s="48"/>
      <c r="B545" s="7"/>
      <c r="C545" s="6"/>
      <c r="D545" s="7"/>
      <c r="E545" s="7"/>
      <c r="F545" s="7"/>
      <c r="G545" s="7"/>
      <c r="H545" s="17" t="str">
        <f t="shared" si="9"/>
        <v/>
      </c>
    </row>
    <row r="546" spans="1:8" x14ac:dyDescent="0.3">
      <c r="A546" s="48"/>
      <c r="B546" s="7"/>
      <c r="C546" s="6"/>
      <c r="D546" s="7"/>
      <c r="E546" s="7"/>
      <c r="F546" s="7"/>
      <c r="G546" s="7"/>
      <c r="H546" s="17" t="str">
        <f t="shared" si="9"/>
        <v/>
      </c>
    </row>
    <row r="547" spans="1:8" x14ac:dyDescent="0.3">
      <c r="A547" s="48"/>
      <c r="B547" s="7"/>
      <c r="C547" s="6"/>
      <c r="D547" s="7"/>
      <c r="E547" s="7"/>
      <c r="F547" s="7"/>
      <c r="G547" s="7"/>
      <c r="H547" s="17" t="str">
        <f t="shared" si="9"/>
        <v/>
      </c>
    </row>
    <row r="548" spans="1:8" x14ac:dyDescent="0.3">
      <c r="A548" s="48"/>
      <c r="B548" s="7"/>
      <c r="C548" s="6"/>
      <c r="D548" s="7"/>
      <c r="E548" s="7"/>
      <c r="F548" s="7"/>
      <c r="G548" s="7"/>
      <c r="H548" s="17" t="str">
        <f t="shared" si="9"/>
        <v/>
      </c>
    </row>
    <row r="549" spans="1:8" x14ac:dyDescent="0.3">
      <c r="A549" s="48"/>
      <c r="B549" s="7"/>
      <c r="C549" s="6"/>
      <c r="D549" s="7"/>
      <c r="E549" s="7"/>
      <c r="F549" s="7"/>
      <c r="G549" s="7"/>
      <c r="H549" s="17" t="str">
        <f t="shared" si="9"/>
        <v/>
      </c>
    </row>
    <row r="550" spans="1:8" x14ac:dyDescent="0.3">
      <c r="A550" s="48"/>
      <c r="B550" s="7"/>
      <c r="C550" s="6"/>
      <c r="D550" s="7"/>
      <c r="E550" s="7"/>
      <c r="F550" s="7"/>
      <c r="G550" s="7"/>
      <c r="H550" s="17" t="str">
        <f t="shared" si="9"/>
        <v/>
      </c>
    </row>
    <row r="551" spans="1:8" x14ac:dyDescent="0.3">
      <c r="A551" s="48"/>
      <c r="B551" s="7"/>
      <c r="C551" s="6"/>
      <c r="D551" s="7"/>
      <c r="E551" s="7"/>
      <c r="F551" s="7"/>
      <c r="G551" s="7"/>
      <c r="H551" s="17" t="str">
        <f t="shared" si="9"/>
        <v/>
      </c>
    </row>
    <row r="552" spans="1:8" x14ac:dyDescent="0.3">
      <c r="A552" s="48"/>
      <c r="B552" s="7"/>
      <c r="C552" s="6"/>
      <c r="D552" s="7"/>
      <c r="E552" s="7"/>
      <c r="F552" s="7"/>
      <c r="G552" s="7"/>
      <c r="H552" s="17" t="str">
        <f t="shared" si="9"/>
        <v/>
      </c>
    </row>
    <row r="553" spans="1:8" x14ac:dyDescent="0.3">
      <c r="A553" s="48"/>
      <c r="B553" s="7"/>
      <c r="C553" s="6"/>
      <c r="D553" s="7"/>
      <c r="E553" s="7"/>
      <c r="F553" s="7"/>
      <c r="G553" s="7"/>
      <c r="H553" s="17" t="str">
        <f t="shared" si="9"/>
        <v/>
      </c>
    </row>
    <row r="554" spans="1:8" x14ac:dyDescent="0.3">
      <c r="A554" s="48"/>
      <c r="B554" s="7"/>
      <c r="C554" s="6"/>
      <c r="D554" s="7"/>
      <c r="E554" s="7"/>
      <c r="F554" s="7"/>
      <c r="G554" s="7"/>
      <c r="H554" s="17" t="str">
        <f t="shared" si="9"/>
        <v/>
      </c>
    </row>
    <row r="555" spans="1:8" x14ac:dyDescent="0.3">
      <c r="A555" s="48"/>
      <c r="B555" s="7"/>
      <c r="C555" s="6"/>
      <c r="D555" s="7"/>
      <c r="E555" s="7"/>
      <c r="F555" s="7"/>
      <c r="G555" s="7"/>
      <c r="H555" s="17" t="str">
        <f t="shared" si="9"/>
        <v/>
      </c>
    </row>
    <row r="556" spans="1:8" x14ac:dyDescent="0.3">
      <c r="A556" s="48"/>
      <c r="B556" s="7"/>
      <c r="C556" s="6"/>
      <c r="D556" s="7"/>
      <c r="E556" s="7"/>
      <c r="F556" s="7"/>
      <c r="G556" s="7"/>
      <c r="H556" s="17" t="str">
        <f t="shared" si="9"/>
        <v/>
      </c>
    </row>
    <row r="557" spans="1:8" x14ac:dyDescent="0.3">
      <c r="A557" s="48"/>
      <c r="B557" s="7"/>
      <c r="C557" s="6"/>
      <c r="D557" s="7"/>
      <c r="E557" s="7"/>
      <c r="F557" s="7"/>
      <c r="G557" s="7"/>
      <c r="H557" s="17" t="str">
        <f t="shared" si="9"/>
        <v/>
      </c>
    </row>
    <row r="558" spans="1:8" x14ac:dyDescent="0.3">
      <c r="A558" s="48"/>
      <c r="B558" s="7"/>
      <c r="C558" s="6"/>
      <c r="D558" s="7"/>
      <c r="E558" s="7"/>
      <c r="F558" s="7"/>
      <c r="G558" s="7"/>
      <c r="H558" s="17" t="str">
        <f t="shared" si="9"/>
        <v/>
      </c>
    </row>
    <row r="559" spans="1:8" x14ac:dyDescent="0.3">
      <c r="A559" s="48"/>
      <c r="B559" s="7"/>
      <c r="C559" s="6"/>
      <c r="D559" s="7"/>
      <c r="E559" s="7"/>
      <c r="F559" s="7"/>
      <c r="G559" s="7"/>
      <c r="H559" s="17" t="str">
        <f t="shared" si="9"/>
        <v/>
      </c>
    </row>
    <row r="560" spans="1:8" x14ac:dyDescent="0.3">
      <c r="A560" s="48"/>
      <c r="B560" s="7"/>
      <c r="C560" s="6"/>
      <c r="D560" s="7"/>
      <c r="E560" s="7"/>
      <c r="F560" s="7"/>
      <c r="G560" s="7"/>
      <c r="H560" s="17" t="str">
        <f t="shared" si="9"/>
        <v/>
      </c>
    </row>
    <row r="561" spans="1:8" x14ac:dyDescent="0.3">
      <c r="A561" s="48"/>
      <c r="B561" s="7"/>
      <c r="C561" s="6"/>
      <c r="D561" s="7"/>
      <c r="E561" s="7"/>
      <c r="F561" s="7"/>
      <c r="G561" s="7"/>
      <c r="H561" s="17" t="str">
        <f t="shared" si="9"/>
        <v/>
      </c>
    </row>
    <row r="562" spans="1:8" x14ac:dyDescent="0.3">
      <c r="A562" s="48"/>
      <c r="B562" s="7"/>
      <c r="C562" s="6"/>
      <c r="D562" s="7"/>
      <c r="E562" s="7"/>
      <c r="F562" s="7"/>
      <c r="G562" s="7"/>
      <c r="H562" s="17" t="str">
        <f t="shared" si="9"/>
        <v/>
      </c>
    </row>
    <row r="563" spans="1:8" x14ac:dyDescent="0.3">
      <c r="A563" s="48"/>
      <c r="B563" s="7"/>
      <c r="C563" s="6"/>
      <c r="D563" s="7"/>
      <c r="E563" s="7"/>
      <c r="F563" s="7"/>
      <c r="G563" s="7"/>
      <c r="H563" s="17" t="str">
        <f t="shared" si="9"/>
        <v/>
      </c>
    </row>
    <row r="564" spans="1:8" x14ac:dyDescent="0.3">
      <c r="A564" s="48"/>
      <c r="B564" s="7"/>
      <c r="C564" s="6"/>
      <c r="D564" s="7"/>
      <c r="E564" s="7"/>
      <c r="F564" s="7"/>
      <c r="G564" s="7"/>
      <c r="H564" s="17" t="str">
        <f t="shared" si="9"/>
        <v/>
      </c>
    </row>
    <row r="565" spans="1:8" x14ac:dyDescent="0.3">
      <c r="A565" s="48"/>
      <c r="B565" s="7"/>
      <c r="C565" s="6"/>
      <c r="D565" s="7"/>
      <c r="E565" s="7"/>
      <c r="F565" s="7"/>
      <c r="G565" s="7"/>
      <c r="H565" s="17" t="str">
        <f t="shared" si="9"/>
        <v/>
      </c>
    </row>
    <row r="566" spans="1:8" x14ac:dyDescent="0.3">
      <c r="A566" s="48"/>
      <c r="B566" s="7"/>
      <c r="C566" s="6"/>
      <c r="D566" s="7"/>
      <c r="E566" s="7"/>
      <c r="F566" s="7"/>
      <c r="G566" s="7"/>
      <c r="H566" s="17" t="str">
        <f t="shared" si="9"/>
        <v/>
      </c>
    </row>
    <row r="567" spans="1:8" x14ac:dyDescent="0.3">
      <c r="A567" s="48"/>
      <c r="B567" s="7"/>
      <c r="C567" s="6"/>
      <c r="D567" s="7"/>
      <c r="E567" s="7"/>
      <c r="F567" s="7"/>
      <c r="G567" s="7"/>
      <c r="H567" s="17" t="str">
        <f t="shared" si="9"/>
        <v/>
      </c>
    </row>
    <row r="568" spans="1:8" x14ac:dyDescent="0.3">
      <c r="A568" s="48"/>
      <c r="B568" s="7"/>
      <c r="C568" s="6"/>
      <c r="D568" s="7"/>
      <c r="E568" s="7"/>
      <c r="F568" s="7"/>
      <c r="G568" s="7"/>
      <c r="H568" s="17" t="str">
        <f t="shared" ref="H568:H631" si="10">IF(A568="","",IF(A568&gt;=46232,TEXT(DATE(YEAR(A568),MONTH(A568)+1,1),"mmmm yyyy"),TEXT(DATE(YEAR(A568),MONTH(A568),1),"mmmm yyyy")))</f>
        <v/>
      </c>
    </row>
    <row r="569" spans="1:8" x14ac:dyDescent="0.3">
      <c r="A569" s="48"/>
      <c r="B569" s="7"/>
      <c r="C569" s="6"/>
      <c r="D569" s="7"/>
      <c r="E569" s="7"/>
      <c r="F569" s="7"/>
      <c r="G569" s="7"/>
      <c r="H569" s="17" t="str">
        <f t="shared" si="10"/>
        <v/>
      </c>
    </row>
    <row r="570" spans="1:8" x14ac:dyDescent="0.3">
      <c r="A570" s="48"/>
      <c r="B570" s="7"/>
      <c r="C570" s="6"/>
      <c r="D570" s="7"/>
      <c r="E570" s="7"/>
      <c r="F570" s="7"/>
      <c r="G570" s="7"/>
      <c r="H570" s="17" t="str">
        <f t="shared" si="10"/>
        <v/>
      </c>
    </row>
    <row r="571" spans="1:8" x14ac:dyDescent="0.3">
      <c r="A571" s="48"/>
      <c r="B571" s="7"/>
      <c r="C571" s="6"/>
      <c r="D571" s="7"/>
      <c r="E571" s="7"/>
      <c r="F571" s="7"/>
      <c r="G571" s="7"/>
      <c r="H571" s="17" t="str">
        <f t="shared" si="10"/>
        <v/>
      </c>
    </row>
    <row r="572" spans="1:8" x14ac:dyDescent="0.3">
      <c r="A572" s="48"/>
      <c r="B572" s="7"/>
      <c r="C572" s="6"/>
      <c r="D572" s="7"/>
      <c r="E572" s="7"/>
      <c r="F572" s="7"/>
      <c r="G572" s="7"/>
      <c r="H572" s="17" t="str">
        <f t="shared" si="10"/>
        <v/>
      </c>
    </row>
    <row r="573" spans="1:8" x14ac:dyDescent="0.3">
      <c r="A573" s="48"/>
      <c r="B573" s="7"/>
      <c r="C573" s="6"/>
      <c r="D573" s="7"/>
      <c r="E573" s="7"/>
      <c r="F573" s="7"/>
      <c r="G573" s="7"/>
      <c r="H573" s="17" t="str">
        <f t="shared" si="10"/>
        <v/>
      </c>
    </row>
    <row r="574" spans="1:8" x14ac:dyDescent="0.3">
      <c r="A574" s="48"/>
      <c r="B574" s="7"/>
      <c r="C574" s="6"/>
      <c r="D574" s="7"/>
      <c r="E574" s="7"/>
      <c r="F574" s="7"/>
      <c r="G574" s="7"/>
      <c r="H574" s="17" t="str">
        <f t="shared" si="10"/>
        <v/>
      </c>
    </row>
    <row r="575" spans="1:8" x14ac:dyDescent="0.3">
      <c r="A575" s="48"/>
      <c r="B575" s="7"/>
      <c r="C575" s="6"/>
      <c r="D575" s="7"/>
      <c r="E575" s="7"/>
      <c r="F575" s="7"/>
      <c r="G575" s="7"/>
      <c r="H575" s="17" t="str">
        <f t="shared" si="10"/>
        <v/>
      </c>
    </row>
    <row r="576" spans="1:8" x14ac:dyDescent="0.3">
      <c r="A576" s="48"/>
      <c r="B576" s="7"/>
      <c r="C576" s="6"/>
      <c r="D576" s="7"/>
      <c r="E576" s="7"/>
      <c r="F576" s="7"/>
      <c r="G576" s="7"/>
      <c r="H576" s="17" t="str">
        <f t="shared" si="10"/>
        <v/>
      </c>
    </row>
    <row r="577" spans="1:8" x14ac:dyDescent="0.3">
      <c r="A577" s="48"/>
      <c r="B577" s="7"/>
      <c r="C577" s="6"/>
      <c r="D577" s="7"/>
      <c r="E577" s="7"/>
      <c r="F577" s="7"/>
      <c r="G577" s="7"/>
      <c r="H577" s="17" t="str">
        <f t="shared" si="10"/>
        <v/>
      </c>
    </row>
    <row r="578" spans="1:8" x14ac:dyDescent="0.3">
      <c r="A578" s="48"/>
      <c r="B578" s="7"/>
      <c r="C578" s="6"/>
      <c r="D578" s="7"/>
      <c r="E578" s="7"/>
      <c r="F578" s="7"/>
      <c r="G578" s="7"/>
      <c r="H578" s="17" t="str">
        <f t="shared" si="10"/>
        <v/>
      </c>
    </row>
    <row r="579" spans="1:8" x14ac:dyDescent="0.3">
      <c r="A579" s="48"/>
      <c r="B579" s="7"/>
      <c r="C579" s="6"/>
      <c r="D579" s="7"/>
      <c r="E579" s="7"/>
      <c r="F579" s="7"/>
      <c r="G579" s="7"/>
      <c r="H579" s="17" t="str">
        <f t="shared" si="10"/>
        <v/>
      </c>
    </row>
    <row r="580" spans="1:8" x14ac:dyDescent="0.3">
      <c r="A580" s="48"/>
      <c r="B580" s="7"/>
      <c r="C580" s="6"/>
      <c r="D580" s="7"/>
      <c r="E580" s="7"/>
      <c r="F580" s="7"/>
      <c r="G580" s="7"/>
      <c r="H580" s="17" t="str">
        <f t="shared" si="10"/>
        <v/>
      </c>
    </row>
    <row r="581" spans="1:8" x14ac:dyDescent="0.3">
      <c r="A581" s="48"/>
      <c r="B581" s="7"/>
      <c r="C581" s="6"/>
      <c r="D581" s="7"/>
      <c r="E581" s="7"/>
      <c r="F581" s="7"/>
      <c r="G581" s="7"/>
      <c r="H581" s="17" t="str">
        <f t="shared" si="10"/>
        <v/>
      </c>
    </row>
    <row r="582" spans="1:8" x14ac:dyDescent="0.3">
      <c r="A582" s="48"/>
      <c r="B582" s="7"/>
      <c r="C582" s="6"/>
      <c r="D582" s="7"/>
      <c r="E582" s="7"/>
      <c r="F582" s="7"/>
      <c r="G582" s="7"/>
      <c r="H582" s="17" t="str">
        <f t="shared" si="10"/>
        <v/>
      </c>
    </row>
    <row r="583" spans="1:8" x14ac:dyDescent="0.3">
      <c r="A583" s="48"/>
      <c r="B583" s="7"/>
      <c r="C583" s="6"/>
      <c r="D583" s="7"/>
      <c r="E583" s="7"/>
      <c r="F583" s="7"/>
      <c r="G583" s="7"/>
      <c r="H583" s="17" t="str">
        <f t="shared" si="10"/>
        <v/>
      </c>
    </row>
    <row r="584" spans="1:8" x14ac:dyDescent="0.3">
      <c r="A584" s="48"/>
      <c r="B584" s="7"/>
      <c r="C584" s="6"/>
      <c r="D584" s="7"/>
      <c r="E584" s="7"/>
      <c r="F584" s="7"/>
      <c r="G584" s="7"/>
      <c r="H584" s="17" t="str">
        <f t="shared" si="10"/>
        <v/>
      </c>
    </row>
    <row r="585" spans="1:8" x14ac:dyDescent="0.3">
      <c r="A585" s="48"/>
      <c r="B585" s="7"/>
      <c r="C585" s="6"/>
      <c r="D585" s="7"/>
      <c r="E585" s="7"/>
      <c r="F585" s="7"/>
      <c r="G585" s="7"/>
      <c r="H585" s="17" t="str">
        <f t="shared" si="10"/>
        <v/>
      </c>
    </row>
    <row r="586" spans="1:8" x14ac:dyDescent="0.3">
      <c r="A586" s="48"/>
      <c r="B586" s="7"/>
      <c r="C586" s="6"/>
      <c r="D586" s="7"/>
      <c r="E586" s="7"/>
      <c r="F586" s="7"/>
      <c r="G586" s="7"/>
      <c r="H586" s="17" t="str">
        <f t="shared" si="10"/>
        <v/>
      </c>
    </row>
    <row r="587" spans="1:8" x14ac:dyDescent="0.3">
      <c r="A587" s="48"/>
      <c r="B587" s="7"/>
      <c r="C587" s="6"/>
      <c r="D587" s="7"/>
      <c r="E587" s="7"/>
      <c r="F587" s="7"/>
      <c r="G587" s="7"/>
      <c r="H587" s="17" t="str">
        <f t="shared" si="10"/>
        <v/>
      </c>
    </row>
    <row r="588" spans="1:8" x14ac:dyDescent="0.3">
      <c r="A588" s="48"/>
      <c r="B588" s="7"/>
      <c r="C588" s="6"/>
      <c r="D588" s="7"/>
      <c r="E588" s="7"/>
      <c r="F588" s="7"/>
      <c r="G588" s="7"/>
      <c r="H588" s="17" t="str">
        <f t="shared" si="10"/>
        <v/>
      </c>
    </row>
    <row r="589" spans="1:8" x14ac:dyDescent="0.3">
      <c r="A589" s="48"/>
      <c r="B589" s="7"/>
      <c r="C589" s="6"/>
      <c r="D589" s="7"/>
      <c r="E589" s="7"/>
      <c r="F589" s="7"/>
      <c r="G589" s="7"/>
      <c r="H589" s="17" t="str">
        <f t="shared" si="10"/>
        <v/>
      </c>
    </row>
    <row r="590" spans="1:8" x14ac:dyDescent="0.3">
      <c r="A590" s="48"/>
      <c r="B590" s="7"/>
      <c r="C590" s="6"/>
      <c r="D590" s="7"/>
      <c r="E590" s="7"/>
      <c r="F590" s="7"/>
      <c r="G590" s="7"/>
      <c r="H590" s="17" t="str">
        <f t="shared" si="10"/>
        <v/>
      </c>
    </row>
    <row r="591" spans="1:8" x14ac:dyDescent="0.3">
      <c r="A591" s="48"/>
      <c r="B591" s="7"/>
      <c r="C591" s="6"/>
      <c r="D591" s="7"/>
      <c r="E591" s="7"/>
      <c r="F591" s="7"/>
      <c r="G591" s="7"/>
      <c r="H591" s="17" t="str">
        <f t="shared" si="10"/>
        <v/>
      </c>
    </row>
    <row r="592" spans="1:8" x14ac:dyDescent="0.3">
      <c r="A592" s="48"/>
      <c r="B592" s="7"/>
      <c r="C592" s="6"/>
      <c r="D592" s="7"/>
      <c r="E592" s="7"/>
      <c r="F592" s="7"/>
      <c r="G592" s="7"/>
      <c r="H592" s="17" t="str">
        <f t="shared" si="10"/>
        <v/>
      </c>
    </row>
    <row r="593" spans="1:8" x14ac:dyDescent="0.3">
      <c r="A593" s="48"/>
      <c r="B593" s="7"/>
      <c r="C593" s="6"/>
      <c r="D593" s="7"/>
      <c r="E593" s="7"/>
      <c r="F593" s="7"/>
      <c r="G593" s="7"/>
      <c r="H593" s="17" t="str">
        <f t="shared" si="10"/>
        <v/>
      </c>
    </row>
    <row r="594" spans="1:8" x14ac:dyDescent="0.3">
      <c r="A594" s="48"/>
      <c r="B594" s="7"/>
      <c r="C594" s="6"/>
      <c r="D594" s="7"/>
      <c r="E594" s="7"/>
      <c r="F594" s="7"/>
      <c r="G594" s="7"/>
      <c r="H594" s="17" t="str">
        <f t="shared" si="10"/>
        <v/>
      </c>
    </row>
    <row r="595" spans="1:8" x14ac:dyDescent="0.3">
      <c r="A595" s="48"/>
      <c r="B595" s="7"/>
      <c r="C595" s="6"/>
      <c r="D595" s="7"/>
      <c r="E595" s="7"/>
      <c r="F595" s="7"/>
      <c r="G595" s="7"/>
      <c r="H595" s="17" t="str">
        <f t="shared" si="10"/>
        <v/>
      </c>
    </row>
    <row r="596" spans="1:8" x14ac:dyDescent="0.3">
      <c r="A596" s="48"/>
      <c r="B596" s="7"/>
      <c r="C596" s="6"/>
      <c r="D596" s="7"/>
      <c r="E596" s="7"/>
      <c r="F596" s="7"/>
      <c r="G596" s="7"/>
      <c r="H596" s="17" t="str">
        <f t="shared" si="10"/>
        <v/>
      </c>
    </row>
    <row r="597" spans="1:8" x14ac:dyDescent="0.3">
      <c r="A597" s="48"/>
      <c r="B597" s="7"/>
      <c r="C597" s="6"/>
      <c r="D597" s="7"/>
      <c r="E597" s="7"/>
      <c r="F597" s="7"/>
      <c r="G597" s="7"/>
      <c r="H597" s="17" t="str">
        <f t="shared" si="10"/>
        <v/>
      </c>
    </row>
    <row r="598" spans="1:8" x14ac:dyDescent="0.3">
      <c r="A598" s="48"/>
      <c r="B598" s="7"/>
      <c r="C598" s="6"/>
      <c r="D598" s="7"/>
      <c r="E598" s="7"/>
      <c r="F598" s="7"/>
      <c r="G598" s="7"/>
      <c r="H598" s="17" t="str">
        <f t="shared" si="10"/>
        <v/>
      </c>
    </row>
    <row r="599" spans="1:8" x14ac:dyDescent="0.3">
      <c r="A599" s="48"/>
      <c r="B599" s="7"/>
      <c r="C599" s="6"/>
      <c r="D599" s="7"/>
      <c r="E599" s="7"/>
      <c r="F599" s="7"/>
      <c r="G599" s="7"/>
      <c r="H599" s="17" t="str">
        <f t="shared" si="10"/>
        <v/>
      </c>
    </row>
    <row r="600" spans="1:8" x14ac:dyDescent="0.3">
      <c r="A600" s="48"/>
      <c r="B600" s="7"/>
      <c r="C600" s="6"/>
      <c r="D600" s="7"/>
      <c r="E600" s="7"/>
      <c r="F600" s="7"/>
      <c r="G600" s="7"/>
      <c r="H600" s="17" t="str">
        <f t="shared" si="10"/>
        <v/>
      </c>
    </row>
    <row r="601" spans="1:8" x14ac:dyDescent="0.3">
      <c r="A601" s="48"/>
      <c r="B601" s="7"/>
      <c r="C601" s="6"/>
      <c r="D601" s="7"/>
      <c r="E601" s="7"/>
      <c r="F601" s="7"/>
      <c r="G601" s="7"/>
      <c r="H601" s="17" t="str">
        <f t="shared" si="10"/>
        <v/>
      </c>
    </row>
    <row r="602" spans="1:8" x14ac:dyDescent="0.3">
      <c r="A602" s="48"/>
      <c r="B602" s="7"/>
      <c r="C602" s="6"/>
      <c r="D602" s="7"/>
      <c r="E602" s="7"/>
      <c r="F602" s="7"/>
      <c r="G602" s="7"/>
      <c r="H602" s="17" t="str">
        <f t="shared" si="10"/>
        <v/>
      </c>
    </row>
    <row r="603" spans="1:8" x14ac:dyDescent="0.3">
      <c r="A603" s="48"/>
      <c r="B603" s="7"/>
      <c r="C603" s="6"/>
      <c r="D603" s="7"/>
      <c r="E603" s="7"/>
      <c r="F603" s="7"/>
      <c r="G603" s="7"/>
      <c r="H603" s="17" t="str">
        <f t="shared" si="10"/>
        <v/>
      </c>
    </row>
    <row r="604" spans="1:8" x14ac:dyDescent="0.3">
      <c r="A604" s="48"/>
      <c r="B604" s="7"/>
      <c r="C604" s="6"/>
      <c r="D604" s="7"/>
      <c r="E604" s="7"/>
      <c r="F604" s="7"/>
      <c r="G604" s="7"/>
      <c r="H604" s="17" t="str">
        <f t="shared" si="10"/>
        <v/>
      </c>
    </row>
    <row r="605" spans="1:8" x14ac:dyDescent="0.3">
      <c r="A605" s="48"/>
      <c r="B605" s="7"/>
      <c r="C605" s="6"/>
      <c r="D605" s="7"/>
      <c r="E605" s="7"/>
      <c r="F605" s="7"/>
      <c r="G605" s="7"/>
      <c r="H605" s="17" t="str">
        <f t="shared" si="10"/>
        <v/>
      </c>
    </row>
    <row r="606" spans="1:8" x14ac:dyDescent="0.3">
      <c r="A606" s="48"/>
      <c r="B606" s="7"/>
      <c r="C606" s="6"/>
      <c r="D606" s="7"/>
      <c r="E606" s="7"/>
      <c r="F606" s="7"/>
      <c r="G606" s="7"/>
      <c r="H606" s="17" t="str">
        <f t="shared" si="10"/>
        <v/>
      </c>
    </row>
    <row r="607" spans="1:8" x14ac:dyDescent="0.3">
      <c r="A607" s="48"/>
      <c r="B607" s="7"/>
      <c r="C607" s="6"/>
      <c r="D607" s="7"/>
      <c r="E607" s="7"/>
      <c r="F607" s="7"/>
      <c r="G607" s="7"/>
      <c r="H607" s="17" t="str">
        <f t="shared" si="10"/>
        <v/>
      </c>
    </row>
    <row r="608" spans="1:8" x14ac:dyDescent="0.3">
      <c r="A608" s="48"/>
      <c r="B608" s="7"/>
      <c r="C608" s="6"/>
      <c r="D608" s="7"/>
      <c r="E608" s="7"/>
      <c r="F608" s="7"/>
      <c r="G608" s="7"/>
      <c r="H608" s="17" t="str">
        <f t="shared" si="10"/>
        <v/>
      </c>
    </row>
    <row r="609" spans="1:8" x14ac:dyDescent="0.3">
      <c r="A609" s="48"/>
      <c r="B609" s="7"/>
      <c r="C609" s="6"/>
      <c r="D609" s="7"/>
      <c r="E609" s="7"/>
      <c r="F609" s="7"/>
      <c r="G609" s="7"/>
      <c r="H609" s="17" t="str">
        <f t="shared" si="10"/>
        <v/>
      </c>
    </row>
    <row r="610" spans="1:8" x14ac:dyDescent="0.3">
      <c r="A610" s="48"/>
      <c r="B610" s="7"/>
      <c r="C610" s="6"/>
      <c r="D610" s="7"/>
      <c r="E610" s="7"/>
      <c r="F610" s="7"/>
      <c r="G610" s="7"/>
      <c r="H610" s="17" t="str">
        <f t="shared" si="10"/>
        <v/>
      </c>
    </row>
    <row r="611" spans="1:8" x14ac:dyDescent="0.3">
      <c r="A611" s="48"/>
      <c r="B611" s="7"/>
      <c r="C611" s="6"/>
      <c r="D611" s="7"/>
      <c r="E611" s="7"/>
      <c r="F611" s="7"/>
      <c r="G611" s="7"/>
      <c r="H611" s="17" t="str">
        <f t="shared" si="10"/>
        <v/>
      </c>
    </row>
    <row r="612" spans="1:8" x14ac:dyDescent="0.3">
      <c r="A612" s="48"/>
      <c r="B612" s="7"/>
      <c r="C612" s="6"/>
      <c r="D612" s="7"/>
      <c r="E612" s="7"/>
      <c r="F612" s="7"/>
      <c r="G612" s="7"/>
      <c r="H612" s="17" t="str">
        <f t="shared" si="10"/>
        <v/>
      </c>
    </row>
    <row r="613" spans="1:8" x14ac:dyDescent="0.3">
      <c r="A613" s="48"/>
      <c r="B613" s="7"/>
      <c r="C613" s="6"/>
      <c r="D613" s="7"/>
      <c r="E613" s="7"/>
      <c r="F613" s="7"/>
      <c r="G613" s="7"/>
      <c r="H613" s="17" t="str">
        <f t="shared" si="10"/>
        <v/>
      </c>
    </row>
    <row r="614" spans="1:8" x14ac:dyDescent="0.3">
      <c r="A614" s="48"/>
      <c r="B614" s="7"/>
      <c r="C614" s="6"/>
      <c r="D614" s="7"/>
      <c r="E614" s="7"/>
      <c r="F614" s="7"/>
      <c r="G614" s="7"/>
      <c r="H614" s="17" t="str">
        <f t="shared" si="10"/>
        <v/>
      </c>
    </row>
    <row r="615" spans="1:8" x14ac:dyDescent="0.3">
      <c r="A615" s="48"/>
      <c r="B615" s="7"/>
      <c r="C615" s="6"/>
      <c r="D615" s="7"/>
      <c r="E615" s="7"/>
      <c r="F615" s="7"/>
      <c r="G615" s="7"/>
      <c r="H615" s="17" t="str">
        <f t="shared" si="10"/>
        <v/>
      </c>
    </row>
    <row r="616" spans="1:8" x14ac:dyDescent="0.3">
      <c r="A616" s="48"/>
      <c r="B616" s="7"/>
      <c r="C616" s="6"/>
      <c r="D616" s="7"/>
      <c r="E616" s="7"/>
      <c r="F616" s="7"/>
      <c r="G616" s="7"/>
      <c r="H616" s="17" t="str">
        <f t="shared" si="10"/>
        <v/>
      </c>
    </row>
    <row r="617" spans="1:8" x14ac:dyDescent="0.3">
      <c r="A617" s="48"/>
      <c r="B617" s="7"/>
      <c r="C617" s="6"/>
      <c r="D617" s="7"/>
      <c r="E617" s="7"/>
      <c r="F617" s="7"/>
      <c r="G617" s="7"/>
      <c r="H617" s="17" t="str">
        <f t="shared" si="10"/>
        <v/>
      </c>
    </row>
    <row r="618" spans="1:8" x14ac:dyDescent="0.3">
      <c r="A618" s="48"/>
      <c r="B618" s="7"/>
      <c r="C618" s="6"/>
      <c r="D618" s="7"/>
      <c r="E618" s="7"/>
      <c r="F618" s="7"/>
      <c r="G618" s="7"/>
      <c r="H618" s="17" t="str">
        <f t="shared" si="10"/>
        <v/>
      </c>
    </row>
    <row r="619" spans="1:8" x14ac:dyDescent="0.3">
      <c r="A619" s="48"/>
      <c r="B619" s="7"/>
      <c r="C619" s="6"/>
      <c r="D619" s="7"/>
      <c r="E619" s="7"/>
      <c r="F619" s="7"/>
      <c r="G619" s="7"/>
      <c r="H619" s="17" t="str">
        <f t="shared" si="10"/>
        <v/>
      </c>
    </row>
    <row r="620" spans="1:8" x14ac:dyDescent="0.3">
      <c r="A620" s="48"/>
      <c r="B620" s="7"/>
      <c r="C620" s="6"/>
      <c r="D620" s="7"/>
      <c r="E620" s="7"/>
      <c r="F620" s="7"/>
      <c r="G620" s="7"/>
      <c r="H620" s="17" t="str">
        <f t="shared" si="10"/>
        <v/>
      </c>
    </row>
    <row r="621" spans="1:8" x14ac:dyDescent="0.3">
      <c r="A621" s="48"/>
      <c r="B621" s="7"/>
      <c r="C621" s="6"/>
      <c r="D621" s="7"/>
      <c r="E621" s="7"/>
      <c r="F621" s="7"/>
      <c r="G621" s="7"/>
      <c r="H621" s="17" t="str">
        <f t="shared" si="10"/>
        <v/>
      </c>
    </row>
    <row r="622" spans="1:8" x14ac:dyDescent="0.3">
      <c r="A622" s="48"/>
      <c r="B622" s="7"/>
      <c r="C622" s="6"/>
      <c r="D622" s="7"/>
      <c r="E622" s="7"/>
      <c r="F622" s="7"/>
      <c r="G622" s="7"/>
      <c r="H622" s="17" t="str">
        <f t="shared" si="10"/>
        <v/>
      </c>
    </row>
    <row r="623" spans="1:8" x14ac:dyDescent="0.3">
      <c r="A623" s="48"/>
      <c r="B623" s="7"/>
      <c r="C623" s="6"/>
      <c r="D623" s="7"/>
      <c r="E623" s="7"/>
      <c r="F623" s="7"/>
      <c r="G623" s="7"/>
      <c r="H623" s="17" t="str">
        <f t="shared" si="10"/>
        <v/>
      </c>
    </row>
    <row r="624" spans="1:8" x14ac:dyDescent="0.3">
      <c r="A624" s="48"/>
      <c r="B624" s="7"/>
      <c r="C624" s="6"/>
      <c r="D624" s="7"/>
      <c r="E624" s="7"/>
      <c r="F624" s="7"/>
      <c r="G624" s="7"/>
      <c r="H624" s="17" t="str">
        <f t="shared" si="10"/>
        <v/>
      </c>
    </row>
    <row r="625" spans="1:8" x14ac:dyDescent="0.3">
      <c r="A625" s="48"/>
      <c r="B625" s="7"/>
      <c r="C625" s="6"/>
      <c r="D625" s="7"/>
      <c r="E625" s="7"/>
      <c r="F625" s="7"/>
      <c r="G625" s="7"/>
      <c r="H625" s="17" t="str">
        <f t="shared" si="10"/>
        <v/>
      </c>
    </row>
    <row r="626" spans="1:8" x14ac:dyDescent="0.3">
      <c r="A626" s="48"/>
      <c r="B626" s="7"/>
      <c r="C626" s="6"/>
      <c r="D626" s="7"/>
      <c r="E626" s="7"/>
      <c r="F626" s="7"/>
      <c r="G626" s="7"/>
      <c r="H626" s="17" t="str">
        <f t="shared" si="10"/>
        <v/>
      </c>
    </row>
    <row r="627" spans="1:8" x14ac:dyDescent="0.3">
      <c r="A627" s="48"/>
      <c r="B627" s="7"/>
      <c r="C627" s="6"/>
      <c r="D627" s="7"/>
      <c r="E627" s="7"/>
      <c r="F627" s="7"/>
      <c r="G627" s="7"/>
      <c r="H627" s="17" t="str">
        <f t="shared" si="10"/>
        <v/>
      </c>
    </row>
    <row r="628" spans="1:8" x14ac:dyDescent="0.3">
      <c r="A628" s="48"/>
      <c r="B628" s="7"/>
      <c r="C628" s="6"/>
      <c r="D628" s="7"/>
      <c r="E628" s="7"/>
      <c r="F628" s="7"/>
      <c r="G628" s="7"/>
      <c r="H628" s="17" t="str">
        <f t="shared" si="10"/>
        <v/>
      </c>
    </row>
    <row r="629" spans="1:8" x14ac:dyDescent="0.3">
      <c r="A629" s="48"/>
      <c r="B629" s="7"/>
      <c r="C629" s="6"/>
      <c r="D629" s="7"/>
      <c r="E629" s="7"/>
      <c r="F629" s="7"/>
      <c r="G629" s="7"/>
      <c r="H629" s="17" t="str">
        <f t="shared" si="10"/>
        <v/>
      </c>
    </row>
    <row r="630" spans="1:8" x14ac:dyDescent="0.3">
      <c r="A630" s="48"/>
      <c r="B630" s="7"/>
      <c r="C630" s="6"/>
      <c r="D630" s="7"/>
      <c r="E630" s="7"/>
      <c r="F630" s="7"/>
      <c r="G630" s="7"/>
      <c r="H630" s="17" t="str">
        <f t="shared" si="10"/>
        <v/>
      </c>
    </row>
    <row r="631" spans="1:8" x14ac:dyDescent="0.3">
      <c r="A631" s="48"/>
      <c r="B631" s="7"/>
      <c r="C631" s="6"/>
      <c r="D631" s="7"/>
      <c r="E631" s="7"/>
      <c r="F631" s="7"/>
      <c r="G631" s="7"/>
      <c r="H631" s="17" t="str">
        <f t="shared" si="10"/>
        <v/>
      </c>
    </row>
    <row r="632" spans="1:8" x14ac:dyDescent="0.3">
      <c r="A632" s="48"/>
      <c r="B632" s="7"/>
      <c r="C632" s="6"/>
      <c r="D632" s="7"/>
      <c r="E632" s="7"/>
      <c r="F632" s="7"/>
      <c r="G632" s="7"/>
      <c r="H632" s="17" t="str">
        <f t="shared" ref="H632:H695" si="11">IF(A632="","",IF(A632&gt;=46232,TEXT(DATE(YEAR(A632),MONTH(A632)+1,1),"mmmm yyyy"),TEXT(DATE(YEAR(A632),MONTH(A632),1),"mmmm yyyy")))</f>
        <v/>
      </c>
    </row>
    <row r="633" spans="1:8" x14ac:dyDescent="0.3">
      <c r="A633" s="48"/>
      <c r="B633" s="7"/>
      <c r="C633" s="6"/>
      <c r="D633" s="7"/>
      <c r="E633" s="7"/>
      <c r="F633" s="7"/>
      <c r="G633" s="7"/>
      <c r="H633" s="17" t="str">
        <f t="shared" si="11"/>
        <v/>
      </c>
    </row>
    <row r="634" spans="1:8" x14ac:dyDescent="0.3">
      <c r="A634" s="48"/>
      <c r="B634" s="7"/>
      <c r="C634" s="6"/>
      <c r="D634" s="7"/>
      <c r="E634" s="7"/>
      <c r="F634" s="7"/>
      <c r="G634" s="7"/>
      <c r="H634" s="17" t="str">
        <f t="shared" si="11"/>
        <v/>
      </c>
    </row>
    <row r="635" spans="1:8" x14ac:dyDescent="0.3">
      <c r="A635" s="48"/>
      <c r="B635" s="7"/>
      <c r="C635" s="6"/>
      <c r="D635" s="7"/>
      <c r="E635" s="7"/>
      <c r="F635" s="7"/>
      <c r="G635" s="7"/>
      <c r="H635" s="17" t="str">
        <f t="shared" si="11"/>
        <v/>
      </c>
    </row>
    <row r="636" spans="1:8" x14ac:dyDescent="0.3">
      <c r="A636" s="48"/>
      <c r="B636" s="7"/>
      <c r="C636" s="6"/>
      <c r="D636" s="7"/>
      <c r="E636" s="7"/>
      <c r="F636" s="7"/>
      <c r="G636" s="7"/>
      <c r="H636" s="17" t="str">
        <f t="shared" si="11"/>
        <v/>
      </c>
    </row>
    <row r="637" spans="1:8" x14ac:dyDescent="0.3">
      <c r="A637" s="48"/>
      <c r="B637" s="7"/>
      <c r="C637" s="6"/>
      <c r="D637" s="7"/>
      <c r="E637" s="7"/>
      <c r="F637" s="7"/>
      <c r="G637" s="7"/>
      <c r="H637" s="17" t="str">
        <f t="shared" si="11"/>
        <v/>
      </c>
    </row>
    <row r="638" spans="1:8" x14ac:dyDescent="0.3">
      <c r="A638" s="48"/>
      <c r="B638" s="7"/>
      <c r="C638" s="6"/>
      <c r="D638" s="7"/>
      <c r="E638" s="7"/>
      <c r="F638" s="7"/>
      <c r="G638" s="7"/>
      <c r="H638" s="17" t="str">
        <f t="shared" si="11"/>
        <v/>
      </c>
    </row>
    <row r="639" spans="1:8" x14ac:dyDescent="0.3">
      <c r="A639" s="48"/>
      <c r="B639" s="7"/>
      <c r="C639" s="6"/>
      <c r="D639" s="7"/>
      <c r="E639" s="7"/>
      <c r="F639" s="7"/>
      <c r="G639" s="7"/>
      <c r="H639" s="17" t="str">
        <f t="shared" si="11"/>
        <v/>
      </c>
    </row>
    <row r="640" spans="1:8" x14ac:dyDescent="0.3">
      <c r="A640" s="48"/>
      <c r="B640" s="7"/>
      <c r="C640" s="6"/>
      <c r="D640" s="7"/>
      <c r="E640" s="7"/>
      <c r="F640" s="7"/>
      <c r="G640" s="7"/>
      <c r="H640" s="17" t="str">
        <f t="shared" si="11"/>
        <v/>
      </c>
    </row>
    <row r="641" spans="1:8" x14ac:dyDescent="0.3">
      <c r="A641" s="48"/>
      <c r="B641" s="7"/>
      <c r="C641" s="6"/>
      <c r="D641" s="7"/>
      <c r="E641" s="7"/>
      <c r="F641" s="7"/>
      <c r="G641" s="7"/>
      <c r="H641" s="17" t="str">
        <f t="shared" si="11"/>
        <v/>
      </c>
    </row>
    <row r="642" spans="1:8" x14ac:dyDescent="0.3">
      <c r="A642" s="48"/>
      <c r="B642" s="7"/>
      <c r="C642" s="6"/>
      <c r="D642" s="7"/>
      <c r="E642" s="7"/>
      <c r="F642" s="7"/>
      <c r="G642" s="7"/>
      <c r="H642" s="17" t="str">
        <f t="shared" si="11"/>
        <v/>
      </c>
    </row>
    <row r="643" spans="1:8" x14ac:dyDescent="0.3">
      <c r="A643" s="48"/>
      <c r="B643" s="7"/>
      <c r="C643" s="6"/>
      <c r="D643" s="7"/>
      <c r="E643" s="7"/>
      <c r="F643" s="7"/>
      <c r="G643" s="7"/>
      <c r="H643" s="17" t="str">
        <f t="shared" si="11"/>
        <v/>
      </c>
    </row>
    <row r="644" spans="1:8" x14ac:dyDescent="0.3">
      <c r="A644" s="48"/>
      <c r="B644" s="7"/>
      <c r="C644" s="6"/>
      <c r="D644" s="7"/>
      <c r="E644" s="7"/>
      <c r="F644" s="7"/>
      <c r="G644" s="7"/>
      <c r="H644" s="17" t="str">
        <f t="shared" si="11"/>
        <v/>
      </c>
    </row>
    <row r="645" spans="1:8" x14ac:dyDescent="0.3">
      <c r="A645" s="48"/>
      <c r="B645" s="7"/>
      <c r="C645" s="6"/>
      <c r="D645" s="7"/>
      <c r="E645" s="7"/>
      <c r="F645" s="7"/>
      <c r="G645" s="7"/>
      <c r="H645" s="17" t="str">
        <f t="shared" si="11"/>
        <v/>
      </c>
    </row>
    <row r="646" spans="1:8" x14ac:dyDescent="0.3">
      <c r="A646" s="48"/>
      <c r="B646" s="7"/>
      <c r="C646" s="6"/>
      <c r="D646" s="7"/>
      <c r="E646" s="7"/>
      <c r="F646" s="7"/>
      <c r="G646" s="7"/>
      <c r="H646" s="17" t="str">
        <f t="shared" si="11"/>
        <v/>
      </c>
    </row>
    <row r="647" spans="1:8" x14ac:dyDescent="0.3">
      <c r="A647" s="48"/>
      <c r="B647" s="7"/>
      <c r="C647" s="6"/>
      <c r="D647" s="7"/>
      <c r="E647" s="7"/>
      <c r="F647" s="7"/>
      <c r="G647" s="7"/>
      <c r="H647" s="17" t="str">
        <f t="shared" si="11"/>
        <v/>
      </c>
    </row>
    <row r="648" spans="1:8" x14ac:dyDescent="0.3">
      <c r="A648" s="48"/>
      <c r="B648" s="7"/>
      <c r="C648" s="6"/>
      <c r="D648" s="7"/>
      <c r="E648" s="7"/>
      <c r="F648" s="7"/>
      <c r="G648" s="7"/>
      <c r="H648" s="17" t="str">
        <f t="shared" si="11"/>
        <v/>
      </c>
    </row>
    <row r="649" spans="1:8" x14ac:dyDescent="0.3">
      <c r="A649" s="48"/>
      <c r="B649" s="7"/>
      <c r="C649" s="6"/>
      <c r="D649" s="7"/>
      <c r="E649" s="7"/>
      <c r="F649" s="7"/>
      <c r="G649" s="7"/>
      <c r="H649" s="17" t="str">
        <f t="shared" si="11"/>
        <v/>
      </c>
    </row>
    <row r="650" spans="1:8" x14ac:dyDescent="0.3">
      <c r="A650" s="48"/>
      <c r="B650" s="7"/>
      <c r="C650" s="6"/>
      <c r="D650" s="7"/>
      <c r="E650" s="7"/>
      <c r="F650" s="7"/>
      <c r="G650" s="7"/>
      <c r="H650" s="17" t="str">
        <f t="shared" si="11"/>
        <v/>
      </c>
    </row>
    <row r="651" spans="1:8" x14ac:dyDescent="0.3">
      <c r="A651" s="48"/>
      <c r="B651" s="7"/>
      <c r="C651" s="6"/>
      <c r="D651" s="7"/>
      <c r="E651" s="7"/>
      <c r="F651" s="7"/>
      <c r="G651" s="7"/>
      <c r="H651" s="17" t="str">
        <f t="shared" si="11"/>
        <v/>
      </c>
    </row>
    <row r="652" spans="1:8" x14ac:dyDescent="0.3">
      <c r="A652" s="48"/>
      <c r="B652" s="7"/>
      <c r="C652" s="6"/>
      <c r="D652" s="7"/>
      <c r="E652" s="7"/>
      <c r="F652" s="7"/>
      <c r="G652" s="7"/>
      <c r="H652" s="17" t="str">
        <f t="shared" si="11"/>
        <v/>
      </c>
    </row>
    <row r="653" spans="1:8" x14ac:dyDescent="0.3">
      <c r="A653" s="48"/>
      <c r="B653" s="7"/>
      <c r="C653" s="6"/>
      <c r="D653" s="7"/>
      <c r="E653" s="7"/>
      <c r="F653" s="7"/>
      <c r="G653" s="7"/>
      <c r="H653" s="17" t="str">
        <f t="shared" si="11"/>
        <v/>
      </c>
    </row>
    <row r="654" spans="1:8" x14ac:dyDescent="0.3">
      <c r="A654" s="48"/>
      <c r="B654" s="7"/>
      <c r="C654" s="6"/>
      <c r="D654" s="7"/>
      <c r="E654" s="7"/>
      <c r="F654" s="7"/>
      <c r="G654" s="7"/>
      <c r="H654" s="17" t="str">
        <f t="shared" si="11"/>
        <v/>
      </c>
    </row>
    <row r="655" spans="1:8" x14ac:dyDescent="0.3">
      <c r="A655" s="48"/>
      <c r="B655" s="7"/>
      <c r="C655" s="6"/>
      <c r="D655" s="7"/>
      <c r="E655" s="7"/>
      <c r="F655" s="7"/>
      <c r="G655" s="7"/>
      <c r="H655" s="17" t="str">
        <f t="shared" si="11"/>
        <v/>
      </c>
    </row>
    <row r="656" spans="1:8" x14ac:dyDescent="0.3">
      <c r="A656" s="48"/>
      <c r="B656" s="7"/>
      <c r="C656" s="6"/>
      <c r="D656" s="7"/>
      <c r="E656" s="7"/>
      <c r="F656" s="7"/>
      <c r="G656" s="7"/>
      <c r="H656" s="17" t="str">
        <f t="shared" si="11"/>
        <v/>
      </c>
    </row>
    <row r="657" spans="1:8" x14ac:dyDescent="0.3">
      <c r="A657" s="48"/>
      <c r="B657" s="7"/>
      <c r="C657" s="6"/>
      <c r="D657" s="7"/>
      <c r="E657" s="7"/>
      <c r="F657" s="7"/>
      <c r="G657" s="7"/>
      <c r="H657" s="17" t="str">
        <f t="shared" si="11"/>
        <v/>
      </c>
    </row>
    <row r="658" spans="1:8" x14ac:dyDescent="0.3">
      <c r="A658" s="48"/>
      <c r="B658" s="7"/>
      <c r="C658" s="6"/>
      <c r="D658" s="7"/>
      <c r="E658" s="7"/>
      <c r="F658" s="7"/>
      <c r="G658" s="7"/>
      <c r="H658" s="17" t="str">
        <f t="shared" si="11"/>
        <v/>
      </c>
    </row>
    <row r="659" spans="1:8" x14ac:dyDescent="0.3">
      <c r="A659" s="48"/>
      <c r="B659" s="7"/>
      <c r="C659" s="6"/>
      <c r="D659" s="7"/>
      <c r="E659" s="7"/>
      <c r="F659" s="7"/>
      <c r="G659" s="7"/>
      <c r="H659" s="17" t="str">
        <f t="shared" si="11"/>
        <v/>
      </c>
    </row>
    <row r="660" spans="1:8" x14ac:dyDescent="0.3">
      <c r="A660" s="48"/>
      <c r="B660" s="7"/>
      <c r="C660" s="6"/>
      <c r="D660" s="7"/>
      <c r="E660" s="7"/>
      <c r="F660" s="7"/>
      <c r="G660" s="7"/>
      <c r="H660" s="17" t="str">
        <f t="shared" si="11"/>
        <v/>
      </c>
    </row>
    <row r="661" spans="1:8" x14ac:dyDescent="0.3">
      <c r="A661" s="48"/>
      <c r="B661" s="7"/>
      <c r="C661" s="6"/>
      <c r="D661" s="7"/>
      <c r="E661" s="7"/>
      <c r="F661" s="7"/>
      <c r="G661" s="7"/>
      <c r="H661" s="17" t="str">
        <f t="shared" si="11"/>
        <v/>
      </c>
    </row>
    <row r="662" spans="1:8" x14ac:dyDescent="0.3">
      <c r="A662" s="48"/>
      <c r="B662" s="7"/>
      <c r="C662" s="6"/>
      <c r="D662" s="7"/>
      <c r="E662" s="7"/>
      <c r="F662" s="7"/>
      <c r="G662" s="7"/>
      <c r="H662" s="17" t="str">
        <f t="shared" si="11"/>
        <v/>
      </c>
    </row>
    <row r="663" spans="1:8" x14ac:dyDescent="0.3">
      <c r="A663" s="48"/>
      <c r="B663" s="7"/>
      <c r="C663" s="6"/>
      <c r="D663" s="7"/>
      <c r="E663" s="7"/>
      <c r="F663" s="7"/>
      <c r="G663" s="7"/>
      <c r="H663" s="17" t="str">
        <f t="shared" si="11"/>
        <v/>
      </c>
    </row>
    <row r="664" spans="1:8" x14ac:dyDescent="0.3">
      <c r="A664" s="48"/>
      <c r="B664" s="7"/>
      <c r="C664" s="6"/>
      <c r="D664" s="7"/>
      <c r="E664" s="7"/>
      <c r="F664" s="7"/>
      <c r="G664" s="7"/>
      <c r="H664" s="17" t="str">
        <f t="shared" si="11"/>
        <v/>
      </c>
    </row>
    <row r="665" spans="1:8" x14ac:dyDescent="0.3">
      <c r="A665" s="48"/>
      <c r="B665" s="7"/>
      <c r="C665" s="6"/>
      <c r="D665" s="7"/>
      <c r="E665" s="7"/>
      <c r="F665" s="7"/>
      <c r="G665" s="7"/>
      <c r="H665" s="17" t="str">
        <f t="shared" si="11"/>
        <v/>
      </c>
    </row>
    <row r="666" spans="1:8" x14ac:dyDescent="0.3">
      <c r="A666" s="48"/>
      <c r="B666" s="7"/>
      <c r="C666" s="6"/>
      <c r="D666" s="7"/>
      <c r="E666" s="7"/>
      <c r="F666" s="7"/>
      <c r="G666" s="7"/>
      <c r="H666" s="17" t="str">
        <f t="shared" si="11"/>
        <v/>
      </c>
    </row>
    <row r="667" spans="1:8" x14ac:dyDescent="0.3">
      <c r="A667" s="48"/>
      <c r="B667" s="7"/>
      <c r="C667" s="6"/>
      <c r="D667" s="7"/>
      <c r="E667" s="7"/>
      <c r="F667" s="7"/>
      <c r="G667" s="7"/>
      <c r="H667" s="17" t="str">
        <f t="shared" si="11"/>
        <v/>
      </c>
    </row>
    <row r="668" spans="1:8" x14ac:dyDescent="0.3">
      <c r="A668" s="48"/>
      <c r="B668" s="7"/>
      <c r="C668" s="6"/>
      <c r="D668" s="7"/>
      <c r="E668" s="7"/>
      <c r="F668" s="7"/>
      <c r="G668" s="7"/>
      <c r="H668" s="17" t="str">
        <f t="shared" si="11"/>
        <v/>
      </c>
    </row>
    <row r="669" spans="1:8" x14ac:dyDescent="0.3">
      <c r="A669" s="48"/>
      <c r="B669" s="7"/>
      <c r="C669" s="6"/>
      <c r="D669" s="7"/>
      <c r="E669" s="7"/>
      <c r="F669" s="7"/>
      <c r="G669" s="7"/>
      <c r="H669" s="17" t="str">
        <f t="shared" si="11"/>
        <v/>
      </c>
    </row>
    <row r="670" spans="1:8" x14ac:dyDescent="0.3">
      <c r="A670" s="48"/>
      <c r="B670" s="7"/>
      <c r="C670" s="6"/>
      <c r="D670" s="7"/>
      <c r="E670" s="7"/>
      <c r="F670" s="7"/>
      <c r="G670" s="7"/>
      <c r="H670" s="17" t="str">
        <f t="shared" si="11"/>
        <v/>
      </c>
    </row>
    <row r="671" spans="1:8" x14ac:dyDescent="0.3">
      <c r="A671" s="48"/>
      <c r="B671" s="7"/>
      <c r="C671" s="6"/>
      <c r="D671" s="7"/>
      <c r="E671" s="7"/>
      <c r="F671" s="7"/>
      <c r="G671" s="7"/>
      <c r="H671" s="17" t="str">
        <f t="shared" si="11"/>
        <v/>
      </c>
    </row>
    <row r="672" spans="1:8" x14ac:dyDescent="0.3">
      <c r="A672" s="48"/>
      <c r="B672" s="7"/>
      <c r="C672" s="6"/>
      <c r="D672" s="7"/>
      <c r="E672" s="7"/>
      <c r="F672" s="7"/>
      <c r="G672" s="7"/>
      <c r="H672" s="17" t="str">
        <f t="shared" si="11"/>
        <v/>
      </c>
    </row>
    <row r="673" spans="1:8" x14ac:dyDescent="0.3">
      <c r="A673" s="48"/>
      <c r="B673" s="7"/>
      <c r="C673" s="6"/>
      <c r="D673" s="7"/>
      <c r="E673" s="7"/>
      <c r="F673" s="7"/>
      <c r="G673" s="7"/>
      <c r="H673" s="17" t="str">
        <f t="shared" si="11"/>
        <v/>
      </c>
    </row>
    <row r="674" spans="1:8" x14ac:dyDescent="0.3">
      <c r="A674" s="48"/>
      <c r="B674" s="7"/>
      <c r="C674" s="6"/>
      <c r="D674" s="7"/>
      <c r="E674" s="7"/>
      <c r="F674" s="7"/>
      <c r="G674" s="7"/>
      <c r="H674" s="17" t="str">
        <f t="shared" si="11"/>
        <v/>
      </c>
    </row>
    <row r="675" spans="1:8" x14ac:dyDescent="0.3">
      <c r="A675" s="48"/>
      <c r="B675" s="7"/>
      <c r="C675" s="6"/>
      <c r="D675" s="7"/>
      <c r="E675" s="7"/>
      <c r="F675" s="7"/>
      <c r="G675" s="7"/>
      <c r="H675" s="17" t="str">
        <f t="shared" si="11"/>
        <v/>
      </c>
    </row>
    <row r="676" spans="1:8" x14ac:dyDescent="0.3">
      <c r="A676" s="48"/>
      <c r="B676" s="7"/>
      <c r="C676" s="6"/>
      <c r="D676" s="7"/>
      <c r="E676" s="7"/>
      <c r="F676" s="7"/>
      <c r="G676" s="7"/>
      <c r="H676" s="17" t="str">
        <f t="shared" si="11"/>
        <v/>
      </c>
    </row>
    <row r="677" spans="1:8" x14ac:dyDescent="0.3">
      <c r="A677" s="48"/>
      <c r="B677" s="7"/>
      <c r="C677" s="6"/>
      <c r="D677" s="7"/>
      <c r="E677" s="7"/>
      <c r="F677" s="7"/>
      <c r="G677" s="7"/>
      <c r="H677" s="17" t="str">
        <f t="shared" si="11"/>
        <v/>
      </c>
    </row>
    <row r="678" spans="1:8" x14ac:dyDescent="0.3">
      <c r="A678" s="48"/>
      <c r="B678" s="7"/>
      <c r="C678" s="6"/>
      <c r="D678" s="7"/>
      <c r="E678" s="7"/>
      <c r="F678" s="7"/>
      <c r="G678" s="7"/>
      <c r="H678" s="17" t="str">
        <f t="shared" si="11"/>
        <v/>
      </c>
    </row>
    <row r="679" spans="1:8" x14ac:dyDescent="0.3">
      <c r="A679" s="48"/>
      <c r="B679" s="7"/>
      <c r="C679" s="6"/>
      <c r="D679" s="7"/>
      <c r="E679" s="7"/>
      <c r="F679" s="7"/>
      <c r="G679" s="7"/>
      <c r="H679" s="17" t="str">
        <f t="shared" si="11"/>
        <v/>
      </c>
    </row>
    <row r="680" spans="1:8" x14ac:dyDescent="0.3">
      <c r="A680" s="48"/>
      <c r="B680" s="7"/>
      <c r="C680" s="6"/>
      <c r="D680" s="7"/>
      <c r="E680" s="7"/>
      <c r="F680" s="7"/>
      <c r="G680" s="7"/>
      <c r="H680" s="17" t="str">
        <f t="shared" si="11"/>
        <v/>
      </c>
    </row>
    <row r="681" spans="1:8" x14ac:dyDescent="0.3">
      <c r="A681" s="48"/>
      <c r="B681" s="7"/>
      <c r="C681" s="6"/>
      <c r="D681" s="7"/>
      <c r="E681" s="7"/>
      <c r="F681" s="7"/>
      <c r="G681" s="7"/>
      <c r="H681" s="17" t="str">
        <f t="shared" si="11"/>
        <v/>
      </c>
    </row>
    <row r="682" spans="1:8" x14ac:dyDescent="0.3">
      <c r="A682" s="48"/>
      <c r="B682" s="7"/>
      <c r="C682" s="6"/>
      <c r="D682" s="7"/>
      <c r="E682" s="7"/>
      <c r="F682" s="7"/>
      <c r="G682" s="7"/>
      <c r="H682" s="17" t="str">
        <f t="shared" si="11"/>
        <v/>
      </c>
    </row>
    <row r="683" spans="1:8" x14ac:dyDescent="0.3">
      <c r="A683" s="48"/>
      <c r="B683" s="7"/>
      <c r="C683" s="6"/>
      <c r="D683" s="7"/>
      <c r="E683" s="7"/>
      <c r="F683" s="7"/>
      <c r="G683" s="7"/>
      <c r="H683" s="17" t="str">
        <f t="shared" si="11"/>
        <v/>
      </c>
    </row>
    <row r="684" spans="1:8" x14ac:dyDescent="0.3">
      <c r="A684" s="48"/>
      <c r="B684" s="7"/>
      <c r="C684" s="6"/>
      <c r="D684" s="7"/>
      <c r="E684" s="7"/>
      <c r="F684" s="7"/>
      <c r="G684" s="7"/>
      <c r="H684" s="17" t="str">
        <f t="shared" si="11"/>
        <v/>
      </c>
    </row>
    <row r="685" spans="1:8" x14ac:dyDescent="0.3">
      <c r="A685" s="48"/>
      <c r="B685" s="7"/>
      <c r="C685" s="6"/>
      <c r="D685" s="7"/>
      <c r="E685" s="7"/>
      <c r="F685" s="7"/>
      <c r="G685" s="7"/>
      <c r="H685" s="17" t="str">
        <f t="shared" si="11"/>
        <v/>
      </c>
    </row>
    <row r="686" spans="1:8" x14ac:dyDescent="0.3">
      <c r="A686" s="48"/>
      <c r="B686" s="7"/>
      <c r="C686" s="6"/>
      <c r="D686" s="7"/>
      <c r="E686" s="7"/>
      <c r="F686" s="7"/>
      <c r="G686" s="7"/>
      <c r="H686" s="17" t="str">
        <f t="shared" si="11"/>
        <v/>
      </c>
    </row>
    <row r="687" spans="1:8" x14ac:dyDescent="0.3">
      <c r="A687" s="48"/>
      <c r="B687" s="7"/>
      <c r="C687" s="6"/>
      <c r="D687" s="7"/>
      <c r="E687" s="7"/>
      <c r="F687" s="7"/>
      <c r="G687" s="7"/>
      <c r="H687" s="17" t="str">
        <f t="shared" si="11"/>
        <v/>
      </c>
    </row>
    <row r="688" spans="1:8" x14ac:dyDescent="0.3">
      <c r="A688" s="48"/>
      <c r="B688" s="7"/>
      <c r="C688" s="6"/>
      <c r="D688" s="7"/>
      <c r="E688" s="7"/>
      <c r="F688" s="7"/>
      <c r="G688" s="7"/>
      <c r="H688" s="17" t="str">
        <f t="shared" si="11"/>
        <v/>
      </c>
    </row>
    <row r="689" spans="1:8" x14ac:dyDescent="0.3">
      <c r="A689" s="48"/>
      <c r="B689" s="7"/>
      <c r="C689" s="6"/>
      <c r="D689" s="7"/>
      <c r="E689" s="7"/>
      <c r="F689" s="7"/>
      <c r="G689" s="7"/>
      <c r="H689" s="17" t="str">
        <f t="shared" si="11"/>
        <v/>
      </c>
    </row>
    <row r="690" spans="1:8" x14ac:dyDescent="0.3">
      <c r="A690" s="48"/>
      <c r="B690" s="7"/>
      <c r="C690" s="6"/>
      <c r="D690" s="7"/>
      <c r="E690" s="7"/>
      <c r="F690" s="7"/>
      <c r="G690" s="7"/>
      <c r="H690" s="17" t="str">
        <f t="shared" si="11"/>
        <v/>
      </c>
    </row>
    <row r="691" spans="1:8" x14ac:dyDescent="0.3">
      <c r="A691" s="48"/>
      <c r="B691" s="7"/>
      <c r="C691" s="6"/>
      <c r="D691" s="7"/>
      <c r="E691" s="7"/>
      <c r="F691" s="7"/>
      <c r="G691" s="7"/>
      <c r="H691" s="17" t="str">
        <f t="shared" si="11"/>
        <v/>
      </c>
    </row>
    <row r="692" spans="1:8" x14ac:dyDescent="0.3">
      <c r="A692" s="48"/>
      <c r="B692" s="7"/>
      <c r="C692" s="6"/>
      <c r="D692" s="7"/>
      <c r="E692" s="7"/>
      <c r="F692" s="7"/>
      <c r="G692" s="7"/>
      <c r="H692" s="17" t="str">
        <f t="shared" si="11"/>
        <v/>
      </c>
    </row>
    <row r="693" spans="1:8" x14ac:dyDescent="0.3">
      <c r="A693" s="48"/>
      <c r="B693" s="7"/>
      <c r="C693" s="6"/>
      <c r="D693" s="7"/>
      <c r="E693" s="7"/>
      <c r="F693" s="7"/>
      <c r="G693" s="7"/>
      <c r="H693" s="17" t="str">
        <f t="shared" si="11"/>
        <v/>
      </c>
    </row>
    <row r="694" spans="1:8" x14ac:dyDescent="0.3">
      <c r="A694" s="48"/>
      <c r="B694" s="7"/>
      <c r="C694" s="6"/>
      <c r="D694" s="7"/>
      <c r="E694" s="7"/>
      <c r="F694" s="7"/>
      <c r="G694" s="7"/>
      <c r="H694" s="17" t="str">
        <f t="shared" si="11"/>
        <v/>
      </c>
    </row>
    <row r="695" spans="1:8" x14ac:dyDescent="0.3">
      <c r="A695" s="48"/>
      <c r="B695" s="7"/>
      <c r="C695" s="6"/>
      <c r="D695" s="7"/>
      <c r="E695" s="7"/>
      <c r="F695" s="7"/>
      <c r="G695" s="7"/>
      <c r="H695" s="17" t="str">
        <f t="shared" si="11"/>
        <v/>
      </c>
    </row>
    <row r="696" spans="1:8" x14ac:dyDescent="0.3">
      <c r="A696" s="48"/>
      <c r="B696" s="7"/>
      <c r="C696" s="6"/>
      <c r="D696" s="7"/>
      <c r="E696" s="7"/>
      <c r="F696" s="7"/>
      <c r="G696" s="7"/>
      <c r="H696" s="17" t="str">
        <f t="shared" ref="H696:H759" si="12">IF(A696="","",IF(A696&gt;=46232,TEXT(DATE(YEAR(A696),MONTH(A696)+1,1),"mmmm yyyy"),TEXT(DATE(YEAR(A696),MONTH(A696),1),"mmmm yyyy")))</f>
        <v/>
      </c>
    </row>
    <row r="697" spans="1:8" x14ac:dyDescent="0.3">
      <c r="A697" s="48"/>
      <c r="B697" s="7"/>
      <c r="C697" s="6"/>
      <c r="D697" s="7"/>
      <c r="E697" s="7"/>
      <c r="F697" s="7"/>
      <c r="G697" s="7"/>
      <c r="H697" s="17" t="str">
        <f t="shared" si="12"/>
        <v/>
      </c>
    </row>
    <row r="698" spans="1:8" x14ac:dyDescent="0.3">
      <c r="A698" s="48"/>
      <c r="B698" s="7"/>
      <c r="C698" s="6"/>
      <c r="D698" s="7"/>
      <c r="E698" s="7"/>
      <c r="F698" s="7"/>
      <c r="G698" s="7"/>
      <c r="H698" s="17" t="str">
        <f t="shared" si="12"/>
        <v/>
      </c>
    </row>
    <row r="699" spans="1:8" x14ac:dyDescent="0.3">
      <c r="A699" s="48"/>
      <c r="B699" s="7"/>
      <c r="C699" s="6"/>
      <c r="D699" s="7"/>
      <c r="E699" s="7"/>
      <c r="F699" s="7"/>
      <c r="G699" s="7"/>
      <c r="H699" s="17" t="str">
        <f t="shared" si="12"/>
        <v/>
      </c>
    </row>
    <row r="700" spans="1:8" x14ac:dyDescent="0.3">
      <c r="A700" s="48"/>
      <c r="B700" s="7"/>
      <c r="C700" s="6"/>
      <c r="D700" s="7"/>
      <c r="E700" s="7"/>
      <c r="F700" s="7"/>
      <c r="G700" s="7"/>
      <c r="H700" s="17" t="str">
        <f t="shared" si="12"/>
        <v/>
      </c>
    </row>
    <row r="701" spans="1:8" x14ac:dyDescent="0.3">
      <c r="A701" s="48"/>
      <c r="B701" s="7"/>
      <c r="C701" s="6"/>
      <c r="D701" s="7"/>
      <c r="E701" s="7"/>
      <c r="F701" s="7"/>
      <c r="G701" s="7"/>
      <c r="H701" s="17" t="str">
        <f t="shared" si="12"/>
        <v/>
      </c>
    </row>
    <row r="702" spans="1:8" x14ac:dyDescent="0.3">
      <c r="A702" s="48"/>
      <c r="B702" s="7"/>
      <c r="C702" s="6"/>
      <c r="D702" s="7"/>
      <c r="E702" s="7"/>
      <c r="F702" s="7"/>
      <c r="G702" s="7"/>
      <c r="H702" s="17" t="str">
        <f t="shared" si="12"/>
        <v/>
      </c>
    </row>
    <row r="703" spans="1:8" x14ac:dyDescent="0.3">
      <c r="A703" s="48"/>
      <c r="B703" s="7"/>
      <c r="C703" s="6"/>
      <c r="D703" s="7"/>
      <c r="E703" s="7"/>
      <c r="F703" s="7"/>
      <c r="G703" s="7"/>
      <c r="H703" s="17" t="str">
        <f t="shared" si="12"/>
        <v/>
      </c>
    </row>
    <row r="704" spans="1:8" x14ac:dyDescent="0.3">
      <c r="A704" s="48"/>
      <c r="B704" s="7"/>
      <c r="C704" s="6"/>
      <c r="D704" s="7"/>
      <c r="E704" s="7"/>
      <c r="F704" s="7"/>
      <c r="G704" s="7"/>
      <c r="H704" s="17" t="str">
        <f t="shared" si="12"/>
        <v/>
      </c>
    </row>
    <row r="705" spans="1:8" x14ac:dyDescent="0.3">
      <c r="A705" s="48"/>
      <c r="B705" s="7"/>
      <c r="C705" s="6"/>
      <c r="D705" s="7"/>
      <c r="E705" s="7"/>
      <c r="F705" s="7"/>
      <c r="G705" s="7"/>
      <c r="H705" s="17" t="str">
        <f t="shared" si="12"/>
        <v/>
      </c>
    </row>
    <row r="706" spans="1:8" x14ac:dyDescent="0.3">
      <c r="A706" s="48"/>
      <c r="B706" s="7"/>
      <c r="C706" s="6"/>
      <c r="D706" s="7"/>
      <c r="E706" s="7"/>
      <c r="F706" s="7"/>
      <c r="G706" s="7"/>
      <c r="H706" s="17" t="str">
        <f t="shared" si="12"/>
        <v/>
      </c>
    </row>
    <row r="707" spans="1:8" x14ac:dyDescent="0.3">
      <c r="A707" s="48"/>
      <c r="B707" s="7"/>
      <c r="C707" s="6"/>
      <c r="D707" s="7"/>
      <c r="E707" s="7"/>
      <c r="F707" s="7"/>
      <c r="G707" s="7"/>
      <c r="H707" s="17" t="str">
        <f t="shared" si="12"/>
        <v/>
      </c>
    </row>
    <row r="708" spans="1:8" x14ac:dyDescent="0.3">
      <c r="A708" s="48"/>
      <c r="B708" s="7"/>
      <c r="C708" s="6"/>
      <c r="D708" s="7"/>
      <c r="E708" s="7"/>
      <c r="F708" s="7"/>
      <c r="G708" s="7"/>
      <c r="H708" s="17" t="str">
        <f t="shared" si="12"/>
        <v/>
      </c>
    </row>
    <row r="709" spans="1:8" x14ac:dyDescent="0.3">
      <c r="A709" s="48"/>
      <c r="B709" s="7"/>
      <c r="C709" s="6"/>
      <c r="D709" s="7"/>
      <c r="E709" s="7"/>
      <c r="F709" s="7"/>
      <c r="G709" s="7"/>
      <c r="H709" s="17" t="str">
        <f t="shared" si="12"/>
        <v/>
      </c>
    </row>
    <row r="710" spans="1:8" x14ac:dyDescent="0.3">
      <c r="A710" s="48"/>
      <c r="B710" s="7"/>
      <c r="C710" s="6"/>
      <c r="D710" s="7"/>
      <c r="E710" s="7"/>
      <c r="F710" s="7"/>
      <c r="G710" s="7"/>
      <c r="H710" s="17" t="str">
        <f t="shared" si="12"/>
        <v/>
      </c>
    </row>
    <row r="711" spans="1:8" x14ac:dyDescent="0.3">
      <c r="A711" s="48"/>
      <c r="B711" s="7"/>
      <c r="C711" s="6"/>
      <c r="D711" s="7"/>
      <c r="E711" s="7"/>
      <c r="F711" s="7"/>
      <c r="G711" s="7"/>
      <c r="H711" s="17" t="str">
        <f t="shared" si="12"/>
        <v/>
      </c>
    </row>
    <row r="712" spans="1:8" x14ac:dyDescent="0.3">
      <c r="A712" s="48"/>
      <c r="B712" s="7"/>
      <c r="C712" s="6"/>
      <c r="D712" s="7"/>
      <c r="E712" s="7"/>
      <c r="F712" s="7"/>
      <c r="G712" s="7"/>
      <c r="H712" s="17" t="str">
        <f t="shared" si="12"/>
        <v/>
      </c>
    </row>
    <row r="713" spans="1:8" x14ac:dyDescent="0.3">
      <c r="A713" s="48"/>
      <c r="B713" s="7"/>
      <c r="C713" s="6"/>
      <c r="D713" s="7"/>
      <c r="E713" s="7"/>
      <c r="F713" s="7"/>
      <c r="G713" s="7"/>
      <c r="H713" s="17" t="str">
        <f t="shared" si="12"/>
        <v/>
      </c>
    </row>
    <row r="714" spans="1:8" x14ac:dyDescent="0.3">
      <c r="A714" s="48"/>
      <c r="B714" s="7"/>
      <c r="C714" s="6"/>
      <c r="D714" s="7"/>
      <c r="E714" s="7"/>
      <c r="F714" s="7"/>
      <c r="G714" s="7"/>
      <c r="H714" s="17" t="str">
        <f t="shared" si="12"/>
        <v/>
      </c>
    </row>
    <row r="715" spans="1:8" x14ac:dyDescent="0.3">
      <c r="A715" s="48"/>
      <c r="B715" s="7"/>
      <c r="C715" s="6"/>
      <c r="D715" s="7"/>
      <c r="E715" s="7"/>
      <c r="F715" s="7"/>
      <c r="G715" s="7"/>
      <c r="H715" s="17" t="str">
        <f t="shared" si="12"/>
        <v/>
      </c>
    </row>
    <row r="716" spans="1:8" x14ac:dyDescent="0.3">
      <c r="A716" s="48"/>
      <c r="B716" s="7"/>
      <c r="C716" s="6"/>
      <c r="D716" s="7"/>
      <c r="E716" s="7"/>
      <c r="F716" s="7"/>
      <c r="G716" s="7"/>
      <c r="H716" s="17" t="str">
        <f t="shared" si="12"/>
        <v/>
      </c>
    </row>
    <row r="717" spans="1:8" x14ac:dyDescent="0.3">
      <c r="A717" s="48"/>
      <c r="B717" s="7"/>
      <c r="C717" s="6"/>
      <c r="D717" s="7"/>
      <c r="E717" s="7"/>
      <c r="F717" s="7"/>
      <c r="G717" s="7"/>
      <c r="H717" s="17" t="str">
        <f t="shared" si="12"/>
        <v/>
      </c>
    </row>
    <row r="718" spans="1:8" x14ac:dyDescent="0.3">
      <c r="A718" s="48"/>
      <c r="B718" s="7"/>
      <c r="C718" s="6"/>
      <c r="D718" s="7"/>
      <c r="E718" s="7"/>
      <c r="F718" s="7"/>
      <c r="G718" s="7"/>
      <c r="H718" s="17" t="str">
        <f t="shared" si="12"/>
        <v/>
      </c>
    </row>
    <row r="719" spans="1:8" x14ac:dyDescent="0.3">
      <c r="A719" s="48"/>
      <c r="B719" s="7"/>
      <c r="C719" s="6"/>
      <c r="D719" s="7"/>
      <c r="E719" s="7"/>
      <c r="F719" s="7"/>
      <c r="G719" s="7"/>
      <c r="H719" s="17" t="str">
        <f t="shared" si="12"/>
        <v/>
      </c>
    </row>
    <row r="720" spans="1:8" x14ac:dyDescent="0.3">
      <c r="A720" s="48"/>
      <c r="B720" s="7"/>
      <c r="C720" s="6"/>
      <c r="D720" s="7"/>
      <c r="E720" s="7"/>
      <c r="F720" s="7"/>
      <c r="G720" s="7"/>
      <c r="H720" s="17" t="str">
        <f t="shared" si="12"/>
        <v/>
      </c>
    </row>
    <row r="721" spans="1:8" x14ac:dyDescent="0.3">
      <c r="A721" s="48"/>
      <c r="B721" s="7"/>
      <c r="C721" s="6"/>
      <c r="D721" s="7"/>
      <c r="E721" s="7"/>
      <c r="F721" s="7"/>
      <c r="G721" s="7"/>
      <c r="H721" s="17" t="str">
        <f t="shared" si="12"/>
        <v/>
      </c>
    </row>
    <row r="722" spans="1:8" x14ac:dyDescent="0.3">
      <c r="A722" s="48"/>
      <c r="B722" s="7"/>
      <c r="C722" s="6"/>
      <c r="D722" s="7"/>
      <c r="E722" s="7"/>
      <c r="F722" s="7"/>
      <c r="G722" s="7"/>
      <c r="H722" s="17" t="str">
        <f t="shared" si="12"/>
        <v/>
      </c>
    </row>
    <row r="723" spans="1:8" x14ac:dyDescent="0.3">
      <c r="A723" s="48"/>
      <c r="B723" s="7"/>
      <c r="C723" s="6"/>
      <c r="D723" s="7"/>
      <c r="E723" s="7"/>
      <c r="F723" s="7"/>
      <c r="G723" s="7"/>
      <c r="H723" s="17" t="str">
        <f t="shared" si="12"/>
        <v/>
      </c>
    </row>
    <row r="724" spans="1:8" x14ac:dyDescent="0.3">
      <c r="A724" s="48"/>
      <c r="B724" s="7"/>
      <c r="C724" s="6"/>
      <c r="D724" s="7"/>
      <c r="E724" s="7"/>
      <c r="F724" s="7"/>
      <c r="G724" s="7"/>
      <c r="H724" s="17" t="str">
        <f t="shared" si="12"/>
        <v/>
      </c>
    </row>
    <row r="725" spans="1:8" x14ac:dyDescent="0.3">
      <c r="A725" s="48"/>
      <c r="B725" s="7"/>
      <c r="C725" s="6"/>
      <c r="D725" s="7"/>
      <c r="E725" s="7"/>
      <c r="F725" s="7"/>
      <c r="G725" s="7"/>
      <c r="H725" s="17" t="str">
        <f t="shared" si="12"/>
        <v/>
      </c>
    </row>
    <row r="726" spans="1:8" x14ac:dyDescent="0.3">
      <c r="A726" s="48"/>
      <c r="B726" s="7"/>
      <c r="C726" s="6"/>
      <c r="D726" s="7"/>
      <c r="E726" s="7"/>
      <c r="F726" s="7"/>
      <c r="G726" s="7"/>
      <c r="H726" s="17" t="str">
        <f t="shared" si="12"/>
        <v/>
      </c>
    </row>
    <row r="727" spans="1:8" x14ac:dyDescent="0.3">
      <c r="A727" s="48"/>
      <c r="B727" s="7"/>
      <c r="C727" s="6"/>
      <c r="D727" s="7"/>
      <c r="E727" s="7"/>
      <c r="F727" s="7"/>
      <c r="G727" s="7"/>
      <c r="H727" s="17" t="str">
        <f t="shared" si="12"/>
        <v/>
      </c>
    </row>
    <row r="728" spans="1:8" x14ac:dyDescent="0.3">
      <c r="A728" s="48"/>
      <c r="B728" s="7"/>
      <c r="C728" s="6"/>
      <c r="D728" s="7"/>
      <c r="E728" s="7"/>
      <c r="F728" s="7"/>
      <c r="G728" s="7"/>
      <c r="H728" s="17" t="str">
        <f t="shared" si="12"/>
        <v/>
      </c>
    </row>
    <row r="729" spans="1:8" x14ac:dyDescent="0.3">
      <c r="A729" s="48"/>
      <c r="B729" s="7"/>
      <c r="C729" s="6"/>
      <c r="D729" s="7"/>
      <c r="E729" s="7"/>
      <c r="F729" s="7"/>
      <c r="G729" s="7"/>
      <c r="H729" s="17" t="str">
        <f t="shared" si="12"/>
        <v/>
      </c>
    </row>
    <row r="730" spans="1:8" x14ac:dyDescent="0.3">
      <c r="A730" s="48"/>
      <c r="B730" s="7"/>
      <c r="C730" s="6"/>
      <c r="D730" s="7"/>
      <c r="E730" s="7"/>
      <c r="F730" s="7"/>
      <c r="G730" s="7"/>
      <c r="H730" s="17" t="str">
        <f t="shared" si="12"/>
        <v/>
      </c>
    </row>
    <row r="731" spans="1:8" x14ac:dyDescent="0.3">
      <c r="A731" s="48"/>
      <c r="B731" s="7"/>
      <c r="C731" s="6"/>
      <c r="D731" s="7"/>
      <c r="E731" s="7"/>
      <c r="F731" s="7"/>
      <c r="G731" s="7"/>
      <c r="H731" s="17" t="str">
        <f t="shared" si="12"/>
        <v/>
      </c>
    </row>
    <row r="732" spans="1:8" x14ac:dyDescent="0.3">
      <c r="A732" s="48"/>
      <c r="B732" s="7"/>
      <c r="C732" s="6"/>
      <c r="D732" s="7"/>
      <c r="E732" s="7"/>
      <c r="F732" s="7"/>
      <c r="G732" s="7"/>
      <c r="H732" s="17" t="str">
        <f t="shared" si="12"/>
        <v/>
      </c>
    </row>
    <row r="733" spans="1:8" x14ac:dyDescent="0.3">
      <c r="A733" s="48"/>
      <c r="B733" s="7"/>
      <c r="C733" s="6"/>
      <c r="D733" s="7"/>
      <c r="E733" s="7"/>
      <c r="F733" s="7"/>
      <c r="G733" s="7"/>
      <c r="H733" s="17" t="str">
        <f t="shared" si="12"/>
        <v/>
      </c>
    </row>
    <row r="734" spans="1:8" x14ac:dyDescent="0.3">
      <c r="A734" s="48"/>
      <c r="B734" s="7"/>
      <c r="C734" s="6"/>
      <c r="D734" s="7"/>
      <c r="E734" s="7"/>
      <c r="F734" s="7"/>
      <c r="G734" s="7"/>
      <c r="H734" s="17" t="str">
        <f t="shared" si="12"/>
        <v/>
      </c>
    </row>
    <row r="735" spans="1:8" x14ac:dyDescent="0.3">
      <c r="A735" s="48"/>
      <c r="B735" s="7"/>
      <c r="C735" s="6"/>
      <c r="D735" s="7"/>
      <c r="E735" s="7"/>
      <c r="F735" s="7"/>
      <c r="G735" s="7"/>
      <c r="H735" s="17" t="str">
        <f t="shared" si="12"/>
        <v/>
      </c>
    </row>
    <row r="736" spans="1:8" x14ac:dyDescent="0.3">
      <c r="A736" s="48"/>
      <c r="B736" s="7"/>
      <c r="C736" s="6"/>
      <c r="D736" s="7"/>
      <c r="E736" s="7"/>
      <c r="F736" s="7"/>
      <c r="G736" s="7"/>
      <c r="H736" s="17" t="str">
        <f t="shared" si="12"/>
        <v/>
      </c>
    </row>
    <row r="737" spans="1:8" x14ac:dyDescent="0.3">
      <c r="A737" s="48"/>
      <c r="B737" s="7"/>
      <c r="C737" s="6"/>
      <c r="D737" s="7"/>
      <c r="E737" s="7"/>
      <c r="F737" s="7"/>
      <c r="G737" s="7"/>
      <c r="H737" s="17" t="str">
        <f t="shared" si="12"/>
        <v/>
      </c>
    </row>
    <row r="738" spans="1:8" x14ac:dyDescent="0.3">
      <c r="A738" s="48"/>
      <c r="B738" s="7"/>
      <c r="C738" s="6"/>
      <c r="D738" s="7"/>
      <c r="E738" s="7"/>
      <c r="F738" s="7"/>
      <c r="G738" s="7"/>
      <c r="H738" s="17" t="str">
        <f t="shared" si="12"/>
        <v/>
      </c>
    </row>
    <row r="739" spans="1:8" x14ac:dyDescent="0.3">
      <c r="A739" s="48"/>
      <c r="B739" s="7"/>
      <c r="C739" s="6"/>
      <c r="D739" s="7"/>
      <c r="E739" s="7"/>
      <c r="F739" s="7"/>
      <c r="G739" s="7"/>
      <c r="H739" s="17" t="str">
        <f t="shared" si="12"/>
        <v/>
      </c>
    </row>
    <row r="740" spans="1:8" x14ac:dyDescent="0.3">
      <c r="A740" s="48"/>
      <c r="B740" s="7"/>
      <c r="C740" s="6"/>
      <c r="D740" s="7"/>
      <c r="E740" s="7"/>
      <c r="F740" s="7"/>
      <c r="G740" s="7"/>
      <c r="H740" s="17" t="str">
        <f t="shared" si="12"/>
        <v/>
      </c>
    </row>
    <row r="741" spans="1:8" x14ac:dyDescent="0.3">
      <c r="A741" s="48"/>
      <c r="B741" s="7"/>
      <c r="C741" s="6"/>
      <c r="D741" s="7"/>
      <c r="E741" s="7"/>
      <c r="F741" s="7"/>
      <c r="G741" s="7"/>
      <c r="H741" s="17" t="str">
        <f t="shared" si="12"/>
        <v/>
      </c>
    </row>
    <row r="742" spans="1:8" x14ac:dyDescent="0.3">
      <c r="A742" s="48"/>
      <c r="B742" s="7"/>
      <c r="C742" s="6"/>
      <c r="D742" s="7"/>
      <c r="E742" s="7"/>
      <c r="F742" s="7"/>
      <c r="G742" s="7"/>
      <c r="H742" s="17" t="str">
        <f t="shared" si="12"/>
        <v/>
      </c>
    </row>
    <row r="743" spans="1:8" x14ac:dyDescent="0.3">
      <c r="A743" s="48"/>
      <c r="B743" s="7"/>
      <c r="C743" s="6"/>
      <c r="D743" s="7"/>
      <c r="E743" s="7"/>
      <c r="F743" s="7"/>
      <c r="G743" s="7"/>
      <c r="H743" s="17" t="str">
        <f t="shared" si="12"/>
        <v/>
      </c>
    </row>
    <row r="744" spans="1:8" x14ac:dyDescent="0.3">
      <c r="A744" s="48"/>
      <c r="B744" s="7"/>
      <c r="C744" s="6"/>
      <c r="D744" s="7"/>
      <c r="E744" s="7"/>
      <c r="F744" s="7"/>
      <c r="G744" s="7"/>
      <c r="H744" s="17" t="str">
        <f t="shared" si="12"/>
        <v/>
      </c>
    </row>
    <row r="745" spans="1:8" x14ac:dyDescent="0.3">
      <c r="A745" s="48"/>
      <c r="B745" s="7"/>
      <c r="C745" s="6"/>
      <c r="D745" s="7"/>
      <c r="E745" s="7"/>
      <c r="F745" s="7"/>
      <c r="G745" s="7"/>
      <c r="H745" s="17" t="str">
        <f t="shared" si="12"/>
        <v/>
      </c>
    </row>
    <row r="746" spans="1:8" x14ac:dyDescent="0.3">
      <c r="A746" s="48"/>
      <c r="B746" s="7"/>
      <c r="C746" s="6"/>
      <c r="D746" s="7"/>
      <c r="E746" s="7"/>
      <c r="F746" s="7"/>
      <c r="G746" s="7"/>
      <c r="H746" s="17" t="str">
        <f t="shared" si="12"/>
        <v/>
      </c>
    </row>
    <row r="747" spans="1:8" x14ac:dyDescent="0.3">
      <c r="A747" s="48"/>
      <c r="B747" s="7"/>
      <c r="C747" s="6"/>
      <c r="D747" s="7"/>
      <c r="E747" s="7"/>
      <c r="F747" s="7"/>
      <c r="G747" s="7"/>
      <c r="H747" s="17" t="str">
        <f t="shared" si="12"/>
        <v/>
      </c>
    </row>
    <row r="748" spans="1:8" x14ac:dyDescent="0.3">
      <c r="A748" s="48"/>
      <c r="B748" s="7"/>
      <c r="C748" s="6"/>
      <c r="D748" s="7"/>
      <c r="E748" s="7"/>
      <c r="F748" s="7"/>
      <c r="G748" s="7"/>
      <c r="H748" s="17" t="str">
        <f t="shared" si="12"/>
        <v/>
      </c>
    </row>
    <row r="749" spans="1:8" x14ac:dyDescent="0.3">
      <c r="A749" s="48"/>
      <c r="B749" s="7"/>
      <c r="C749" s="6"/>
      <c r="D749" s="7"/>
      <c r="E749" s="7"/>
      <c r="F749" s="7"/>
      <c r="G749" s="7"/>
      <c r="H749" s="17" t="str">
        <f t="shared" si="12"/>
        <v/>
      </c>
    </row>
    <row r="750" spans="1:8" x14ac:dyDescent="0.3">
      <c r="A750" s="48"/>
      <c r="B750" s="7"/>
      <c r="C750" s="6"/>
      <c r="D750" s="7"/>
      <c r="E750" s="7"/>
      <c r="F750" s="7"/>
      <c r="G750" s="7"/>
      <c r="H750" s="17" t="str">
        <f t="shared" si="12"/>
        <v/>
      </c>
    </row>
    <row r="751" spans="1:8" x14ac:dyDescent="0.3">
      <c r="A751" s="48"/>
      <c r="B751" s="7"/>
      <c r="C751" s="6"/>
      <c r="D751" s="7"/>
      <c r="E751" s="7"/>
      <c r="F751" s="7"/>
      <c r="G751" s="7"/>
      <c r="H751" s="17" t="str">
        <f t="shared" si="12"/>
        <v/>
      </c>
    </row>
    <row r="752" spans="1:8" x14ac:dyDescent="0.3">
      <c r="A752" s="48"/>
      <c r="B752" s="7"/>
      <c r="C752" s="6"/>
      <c r="D752" s="7"/>
      <c r="E752" s="7"/>
      <c r="F752" s="7"/>
      <c r="G752" s="7"/>
      <c r="H752" s="17" t="str">
        <f t="shared" si="12"/>
        <v/>
      </c>
    </row>
    <row r="753" spans="1:8" x14ac:dyDescent="0.3">
      <c r="A753" s="48"/>
      <c r="B753" s="7"/>
      <c r="C753" s="6"/>
      <c r="D753" s="7"/>
      <c r="E753" s="7"/>
      <c r="F753" s="7"/>
      <c r="G753" s="7"/>
      <c r="H753" s="17" t="str">
        <f t="shared" si="12"/>
        <v/>
      </c>
    </row>
    <row r="754" spans="1:8" x14ac:dyDescent="0.3">
      <c r="A754" s="48"/>
      <c r="B754" s="7"/>
      <c r="C754" s="6"/>
      <c r="D754" s="7"/>
      <c r="E754" s="7"/>
      <c r="F754" s="7"/>
      <c r="G754" s="7"/>
      <c r="H754" s="17" t="str">
        <f t="shared" si="12"/>
        <v/>
      </c>
    </row>
    <row r="755" spans="1:8" x14ac:dyDescent="0.3">
      <c r="A755" s="48"/>
      <c r="B755" s="7"/>
      <c r="C755" s="6"/>
      <c r="D755" s="7"/>
      <c r="E755" s="7"/>
      <c r="F755" s="7"/>
      <c r="G755" s="7"/>
      <c r="H755" s="17" t="str">
        <f t="shared" si="12"/>
        <v/>
      </c>
    </row>
    <row r="756" spans="1:8" x14ac:dyDescent="0.3">
      <c r="A756" s="48"/>
      <c r="B756" s="7"/>
      <c r="C756" s="6"/>
      <c r="D756" s="7"/>
      <c r="E756" s="7"/>
      <c r="F756" s="7"/>
      <c r="G756" s="7"/>
      <c r="H756" s="17" t="str">
        <f t="shared" si="12"/>
        <v/>
      </c>
    </row>
    <row r="757" spans="1:8" x14ac:dyDescent="0.3">
      <c r="A757" s="48"/>
      <c r="B757" s="7"/>
      <c r="C757" s="6"/>
      <c r="D757" s="7"/>
      <c r="E757" s="7"/>
      <c r="F757" s="7"/>
      <c r="G757" s="7"/>
      <c r="H757" s="17" t="str">
        <f t="shared" si="12"/>
        <v/>
      </c>
    </row>
    <row r="758" spans="1:8" x14ac:dyDescent="0.3">
      <c r="A758" s="48"/>
      <c r="B758" s="7"/>
      <c r="C758" s="6"/>
      <c r="D758" s="7"/>
      <c r="E758" s="7"/>
      <c r="F758" s="7"/>
      <c r="G758" s="7"/>
      <c r="H758" s="17" t="str">
        <f t="shared" si="12"/>
        <v/>
      </c>
    </row>
    <row r="759" spans="1:8" x14ac:dyDescent="0.3">
      <c r="A759" s="48"/>
      <c r="B759" s="7"/>
      <c r="C759" s="6"/>
      <c r="D759" s="7"/>
      <c r="E759" s="7"/>
      <c r="F759" s="7"/>
      <c r="G759" s="7"/>
      <c r="H759" s="17" t="str">
        <f t="shared" si="12"/>
        <v/>
      </c>
    </row>
    <row r="760" spans="1:8" x14ac:dyDescent="0.3">
      <c r="A760" s="48"/>
      <c r="B760" s="7"/>
      <c r="C760" s="6"/>
      <c r="D760" s="7"/>
      <c r="E760" s="7"/>
      <c r="F760" s="7"/>
      <c r="G760" s="7"/>
      <c r="H760" s="17" t="str">
        <f t="shared" ref="H760:H823" si="13">IF(A760="","",IF(A760&gt;=46232,TEXT(DATE(YEAR(A760),MONTH(A760)+1,1),"mmmm yyyy"),TEXT(DATE(YEAR(A760),MONTH(A760),1),"mmmm yyyy")))</f>
        <v/>
      </c>
    </row>
    <row r="761" spans="1:8" x14ac:dyDescent="0.3">
      <c r="A761" s="48"/>
      <c r="B761" s="7"/>
      <c r="C761" s="6"/>
      <c r="D761" s="7"/>
      <c r="E761" s="7"/>
      <c r="F761" s="7"/>
      <c r="G761" s="7"/>
      <c r="H761" s="17" t="str">
        <f t="shared" si="13"/>
        <v/>
      </c>
    </row>
    <row r="762" spans="1:8" x14ac:dyDescent="0.3">
      <c r="A762" s="48"/>
      <c r="B762" s="7"/>
      <c r="C762" s="6"/>
      <c r="D762" s="7"/>
      <c r="E762" s="7"/>
      <c r="F762" s="7"/>
      <c r="G762" s="7"/>
      <c r="H762" s="17" t="str">
        <f t="shared" si="13"/>
        <v/>
      </c>
    </row>
    <row r="763" spans="1:8" x14ac:dyDescent="0.3">
      <c r="A763" s="48"/>
      <c r="B763" s="7"/>
      <c r="C763" s="6"/>
      <c r="D763" s="7"/>
      <c r="E763" s="7"/>
      <c r="F763" s="7"/>
      <c r="G763" s="7"/>
      <c r="H763" s="17" t="str">
        <f t="shared" si="13"/>
        <v/>
      </c>
    </row>
    <row r="764" spans="1:8" x14ac:dyDescent="0.3">
      <c r="A764" s="48"/>
      <c r="B764" s="7"/>
      <c r="C764" s="6"/>
      <c r="D764" s="7"/>
      <c r="E764" s="7"/>
      <c r="F764" s="7"/>
      <c r="G764" s="7"/>
      <c r="H764" s="17" t="str">
        <f t="shared" si="13"/>
        <v/>
      </c>
    </row>
    <row r="765" spans="1:8" x14ac:dyDescent="0.3">
      <c r="A765" s="48"/>
      <c r="B765" s="7"/>
      <c r="C765" s="6"/>
      <c r="D765" s="7"/>
      <c r="E765" s="7"/>
      <c r="F765" s="7"/>
      <c r="G765" s="7"/>
      <c r="H765" s="17" t="str">
        <f t="shared" si="13"/>
        <v/>
      </c>
    </row>
    <row r="766" spans="1:8" x14ac:dyDescent="0.3">
      <c r="A766" s="48"/>
      <c r="B766" s="7"/>
      <c r="C766" s="6"/>
      <c r="D766" s="7"/>
      <c r="E766" s="7"/>
      <c r="F766" s="7"/>
      <c r="G766" s="7"/>
      <c r="H766" s="17" t="str">
        <f t="shared" si="13"/>
        <v/>
      </c>
    </row>
    <row r="767" spans="1:8" x14ac:dyDescent="0.3">
      <c r="A767" s="48"/>
      <c r="B767" s="7"/>
      <c r="C767" s="6"/>
      <c r="D767" s="7"/>
      <c r="E767" s="7"/>
      <c r="F767" s="7"/>
      <c r="G767" s="7"/>
      <c r="H767" s="17" t="str">
        <f t="shared" si="13"/>
        <v/>
      </c>
    </row>
    <row r="768" spans="1:8" x14ac:dyDescent="0.3">
      <c r="A768" s="48"/>
      <c r="B768" s="7"/>
      <c r="C768" s="6"/>
      <c r="D768" s="7"/>
      <c r="E768" s="7"/>
      <c r="F768" s="7"/>
      <c r="G768" s="7"/>
      <c r="H768" s="17" t="str">
        <f t="shared" si="13"/>
        <v/>
      </c>
    </row>
    <row r="769" spans="1:8" x14ac:dyDescent="0.3">
      <c r="A769" s="48"/>
      <c r="B769" s="7"/>
      <c r="C769" s="6"/>
      <c r="D769" s="7"/>
      <c r="E769" s="7"/>
      <c r="F769" s="7"/>
      <c r="G769" s="7"/>
      <c r="H769" s="17" t="str">
        <f t="shared" si="13"/>
        <v/>
      </c>
    </row>
    <row r="770" spans="1:8" x14ac:dyDescent="0.3">
      <c r="A770" s="48"/>
      <c r="B770" s="7"/>
      <c r="C770" s="6"/>
      <c r="D770" s="7"/>
      <c r="E770" s="7"/>
      <c r="F770" s="7"/>
      <c r="G770" s="7"/>
      <c r="H770" s="17" t="str">
        <f t="shared" si="13"/>
        <v/>
      </c>
    </row>
    <row r="771" spans="1:8" x14ac:dyDescent="0.3">
      <c r="A771" s="48"/>
      <c r="B771" s="7"/>
      <c r="C771" s="6"/>
      <c r="D771" s="7"/>
      <c r="E771" s="7"/>
      <c r="F771" s="7"/>
      <c r="G771" s="7"/>
      <c r="H771" s="17" t="str">
        <f t="shared" si="13"/>
        <v/>
      </c>
    </row>
    <row r="772" spans="1:8" x14ac:dyDescent="0.3">
      <c r="A772" s="48"/>
      <c r="B772" s="7"/>
      <c r="C772" s="6"/>
      <c r="D772" s="7"/>
      <c r="E772" s="7"/>
      <c r="F772" s="7"/>
      <c r="G772" s="7"/>
      <c r="H772" s="17" t="str">
        <f t="shared" si="13"/>
        <v/>
      </c>
    </row>
    <row r="773" spans="1:8" x14ac:dyDescent="0.3">
      <c r="A773" s="48"/>
      <c r="B773" s="7"/>
      <c r="C773" s="6"/>
      <c r="D773" s="7"/>
      <c r="E773" s="7"/>
      <c r="F773" s="7"/>
      <c r="G773" s="7"/>
      <c r="H773" s="17" t="str">
        <f t="shared" si="13"/>
        <v/>
      </c>
    </row>
    <row r="774" spans="1:8" x14ac:dyDescent="0.3">
      <c r="A774" s="48"/>
      <c r="B774" s="7"/>
      <c r="C774" s="6"/>
      <c r="D774" s="7"/>
      <c r="E774" s="7"/>
      <c r="F774" s="7"/>
      <c r="G774" s="7"/>
      <c r="H774" s="17" t="str">
        <f t="shared" si="13"/>
        <v/>
      </c>
    </row>
    <row r="775" spans="1:8" x14ac:dyDescent="0.3">
      <c r="A775" s="48"/>
      <c r="B775" s="7"/>
      <c r="C775" s="6"/>
      <c r="D775" s="7"/>
      <c r="E775" s="7"/>
      <c r="F775" s="7"/>
      <c r="G775" s="7"/>
      <c r="H775" s="17" t="str">
        <f t="shared" si="13"/>
        <v/>
      </c>
    </row>
    <row r="776" spans="1:8" x14ac:dyDescent="0.3">
      <c r="A776" s="48"/>
      <c r="B776" s="7"/>
      <c r="C776" s="6"/>
      <c r="D776" s="7"/>
      <c r="E776" s="7"/>
      <c r="F776" s="7"/>
      <c r="G776" s="7"/>
      <c r="H776" s="17" t="str">
        <f t="shared" si="13"/>
        <v/>
      </c>
    </row>
    <row r="777" spans="1:8" x14ac:dyDescent="0.3">
      <c r="A777" s="48"/>
      <c r="B777" s="7"/>
      <c r="C777" s="6"/>
      <c r="D777" s="7"/>
      <c r="E777" s="7"/>
      <c r="F777" s="7"/>
      <c r="G777" s="7"/>
      <c r="H777" s="17" t="str">
        <f t="shared" si="13"/>
        <v/>
      </c>
    </row>
    <row r="778" spans="1:8" x14ac:dyDescent="0.3">
      <c r="A778" s="48"/>
      <c r="B778" s="7"/>
      <c r="C778" s="6"/>
      <c r="D778" s="7"/>
      <c r="E778" s="7"/>
      <c r="F778" s="7"/>
      <c r="G778" s="7"/>
      <c r="H778" s="17" t="str">
        <f t="shared" si="13"/>
        <v/>
      </c>
    </row>
    <row r="779" spans="1:8" x14ac:dyDescent="0.3">
      <c r="A779" s="48"/>
      <c r="B779" s="7"/>
      <c r="C779" s="6"/>
      <c r="D779" s="7"/>
      <c r="E779" s="7"/>
      <c r="F779" s="7"/>
      <c r="G779" s="7"/>
      <c r="H779" s="17" t="str">
        <f t="shared" si="13"/>
        <v/>
      </c>
    </row>
    <row r="780" spans="1:8" x14ac:dyDescent="0.3">
      <c r="A780" s="48"/>
      <c r="B780" s="7"/>
      <c r="C780" s="6"/>
      <c r="D780" s="7"/>
      <c r="E780" s="7"/>
      <c r="F780" s="7"/>
      <c r="G780" s="7"/>
      <c r="H780" s="17" t="str">
        <f t="shared" si="13"/>
        <v/>
      </c>
    </row>
    <row r="781" spans="1:8" x14ac:dyDescent="0.3">
      <c r="A781" s="48"/>
      <c r="B781" s="7"/>
      <c r="C781" s="6"/>
      <c r="D781" s="7"/>
      <c r="E781" s="7"/>
      <c r="F781" s="7"/>
      <c r="G781" s="7"/>
      <c r="H781" s="17" t="str">
        <f t="shared" si="13"/>
        <v/>
      </c>
    </row>
    <row r="782" spans="1:8" x14ac:dyDescent="0.3">
      <c r="A782" s="48"/>
      <c r="B782" s="7"/>
      <c r="C782" s="6"/>
      <c r="D782" s="7"/>
      <c r="E782" s="7"/>
      <c r="F782" s="7"/>
      <c r="G782" s="7"/>
      <c r="H782" s="17" t="str">
        <f t="shared" si="13"/>
        <v/>
      </c>
    </row>
    <row r="783" spans="1:8" x14ac:dyDescent="0.3">
      <c r="A783" s="48"/>
      <c r="B783" s="7"/>
      <c r="C783" s="6"/>
      <c r="D783" s="7"/>
      <c r="E783" s="7"/>
      <c r="F783" s="7"/>
      <c r="G783" s="7"/>
      <c r="H783" s="17" t="str">
        <f t="shared" si="13"/>
        <v/>
      </c>
    </row>
    <row r="784" spans="1:8" x14ac:dyDescent="0.3">
      <c r="A784" s="48"/>
      <c r="B784" s="7"/>
      <c r="C784" s="6"/>
      <c r="D784" s="7"/>
      <c r="E784" s="7"/>
      <c r="F784" s="7"/>
      <c r="G784" s="7"/>
      <c r="H784" s="17" t="str">
        <f t="shared" si="13"/>
        <v/>
      </c>
    </row>
    <row r="785" spans="1:8" x14ac:dyDescent="0.3">
      <c r="A785" s="48"/>
      <c r="B785" s="7"/>
      <c r="C785" s="6"/>
      <c r="D785" s="7"/>
      <c r="E785" s="7"/>
      <c r="F785" s="7"/>
      <c r="G785" s="7"/>
      <c r="H785" s="17" t="str">
        <f t="shared" si="13"/>
        <v/>
      </c>
    </row>
    <row r="786" spans="1:8" x14ac:dyDescent="0.3">
      <c r="A786" s="48"/>
      <c r="B786" s="7"/>
      <c r="C786" s="6"/>
      <c r="D786" s="7"/>
      <c r="E786" s="7"/>
      <c r="F786" s="7"/>
      <c r="G786" s="7"/>
      <c r="H786" s="17" t="str">
        <f t="shared" si="13"/>
        <v/>
      </c>
    </row>
    <row r="787" spans="1:8" x14ac:dyDescent="0.3">
      <c r="A787" s="48"/>
      <c r="B787" s="7"/>
      <c r="C787" s="6"/>
      <c r="D787" s="7"/>
      <c r="E787" s="7"/>
      <c r="F787" s="7"/>
      <c r="G787" s="7"/>
      <c r="H787" s="17" t="str">
        <f t="shared" si="13"/>
        <v/>
      </c>
    </row>
    <row r="788" spans="1:8" x14ac:dyDescent="0.3">
      <c r="A788" s="48"/>
      <c r="B788" s="7"/>
      <c r="C788" s="6"/>
      <c r="D788" s="7"/>
      <c r="E788" s="7"/>
      <c r="F788" s="7"/>
      <c r="G788" s="7"/>
      <c r="H788" s="17" t="str">
        <f t="shared" si="13"/>
        <v/>
      </c>
    </row>
    <row r="789" spans="1:8" x14ac:dyDescent="0.3">
      <c r="A789" s="48"/>
      <c r="B789" s="7"/>
      <c r="C789" s="6"/>
      <c r="D789" s="7"/>
      <c r="E789" s="7"/>
      <c r="F789" s="7"/>
      <c r="G789" s="7"/>
      <c r="H789" s="17" t="str">
        <f t="shared" si="13"/>
        <v/>
      </c>
    </row>
    <row r="790" spans="1:8" x14ac:dyDescent="0.3">
      <c r="A790" s="48"/>
      <c r="B790" s="7"/>
      <c r="C790" s="6"/>
      <c r="D790" s="7"/>
      <c r="E790" s="7"/>
      <c r="F790" s="7"/>
      <c r="G790" s="7"/>
      <c r="H790" s="17" t="str">
        <f t="shared" si="13"/>
        <v/>
      </c>
    </row>
    <row r="791" spans="1:8" x14ac:dyDescent="0.3">
      <c r="A791" s="48"/>
      <c r="B791" s="7"/>
      <c r="C791" s="6"/>
      <c r="D791" s="7"/>
      <c r="E791" s="7"/>
      <c r="F791" s="7"/>
      <c r="G791" s="7"/>
      <c r="H791" s="17" t="str">
        <f t="shared" si="13"/>
        <v/>
      </c>
    </row>
    <row r="792" spans="1:8" x14ac:dyDescent="0.3">
      <c r="A792" s="48"/>
      <c r="B792" s="7"/>
      <c r="C792" s="6"/>
      <c r="D792" s="7"/>
      <c r="E792" s="7"/>
      <c r="F792" s="7"/>
      <c r="G792" s="7"/>
      <c r="H792" s="17" t="str">
        <f t="shared" si="13"/>
        <v/>
      </c>
    </row>
    <row r="793" spans="1:8" x14ac:dyDescent="0.3">
      <c r="A793" s="48"/>
      <c r="B793" s="7"/>
      <c r="C793" s="6"/>
      <c r="D793" s="7"/>
      <c r="E793" s="7"/>
      <c r="F793" s="7"/>
      <c r="G793" s="7"/>
      <c r="H793" s="17" t="str">
        <f t="shared" si="13"/>
        <v/>
      </c>
    </row>
    <row r="794" spans="1:8" x14ac:dyDescent="0.3">
      <c r="A794" s="48"/>
      <c r="B794" s="7"/>
      <c r="C794" s="6"/>
      <c r="D794" s="7"/>
      <c r="E794" s="7"/>
      <c r="F794" s="7"/>
      <c r="G794" s="7"/>
      <c r="H794" s="17" t="str">
        <f t="shared" si="13"/>
        <v/>
      </c>
    </row>
    <row r="795" spans="1:8" x14ac:dyDescent="0.3">
      <c r="A795" s="48"/>
      <c r="B795" s="7"/>
      <c r="C795" s="6"/>
      <c r="D795" s="7"/>
      <c r="E795" s="7"/>
      <c r="F795" s="7"/>
      <c r="G795" s="7"/>
      <c r="H795" s="17" t="str">
        <f t="shared" si="13"/>
        <v/>
      </c>
    </row>
    <row r="796" spans="1:8" x14ac:dyDescent="0.3">
      <c r="A796" s="48"/>
      <c r="B796" s="7"/>
      <c r="C796" s="6"/>
      <c r="D796" s="7"/>
      <c r="E796" s="7"/>
      <c r="F796" s="7"/>
      <c r="G796" s="7"/>
      <c r="H796" s="17" t="str">
        <f t="shared" si="13"/>
        <v/>
      </c>
    </row>
    <row r="797" spans="1:8" x14ac:dyDescent="0.3">
      <c r="A797" s="48"/>
      <c r="B797" s="7"/>
      <c r="C797" s="6"/>
      <c r="D797" s="7"/>
      <c r="E797" s="7"/>
      <c r="F797" s="7"/>
      <c r="G797" s="7"/>
      <c r="H797" s="17" t="str">
        <f t="shared" si="13"/>
        <v/>
      </c>
    </row>
    <row r="798" spans="1:8" x14ac:dyDescent="0.3">
      <c r="A798" s="48"/>
      <c r="B798" s="7"/>
      <c r="C798" s="6"/>
      <c r="D798" s="7"/>
      <c r="E798" s="7"/>
      <c r="F798" s="7"/>
      <c r="G798" s="7"/>
      <c r="H798" s="17" t="str">
        <f t="shared" si="13"/>
        <v/>
      </c>
    </row>
    <row r="799" spans="1:8" x14ac:dyDescent="0.3">
      <c r="A799" s="48"/>
      <c r="B799" s="7"/>
      <c r="C799" s="6"/>
      <c r="D799" s="7"/>
      <c r="E799" s="7"/>
      <c r="F799" s="7"/>
      <c r="G799" s="7"/>
      <c r="H799" s="17" t="str">
        <f t="shared" si="13"/>
        <v/>
      </c>
    </row>
    <row r="800" spans="1:8" x14ac:dyDescent="0.3">
      <c r="A800" s="48"/>
      <c r="B800" s="7"/>
      <c r="C800" s="6"/>
      <c r="D800" s="7"/>
      <c r="E800" s="7"/>
      <c r="F800" s="7"/>
      <c r="G800" s="7"/>
      <c r="H800" s="17" t="str">
        <f t="shared" si="13"/>
        <v/>
      </c>
    </row>
    <row r="801" spans="1:8" x14ac:dyDescent="0.3">
      <c r="A801" s="48"/>
      <c r="B801" s="7"/>
      <c r="C801" s="6"/>
      <c r="D801" s="7"/>
      <c r="E801" s="7"/>
      <c r="F801" s="7"/>
      <c r="G801" s="7"/>
      <c r="H801" s="17" t="str">
        <f t="shared" si="13"/>
        <v/>
      </c>
    </row>
    <row r="802" spans="1:8" x14ac:dyDescent="0.3">
      <c r="A802" s="48"/>
      <c r="B802" s="7"/>
      <c r="C802" s="6"/>
      <c r="D802" s="7"/>
      <c r="E802" s="7"/>
      <c r="F802" s="7"/>
      <c r="G802" s="7"/>
      <c r="H802" s="17" t="str">
        <f t="shared" si="13"/>
        <v/>
      </c>
    </row>
    <row r="803" spans="1:8" x14ac:dyDescent="0.3">
      <c r="A803" s="48"/>
      <c r="B803" s="7"/>
      <c r="C803" s="6"/>
      <c r="D803" s="7"/>
      <c r="E803" s="7"/>
      <c r="F803" s="7"/>
      <c r="G803" s="7"/>
      <c r="H803" s="17" t="str">
        <f t="shared" si="13"/>
        <v/>
      </c>
    </row>
    <row r="804" spans="1:8" x14ac:dyDescent="0.3">
      <c r="A804" s="48"/>
      <c r="B804" s="7"/>
      <c r="C804" s="6"/>
      <c r="D804" s="7"/>
      <c r="E804" s="7"/>
      <c r="F804" s="7"/>
      <c r="G804" s="7"/>
      <c r="H804" s="17" t="str">
        <f t="shared" si="13"/>
        <v/>
      </c>
    </row>
    <row r="805" spans="1:8" x14ac:dyDescent="0.3">
      <c r="A805" s="48"/>
      <c r="B805" s="7"/>
      <c r="C805" s="6"/>
      <c r="D805" s="7"/>
      <c r="E805" s="7"/>
      <c r="F805" s="7"/>
      <c r="G805" s="7"/>
      <c r="H805" s="17" t="str">
        <f t="shared" si="13"/>
        <v/>
      </c>
    </row>
    <row r="806" spans="1:8" x14ac:dyDescent="0.3">
      <c r="A806" s="48"/>
      <c r="B806" s="7"/>
      <c r="C806" s="6"/>
      <c r="D806" s="7"/>
      <c r="E806" s="7"/>
      <c r="F806" s="7"/>
      <c r="G806" s="7"/>
      <c r="H806" s="17" t="str">
        <f t="shared" si="13"/>
        <v/>
      </c>
    </row>
    <row r="807" spans="1:8" x14ac:dyDescent="0.3">
      <c r="A807" s="48"/>
      <c r="B807" s="7"/>
      <c r="C807" s="6"/>
      <c r="D807" s="7"/>
      <c r="E807" s="7"/>
      <c r="F807" s="7"/>
      <c r="G807" s="7"/>
      <c r="H807" s="17" t="str">
        <f t="shared" si="13"/>
        <v/>
      </c>
    </row>
    <row r="808" spans="1:8" x14ac:dyDescent="0.3">
      <c r="A808" s="48"/>
      <c r="B808" s="7"/>
      <c r="C808" s="6"/>
      <c r="D808" s="7"/>
      <c r="E808" s="7"/>
      <c r="F808" s="7"/>
      <c r="G808" s="7"/>
      <c r="H808" s="17" t="str">
        <f t="shared" si="13"/>
        <v/>
      </c>
    </row>
    <row r="809" spans="1:8" x14ac:dyDescent="0.3">
      <c r="A809" s="48"/>
      <c r="B809" s="7"/>
      <c r="C809" s="6"/>
      <c r="D809" s="7"/>
      <c r="E809" s="7"/>
      <c r="F809" s="7"/>
      <c r="G809" s="7"/>
      <c r="H809" s="17" t="str">
        <f t="shared" si="13"/>
        <v/>
      </c>
    </row>
    <row r="810" spans="1:8" x14ac:dyDescent="0.3">
      <c r="A810" s="48"/>
      <c r="B810" s="7"/>
      <c r="C810" s="6"/>
      <c r="D810" s="7"/>
      <c r="E810" s="7"/>
      <c r="F810" s="7"/>
      <c r="G810" s="7"/>
      <c r="H810" s="17" t="str">
        <f t="shared" si="13"/>
        <v/>
      </c>
    </row>
    <row r="811" spans="1:8" x14ac:dyDescent="0.3">
      <c r="A811" s="48"/>
      <c r="B811" s="7"/>
      <c r="C811" s="6"/>
      <c r="D811" s="7"/>
      <c r="E811" s="7"/>
      <c r="F811" s="7"/>
      <c r="G811" s="7"/>
      <c r="H811" s="17" t="str">
        <f t="shared" si="13"/>
        <v/>
      </c>
    </row>
    <row r="812" spans="1:8" x14ac:dyDescent="0.3">
      <c r="A812" s="48"/>
      <c r="B812" s="7"/>
      <c r="C812" s="6"/>
      <c r="D812" s="7"/>
      <c r="E812" s="7"/>
      <c r="F812" s="7"/>
      <c r="G812" s="7"/>
      <c r="H812" s="17" t="str">
        <f t="shared" si="13"/>
        <v/>
      </c>
    </row>
    <row r="813" spans="1:8" x14ac:dyDescent="0.3">
      <c r="A813" s="48"/>
      <c r="B813" s="7"/>
      <c r="C813" s="6"/>
      <c r="D813" s="7"/>
      <c r="E813" s="7"/>
      <c r="F813" s="7"/>
      <c r="G813" s="7"/>
      <c r="H813" s="17" t="str">
        <f t="shared" si="13"/>
        <v/>
      </c>
    </row>
    <row r="814" spans="1:8" x14ac:dyDescent="0.3">
      <c r="A814" s="48"/>
      <c r="B814" s="7"/>
      <c r="C814" s="6"/>
      <c r="D814" s="7"/>
      <c r="E814" s="7"/>
      <c r="F814" s="7"/>
      <c r="G814" s="7"/>
      <c r="H814" s="17" t="str">
        <f t="shared" si="13"/>
        <v/>
      </c>
    </row>
    <row r="815" spans="1:8" x14ac:dyDescent="0.3">
      <c r="A815" s="48"/>
      <c r="B815" s="7"/>
      <c r="C815" s="6"/>
      <c r="D815" s="7"/>
      <c r="E815" s="7"/>
      <c r="F815" s="7"/>
      <c r="G815" s="7"/>
      <c r="H815" s="17" t="str">
        <f t="shared" si="13"/>
        <v/>
      </c>
    </row>
    <row r="816" spans="1:8" x14ac:dyDescent="0.3">
      <c r="A816" s="48"/>
      <c r="B816" s="7"/>
      <c r="C816" s="6"/>
      <c r="D816" s="7"/>
      <c r="E816" s="7"/>
      <c r="F816" s="7"/>
      <c r="G816" s="7"/>
      <c r="H816" s="17" t="str">
        <f t="shared" si="13"/>
        <v/>
      </c>
    </row>
    <row r="817" spans="1:8" x14ac:dyDescent="0.3">
      <c r="A817" s="48"/>
      <c r="B817" s="7"/>
      <c r="C817" s="6"/>
      <c r="D817" s="7"/>
      <c r="E817" s="7"/>
      <c r="F817" s="7"/>
      <c r="G817" s="7"/>
      <c r="H817" s="17" t="str">
        <f t="shared" si="13"/>
        <v/>
      </c>
    </row>
    <row r="818" spans="1:8" x14ac:dyDescent="0.3">
      <c r="A818" s="48"/>
      <c r="B818" s="7"/>
      <c r="C818" s="6"/>
      <c r="D818" s="7"/>
      <c r="E818" s="7"/>
      <c r="F818" s="7"/>
      <c r="G818" s="7"/>
      <c r="H818" s="17" t="str">
        <f t="shared" si="13"/>
        <v/>
      </c>
    </row>
    <row r="819" spans="1:8" x14ac:dyDescent="0.3">
      <c r="A819" s="48"/>
      <c r="B819" s="7"/>
      <c r="C819" s="6"/>
      <c r="D819" s="7"/>
      <c r="E819" s="7"/>
      <c r="F819" s="7"/>
      <c r="G819" s="7"/>
      <c r="H819" s="17" t="str">
        <f t="shared" si="13"/>
        <v/>
      </c>
    </row>
    <row r="820" spans="1:8" x14ac:dyDescent="0.3">
      <c r="A820" s="48"/>
      <c r="B820" s="7"/>
      <c r="C820" s="6"/>
      <c r="D820" s="7"/>
      <c r="E820" s="7"/>
      <c r="F820" s="7"/>
      <c r="G820" s="7"/>
      <c r="H820" s="17" t="str">
        <f t="shared" si="13"/>
        <v/>
      </c>
    </row>
    <row r="821" spans="1:8" x14ac:dyDescent="0.3">
      <c r="A821" s="48"/>
      <c r="B821" s="7"/>
      <c r="C821" s="6"/>
      <c r="D821" s="7"/>
      <c r="E821" s="7"/>
      <c r="F821" s="7"/>
      <c r="G821" s="7"/>
      <c r="H821" s="17" t="str">
        <f t="shared" si="13"/>
        <v/>
      </c>
    </row>
    <row r="822" spans="1:8" x14ac:dyDescent="0.3">
      <c r="A822" s="48"/>
      <c r="B822" s="7"/>
      <c r="C822" s="6"/>
      <c r="D822" s="7"/>
      <c r="E822" s="7"/>
      <c r="F822" s="7"/>
      <c r="G822" s="7"/>
      <c r="H822" s="17" t="str">
        <f t="shared" si="13"/>
        <v/>
      </c>
    </row>
    <row r="823" spans="1:8" x14ac:dyDescent="0.3">
      <c r="A823" s="48"/>
      <c r="B823" s="7"/>
      <c r="C823" s="6"/>
      <c r="D823" s="7"/>
      <c r="E823" s="7"/>
      <c r="F823" s="7"/>
      <c r="G823" s="7"/>
      <c r="H823" s="17" t="str">
        <f t="shared" si="13"/>
        <v/>
      </c>
    </row>
    <row r="824" spans="1:8" x14ac:dyDescent="0.3">
      <c r="A824" s="48"/>
      <c r="B824" s="7"/>
      <c r="C824" s="6"/>
      <c r="D824" s="7"/>
      <c r="E824" s="7"/>
      <c r="F824" s="7"/>
      <c r="G824" s="7"/>
      <c r="H824" s="17" t="str">
        <f t="shared" ref="H824:H861" si="14">IF(A824="","",IF(A824&gt;=46232,TEXT(DATE(YEAR(A824),MONTH(A824)+1,1),"mmmm yyyy"),TEXT(DATE(YEAR(A824),MONTH(A824),1),"mmmm yyyy")))</f>
        <v/>
      </c>
    </row>
    <row r="825" spans="1:8" x14ac:dyDescent="0.3">
      <c r="A825" s="48"/>
      <c r="B825" s="7"/>
      <c r="C825" s="6"/>
      <c r="D825" s="7"/>
      <c r="E825" s="7"/>
      <c r="F825" s="7"/>
      <c r="G825" s="7"/>
      <c r="H825" s="17" t="str">
        <f t="shared" si="14"/>
        <v/>
      </c>
    </row>
    <row r="826" spans="1:8" x14ac:dyDescent="0.3">
      <c r="A826" s="48"/>
      <c r="B826" s="7"/>
      <c r="C826" s="6"/>
      <c r="D826" s="7"/>
      <c r="E826" s="7"/>
      <c r="F826" s="7"/>
      <c r="G826" s="7"/>
      <c r="H826" s="17" t="str">
        <f t="shared" si="14"/>
        <v/>
      </c>
    </row>
    <row r="827" spans="1:8" x14ac:dyDescent="0.3">
      <c r="A827" s="48"/>
      <c r="B827" s="7"/>
      <c r="C827" s="6"/>
      <c r="D827" s="7"/>
      <c r="E827" s="7"/>
      <c r="F827" s="7"/>
      <c r="G827" s="7"/>
      <c r="H827" s="17" t="str">
        <f t="shared" si="14"/>
        <v/>
      </c>
    </row>
    <row r="828" spans="1:8" x14ac:dyDescent="0.3">
      <c r="A828" s="48"/>
      <c r="B828" s="7"/>
      <c r="C828" s="6"/>
      <c r="D828" s="7"/>
      <c r="E828" s="7"/>
      <c r="F828" s="7"/>
      <c r="G828" s="7"/>
      <c r="H828" s="17" t="str">
        <f t="shared" si="14"/>
        <v/>
      </c>
    </row>
    <row r="829" spans="1:8" x14ac:dyDescent="0.3">
      <c r="A829" s="48"/>
      <c r="B829" s="7"/>
      <c r="C829" s="6"/>
      <c r="D829" s="7"/>
      <c r="E829" s="7"/>
      <c r="F829" s="7"/>
      <c r="G829" s="7"/>
      <c r="H829" s="17" t="str">
        <f t="shared" si="14"/>
        <v/>
      </c>
    </row>
    <row r="830" spans="1:8" x14ac:dyDescent="0.3">
      <c r="A830" s="48"/>
      <c r="B830" s="7"/>
      <c r="C830" s="6"/>
      <c r="D830" s="7"/>
      <c r="E830" s="7"/>
      <c r="F830" s="7"/>
      <c r="G830" s="7"/>
      <c r="H830" s="17" t="str">
        <f t="shared" si="14"/>
        <v/>
      </c>
    </row>
    <row r="831" spans="1:8" x14ac:dyDescent="0.3">
      <c r="A831" s="48"/>
      <c r="B831" s="7"/>
      <c r="C831" s="6"/>
      <c r="D831" s="7"/>
      <c r="E831" s="7"/>
      <c r="F831" s="7"/>
      <c r="G831" s="7"/>
      <c r="H831" s="17" t="str">
        <f t="shared" si="14"/>
        <v/>
      </c>
    </row>
    <row r="832" spans="1:8" x14ac:dyDescent="0.3">
      <c r="A832" s="48"/>
      <c r="B832" s="7"/>
      <c r="C832" s="6"/>
      <c r="D832" s="7"/>
      <c r="E832" s="7"/>
      <c r="F832" s="7"/>
      <c r="G832" s="7"/>
      <c r="H832" s="17" t="str">
        <f t="shared" si="14"/>
        <v/>
      </c>
    </row>
    <row r="833" spans="1:8" x14ac:dyDescent="0.3">
      <c r="A833" s="48"/>
      <c r="B833" s="7"/>
      <c r="C833" s="6"/>
      <c r="D833" s="7"/>
      <c r="E833" s="7"/>
      <c r="F833" s="7"/>
      <c r="G833" s="7"/>
      <c r="H833" s="17" t="str">
        <f t="shared" si="14"/>
        <v/>
      </c>
    </row>
    <row r="834" spans="1:8" x14ac:dyDescent="0.3">
      <c r="A834" s="48"/>
      <c r="B834" s="7"/>
      <c r="C834" s="6"/>
      <c r="D834" s="7"/>
      <c r="E834" s="7"/>
      <c r="F834" s="7"/>
      <c r="G834" s="7"/>
      <c r="H834" s="17" t="str">
        <f t="shared" si="14"/>
        <v/>
      </c>
    </row>
    <row r="835" spans="1:8" x14ac:dyDescent="0.3">
      <c r="A835" s="48"/>
      <c r="B835" s="7"/>
      <c r="C835" s="6"/>
      <c r="D835" s="7"/>
      <c r="E835" s="7"/>
      <c r="F835" s="7"/>
      <c r="G835" s="7"/>
      <c r="H835" s="17" t="str">
        <f t="shared" si="14"/>
        <v/>
      </c>
    </row>
    <row r="836" spans="1:8" x14ac:dyDescent="0.3">
      <c r="A836" s="48"/>
      <c r="B836" s="7"/>
      <c r="C836" s="6"/>
      <c r="D836" s="7"/>
      <c r="E836" s="7"/>
      <c r="F836" s="7"/>
      <c r="G836" s="7"/>
      <c r="H836" s="17" t="str">
        <f t="shared" si="14"/>
        <v/>
      </c>
    </row>
    <row r="837" spans="1:8" x14ac:dyDescent="0.3">
      <c r="A837" s="48"/>
      <c r="B837" s="7"/>
      <c r="C837" s="6"/>
      <c r="D837" s="7"/>
      <c r="E837" s="7"/>
      <c r="F837" s="7"/>
      <c r="G837" s="7"/>
      <c r="H837" s="17" t="str">
        <f t="shared" si="14"/>
        <v/>
      </c>
    </row>
    <row r="838" spans="1:8" x14ac:dyDescent="0.3">
      <c r="A838" s="48"/>
      <c r="B838" s="7"/>
      <c r="C838" s="6"/>
      <c r="D838" s="7"/>
      <c r="E838" s="7"/>
      <c r="F838" s="7"/>
      <c r="G838" s="7"/>
      <c r="H838" s="17" t="str">
        <f t="shared" si="14"/>
        <v/>
      </c>
    </row>
    <row r="839" spans="1:8" x14ac:dyDescent="0.3">
      <c r="A839" s="48"/>
      <c r="B839" s="7"/>
      <c r="C839" s="6"/>
      <c r="D839" s="7"/>
      <c r="E839" s="7"/>
      <c r="F839" s="7"/>
      <c r="G839" s="7"/>
      <c r="H839" s="17" t="str">
        <f t="shared" si="14"/>
        <v/>
      </c>
    </row>
    <row r="840" spans="1:8" x14ac:dyDescent="0.3">
      <c r="A840" s="48"/>
      <c r="B840" s="7"/>
      <c r="C840" s="6"/>
      <c r="D840" s="7"/>
      <c r="E840" s="7"/>
      <c r="F840" s="7"/>
      <c r="G840" s="7"/>
      <c r="H840" s="17" t="str">
        <f t="shared" si="14"/>
        <v/>
      </c>
    </row>
    <row r="841" spans="1:8" x14ac:dyDescent="0.3">
      <c r="A841" s="48"/>
      <c r="B841" s="7"/>
      <c r="C841" s="6"/>
      <c r="D841" s="7"/>
      <c r="E841" s="7"/>
      <c r="F841" s="7"/>
      <c r="G841" s="7"/>
      <c r="H841" s="17" t="str">
        <f t="shared" si="14"/>
        <v/>
      </c>
    </row>
    <row r="842" spans="1:8" x14ac:dyDescent="0.3">
      <c r="A842" s="48"/>
      <c r="B842" s="7"/>
      <c r="C842" s="6"/>
      <c r="D842" s="7"/>
      <c r="E842" s="7"/>
      <c r="F842" s="7"/>
      <c r="G842" s="7"/>
      <c r="H842" s="17" t="str">
        <f t="shared" si="14"/>
        <v/>
      </c>
    </row>
    <row r="843" spans="1:8" x14ac:dyDescent="0.3">
      <c r="A843" s="48"/>
      <c r="B843" s="7"/>
      <c r="C843" s="6"/>
      <c r="D843" s="7"/>
      <c r="E843" s="7"/>
      <c r="F843" s="7"/>
      <c r="G843" s="7"/>
      <c r="H843" s="17" t="str">
        <f t="shared" si="14"/>
        <v/>
      </c>
    </row>
    <row r="844" spans="1:8" x14ac:dyDescent="0.3">
      <c r="A844" s="48"/>
      <c r="B844" s="7"/>
      <c r="C844" s="6"/>
      <c r="D844" s="7"/>
      <c r="E844" s="7"/>
      <c r="F844" s="7"/>
      <c r="G844" s="7"/>
      <c r="H844" s="17" t="str">
        <f t="shared" si="14"/>
        <v/>
      </c>
    </row>
    <row r="845" spans="1:8" x14ac:dyDescent="0.3">
      <c r="A845" s="48"/>
      <c r="B845" s="7"/>
      <c r="C845" s="6"/>
      <c r="D845" s="7"/>
      <c r="E845" s="7"/>
      <c r="F845" s="7"/>
      <c r="G845" s="7"/>
      <c r="H845" s="17" t="str">
        <f t="shared" si="14"/>
        <v/>
      </c>
    </row>
    <row r="846" spans="1:8" x14ac:dyDescent="0.3">
      <c r="A846" s="48"/>
      <c r="B846" s="7"/>
      <c r="C846" s="6"/>
      <c r="D846" s="7"/>
      <c r="E846" s="7"/>
      <c r="F846" s="7"/>
      <c r="G846" s="7"/>
      <c r="H846" s="17" t="str">
        <f t="shared" si="14"/>
        <v/>
      </c>
    </row>
    <row r="847" spans="1:8" x14ac:dyDescent="0.3">
      <c r="A847" s="48"/>
      <c r="B847" s="7"/>
      <c r="C847" s="6"/>
      <c r="D847" s="7"/>
      <c r="E847" s="7"/>
      <c r="F847" s="7"/>
      <c r="G847" s="7"/>
      <c r="H847" s="17" t="str">
        <f t="shared" si="14"/>
        <v/>
      </c>
    </row>
    <row r="848" spans="1:8" x14ac:dyDescent="0.3">
      <c r="A848" s="48"/>
      <c r="B848" s="7"/>
      <c r="C848" s="6"/>
      <c r="D848" s="7"/>
      <c r="E848" s="7"/>
      <c r="F848" s="7"/>
      <c r="G848" s="7"/>
      <c r="H848" s="17" t="str">
        <f t="shared" si="14"/>
        <v/>
      </c>
    </row>
    <row r="849" spans="1:8" x14ac:dyDescent="0.3">
      <c r="A849" s="48"/>
      <c r="B849" s="7"/>
      <c r="C849" s="6"/>
      <c r="D849" s="7"/>
      <c r="E849" s="7"/>
      <c r="F849" s="7"/>
      <c r="G849" s="7"/>
      <c r="H849" s="17" t="str">
        <f t="shared" si="14"/>
        <v/>
      </c>
    </row>
    <row r="850" spans="1:8" x14ac:dyDescent="0.3">
      <c r="A850" s="48"/>
      <c r="B850" s="7"/>
      <c r="C850" s="6"/>
      <c r="D850" s="7"/>
      <c r="E850" s="7"/>
      <c r="F850" s="7"/>
      <c r="G850" s="7"/>
      <c r="H850" s="17" t="str">
        <f t="shared" si="14"/>
        <v/>
      </c>
    </row>
    <row r="851" spans="1:8" x14ac:dyDescent="0.3">
      <c r="A851" s="48"/>
      <c r="B851" s="7"/>
      <c r="C851" s="6"/>
      <c r="D851" s="7"/>
      <c r="E851" s="7"/>
      <c r="F851" s="7"/>
      <c r="G851" s="7"/>
      <c r="H851" s="17" t="str">
        <f t="shared" si="14"/>
        <v/>
      </c>
    </row>
    <row r="852" spans="1:8" x14ac:dyDescent="0.3">
      <c r="A852" s="48"/>
      <c r="B852" s="7"/>
      <c r="C852" s="6"/>
      <c r="D852" s="7"/>
      <c r="E852" s="7"/>
      <c r="F852" s="7"/>
      <c r="G852" s="7"/>
      <c r="H852" s="17" t="str">
        <f t="shared" si="14"/>
        <v/>
      </c>
    </row>
    <row r="853" spans="1:8" x14ac:dyDescent="0.3">
      <c r="A853" s="48"/>
      <c r="B853" s="7"/>
      <c r="C853" s="6"/>
      <c r="D853" s="7"/>
      <c r="E853" s="7"/>
      <c r="F853" s="7"/>
      <c r="G853" s="7"/>
      <c r="H853" s="17" t="str">
        <f t="shared" si="14"/>
        <v/>
      </c>
    </row>
    <row r="854" spans="1:8" x14ac:dyDescent="0.3">
      <c r="A854" s="48"/>
      <c r="B854" s="7"/>
      <c r="C854" s="6"/>
      <c r="D854" s="7"/>
      <c r="E854" s="7"/>
      <c r="F854" s="7"/>
      <c r="G854" s="7"/>
      <c r="H854" s="17" t="str">
        <f t="shared" si="14"/>
        <v/>
      </c>
    </row>
    <row r="855" spans="1:8" x14ac:dyDescent="0.3">
      <c r="A855" s="48"/>
      <c r="B855" s="7"/>
      <c r="C855" s="6"/>
      <c r="D855" s="7"/>
      <c r="E855" s="7"/>
      <c r="F855" s="7"/>
      <c r="G855" s="7"/>
      <c r="H855" s="17" t="str">
        <f t="shared" si="14"/>
        <v/>
      </c>
    </row>
    <row r="856" spans="1:8" x14ac:dyDescent="0.3">
      <c r="A856" s="48"/>
      <c r="B856" s="7"/>
      <c r="C856" s="6"/>
      <c r="D856" s="7"/>
      <c r="E856" s="7"/>
      <c r="F856" s="7"/>
      <c r="G856" s="7"/>
      <c r="H856" s="17" t="str">
        <f t="shared" si="14"/>
        <v/>
      </c>
    </row>
    <row r="857" spans="1:8" x14ac:dyDescent="0.3">
      <c r="A857" s="48"/>
      <c r="B857" s="7"/>
      <c r="C857" s="6"/>
      <c r="D857" s="7"/>
      <c r="E857" s="7"/>
      <c r="F857" s="7"/>
      <c r="G857" s="7"/>
      <c r="H857" s="17" t="str">
        <f t="shared" si="14"/>
        <v/>
      </c>
    </row>
    <row r="858" spans="1:8" x14ac:dyDescent="0.3">
      <c r="A858" s="48"/>
      <c r="B858" s="7"/>
      <c r="C858" s="6"/>
      <c r="D858" s="7"/>
      <c r="E858" s="7"/>
      <c r="F858" s="7"/>
      <c r="G858" s="7"/>
      <c r="H858" s="17" t="str">
        <f t="shared" si="14"/>
        <v/>
      </c>
    </row>
    <row r="859" spans="1:8" x14ac:dyDescent="0.3">
      <c r="A859" s="48"/>
      <c r="B859" s="7"/>
      <c r="C859" s="6"/>
      <c r="D859" s="7"/>
      <c r="E859" s="7"/>
      <c r="F859" s="7"/>
      <c r="G859" s="7"/>
      <c r="H859" s="17" t="str">
        <f t="shared" si="14"/>
        <v/>
      </c>
    </row>
    <row r="860" spans="1:8" x14ac:dyDescent="0.3">
      <c r="A860" s="48"/>
      <c r="B860" s="7"/>
      <c r="C860" s="6"/>
      <c r="D860" s="7"/>
      <c r="E860" s="7"/>
      <c r="F860" s="7"/>
      <c r="G860" s="7"/>
      <c r="H860" s="17" t="str">
        <f t="shared" si="14"/>
        <v/>
      </c>
    </row>
    <row r="861" spans="1:8" x14ac:dyDescent="0.3">
      <c r="A861" s="48"/>
      <c r="B861" s="7"/>
      <c r="C861" s="6"/>
      <c r="D861" s="7"/>
      <c r="E861" s="7"/>
      <c r="F861" s="7"/>
      <c r="G861" s="7"/>
      <c r="H861" s="17" t="str">
        <f t="shared" si="14"/>
        <v/>
      </c>
    </row>
  </sheetData>
  <autoFilter ref="A1:I861" xr:uid="{00000000-0001-0000-0B00-000000000000}"/>
  <phoneticPr fontId="4" type="noConversion"/>
  <dataValidations count="4">
    <dataValidation type="list" sqref="G2:G861" xr:uid="{00000000-0002-0000-0B00-000001000000}">
      <formula1>"Yes,No"</formula1>
    </dataValidation>
    <dataValidation type="list" allowBlank="1" showInputMessage="1" showErrorMessage="1" promptTitle="Select Category" prompt="Choose a budget category from the list" sqref="D2:D861" xr:uid="{93640F34-E9AC-404B-9F98-03A2E7DB3915}">
      <formula1>CategoryList</formula1>
    </dataValidation>
    <dataValidation type="list" allowBlank="1" showInputMessage="1" showErrorMessage="1" promptTitle="Select Account" prompt="Choose Checking or Savings" sqref="F2:F861" xr:uid="{B23298C6-B99C-4AA9-B1FF-33FC2150A513}">
      <formula1>AccountList</formula1>
    </dataValidation>
    <dataValidation type="list" errorStyle="warning" allowBlank="1" showInputMessage="1" showErrorMessage="1" errorTitle="Invalid Subcategory" error="Please select a subcategory that matches the chosen category, or select a category first." promptTitle="Select Subcategory" prompt="Choose a subcategory based on the selected category" sqref="E2:E861" xr:uid="{F061910E-C561-4FC1-92D9-D1550F8C80E1}">
      <formula1>INDIRECT(SUBSTITUTE(D2," ","_"))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0"/>
  <sheetViews>
    <sheetView workbookViewId="0">
      <selection sqref="A1:H1"/>
    </sheetView>
  </sheetViews>
  <sheetFormatPr defaultRowHeight="14.4" x14ac:dyDescent="0.3"/>
  <cols>
    <col min="1" max="1" width="20" customWidth="1"/>
    <col min="2" max="4" width="16" customWidth="1"/>
    <col min="5" max="6" width="14" customWidth="1"/>
    <col min="7" max="7" width="15" customWidth="1"/>
    <col min="8" max="8" width="30" customWidth="1"/>
  </cols>
  <sheetData>
    <row r="1" spans="1:8" ht="21" x14ac:dyDescent="0.4">
      <c r="A1" s="63" t="s">
        <v>324</v>
      </c>
      <c r="B1" s="63"/>
      <c r="C1" s="63"/>
      <c r="D1" s="63"/>
      <c r="E1" s="63"/>
      <c r="F1" s="63"/>
      <c r="G1" s="63"/>
      <c r="H1" s="63"/>
    </row>
    <row r="3" spans="1:8" x14ac:dyDescent="0.3">
      <c r="A3" s="53" t="s">
        <v>82</v>
      </c>
      <c r="B3" s="53" t="s">
        <v>280</v>
      </c>
      <c r="C3" s="53" t="s">
        <v>325</v>
      </c>
      <c r="D3" s="53" t="s">
        <v>282</v>
      </c>
      <c r="E3" s="53" t="s">
        <v>283</v>
      </c>
      <c r="F3" s="53" t="s">
        <v>326</v>
      </c>
      <c r="G3" s="53" t="s">
        <v>91</v>
      </c>
      <c r="H3" s="53" t="s">
        <v>327</v>
      </c>
    </row>
    <row r="4" spans="1:8" x14ac:dyDescent="0.3">
      <c r="A4" t="s">
        <v>92</v>
      </c>
      <c r="B4" s="5">
        <f>SUMIF('Budget Plan'!$A$4:$A$55,A4,'Budget Plan'!$C$4:$C$55)</f>
        <v>2669.7799999999997</v>
      </c>
      <c r="C4" s="5">
        <f>SUMIF('Budget Plan'!$A$4:$A$55,A4,'Budget Plan'!$D$4:$D$55)</f>
        <v>545.90000000000009</v>
      </c>
      <c r="D4" s="5">
        <f t="shared" ref="D4:D20" si="0">B4-C4</f>
        <v>2123.8799999999997</v>
      </c>
      <c r="E4" s="25">
        <f t="shared" ref="E4:E20" si="1">IF(B4=0,IF(C4=0,0,-1),D4/B4)</f>
        <v>0.7955262231344904</v>
      </c>
      <c r="F4" s="25">
        <f t="shared" ref="F4:F12" si="2">IF(SUM($C$4:$C$20)=0,0,C4/SUM($C$4:$C$20))</f>
        <v>0.14496063305760989</v>
      </c>
      <c r="G4" t="str">
        <f t="shared" ref="G4:G20" si="3">IF(C4=0,"No Activity",IF(D4&lt;0,"Over Budget",IF(C4&gt;B4*0.9,"Watch","On Track")))</f>
        <v>On Track</v>
      </c>
      <c r="H4" t="str">
        <f t="shared" ref="H4:H20" si="4">IF(C4=0,"No bank expenses imported",IF(D4&lt;0,"Reduce or reallocate "&amp;TEXT(-D4,"$#,##0"),"Available "&amp;TEXT(D4,"$#,##0")))</f>
        <v>Available $2,124</v>
      </c>
    </row>
    <row r="5" spans="1:8" x14ac:dyDescent="0.3">
      <c r="A5" t="s">
        <v>96</v>
      </c>
      <c r="B5" s="5">
        <f>SUMIF('Budget Plan'!$A$4:$A$55,A5,'Budget Plan'!$C$4:$C$55)</f>
        <v>2149.88</v>
      </c>
      <c r="C5" s="5">
        <f>SUMIF('Budget Plan'!$A$4:$A$55,A5,'Budget Plan'!$D$4:$D$55)</f>
        <v>121</v>
      </c>
      <c r="D5" s="5">
        <f t="shared" si="0"/>
        <v>2028.88</v>
      </c>
      <c r="E5" s="25">
        <f t="shared" si="1"/>
        <v>0.94371778889984559</v>
      </c>
      <c r="F5" s="25">
        <f t="shared" si="2"/>
        <v>3.2130860230758E-2</v>
      </c>
      <c r="G5" t="str">
        <f t="shared" si="3"/>
        <v>On Track</v>
      </c>
      <c r="H5" t="str">
        <f t="shared" si="4"/>
        <v>Available $2,029</v>
      </c>
    </row>
    <row r="6" spans="1:8" x14ac:dyDescent="0.3">
      <c r="A6" t="s">
        <v>100</v>
      </c>
      <c r="B6" s="5">
        <f>SUMIF('Budget Plan'!$A$4:$A$55,A6,'Budget Plan'!$C$4:$C$55)</f>
        <v>2962.51</v>
      </c>
      <c r="C6" s="5">
        <f>SUMIF('Budget Plan'!$A$4:$A$55,A6,'Budget Plan'!$D$4:$D$55)</f>
        <v>1489.84</v>
      </c>
      <c r="D6" s="5">
        <f t="shared" si="0"/>
        <v>1472.6700000000003</v>
      </c>
      <c r="E6" s="25">
        <f t="shared" si="1"/>
        <v>0.49710211948651656</v>
      </c>
      <c r="F6" s="25">
        <f t="shared" si="2"/>
        <v>0.39561851905944212</v>
      </c>
      <c r="G6" t="str">
        <f t="shared" si="3"/>
        <v>On Track</v>
      </c>
      <c r="H6" t="str">
        <f t="shared" si="4"/>
        <v>Available $1,473</v>
      </c>
    </row>
    <row r="7" spans="1:8" x14ac:dyDescent="0.3">
      <c r="A7" t="s">
        <v>104</v>
      </c>
      <c r="B7" s="5">
        <f>SUMIF('Budget Plan'!$A$4:$A$55,A7,'Budget Plan'!$C$4:$C$55)</f>
        <v>1300</v>
      </c>
      <c r="C7" s="5">
        <f>SUMIF('Budget Plan'!$A$4:$A$55,A7,'Budget Plan'!$D$4:$D$55)</f>
        <v>20.47</v>
      </c>
      <c r="D7" s="5">
        <f t="shared" si="0"/>
        <v>1279.53</v>
      </c>
      <c r="E7" s="25">
        <f t="shared" si="1"/>
        <v>0.98425384615384615</v>
      </c>
      <c r="F7" s="25">
        <f t="shared" si="2"/>
        <v>5.4356918092860846E-3</v>
      </c>
      <c r="G7" t="str">
        <f t="shared" si="3"/>
        <v>On Track</v>
      </c>
      <c r="H7" t="str">
        <f t="shared" si="4"/>
        <v>Available $1,280</v>
      </c>
    </row>
    <row r="8" spans="1:8" x14ac:dyDescent="0.3">
      <c r="A8" t="s">
        <v>134</v>
      </c>
      <c r="B8" s="5">
        <f>SUMIF('Budget Plan'!$A$4:$A$55,A8,'Budget Plan'!$C$4:$C$55)</f>
        <v>0</v>
      </c>
      <c r="C8" s="5">
        <f>SUMIF('Budget Plan'!$A$4:$A$55,A8,'Budget Plan'!$D$4:$D$55)</f>
        <v>0</v>
      </c>
      <c r="D8" s="5">
        <f t="shared" si="0"/>
        <v>0</v>
      </c>
      <c r="E8" s="25">
        <f t="shared" si="1"/>
        <v>0</v>
      </c>
      <c r="F8" s="25">
        <f t="shared" si="2"/>
        <v>0</v>
      </c>
      <c r="G8" t="str">
        <f t="shared" si="3"/>
        <v>No Activity</v>
      </c>
      <c r="H8" t="str">
        <f t="shared" si="4"/>
        <v>No bank expenses imported</v>
      </c>
    </row>
    <row r="9" spans="1:8" x14ac:dyDescent="0.3">
      <c r="A9" t="s">
        <v>135</v>
      </c>
      <c r="B9" s="5">
        <f>SUMIF('Budget Plan'!$A$4:$A$55,A9,'Budget Plan'!$C$4:$C$55)</f>
        <v>53.07</v>
      </c>
      <c r="C9" s="5">
        <f>SUMIF('Budget Plan'!$A$4:$A$55,A9,'Budget Plan'!$D$4:$D$55)</f>
        <v>0</v>
      </c>
      <c r="D9" s="5">
        <f t="shared" si="0"/>
        <v>53.07</v>
      </c>
      <c r="E9" s="25">
        <f t="shared" si="1"/>
        <v>1</v>
      </c>
      <c r="F9" s="25">
        <f t="shared" si="2"/>
        <v>0</v>
      </c>
      <c r="G9" t="str">
        <f t="shared" si="3"/>
        <v>No Activity</v>
      </c>
      <c r="H9" t="str">
        <f t="shared" si="4"/>
        <v>No bank expenses imported</v>
      </c>
    </row>
    <row r="10" spans="1:8" x14ac:dyDescent="0.3">
      <c r="A10" t="s">
        <v>136</v>
      </c>
      <c r="B10" s="5">
        <f>SUMIF('Budget Plan'!$A$4:$A$55,A10,'Budget Plan'!$C$4:$C$55)</f>
        <v>0</v>
      </c>
      <c r="C10" s="5">
        <f>SUMIF('Budget Plan'!$A$4:$A$55,A10,'Budget Plan'!$D$4:$D$55)</f>
        <v>0</v>
      </c>
      <c r="D10" s="5">
        <f t="shared" si="0"/>
        <v>0</v>
      </c>
      <c r="E10" s="25">
        <f t="shared" si="1"/>
        <v>0</v>
      </c>
      <c r="F10" s="25">
        <f t="shared" si="2"/>
        <v>0</v>
      </c>
      <c r="G10" t="str">
        <f t="shared" si="3"/>
        <v>No Activity</v>
      </c>
      <c r="H10" t="str">
        <f t="shared" si="4"/>
        <v>No bank expenses imported</v>
      </c>
    </row>
    <row r="11" spans="1:8" x14ac:dyDescent="0.3">
      <c r="A11" t="s">
        <v>137</v>
      </c>
      <c r="B11" s="5">
        <f>SUMIF('Budget Plan'!$A$4:$A$55,A11,'Budget Plan'!$C$4:$C$55)</f>
        <v>470</v>
      </c>
      <c r="C11" s="5">
        <f>SUMIF('Budget Plan'!$A$4:$A$55,A11,'Budget Plan'!$D$4:$D$55)</f>
        <v>0</v>
      </c>
      <c r="D11" s="5">
        <f t="shared" si="0"/>
        <v>470</v>
      </c>
      <c r="E11" s="25">
        <f t="shared" si="1"/>
        <v>1</v>
      </c>
      <c r="F11" s="25">
        <f t="shared" si="2"/>
        <v>0</v>
      </c>
      <c r="G11" t="str">
        <f t="shared" si="3"/>
        <v>No Activity</v>
      </c>
      <c r="H11" t="str">
        <f t="shared" si="4"/>
        <v>No bank expenses imported</v>
      </c>
    </row>
    <row r="12" spans="1:8" x14ac:dyDescent="0.3">
      <c r="A12" t="s">
        <v>113</v>
      </c>
      <c r="B12" s="5">
        <f>SUMIF('Budget Plan'!$A$4:$A$55,A12,'Budget Plan'!$C$4:$C$55)</f>
        <v>1000</v>
      </c>
      <c r="C12" s="5">
        <f>SUMIF('Budget Plan'!$A$4:$A$55,A12,'Budget Plan'!$D$4:$D$55)</f>
        <v>0</v>
      </c>
      <c r="D12" s="5">
        <f t="shared" si="0"/>
        <v>1000</v>
      </c>
      <c r="E12" s="25">
        <f t="shared" si="1"/>
        <v>1</v>
      </c>
      <c r="F12" s="25">
        <f t="shared" si="2"/>
        <v>0</v>
      </c>
      <c r="G12" t="str">
        <f t="shared" si="3"/>
        <v>No Activity</v>
      </c>
      <c r="H12" t="str">
        <f t="shared" si="4"/>
        <v>No bank expenses imported</v>
      </c>
    </row>
    <row r="13" spans="1:8" x14ac:dyDescent="0.3">
      <c r="A13" t="s">
        <v>114</v>
      </c>
      <c r="B13" s="5">
        <f>SUMIF('Budget Plan'!$A$4:$A$60,"Subscriptions",'Budget Plan'!$C$4:$C$60)</f>
        <v>1600</v>
      </c>
      <c r="C13" s="5">
        <f>SUMIF('Budget Plan'!$A$4:$A$60,"Subscriptions",'Budget Plan'!$D$4:$D$60)</f>
        <v>377.77</v>
      </c>
      <c r="D13" s="5">
        <f>B13-C13</f>
        <v>1222.23</v>
      </c>
      <c r="E13" s="25">
        <f>IF(B13=0,IF(C13=0,0,-1),(B13-C13)/B13)</f>
        <v>0.76389375000000004</v>
      </c>
      <c r="F13" s="25">
        <f>IF($C$20=0,0,C13/$C$20)</f>
        <v>0.40983997830214264</v>
      </c>
      <c r="G13" t="str">
        <f>IF(C13=0,"No Activity",IF(E13&gt;=0.1,"On Track",IF(E13&gt;=0,"Close","Over Budget")))</f>
        <v>On Track</v>
      </c>
      <c r="H13" t="str">
        <f>IF(C13=0,"No bank expenses imported","Available "&amp;TEXT(D13,"$#,##0"))</f>
        <v>Available $1,222</v>
      </c>
    </row>
    <row r="14" spans="1:8" x14ac:dyDescent="0.3">
      <c r="A14" t="s">
        <v>138</v>
      </c>
      <c r="B14" s="5">
        <f>SUMIF('Budget Plan'!$A$4:$A$55,A14,'Budget Plan'!$C$4:$C$55)</f>
        <v>0</v>
      </c>
      <c r="C14" s="5">
        <f>SUMIF('Budget Plan'!$A$4:$A$55,A14,'Budget Plan'!$D$4:$D$55)</f>
        <v>0</v>
      </c>
      <c r="D14" s="5">
        <f t="shared" si="0"/>
        <v>0</v>
      </c>
      <c r="E14" s="25">
        <f t="shared" si="1"/>
        <v>0</v>
      </c>
      <c r="F14" s="25">
        <f t="shared" ref="F14:F20" si="5">IF(SUM($C$4:$C$20)=0,0,C14/SUM($C$4:$C$20))</f>
        <v>0</v>
      </c>
      <c r="G14" t="str">
        <f t="shared" si="3"/>
        <v>No Activity</v>
      </c>
      <c r="H14" t="str">
        <f t="shared" si="4"/>
        <v>No bank expenses imported</v>
      </c>
    </row>
    <row r="15" spans="1:8" x14ac:dyDescent="0.3">
      <c r="A15" t="s">
        <v>139</v>
      </c>
      <c r="B15" s="5">
        <f>SUMIF('Budget Plan'!$A$4:$A$55,A15,'Budget Plan'!$C$4:$C$55)</f>
        <v>200</v>
      </c>
      <c r="C15" s="5">
        <f>SUMIF('Budget Plan'!$A$4:$A$55,A15,'Budget Plan'!$D$4:$D$55)</f>
        <v>0</v>
      </c>
      <c r="D15" s="5">
        <f t="shared" si="0"/>
        <v>200</v>
      </c>
      <c r="E15" s="25">
        <f t="shared" si="1"/>
        <v>1</v>
      </c>
      <c r="F15" s="25">
        <f t="shared" si="5"/>
        <v>0</v>
      </c>
      <c r="G15" t="str">
        <f t="shared" si="3"/>
        <v>No Activity</v>
      </c>
      <c r="H15" t="str">
        <f t="shared" si="4"/>
        <v>No bank expenses imported</v>
      </c>
    </row>
    <row r="16" spans="1:8" x14ac:dyDescent="0.3">
      <c r="A16" t="s">
        <v>108</v>
      </c>
      <c r="B16" s="5">
        <f>SUMIF('Budget Plan'!$A$4:$A$55,A16,'Budget Plan'!$C$4:$C$55)</f>
        <v>619.89</v>
      </c>
      <c r="C16" s="5">
        <f>SUMIF('Budget Plan'!$A$4:$A$55,A16,'Budget Plan'!$D$4:$D$55)</f>
        <v>289.12</v>
      </c>
      <c r="D16" s="5">
        <f t="shared" si="0"/>
        <v>330.77</v>
      </c>
      <c r="E16" s="25">
        <f t="shared" si="1"/>
        <v>0.5335946700221007</v>
      </c>
      <c r="F16" s="25">
        <f t="shared" si="5"/>
        <v>7.6774167850551675E-2</v>
      </c>
      <c r="G16" t="str">
        <f t="shared" si="3"/>
        <v>On Track</v>
      </c>
      <c r="H16" t="str">
        <f t="shared" si="4"/>
        <v>Available $331</v>
      </c>
    </row>
    <row r="17" spans="1:8" x14ac:dyDescent="0.3">
      <c r="A17" t="s">
        <v>112</v>
      </c>
      <c r="B17" s="5">
        <f>SUMIF('Budget Plan'!$A$4:$A$55,A17,'Budget Plan'!$C$4:$C$55)</f>
        <v>90</v>
      </c>
      <c r="C17" s="5">
        <f>SUMIF('Budget Plan'!$A$4:$A$55,A17,'Budget Plan'!$D$4:$D$55)</f>
        <v>0</v>
      </c>
      <c r="D17" s="5">
        <f t="shared" si="0"/>
        <v>90</v>
      </c>
      <c r="E17" s="25">
        <f t="shared" si="1"/>
        <v>1</v>
      </c>
      <c r="F17" s="25">
        <f t="shared" si="5"/>
        <v>0</v>
      </c>
      <c r="G17" t="str">
        <f t="shared" si="3"/>
        <v>No Activity</v>
      </c>
      <c r="H17" t="str">
        <f t="shared" si="4"/>
        <v>No bank expenses imported</v>
      </c>
    </row>
    <row r="18" spans="1:8" x14ac:dyDescent="0.3">
      <c r="A18" t="s">
        <v>140</v>
      </c>
      <c r="B18" s="5">
        <f>SUMIF('Budget Plan'!$A$4:$A$55,A18,'Budget Plan'!$C$4:$C$55)</f>
        <v>0</v>
      </c>
      <c r="C18" s="5">
        <f>SUMIF('Budget Plan'!$A$4:$A$55,A18,'Budget Plan'!$D$4:$D$55)</f>
        <v>0</v>
      </c>
      <c r="D18" s="5">
        <f t="shared" si="0"/>
        <v>0</v>
      </c>
      <c r="E18" s="25">
        <f t="shared" si="1"/>
        <v>0</v>
      </c>
      <c r="F18" s="25">
        <f t="shared" si="5"/>
        <v>0</v>
      </c>
      <c r="G18" t="str">
        <f t="shared" si="3"/>
        <v>No Activity</v>
      </c>
      <c r="H18" t="str">
        <f t="shared" si="4"/>
        <v>No bank expenses imported</v>
      </c>
    </row>
    <row r="19" spans="1:8" x14ac:dyDescent="0.3">
      <c r="A19" t="s">
        <v>141</v>
      </c>
      <c r="B19" s="5">
        <f>SUMIF('Budget Plan'!$A$4:$A$55,A19,'Budget Plan'!$C$4:$C$55)</f>
        <v>0</v>
      </c>
      <c r="C19" s="5">
        <f>SUMIF('Budget Plan'!$A$4:$A$55,A19,'Budget Plan'!$D$4:$D$55)</f>
        <v>0</v>
      </c>
      <c r="D19" s="5">
        <f t="shared" si="0"/>
        <v>0</v>
      </c>
      <c r="E19" s="25">
        <f t="shared" si="1"/>
        <v>0</v>
      </c>
      <c r="F19" s="25">
        <f t="shared" si="5"/>
        <v>0</v>
      </c>
      <c r="G19" t="str">
        <f t="shared" si="3"/>
        <v>No Activity</v>
      </c>
      <c r="H19" t="str">
        <f t="shared" si="4"/>
        <v>No bank expenses imported</v>
      </c>
    </row>
    <row r="20" spans="1:8" x14ac:dyDescent="0.3">
      <c r="A20" t="s">
        <v>116</v>
      </c>
      <c r="B20" s="5">
        <f>SUMIF('Budget Plan'!$A$4:$A$55,A20,'Budget Plan'!$C$4:$C$55)</f>
        <v>2800</v>
      </c>
      <c r="C20" s="5">
        <f>SUMIF('Budget Plan'!$A$4:$A$55,A20,'Budget Plan'!$D$4:$D$55)</f>
        <v>921.75</v>
      </c>
      <c r="D20" s="5">
        <f t="shared" si="0"/>
        <v>1878.25</v>
      </c>
      <c r="E20" s="25">
        <f t="shared" si="1"/>
        <v>0.67080357142857139</v>
      </c>
      <c r="F20" s="25">
        <f t="shared" si="5"/>
        <v>0.24476545799753047</v>
      </c>
      <c r="G20" t="str">
        <f t="shared" si="3"/>
        <v>On Track</v>
      </c>
      <c r="H20" t="str">
        <f t="shared" si="4"/>
        <v>Available $1,878</v>
      </c>
    </row>
  </sheetData>
  <mergeCells count="1">
    <mergeCell ref="A1:H1"/>
  </mergeCells>
  <conditionalFormatting sqref="G4:G20">
    <cfRule type="expression" dxfId="6" priority="1">
      <formula>$G4="Over Budget"</formula>
    </cfRule>
    <cfRule type="expression" dxfId="5" priority="2">
      <formula>$G4="On Track"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workbookViewId="0">
      <selection sqref="A1:L1"/>
    </sheetView>
  </sheetViews>
  <sheetFormatPr defaultRowHeight="14.4" x14ac:dyDescent="0.3"/>
  <cols>
    <col min="1" max="1" width="22" customWidth="1"/>
    <col min="2" max="2" width="12" customWidth="1"/>
    <col min="3" max="4" width="18" customWidth="1"/>
    <col min="5" max="5" width="14" customWidth="1"/>
    <col min="6" max="6" width="15" customWidth="1"/>
    <col min="7" max="9" width="18" customWidth="1"/>
    <col min="10" max="10" width="14" customWidth="1"/>
    <col min="11" max="11" width="16" customWidth="1"/>
    <col min="12" max="12" width="26" customWidth="1"/>
  </cols>
  <sheetData>
    <row r="1" spans="1:12" ht="21" x14ac:dyDescent="0.4">
      <c r="A1" s="63" t="s">
        <v>328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3" spans="1:12" ht="28.8" x14ac:dyDescent="0.3">
      <c r="A3" s="20" t="s">
        <v>329</v>
      </c>
      <c r="B3" s="20" t="s">
        <v>86</v>
      </c>
      <c r="C3" s="20" t="s">
        <v>330</v>
      </c>
      <c r="D3" s="20" t="s">
        <v>331</v>
      </c>
      <c r="E3" s="20" t="s">
        <v>332</v>
      </c>
      <c r="F3" s="20" t="s">
        <v>333</v>
      </c>
      <c r="G3" s="20" t="s">
        <v>334</v>
      </c>
      <c r="H3" s="20" t="s">
        <v>335</v>
      </c>
      <c r="I3" s="20" t="s">
        <v>336</v>
      </c>
      <c r="J3" s="20" t="s">
        <v>91</v>
      </c>
      <c r="K3" s="20" t="s">
        <v>337</v>
      </c>
      <c r="L3" s="20" t="s">
        <v>121</v>
      </c>
    </row>
    <row r="4" spans="1:12" x14ac:dyDescent="0.3">
      <c r="A4" t="s">
        <v>155</v>
      </c>
      <c r="B4" t="s">
        <v>338</v>
      </c>
      <c r="C4" s="6"/>
      <c r="D4" s="6"/>
      <c r="E4" s="23"/>
      <c r="F4" s="19" t="str">
        <f>IF(E4="","",MAX(0,DATEDIF(Setup!$B$4,E4,"m")))</f>
        <v/>
      </c>
      <c r="G4" s="18">
        <f>IF(OR(C4="",F4=""),0,MAX(0,(C4-D4)/MAX(1,F4)))</f>
        <v>0</v>
      </c>
      <c r="H4" s="18"/>
      <c r="I4" s="24" t="str">
        <f>IF(H4&lt;=0,"",EDATE(Setup!$B$4,ROUNDUP(MAX(0,C4-D4)/H4,0)))</f>
        <v/>
      </c>
      <c r="J4" s="19" t="str">
        <f>IF(C4="","",IF(D4&gt;=C4,"Complete",IF(H4&gt;=G4,"On Track",IF(H4&gt;0,"Behind","Not Funded"))))</f>
        <v/>
      </c>
      <c r="K4" s="18">
        <f>MAX(0,G4-H4)</f>
        <v>0</v>
      </c>
    </row>
    <row r="5" spans="1:12" x14ac:dyDescent="0.3">
      <c r="A5" t="s">
        <v>112</v>
      </c>
      <c r="B5" t="s">
        <v>339</v>
      </c>
      <c r="C5" s="6">
        <v>10000</v>
      </c>
      <c r="D5" s="6">
        <v>76.16</v>
      </c>
      <c r="E5" s="23">
        <v>46600</v>
      </c>
      <c r="F5" s="19">
        <f>IF(E5="","",MAX(0,DATEDIF(Setup!$B$4,E5,"m")))</f>
        <v>12</v>
      </c>
      <c r="G5" s="18">
        <v>826.98666666666668</v>
      </c>
      <c r="H5" s="18">
        <v>375</v>
      </c>
      <c r="I5" s="24">
        <f>IF(H5&lt;=0,"",EDATE(Setup!$B$4,ROUNDUP(MAX(0,C5-D5)/H5,0)))</f>
        <v>47058</v>
      </c>
      <c r="J5" s="19" t="s">
        <v>340</v>
      </c>
      <c r="K5" s="18">
        <v>451.98666666666668</v>
      </c>
    </row>
    <row r="6" spans="1:12" x14ac:dyDescent="0.3">
      <c r="A6" t="s">
        <v>341</v>
      </c>
      <c r="B6" t="s">
        <v>289</v>
      </c>
      <c r="C6" s="6"/>
      <c r="D6" s="6"/>
      <c r="E6" s="23"/>
      <c r="F6" s="19" t="str">
        <f>IF(E6="","",MAX(0,DATEDIF(Setup!$B$4,E6,"m")))</f>
        <v/>
      </c>
      <c r="G6" s="18">
        <v>0</v>
      </c>
      <c r="H6" s="18"/>
      <c r="I6" s="24" t="str">
        <f>IF(H6&lt;=0,"",EDATE(Setup!$B$4,ROUNDUP(MAX(0,C6-D6)/H6,0)))</f>
        <v/>
      </c>
      <c r="J6" s="19"/>
      <c r="K6" s="18">
        <v>0</v>
      </c>
    </row>
    <row r="7" spans="1:12" x14ac:dyDescent="0.3">
      <c r="A7" t="s">
        <v>342</v>
      </c>
      <c r="B7" t="s">
        <v>289</v>
      </c>
      <c r="C7" s="6"/>
      <c r="D7" s="6"/>
      <c r="E7" s="23"/>
      <c r="F7" s="19" t="str">
        <f>IF(E7="","",MAX(0,DATEDIF(Setup!$B$4,E7,"m")))</f>
        <v/>
      </c>
      <c r="G7" s="18">
        <v>0</v>
      </c>
      <c r="H7" s="18"/>
      <c r="I7" s="24" t="str">
        <f>IF(H7&lt;=0,"",EDATE(Setup!$B$4,ROUNDUP(MAX(0,C7-D7)/H7,0)))</f>
        <v/>
      </c>
      <c r="J7" s="19"/>
      <c r="K7" s="18">
        <v>0</v>
      </c>
    </row>
    <row r="8" spans="1:12" x14ac:dyDescent="0.3">
      <c r="A8" t="s">
        <v>343</v>
      </c>
      <c r="B8" t="s">
        <v>344</v>
      </c>
      <c r="C8" s="6"/>
      <c r="D8" s="6"/>
      <c r="E8" s="23"/>
      <c r="F8" s="19" t="str">
        <f>IF(E8="","",MAX(0,DATEDIF(Setup!$B$4,E8,"m")))</f>
        <v/>
      </c>
      <c r="G8" s="18">
        <v>0</v>
      </c>
      <c r="H8" s="18"/>
      <c r="I8" s="24" t="str">
        <f>IF(H8&lt;=0,"",EDATE(Setup!$B$4,ROUNDUP(MAX(0,C8-D8)/H8,0)))</f>
        <v/>
      </c>
      <c r="J8" s="19"/>
      <c r="K8" s="18">
        <v>0</v>
      </c>
    </row>
    <row r="9" spans="1:12" x14ac:dyDescent="0.3">
      <c r="A9" t="s">
        <v>345</v>
      </c>
      <c r="B9" t="s">
        <v>344</v>
      </c>
      <c r="C9" s="6"/>
      <c r="D9" s="6"/>
      <c r="E9" s="23"/>
      <c r="F9" s="19" t="str">
        <f>IF(E9="","",MAX(0,DATEDIF(Setup!$B$4,E9,"m")))</f>
        <v/>
      </c>
      <c r="G9" s="18">
        <v>0</v>
      </c>
      <c r="H9" s="18"/>
      <c r="I9" s="24" t="str">
        <f>IF(H9&lt;=0,"",EDATE(Setup!$B$4,ROUNDUP(MAX(0,C9-D9)/H9,0)))</f>
        <v/>
      </c>
      <c r="J9" s="19"/>
      <c r="K9" s="18">
        <v>0</v>
      </c>
    </row>
  </sheetData>
  <mergeCells count="1">
    <mergeCell ref="A1:L1"/>
  </mergeCells>
  <conditionalFormatting sqref="J4:J9">
    <cfRule type="expression" dxfId="4" priority="1">
      <formula>$J4="On Track"</formula>
    </cfRule>
    <cfRule type="expression" dxfId="3" priority="2">
      <formula>OR($J4="Behind",$J4="Not Funded")</formula>
    </cfRule>
  </conditionalFormatting>
  <dataValidations count="1">
    <dataValidation type="list" sqref="B4:B9" xr:uid="{00000000-0002-0000-0800-000000000000}">
      <formula1>"Critical,High,Medium,Low"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5"/>
  <sheetViews>
    <sheetView workbookViewId="0">
      <selection sqref="A1:N1"/>
    </sheetView>
  </sheetViews>
  <sheetFormatPr defaultRowHeight="14.4" x14ac:dyDescent="0.3"/>
  <cols>
    <col min="1" max="1" width="18" customWidth="1"/>
    <col min="2" max="2" width="14" customWidth="1"/>
    <col min="3" max="3" width="17" customWidth="1"/>
    <col min="4" max="4" width="10" customWidth="1"/>
    <col min="5" max="5" width="18" customWidth="1"/>
    <col min="6" max="6" width="9" customWidth="1"/>
    <col min="7" max="8" width="13" customWidth="1"/>
    <col min="9" max="10" width="18" customWidth="1"/>
    <col min="11" max="11" width="15" customWidth="1"/>
    <col min="12" max="13" width="16" customWidth="1"/>
    <col min="14" max="14" width="24" customWidth="1"/>
  </cols>
  <sheetData>
    <row r="1" spans="1:14" ht="21" x14ac:dyDescent="0.4">
      <c r="A1" s="63" t="s">
        <v>346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3" spans="1:14" ht="28.8" x14ac:dyDescent="0.3">
      <c r="A3" s="20" t="s">
        <v>347</v>
      </c>
      <c r="B3" s="20" t="s">
        <v>348</v>
      </c>
      <c r="C3" s="20" t="s">
        <v>349</v>
      </c>
      <c r="D3" s="20" t="s">
        <v>350</v>
      </c>
      <c r="E3" s="20" t="s">
        <v>351</v>
      </c>
      <c r="F3" s="20" t="s">
        <v>285</v>
      </c>
      <c r="G3" s="20" t="s">
        <v>352</v>
      </c>
      <c r="H3" s="20" t="s">
        <v>353</v>
      </c>
      <c r="I3" s="20" t="s">
        <v>354</v>
      </c>
      <c r="J3" s="20" t="s">
        <v>355</v>
      </c>
      <c r="K3" s="20" t="s">
        <v>356</v>
      </c>
      <c r="L3" s="20" t="s">
        <v>357</v>
      </c>
      <c r="M3" s="20" t="s">
        <v>358</v>
      </c>
      <c r="N3" s="20" t="s">
        <v>121</v>
      </c>
    </row>
    <row r="4" spans="1:14" x14ac:dyDescent="0.3">
      <c r="A4" t="s">
        <v>359</v>
      </c>
      <c r="B4" t="s">
        <v>360</v>
      </c>
      <c r="C4" s="6"/>
      <c r="D4" s="22"/>
      <c r="E4" s="6"/>
      <c r="F4" s="7"/>
      <c r="G4" s="23"/>
      <c r="H4" s="19" t="str">
        <f>IF(C4&lt;=0,"",IF(Setup!$B$6="Avalanche",_xludf.RANK.EQ(D4,$D$4:$D$11,0),IF(Setup!$B$6="Snowball",_xludf.RANK.EQ(C4,$C$4:$C$11,1),_xludf.RANK.EQ(E4,$E$4:$E$11,0))))</f>
        <v/>
      </c>
      <c r="I4" s="18">
        <f>IF(H4=1,MAX(0,Dashboard!$B$10-Setup!$B$5),0)</f>
        <v>0</v>
      </c>
      <c r="J4" s="18">
        <f>MIN(C4,E4+I4)</f>
        <v>0</v>
      </c>
      <c r="K4" s="19" t="str">
        <f>IF(OR(C4&lt;=0,J4&lt;=0),"",IF(D4=0,ROUNDUP(C4/J4,0),ROUNDUP(NPER(D4/12,-J4,C4),0)))</f>
        <v/>
      </c>
      <c r="L4" s="24" t="str">
        <f>IF(K4="","",EDATE(Setup!$B$4,K4))</f>
        <v/>
      </c>
      <c r="M4" s="18" t="str">
        <f>IF(K4="","",MAX(0,J4*K4-C4))</f>
        <v/>
      </c>
    </row>
    <row r="5" spans="1:14" x14ac:dyDescent="0.3">
      <c r="A5" t="s">
        <v>361</v>
      </c>
      <c r="B5" t="s">
        <v>360</v>
      </c>
      <c r="C5" s="6"/>
      <c r="D5" s="22"/>
      <c r="E5" s="6"/>
      <c r="F5" s="7"/>
      <c r="G5" s="23"/>
      <c r="H5" s="19" t="str">
        <f>IF(C5&lt;=0,"",IF(Setup!$B$6="Avalanche",_xludf.RANK.EQ(D5,$D$4:$D$11,0),IF(Setup!$B$6="Snowball",_xludf.RANK.EQ(C5,$C$4:$C$11,1),_xludf.RANK.EQ(E5,$E$4:$E$11,0))))</f>
        <v/>
      </c>
      <c r="I5" s="18">
        <f>IF(H5=1,MAX(0,Dashboard!$B$10-Setup!$B$5),0)</f>
        <v>0</v>
      </c>
      <c r="J5" s="18">
        <v>0</v>
      </c>
      <c r="K5" s="19"/>
      <c r="L5" s="24" t="str">
        <f>IF(K5="","",EDATE(Setup!$B$4,K5))</f>
        <v/>
      </c>
      <c r="M5" s="18"/>
    </row>
    <row r="6" spans="1:14" x14ac:dyDescent="0.3">
      <c r="A6" t="s">
        <v>362</v>
      </c>
      <c r="B6" t="s">
        <v>363</v>
      </c>
      <c r="C6" s="6"/>
      <c r="D6" s="22"/>
      <c r="E6" s="6"/>
      <c r="F6" s="7"/>
      <c r="G6" s="23"/>
      <c r="H6" s="19" t="str">
        <f>IF(C6&lt;=0,"",IF(Setup!$B$6="Avalanche",_xludf.RANK.EQ(D6,$D$4:$D$11,0),IF(Setup!$B$6="Snowball",_xludf.RANK.EQ(C6,$C$4:$C$11,1),_xludf.RANK.EQ(E6,$E$4:$E$11,0))))</f>
        <v/>
      </c>
      <c r="I6" s="18">
        <f>IF(H6=1,MAX(0,Dashboard!$B$10-Setup!$B$5),0)</f>
        <v>0</v>
      </c>
      <c r="J6" s="18">
        <v>0</v>
      </c>
      <c r="K6" s="19"/>
      <c r="L6" s="24" t="str">
        <f>IF(K6="","",EDATE(Setup!$B$4,K6))</f>
        <v/>
      </c>
      <c r="M6" s="18"/>
    </row>
    <row r="7" spans="1:14" x14ac:dyDescent="0.3">
      <c r="A7" t="s">
        <v>364</v>
      </c>
      <c r="B7" t="s">
        <v>363</v>
      </c>
      <c r="C7" s="6"/>
      <c r="D7" s="22"/>
      <c r="E7" s="6"/>
      <c r="F7" s="7"/>
      <c r="G7" s="23"/>
      <c r="H7" s="19" t="str">
        <f>IF(C7&lt;=0,"",IF(Setup!$B$6="Avalanche",_xludf.RANK.EQ(D7,$D$4:$D$11,0),IF(Setup!$B$6="Snowball",_xludf.RANK.EQ(C7,$C$4:$C$11,1),_xludf.RANK.EQ(E7,$E$4:$E$11,0))))</f>
        <v/>
      </c>
      <c r="I7" s="18">
        <f>IF(H7=1,MAX(0,Dashboard!$B$10-Setup!$B$5),0)</f>
        <v>0</v>
      </c>
      <c r="J7" s="18">
        <v>0</v>
      </c>
      <c r="K7" s="19"/>
      <c r="L7" s="24" t="str">
        <f>IF(K7="","",EDATE(Setup!$B$4,K7))</f>
        <v/>
      </c>
      <c r="M7" s="18"/>
    </row>
    <row r="8" spans="1:14" x14ac:dyDescent="0.3">
      <c r="A8" t="s">
        <v>365</v>
      </c>
      <c r="B8" t="s">
        <v>100</v>
      </c>
      <c r="C8" s="6"/>
      <c r="D8" s="22"/>
      <c r="E8" s="6"/>
      <c r="F8" s="7"/>
      <c r="G8" s="23"/>
      <c r="H8" s="19" t="str">
        <f>IF(C8&lt;=0,"",IF(Setup!$B$6="Avalanche",_xludf.RANK.EQ(D8,$D$4:$D$11,0),IF(Setup!$B$6="Snowball",_xludf.RANK.EQ(C8,$C$4:$C$11,1),_xludf.RANK.EQ(E8,$E$4:$E$11,0))))</f>
        <v/>
      </c>
      <c r="I8" s="18">
        <f>IF(H8=1,MAX(0,Dashboard!$B$10-Setup!$B$5),0)</f>
        <v>0</v>
      </c>
      <c r="J8" s="18">
        <v>0</v>
      </c>
      <c r="K8" s="19"/>
      <c r="L8" s="24" t="str">
        <f>IF(K8="","",EDATE(Setup!$B$4,K8))</f>
        <v/>
      </c>
      <c r="M8" s="18"/>
    </row>
    <row r="9" spans="1:14" x14ac:dyDescent="0.3">
      <c r="A9" t="s">
        <v>366</v>
      </c>
      <c r="B9" t="s">
        <v>135</v>
      </c>
      <c r="C9" s="6"/>
      <c r="D9" s="22"/>
      <c r="E9" s="6"/>
      <c r="F9" s="7"/>
      <c r="G9" s="23"/>
      <c r="H9" s="19" t="str">
        <f>IF(C9&lt;=0,"",IF(Setup!$B$6="Avalanche",_xludf.RANK.EQ(D9,$D$4:$D$11,0),IF(Setup!$B$6="Snowball",_xludf.RANK.EQ(C9,$C$4:$C$11,1),_xludf.RANK.EQ(E9,$E$4:$E$11,0))))</f>
        <v/>
      </c>
      <c r="I9" s="18">
        <f>IF(H9=1,MAX(0,Dashboard!$B$10-Setup!$B$5),0)</f>
        <v>0</v>
      </c>
      <c r="J9" s="18">
        <v>0</v>
      </c>
      <c r="K9" s="19"/>
      <c r="L9" s="24" t="str">
        <f>IF(K9="","",EDATE(Setup!$B$4,K9))</f>
        <v/>
      </c>
      <c r="M9" s="18"/>
    </row>
    <row r="10" spans="1:14" x14ac:dyDescent="0.3">
      <c r="A10" t="s">
        <v>367</v>
      </c>
      <c r="B10" t="s">
        <v>194</v>
      </c>
      <c r="C10" s="6"/>
      <c r="D10" s="22"/>
      <c r="E10" s="6"/>
      <c r="F10" s="7"/>
      <c r="G10" s="23"/>
      <c r="H10" s="19" t="str">
        <f>IF(C10&lt;=0,"",IF(Setup!$B$6="Avalanche",_xludf.RANK.EQ(D10,$D$4:$D$11,0),IF(Setup!$B$6="Snowball",_xludf.RANK.EQ(C10,$C$4:$C$11,1),_xludf.RANK.EQ(E10,$E$4:$E$11,0))))</f>
        <v/>
      </c>
      <c r="I10" s="18">
        <f>IF(H10=1,MAX(0,Dashboard!$B$10-Setup!$B$5),0)</f>
        <v>0</v>
      </c>
      <c r="J10" s="18">
        <v>0</v>
      </c>
      <c r="K10" s="19"/>
      <c r="L10" s="24" t="str">
        <f>IF(K10="","",EDATE(Setup!$B$4,K10))</f>
        <v/>
      </c>
      <c r="M10" s="18"/>
    </row>
    <row r="11" spans="1:14" x14ac:dyDescent="0.3">
      <c r="A11" t="s">
        <v>368</v>
      </c>
      <c r="B11" t="s">
        <v>194</v>
      </c>
      <c r="C11" s="6"/>
      <c r="D11" s="22"/>
      <c r="E11" s="6"/>
      <c r="F11" s="7"/>
      <c r="G11" s="23"/>
      <c r="H11" s="19" t="str">
        <f>IF(C11&lt;=0,"",IF(Setup!$B$6="Avalanche",_xludf.RANK.EQ(D11,$D$4:$D$11,0),IF(Setup!$B$6="Snowball",_xludf.RANK.EQ(C11,$C$4:$C$11,1),_xludf.RANK.EQ(E11,$E$4:$E$11,0))))</f>
        <v/>
      </c>
      <c r="I11" s="18">
        <f>IF(H11=1,MAX(0,Dashboard!$B$10-Setup!$B$5),0)</f>
        <v>0</v>
      </c>
      <c r="J11" s="18">
        <v>0</v>
      </c>
      <c r="K11" s="19"/>
      <c r="L11" s="24" t="str">
        <f>IF(K11="","",EDATE(Setup!$B$4,K11))</f>
        <v/>
      </c>
      <c r="M11" s="18"/>
    </row>
    <row r="13" spans="1:14" x14ac:dyDescent="0.3">
      <c r="A13" s="54" t="s">
        <v>369</v>
      </c>
      <c r="B13" s="54" t="s">
        <v>160</v>
      </c>
    </row>
    <row r="14" spans="1:14" x14ac:dyDescent="0.3">
      <c r="A14" t="s">
        <v>78</v>
      </c>
      <c r="B14" s="5">
        <f>SUM(C4:C11)</f>
        <v>0</v>
      </c>
    </row>
    <row r="15" spans="1:14" x14ac:dyDescent="0.3">
      <c r="A15" t="s">
        <v>370</v>
      </c>
      <c r="B15" s="5">
        <f>SUM(E4:E11)</f>
        <v>0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workbookViewId="0">
      <selection activeCell="B8" sqref="B8"/>
    </sheetView>
  </sheetViews>
  <sheetFormatPr defaultRowHeight="14.4" x14ac:dyDescent="0.3"/>
  <cols>
    <col min="1" max="1" width="20" customWidth="1"/>
    <col min="2" max="5" width="17" customWidth="1"/>
    <col min="6" max="6" width="14" customWidth="1"/>
    <col min="7" max="7" width="24" customWidth="1"/>
  </cols>
  <sheetData>
    <row r="1" spans="1:7" ht="21" x14ac:dyDescent="0.4">
      <c r="A1" s="63" t="s">
        <v>371</v>
      </c>
      <c r="B1" s="63"/>
      <c r="C1" s="63"/>
      <c r="D1" s="63"/>
      <c r="E1" s="63"/>
      <c r="F1" s="63"/>
      <c r="G1" s="63"/>
    </row>
    <row r="3" spans="1:7" x14ac:dyDescent="0.3">
      <c r="A3" s="30" t="s">
        <v>82</v>
      </c>
      <c r="B3" s="30" t="s">
        <v>286</v>
      </c>
      <c r="C3" s="30" t="s">
        <v>287</v>
      </c>
      <c r="D3" s="30" t="s">
        <v>372</v>
      </c>
      <c r="E3" s="30" t="s">
        <v>373</v>
      </c>
      <c r="F3" s="30" t="s">
        <v>91</v>
      </c>
      <c r="G3" s="30" t="s">
        <v>87</v>
      </c>
    </row>
    <row r="4" spans="1:7" x14ac:dyDescent="0.3">
      <c r="A4" t="s">
        <v>92</v>
      </c>
      <c r="B4" s="5">
        <f>SUMIFS('Manual Actuals'!$C$2:$C$861,'Manual Actuals'!$D$2:$D$861,$A4,'Manual Actuals'!$H$2:$H$861,Setup!$B$4,'Manual Actuals'!$G$2:$G$861,"Yes")</f>
        <v>545.90000000000009</v>
      </c>
      <c r="C4" s="5">
        <f>SUMIFS(bk_download!$L$2:$L$1902,bk_download!$H$2:$H$1902,$A4,bk_download!$K$2:$K$1902,Setup!$B$4,bk_download!$J$2:$J$1902,"Yes")</f>
        <v>0</v>
      </c>
      <c r="D4" s="5">
        <f t="shared" ref="D4:D21" si="0">B4-C4</f>
        <v>545.90000000000009</v>
      </c>
      <c r="E4" s="25">
        <f t="shared" ref="E4:E21" si="1">IF(C4=0,IF(B4=0,0,1),D4/C4)</f>
        <v>1</v>
      </c>
      <c r="F4" t="str">
        <f t="shared" ref="F4:F20" si="2">IF(ABS(D4)&lt;=1,"Matched",IF(ABS(D4)&lt;=10,"Review","Investigate"))</f>
        <v>Investigate</v>
      </c>
      <c r="G4" t="str">
        <f t="shared" ref="G4:G20" si="3">IF(F4="Matched","None",IF(D4&gt;0,"Manual exceeds bank","Bank exceeds manual"))</f>
        <v>Manual exceeds bank</v>
      </c>
    </row>
    <row r="5" spans="1:7" x14ac:dyDescent="0.3">
      <c r="A5" t="s">
        <v>96</v>
      </c>
      <c r="B5" s="5">
        <f>SUMIFS('Manual Actuals'!$C$2:$C$861,'Manual Actuals'!$D$2:$D$861,$A5,'Manual Actuals'!$H$2:$H$861,Setup!$B$4,'Manual Actuals'!$G$2:$G$861,"Yes")</f>
        <v>121</v>
      </c>
      <c r="C5" s="5">
        <f>SUMIFS(bk_download!$L$2:$L$1902,bk_download!$H$2:$H$1902,$A5,bk_download!$K$2:$K$1902,Setup!$B$4,bk_download!$J$2:$J$1902,"Yes")</f>
        <v>0</v>
      </c>
      <c r="D5" s="5">
        <f t="shared" si="0"/>
        <v>121</v>
      </c>
      <c r="E5" s="25">
        <f t="shared" si="1"/>
        <v>1</v>
      </c>
      <c r="F5" t="str">
        <f t="shared" si="2"/>
        <v>Investigate</v>
      </c>
      <c r="G5" t="str">
        <f t="shared" si="3"/>
        <v>Manual exceeds bank</v>
      </c>
    </row>
    <row r="6" spans="1:7" x14ac:dyDescent="0.3">
      <c r="A6" t="s">
        <v>100</v>
      </c>
      <c r="B6" s="5">
        <f>SUMIFS('Manual Actuals'!$C$2:$C$861,'Manual Actuals'!$D$2:$D$861,$A6,'Manual Actuals'!$H$2:$H$861,Setup!$B$4,'Manual Actuals'!$G$2:$G$861,"Yes")</f>
        <v>1489.84</v>
      </c>
      <c r="C6" s="5">
        <f>SUMIFS(bk_download!$L$2:$L$1902,bk_download!$H$2:$H$1902,$A6,bk_download!$K$2:$K$1902,Setup!$B$4,bk_download!$J$2:$J$1902,"Yes")</f>
        <v>3.97</v>
      </c>
      <c r="D6" s="5">
        <f t="shared" si="0"/>
        <v>1485.87</v>
      </c>
      <c r="E6" s="25">
        <f t="shared" si="1"/>
        <v>374.27455919395459</v>
      </c>
      <c r="F6" t="str">
        <f t="shared" si="2"/>
        <v>Investigate</v>
      </c>
      <c r="G6" t="str">
        <f t="shared" si="3"/>
        <v>Manual exceeds bank</v>
      </c>
    </row>
    <row r="7" spans="1:7" x14ac:dyDescent="0.3">
      <c r="A7" t="s">
        <v>104</v>
      </c>
      <c r="B7" s="5">
        <f>SUMIFS('Manual Actuals'!$C$2:$C$861,'Manual Actuals'!$D$2:$D$861,$A7,'Manual Actuals'!$H$2:$H$861,Setup!$B$4,'Manual Actuals'!$G$2:$G$861,"Yes")</f>
        <v>20.47</v>
      </c>
      <c r="C7" s="5">
        <f>SUMIFS(bk_download!$L$2:$L$1902,bk_download!$H$2:$H$1902,$A7,bk_download!$K$2:$K$1902,Setup!$B$4,bk_download!$J$2:$J$1902,"Yes")</f>
        <v>0</v>
      </c>
      <c r="D7" s="5">
        <f t="shared" si="0"/>
        <v>20.47</v>
      </c>
      <c r="E7" s="25">
        <f t="shared" si="1"/>
        <v>1</v>
      </c>
      <c r="F7" t="str">
        <f t="shared" si="2"/>
        <v>Investigate</v>
      </c>
      <c r="G7" t="str">
        <f t="shared" si="3"/>
        <v>Manual exceeds bank</v>
      </c>
    </row>
    <row r="8" spans="1:7" x14ac:dyDescent="0.3">
      <c r="A8" t="s">
        <v>134</v>
      </c>
      <c r="B8" s="5">
        <f>SUMIFS('Manual Actuals'!$C$2:$C$861,'Manual Actuals'!$D$2:$D$861,$A8,'Manual Actuals'!$H$2:$H$861,Setup!$B$4,'Manual Actuals'!$G$2:$G$861,"Yes")</f>
        <v>0</v>
      </c>
      <c r="C8" s="5">
        <f>SUMIFS(bk_download!$L$2:$L$1902,bk_download!$H$2:$H$1902,$A8,bk_download!$K$2:$K$1902,Setup!$B$4,bk_download!$J$2:$J$1902,"Yes")</f>
        <v>0</v>
      </c>
      <c r="D8" s="5">
        <f t="shared" si="0"/>
        <v>0</v>
      </c>
      <c r="E8" s="25">
        <f t="shared" si="1"/>
        <v>0</v>
      </c>
      <c r="F8" t="str">
        <f t="shared" si="2"/>
        <v>Matched</v>
      </c>
      <c r="G8" t="str">
        <f t="shared" si="3"/>
        <v>None</v>
      </c>
    </row>
    <row r="9" spans="1:7" x14ac:dyDescent="0.3">
      <c r="A9" t="s">
        <v>135</v>
      </c>
      <c r="B9" s="5">
        <f>SUMIFS('Manual Actuals'!$C$2:$C$861,'Manual Actuals'!$D$2:$D$861,$A9,'Manual Actuals'!$H$2:$H$861,Setup!$B$4,'Manual Actuals'!$G$2:$G$861,"Yes")</f>
        <v>0</v>
      </c>
      <c r="C9" s="5">
        <f>SUMIFS(bk_download!$L$2:$L$1902,bk_download!$H$2:$H$1902,$A9,bk_download!$K$2:$K$1902,Setup!$B$4,bk_download!$J$2:$J$1902,"Yes")</f>
        <v>0</v>
      </c>
      <c r="D9" s="5">
        <f t="shared" si="0"/>
        <v>0</v>
      </c>
      <c r="E9" s="25">
        <f t="shared" si="1"/>
        <v>0</v>
      </c>
      <c r="F9" t="str">
        <f t="shared" si="2"/>
        <v>Matched</v>
      </c>
      <c r="G9" t="str">
        <f t="shared" si="3"/>
        <v>None</v>
      </c>
    </row>
    <row r="10" spans="1:7" x14ac:dyDescent="0.3">
      <c r="A10" t="s">
        <v>136</v>
      </c>
      <c r="B10" s="5">
        <f>SUMIFS('Manual Actuals'!$C$2:$C$861,'Manual Actuals'!$D$2:$D$861,$A10,'Manual Actuals'!$H$2:$H$861,Setup!$B$4,'Manual Actuals'!$G$2:$G$861,"Yes")</f>
        <v>0</v>
      </c>
      <c r="C10" s="5">
        <f>SUMIFS(bk_download!$L$2:$L$1902,bk_download!$H$2:$H$1902,$A10,bk_download!$K$2:$K$1902,Setup!$B$4,bk_download!$J$2:$J$1902,"Yes")</f>
        <v>0</v>
      </c>
      <c r="D10" s="5">
        <f t="shared" si="0"/>
        <v>0</v>
      </c>
      <c r="E10" s="25">
        <f t="shared" si="1"/>
        <v>0</v>
      </c>
      <c r="F10" t="str">
        <f t="shared" si="2"/>
        <v>Matched</v>
      </c>
      <c r="G10" t="str">
        <f t="shared" si="3"/>
        <v>None</v>
      </c>
    </row>
    <row r="11" spans="1:7" x14ac:dyDescent="0.3">
      <c r="A11" t="s">
        <v>137</v>
      </c>
      <c r="B11" s="5">
        <f>SUMIFS('Manual Actuals'!$C$2:$C$861,'Manual Actuals'!$D$2:$D$861,$A11,'Manual Actuals'!$H$2:$H$861,Setup!$B$4,'Manual Actuals'!$G$2:$G$861,"Yes")</f>
        <v>0</v>
      </c>
      <c r="C11" s="5">
        <f>SUMIFS(bk_download!$L$2:$L$1902,bk_download!$H$2:$H$1902,$A11,bk_download!$K$2:$K$1902,Setup!$B$4,bk_download!$J$2:$J$1902,"Yes")</f>
        <v>16.5</v>
      </c>
      <c r="D11" s="5">
        <f t="shared" si="0"/>
        <v>-16.5</v>
      </c>
      <c r="E11" s="25">
        <f t="shared" si="1"/>
        <v>-1</v>
      </c>
      <c r="F11" t="str">
        <f t="shared" si="2"/>
        <v>Investigate</v>
      </c>
      <c r="G11" t="str">
        <f t="shared" si="3"/>
        <v>Bank exceeds manual</v>
      </c>
    </row>
    <row r="12" spans="1:7" x14ac:dyDescent="0.3">
      <c r="A12" t="s">
        <v>113</v>
      </c>
      <c r="B12" s="5">
        <f>SUMIFS('Manual Actuals'!$C$2:$C$861,'Manual Actuals'!$D$2:$D$861,$A12,'Manual Actuals'!$H$2:$H$861,Setup!$B$4,'Manual Actuals'!$G$2:$G$861,"Yes")</f>
        <v>0</v>
      </c>
      <c r="C12" s="5">
        <f>SUMIFS(bk_download!$L$2:$L$1902,bk_download!$H$2:$H$1902,$A12,bk_download!$K$2:$K$1902,Setup!$B$4,bk_download!$J$2:$J$1902,"Yes")</f>
        <v>0</v>
      </c>
      <c r="D12" s="5">
        <f t="shared" si="0"/>
        <v>0</v>
      </c>
      <c r="E12" s="25">
        <f t="shared" si="1"/>
        <v>0</v>
      </c>
      <c r="F12" t="str">
        <f t="shared" si="2"/>
        <v>Matched</v>
      </c>
      <c r="G12" t="str">
        <f t="shared" si="3"/>
        <v>None</v>
      </c>
    </row>
    <row r="13" spans="1:7" x14ac:dyDescent="0.3">
      <c r="A13" t="s">
        <v>138</v>
      </c>
      <c r="B13" s="5">
        <f>SUMIFS('Manual Actuals'!$C$2:$C$861,'Manual Actuals'!$D$2:$D$861,$A13,'Manual Actuals'!$H$2:$H$861,Setup!$B$4,'Manual Actuals'!$G$2:$G$861,"Yes")</f>
        <v>0</v>
      </c>
      <c r="C13" s="5">
        <f>SUMIFS(bk_download!$L$2:$L$1902,bk_download!$H$2:$H$1902,$A13,bk_download!$K$2:$K$1902,Setup!$B$4,bk_download!$J$2:$J$1902,"Yes")</f>
        <v>0</v>
      </c>
      <c r="D13" s="5">
        <f t="shared" si="0"/>
        <v>0</v>
      </c>
      <c r="E13" s="25">
        <f t="shared" si="1"/>
        <v>0</v>
      </c>
      <c r="F13" t="str">
        <f t="shared" si="2"/>
        <v>Matched</v>
      </c>
      <c r="G13" t="str">
        <f t="shared" si="3"/>
        <v>None</v>
      </c>
    </row>
    <row r="14" spans="1:7" x14ac:dyDescent="0.3">
      <c r="A14" t="s">
        <v>114</v>
      </c>
      <c r="B14" s="5">
        <f>SUMIF('Budget Plan'!$A$4:$A$60,"Subscriptions",'Budget Plan'!$K$4:$K$60)</f>
        <v>377.77</v>
      </c>
      <c r="C14" s="5">
        <f>SUMIFS(bk_download!$L$2:$L$1902,bk_download!$H$2:$H$1902,$A14,bk_download!$K$2:$K$1902,Setup!$B$4,bk_download!$J$2:$J$1902,"Yes")</f>
        <v>203.99</v>
      </c>
      <c r="D14" s="5">
        <f>B14-C14</f>
        <v>173.77999999999997</v>
      </c>
      <c r="E14" s="25">
        <f>IF(B14=0,IF(C14=0,0,1),ABS(D14)/B14)</f>
        <v>0.46001535325727289</v>
      </c>
      <c r="F14" t="str">
        <f>IF(D14=0,"Matched",IF(ABS(E14)&lt;=0.05,"Close","Investigate"))</f>
        <v>Investigate</v>
      </c>
      <c r="G14" t="str">
        <f>IF(F14="Matched","None",IF(D14&gt;0,"Manual exceeds bank","Bank exceeds manual"))</f>
        <v>Manual exceeds bank</v>
      </c>
    </row>
    <row r="15" spans="1:7" x14ac:dyDescent="0.3">
      <c r="A15" t="s">
        <v>139</v>
      </c>
      <c r="B15" s="5">
        <f>SUMIFS('Manual Actuals'!$C$2:$C$861,'Manual Actuals'!$D$2:$D$861,$A15,'Manual Actuals'!$H$2:$H$861,Setup!$B$4,'Manual Actuals'!$G$2:$G$861,"Yes")</f>
        <v>0</v>
      </c>
      <c r="C15" s="5">
        <f>SUMIFS(bk_download!$L$2:$L$1902,bk_download!$H$2:$H$1902,$A15,bk_download!$K$2:$K$1902,Setup!$B$4,bk_download!$J$2:$J$1902,"Yes")</f>
        <v>0</v>
      </c>
      <c r="D15" s="5">
        <f t="shared" si="0"/>
        <v>0</v>
      </c>
      <c r="E15" s="25">
        <f t="shared" si="1"/>
        <v>0</v>
      </c>
      <c r="F15" t="str">
        <f t="shared" si="2"/>
        <v>Matched</v>
      </c>
      <c r="G15" t="str">
        <f t="shared" si="3"/>
        <v>None</v>
      </c>
    </row>
    <row r="16" spans="1:7" x14ac:dyDescent="0.3">
      <c r="A16" t="s">
        <v>108</v>
      </c>
      <c r="B16" s="5">
        <f>SUMIFS('Manual Actuals'!$C$2:$C$861,'Manual Actuals'!$D$2:$D$861,$A16,'Manual Actuals'!$H$2:$H$861,Setup!$B$4,'Manual Actuals'!$G$2:$G$861,"Yes")</f>
        <v>289.12</v>
      </c>
      <c r="C16" s="5">
        <f>SUMIFS(bk_download!$L$2:$L$1902,bk_download!$H$2:$H$1902,$A16,bk_download!$K$2:$K$1902,Setup!$B$4,bk_download!$J$2:$J$1902,"Yes")</f>
        <v>0</v>
      </c>
      <c r="D16" s="5">
        <f t="shared" si="0"/>
        <v>289.12</v>
      </c>
      <c r="E16" s="25">
        <f t="shared" si="1"/>
        <v>1</v>
      </c>
      <c r="F16" t="str">
        <f t="shared" si="2"/>
        <v>Investigate</v>
      </c>
      <c r="G16" t="str">
        <f t="shared" si="3"/>
        <v>Manual exceeds bank</v>
      </c>
    </row>
    <row r="17" spans="1:7" x14ac:dyDescent="0.3">
      <c r="A17" t="s">
        <v>112</v>
      </c>
      <c r="B17" s="5">
        <f>SUMIFS('Manual Actuals'!$C$2:$C$861,'Manual Actuals'!$D$2:$D$861,$A17,'Manual Actuals'!$H$2:$H$861,Setup!$B$4,'Manual Actuals'!$G$2:$G$861,"Yes")</f>
        <v>0</v>
      </c>
      <c r="C17" s="5">
        <f>SUMIFS(bk_download!$L$2:$L$1902,bk_download!$H$2:$H$1902,$A17,bk_download!$K$2:$K$1902,Setup!$B$4,bk_download!$J$2:$J$1902,"Yes")</f>
        <v>0</v>
      </c>
      <c r="D17" s="5">
        <f t="shared" si="0"/>
        <v>0</v>
      </c>
      <c r="E17" s="25">
        <f t="shared" si="1"/>
        <v>0</v>
      </c>
      <c r="F17" t="str">
        <f t="shared" si="2"/>
        <v>Matched</v>
      </c>
      <c r="G17" t="str">
        <f t="shared" si="3"/>
        <v>None</v>
      </c>
    </row>
    <row r="18" spans="1:7" x14ac:dyDescent="0.3">
      <c r="A18" t="s">
        <v>140</v>
      </c>
      <c r="B18" s="5">
        <f>SUMIFS('Manual Actuals'!$C$2:$C$861,'Manual Actuals'!$D$2:$D$861,$A18,'Manual Actuals'!$H$2:$H$861,Setup!$B$4,'Manual Actuals'!$G$2:$G$861,"Yes")</f>
        <v>0</v>
      </c>
      <c r="C18" s="5">
        <f>SUMIFS(bk_download!$L$2:$L$1902,bk_download!$H$2:$H$1902,$A18,bk_download!$K$2:$K$1902,Setup!$B$4,bk_download!$J$2:$J$1902,"Yes")</f>
        <v>0</v>
      </c>
      <c r="D18" s="5">
        <f t="shared" si="0"/>
        <v>0</v>
      </c>
      <c r="E18" s="25">
        <f t="shared" si="1"/>
        <v>0</v>
      </c>
      <c r="F18" t="str">
        <f t="shared" si="2"/>
        <v>Matched</v>
      </c>
      <c r="G18" t="str">
        <f t="shared" si="3"/>
        <v>None</v>
      </c>
    </row>
    <row r="19" spans="1:7" x14ac:dyDescent="0.3">
      <c r="A19" t="s">
        <v>141</v>
      </c>
      <c r="B19" s="5">
        <f>SUMIFS('Manual Actuals'!$C$2:$C$861,'Manual Actuals'!$D$2:$D$861,$A19,'Manual Actuals'!$H$2:$H$861,Setup!$B$4,'Manual Actuals'!$G$2:$G$861,"Yes")</f>
        <v>0</v>
      </c>
      <c r="C19" s="5">
        <f>SUMIFS(bk_download!$L$2:$L$1902,bk_download!$H$2:$H$1902,$A19,bk_download!$K$2:$K$1902,Setup!$B$4,bk_download!$J$2:$J$1902,"Yes")</f>
        <v>0</v>
      </c>
      <c r="D19" s="5">
        <f t="shared" si="0"/>
        <v>0</v>
      </c>
      <c r="E19" s="25">
        <f t="shared" si="1"/>
        <v>0</v>
      </c>
      <c r="F19" t="str">
        <f t="shared" si="2"/>
        <v>Matched</v>
      </c>
      <c r="G19" t="str">
        <f t="shared" si="3"/>
        <v>None</v>
      </c>
    </row>
    <row r="20" spans="1:7" x14ac:dyDescent="0.3">
      <c r="A20" t="s">
        <v>116</v>
      </c>
      <c r="B20" s="5">
        <f>SUMIFS('Manual Actuals'!$C$2:$C$861,'Manual Actuals'!$D$2:$D$861,$A20,'Manual Actuals'!$H$2:$H$861,Setup!$B$4,'Manual Actuals'!$G$2:$G$861,"Yes")</f>
        <v>921.75</v>
      </c>
      <c r="C20" s="5">
        <f>SUMIFS(bk_download!$L$2:$L$1902,bk_download!$H$2:$H$1902,$A20,bk_download!$K$2:$K$1902,Setup!$B$4,bk_download!$J$2:$J$1902,"Yes")</f>
        <v>0</v>
      </c>
      <c r="D20" s="5">
        <f t="shared" si="0"/>
        <v>921.75</v>
      </c>
      <c r="E20" s="25">
        <f t="shared" si="1"/>
        <v>1</v>
      </c>
      <c r="F20" t="str">
        <f t="shared" si="2"/>
        <v>Investigate</v>
      </c>
      <c r="G20" t="str">
        <f t="shared" si="3"/>
        <v>Manual exceeds bank</v>
      </c>
    </row>
    <row r="21" spans="1:7" x14ac:dyDescent="0.3">
      <c r="A21" s="38" t="s">
        <v>374</v>
      </c>
      <c r="B21" s="39">
        <f>SUM(B4:B20)</f>
        <v>3765.8499999999995</v>
      </c>
      <c r="C21" s="39">
        <f>SUM(C4:C20)</f>
        <v>224.46</v>
      </c>
      <c r="D21" s="39">
        <f t="shared" si="0"/>
        <v>3541.3899999999994</v>
      </c>
      <c r="E21" s="40">
        <f t="shared" si="1"/>
        <v>15.777376815468232</v>
      </c>
      <c r="F21" s="38" t="str">
        <f>IF(ABS(D21)&lt;=1,"Matched","Review")</f>
        <v>Review</v>
      </c>
      <c r="G21" s="38"/>
    </row>
  </sheetData>
  <mergeCells count="1">
    <mergeCell ref="A1:G1"/>
  </mergeCells>
  <conditionalFormatting sqref="F4:F21">
    <cfRule type="expression" dxfId="2" priority="1">
      <formula>F4="Matched"</formula>
    </cfRule>
    <cfRule type="expression" dxfId="1" priority="2">
      <formula>F4="Review"</formula>
    </cfRule>
    <cfRule type="expression" dxfId="0" priority="3">
      <formula>F4="Investigate"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02"/>
  <sheetViews>
    <sheetView topLeftCell="B1" workbookViewId="0">
      <pane ySplit="1" topLeftCell="A18" activePane="bottomLeft" state="frozen"/>
      <selection activeCell="C1" sqref="C1"/>
      <selection pane="bottomLeft" activeCell="B31" sqref="A1:N1902"/>
    </sheetView>
  </sheetViews>
  <sheetFormatPr defaultColWidth="8.88671875" defaultRowHeight="14.4" x14ac:dyDescent="0.3"/>
  <cols>
    <col min="1" max="1" width="15.33203125" customWidth="1"/>
    <col min="2" max="3" width="38.109375" customWidth="1"/>
    <col min="4" max="4" width="22.88671875" customWidth="1"/>
    <col min="5" max="5" width="12.109375" bestFit="1" customWidth="1"/>
    <col min="6" max="6" width="8.33203125" bestFit="1" customWidth="1"/>
    <col min="7" max="7" width="9" bestFit="1" customWidth="1"/>
    <col min="8" max="9" width="19" customWidth="1"/>
    <col min="10" max="10" width="8.5546875" bestFit="1" customWidth="1"/>
    <col min="11" max="11" width="9.5546875" bestFit="1" customWidth="1"/>
    <col min="12" max="12" width="19.109375" bestFit="1" customWidth="1"/>
    <col min="13" max="13" width="18.33203125" bestFit="1" customWidth="1"/>
    <col min="14" max="14" width="22.88671875" customWidth="1"/>
    <col min="15" max="15" width="38" customWidth="1"/>
    <col min="16" max="16" width="20" customWidth="1"/>
  </cols>
  <sheetData>
    <row r="1" spans="1:14" x14ac:dyDescent="0.3">
      <c r="A1" s="44" t="s">
        <v>300</v>
      </c>
      <c r="B1" s="45" t="s">
        <v>301</v>
      </c>
      <c r="C1" s="45" t="s">
        <v>375</v>
      </c>
      <c r="D1" s="45" t="s">
        <v>82</v>
      </c>
      <c r="E1" s="45" t="s">
        <v>376</v>
      </c>
      <c r="F1" s="45" t="s">
        <v>91</v>
      </c>
      <c r="G1" s="45" t="s">
        <v>143</v>
      </c>
      <c r="H1" s="45" t="s">
        <v>216</v>
      </c>
      <c r="I1" s="45" t="s">
        <v>223</v>
      </c>
      <c r="J1" s="45" t="s">
        <v>303</v>
      </c>
      <c r="K1" s="45" t="s">
        <v>304</v>
      </c>
      <c r="L1" s="45" t="s">
        <v>377</v>
      </c>
      <c r="M1" s="45" t="s">
        <v>378</v>
      </c>
      <c r="N1" s="45" t="s">
        <v>379</v>
      </c>
    </row>
    <row r="2" spans="1:14" x14ac:dyDescent="0.3">
      <c r="A2" s="46">
        <v>46241</v>
      </c>
      <c r="B2" t="s">
        <v>402</v>
      </c>
      <c r="C2" s="16" t="s">
        <v>402</v>
      </c>
      <c r="D2" t="s">
        <v>255</v>
      </c>
      <c r="E2" s="47">
        <v>-101.8</v>
      </c>
      <c r="F2" t="s">
        <v>380</v>
      </c>
      <c r="G2" s="5" t="str">
        <f>IF(A2="","","Checking")</f>
        <v>Checking</v>
      </c>
      <c r="H2" t="s">
        <v>116</v>
      </c>
      <c r="I2" t="s">
        <v>202</v>
      </c>
      <c r="J2" t="str">
        <f>IF(A2="","",IF(OR(H2="Transfers",H2="Income",D2="Transfer",D2="Category Pending"),"No","Yes"))</f>
        <v>No</v>
      </c>
      <c r="K2" s="4" t="str">
        <f>IF(A2="","",IF(A2&gt;=46232,TEXT(DATE(YEAR(A2),MONTH(A2)+1,1),"mmmm yyyy"),TEXT(DATE(YEAR(A2),MONTH(A2),1),"mmmm yyyy")))</f>
        <v>September 2026</v>
      </c>
      <c r="L2" s="47">
        <f>IF(AND(J2="Yes",E2&lt;0),-E2,0)</f>
        <v>0</v>
      </c>
      <c r="M2" s="47">
        <f>IF(AND(J2="Yes",E2&gt;0),E2,0)</f>
        <v>0</v>
      </c>
      <c r="N2" t="str">
        <f>IF(A2="","",IF(D2="Category Pending","Needs categorization",IF(COUNTIFS($A$2:A2,A2,$B$2:B2,B2,$E$2:E2,E2)&gt;1,"Possible duplicate","")))</f>
        <v>Needs categorization</v>
      </c>
    </row>
    <row r="3" spans="1:14" x14ac:dyDescent="0.3">
      <c r="A3" s="46">
        <v>46241</v>
      </c>
      <c r="B3" t="s">
        <v>403</v>
      </c>
      <c r="C3" s="16" t="s">
        <v>403</v>
      </c>
      <c r="D3" t="s">
        <v>255</v>
      </c>
      <c r="E3" s="47">
        <v>-6.25</v>
      </c>
      <c r="F3" t="s">
        <v>380</v>
      </c>
      <c r="G3" s="5" t="str">
        <f t="shared" ref="G3:G42" si="0">IF(A3="","","Checking")</f>
        <v>Checking</v>
      </c>
      <c r="H3" t="s">
        <v>116</v>
      </c>
      <c r="I3" t="s">
        <v>202</v>
      </c>
      <c r="J3" t="str">
        <f t="shared" ref="J3:J42" si="1">IF(A3="","",IF(OR(H3="Transfers",H3="Income",D3="Transfer",D3="Category Pending"),"No","Yes"))</f>
        <v>No</v>
      </c>
      <c r="K3" s="4" t="str">
        <f t="shared" ref="K3:K42" si="2">IF(A3="","",IF(A3&gt;=46232,TEXT(DATE(YEAR(A3),MONTH(A3)+1,1),"mmmm yyyy"),TEXT(DATE(YEAR(A3),MONTH(A3),1),"mmmm yyyy")))</f>
        <v>September 2026</v>
      </c>
      <c r="L3" s="47">
        <f t="shared" ref="L3:L42" si="3">IF(AND(J3="Yes",E3&lt;0),-E3,0)</f>
        <v>0</v>
      </c>
      <c r="M3" s="47">
        <f t="shared" ref="M3:M42" si="4">IF(AND(J3="Yes",E3&gt;0),E3,0)</f>
        <v>0</v>
      </c>
      <c r="N3" t="str">
        <f>IF(A3="","",IF(D3="Category Pending","Needs categorization",IF(COUNTIFS($A$2:A3,A3,$B$2:B3,B3,$E$2:E3,E3)&gt;1,"Possible duplicate","")))</f>
        <v>Needs categorization</v>
      </c>
    </row>
    <row r="4" spans="1:14" x14ac:dyDescent="0.3">
      <c r="A4" s="46">
        <v>46240</v>
      </c>
      <c r="B4" t="s">
        <v>404</v>
      </c>
      <c r="C4" s="16" t="s">
        <v>404</v>
      </c>
      <c r="D4" t="s">
        <v>255</v>
      </c>
      <c r="E4" s="47">
        <v>-80.55</v>
      </c>
      <c r="F4" t="s">
        <v>380</v>
      </c>
      <c r="G4" s="5" t="str">
        <f t="shared" si="0"/>
        <v>Checking</v>
      </c>
      <c r="H4" t="s">
        <v>116</v>
      </c>
      <c r="I4" t="s">
        <v>202</v>
      </c>
      <c r="J4" t="str">
        <f t="shared" si="1"/>
        <v>No</v>
      </c>
      <c r="K4" s="4" t="str">
        <f t="shared" si="2"/>
        <v>September 2026</v>
      </c>
      <c r="L4" s="47">
        <f t="shared" si="3"/>
        <v>0</v>
      </c>
      <c r="M4" s="47">
        <f t="shared" si="4"/>
        <v>0</v>
      </c>
      <c r="N4" t="str">
        <f>IF(A4="","",IF(D4="Category Pending","Needs categorization",IF(COUNTIFS($A$2:A4,A4,$B$2:B4,B4,$E$2:E4,E4)&gt;1,"Possible duplicate","")))</f>
        <v>Needs categorization</v>
      </c>
    </row>
    <row r="5" spans="1:14" x14ac:dyDescent="0.3">
      <c r="A5" s="46">
        <v>46241</v>
      </c>
      <c r="B5" t="s">
        <v>405</v>
      </c>
      <c r="C5" s="16" t="s">
        <v>405</v>
      </c>
      <c r="D5" t="s">
        <v>255</v>
      </c>
      <c r="E5" s="47">
        <v>-250</v>
      </c>
      <c r="F5" t="s">
        <v>380</v>
      </c>
      <c r="G5" s="5" t="str">
        <f t="shared" si="0"/>
        <v>Checking</v>
      </c>
      <c r="H5" t="s">
        <v>116</v>
      </c>
      <c r="I5" t="s">
        <v>202</v>
      </c>
      <c r="J5" t="str">
        <f t="shared" si="1"/>
        <v>No</v>
      </c>
      <c r="K5" s="4" t="str">
        <f t="shared" si="2"/>
        <v>September 2026</v>
      </c>
      <c r="L5" s="47">
        <f t="shared" si="3"/>
        <v>0</v>
      </c>
      <c r="M5" s="47">
        <f t="shared" si="4"/>
        <v>0</v>
      </c>
      <c r="N5" t="str">
        <f>IF(A5="","",IF(D5="Category Pending","Needs categorization",IF(COUNTIFS($A$2:A5,A5,$B$2:B5,B5,$E$2:E5,E5)&gt;1,"Possible duplicate","")))</f>
        <v>Needs categorization</v>
      </c>
    </row>
    <row r="6" spans="1:14" x14ac:dyDescent="0.3">
      <c r="A6" s="46">
        <v>46241</v>
      </c>
      <c r="B6" t="s">
        <v>385</v>
      </c>
      <c r="C6" s="16" t="s">
        <v>406</v>
      </c>
      <c r="D6" t="s">
        <v>269</v>
      </c>
      <c r="E6" s="47">
        <v>-154.66999999999999</v>
      </c>
      <c r="F6" t="s">
        <v>381</v>
      </c>
      <c r="G6" s="5" t="str">
        <f t="shared" si="0"/>
        <v>Checking</v>
      </c>
      <c r="H6" t="s">
        <v>116</v>
      </c>
      <c r="I6" t="s">
        <v>202</v>
      </c>
      <c r="J6" t="str">
        <f t="shared" si="1"/>
        <v>Yes</v>
      </c>
      <c r="K6" s="4" t="str">
        <f t="shared" si="2"/>
        <v>September 2026</v>
      </c>
      <c r="L6" s="47">
        <f t="shared" si="3"/>
        <v>154.66999999999999</v>
      </c>
      <c r="M6" s="47">
        <f t="shared" si="4"/>
        <v>0</v>
      </c>
      <c r="N6" t="str">
        <f>IF(A6="","",IF(D6="Category Pending","Needs categorization",IF(COUNTIFS($A$2:A6,A6,$B$2:B6,B6,$E$2:E6,E6)&gt;1,"Possible duplicate","")))</f>
        <v/>
      </c>
    </row>
    <row r="7" spans="1:14" x14ac:dyDescent="0.3">
      <c r="A7" s="46">
        <v>46241</v>
      </c>
      <c r="B7" t="s">
        <v>390</v>
      </c>
      <c r="C7" s="16" t="s">
        <v>391</v>
      </c>
      <c r="D7" t="s">
        <v>278</v>
      </c>
      <c r="E7" s="47">
        <v>464</v>
      </c>
      <c r="F7" t="s">
        <v>381</v>
      </c>
      <c r="G7" s="5" t="str">
        <f t="shared" si="0"/>
        <v>Checking</v>
      </c>
      <c r="H7" t="s">
        <v>116</v>
      </c>
      <c r="I7" t="s">
        <v>202</v>
      </c>
      <c r="J7" t="str">
        <f t="shared" si="1"/>
        <v>No</v>
      </c>
      <c r="K7" s="4" t="str">
        <f t="shared" si="2"/>
        <v>September 2026</v>
      </c>
      <c r="L7" s="47">
        <f t="shared" si="3"/>
        <v>0</v>
      </c>
      <c r="M7" s="47">
        <f t="shared" si="4"/>
        <v>0</v>
      </c>
      <c r="N7" t="str">
        <f>IF(A7="","",IF(D7="Category Pending","Needs categorization",IF(COUNTIFS($A$2:A7,A7,$B$2:B7,B7,$E$2:E7,E7)&gt;1,"Possible duplicate","")))</f>
        <v/>
      </c>
    </row>
    <row r="8" spans="1:14" x14ac:dyDescent="0.3">
      <c r="A8" s="46">
        <v>46240</v>
      </c>
      <c r="B8" t="s">
        <v>387</v>
      </c>
      <c r="C8" s="16" t="s">
        <v>388</v>
      </c>
      <c r="D8" t="s">
        <v>278</v>
      </c>
      <c r="E8" s="47">
        <v>-199.51</v>
      </c>
      <c r="F8" t="s">
        <v>381</v>
      </c>
      <c r="G8" s="5" t="str">
        <f t="shared" si="0"/>
        <v>Checking</v>
      </c>
      <c r="H8" t="s">
        <v>116</v>
      </c>
      <c r="I8" t="s">
        <v>157</v>
      </c>
      <c r="J8" t="str">
        <f t="shared" si="1"/>
        <v>No</v>
      </c>
      <c r="K8" s="4" t="str">
        <f t="shared" si="2"/>
        <v>September 2026</v>
      </c>
      <c r="L8" s="47">
        <f t="shared" si="3"/>
        <v>0</v>
      </c>
      <c r="M8" s="47">
        <f t="shared" si="4"/>
        <v>0</v>
      </c>
      <c r="N8" t="str">
        <f>IF(A8="","",IF(D8="Category Pending","Needs categorization",IF(COUNTIFS($A$2:A8,A8,$B$2:B8,B8,$E$2:E8,E8)&gt;1,"Possible duplicate","")))</f>
        <v/>
      </c>
    </row>
    <row r="9" spans="1:14" x14ac:dyDescent="0.3">
      <c r="A9" s="46">
        <v>46239</v>
      </c>
      <c r="B9" t="s">
        <v>227</v>
      </c>
      <c r="C9" s="16" t="s">
        <v>407</v>
      </c>
      <c r="D9" t="s">
        <v>96</v>
      </c>
      <c r="E9" s="47">
        <v>-362.14</v>
      </c>
      <c r="F9" t="s">
        <v>381</v>
      </c>
      <c r="G9" s="5" t="str">
        <f t="shared" si="0"/>
        <v>Checking</v>
      </c>
      <c r="H9" t="s">
        <v>92</v>
      </c>
      <c r="I9" t="s">
        <v>206</v>
      </c>
      <c r="J9" t="str">
        <f t="shared" si="1"/>
        <v>Yes</v>
      </c>
      <c r="K9" s="4" t="str">
        <f t="shared" si="2"/>
        <v>September 2026</v>
      </c>
      <c r="L9" s="47">
        <f t="shared" si="3"/>
        <v>362.14</v>
      </c>
      <c r="M9" s="47">
        <f t="shared" si="4"/>
        <v>0</v>
      </c>
      <c r="N9" t="str">
        <f>IF(A9="","",IF(D9="Category Pending","Needs categorization",IF(COUNTIFS($A$2:A9,A9,$B$2:B9,B9,$E$2:E9,E9)&gt;1,"Possible duplicate","")))</f>
        <v/>
      </c>
    </row>
    <row r="10" spans="1:14" x14ac:dyDescent="0.3">
      <c r="A10" s="46">
        <v>46239</v>
      </c>
      <c r="B10" t="s">
        <v>227</v>
      </c>
      <c r="C10" s="16" t="s">
        <v>408</v>
      </c>
      <c r="D10" t="s">
        <v>96</v>
      </c>
      <c r="E10" s="47">
        <v>-38.03</v>
      </c>
      <c r="F10" t="s">
        <v>381</v>
      </c>
      <c r="G10" s="5" t="str">
        <f t="shared" si="0"/>
        <v>Checking</v>
      </c>
      <c r="H10" t="s">
        <v>108</v>
      </c>
      <c r="I10" t="s">
        <v>177</v>
      </c>
      <c r="J10" t="str">
        <f t="shared" si="1"/>
        <v>Yes</v>
      </c>
      <c r="K10" s="4" t="str">
        <f t="shared" si="2"/>
        <v>September 2026</v>
      </c>
      <c r="L10" s="47">
        <f t="shared" si="3"/>
        <v>38.03</v>
      </c>
      <c r="M10" s="47">
        <f t="shared" si="4"/>
        <v>0</v>
      </c>
      <c r="N10" t="str">
        <f>IF(A10="","",IF(D10="Category Pending","Needs categorization",IF(COUNTIFS($A$2:A10,A10,$B$2:B10,B10,$E$2:E10,E10)&gt;1,"Possible duplicate","")))</f>
        <v/>
      </c>
    </row>
    <row r="11" spans="1:14" x14ac:dyDescent="0.3">
      <c r="A11" s="46">
        <v>46239</v>
      </c>
      <c r="B11" t="s">
        <v>383</v>
      </c>
      <c r="C11" s="16" t="s">
        <v>384</v>
      </c>
      <c r="D11" t="s">
        <v>147</v>
      </c>
      <c r="E11" s="47">
        <v>-135.25</v>
      </c>
      <c r="F11" t="s">
        <v>381</v>
      </c>
      <c r="G11" s="5" t="str">
        <f t="shared" si="0"/>
        <v>Checking</v>
      </c>
      <c r="H11" t="s">
        <v>100</v>
      </c>
      <c r="I11" t="s">
        <v>187</v>
      </c>
      <c r="J11" t="str">
        <f t="shared" si="1"/>
        <v>Yes</v>
      </c>
      <c r="K11" s="4" t="str">
        <f t="shared" si="2"/>
        <v>September 2026</v>
      </c>
      <c r="L11" s="47">
        <f t="shared" si="3"/>
        <v>135.25</v>
      </c>
      <c r="M11" s="47">
        <f t="shared" si="4"/>
        <v>0</v>
      </c>
      <c r="N11" t="str">
        <f>IF(A11="","",IF(D11="Category Pending","Needs categorization",IF(COUNTIFS($A$2:A11,A11,$B$2:B11,B11,$E$2:E11,E11)&gt;1,"Possible duplicate","")))</f>
        <v/>
      </c>
    </row>
    <row r="12" spans="1:14" x14ac:dyDescent="0.3">
      <c r="A12" s="46">
        <v>46239</v>
      </c>
      <c r="B12" t="s">
        <v>399</v>
      </c>
      <c r="C12" s="16" t="s">
        <v>409</v>
      </c>
      <c r="D12" t="s">
        <v>275</v>
      </c>
      <c r="E12" s="47">
        <v>-41.59</v>
      </c>
      <c r="F12" t="s">
        <v>381</v>
      </c>
      <c r="G12" s="5" t="str">
        <f t="shared" si="0"/>
        <v>Checking</v>
      </c>
      <c r="H12" t="s">
        <v>116</v>
      </c>
      <c r="I12" t="s">
        <v>194</v>
      </c>
      <c r="J12" t="str">
        <f t="shared" si="1"/>
        <v>Yes</v>
      </c>
      <c r="K12" s="4" t="str">
        <f t="shared" si="2"/>
        <v>September 2026</v>
      </c>
      <c r="L12" s="47">
        <f t="shared" si="3"/>
        <v>41.59</v>
      </c>
      <c r="M12" s="47">
        <f t="shared" si="4"/>
        <v>0</v>
      </c>
      <c r="N12" t="str">
        <f>IF(A12="","",IF(D12="Category Pending","Needs categorization",IF(COUNTIFS($A$2:A12,A12,$B$2:B12,B12,$E$2:E12,E12)&gt;1,"Possible duplicate","")))</f>
        <v/>
      </c>
    </row>
    <row r="13" spans="1:14" x14ac:dyDescent="0.3">
      <c r="A13" s="46">
        <v>46238</v>
      </c>
      <c r="B13" t="s">
        <v>392</v>
      </c>
      <c r="C13" s="16" t="s">
        <v>410</v>
      </c>
      <c r="D13" t="s">
        <v>259</v>
      </c>
      <c r="E13" s="47">
        <v>-14.16</v>
      </c>
      <c r="F13" t="s">
        <v>381</v>
      </c>
      <c r="G13" s="5" t="str">
        <f t="shared" si="0"/>
        <v>Checking</v>
      </c>
      <c r="H13" t="s">
        <v>235</v>
      </c>
      <c r="I13" t="s">
        <v>244</v>
      </c>
      <c r="J13" t="str">
        <f t="shared" si="1"/>
        <v>No</v>
      </c>
      <c r="K13" s="4" t="str">
        <f t="shared" si="2"/>
        <v>September 2026</v>
      </c>
      <c r="L13" s="47">
        <f t="shared" si="3"/>
        <v>0</v>
      </c>
      <c r="M13" s="47">
        <f t="shared" si="4"/>
        <v>0</v>
      </c>
      <c r="N13" t="str">
        <f>IF(A13="","",IF(D13="Category Pending","Needs categorization",IF(COUNTIFS($A$2:A13,A13,$B$2:B13,B13,$E$2:E13,E13)&gt;1,"Possible duplicate","")))</f>
        <v/>
      </c>
    </row>
    <row r="14" spans="1:14" x14ac:dyDescent="0.3">
      <c r="A14" s="46">
        <v>46238</v>
      </c>
      <c r="B14" t="s">
        <v>390</v>
      </c>
      <c r="C14" s="16" t="s">
        <v>391</v>
      </c>
      <c r="D14" t="s">
        <v>278</v>
      </c>
      <c r="E14" s="47">
        <v>2500</v>
      </c>
      <c r="F14" t="s">
        <v>381</v>
      </c>
      <c r="G14" s="5" t="str">
        <f t="shared" si="0"/>
        <v>Checking</v>
      </c>
      <c r="H14" t="s">
        <v>116</v>
      </c>
      <c r="I14" t="s">
        <v>194</v>
      </c>
      <c r="J14" t="str">
        <f t="shared" si="1"/>
        <v>No</v>
      </c>
      <c r="K14" s="4" t="str">
        <f t="shared" si="2"/>
        <v>September 2026</v>
      </c>
      <c r="L14" s="47">
        <f t="shared" si="3"/>
        <v>0</v>
      </c>
      <c r="M14" s="47">
        <f t="shared" si="4"/>
        <v>0</v>
      </c>
      <c r="N14" t="str">
        <f>IF(A14="","",IF(D14="Category Pending","Needs categorization",IF(COUNTIFS($A$2:A14,A14,$B$2:B14,B14,$E$2:E14,E14)&gt;1,"Possible duplicate","")))</f>
        <v/>
      </c>
    </row>
    <row r="15" spans="1:14" x14ac:dyDescent="0.3">
      <c r="A15" s="46">
        <v>46237</v>
      </c>
      <c r="B15" t="s">
        <v>383</v>
      </c>
      <c r="C15" s="16" t="s">
        <v>384</v>
      </c>
      <c r="D15" t="s">
        <v>147</v>
      </c>
      <c r="E15" s="47">
        <v>-114.89</v>
      </c>
      <c r="F15" t="s">
        <v>381</v>
      </c>
      <c r="G15" s="5" t="str">
        <f t="shared" si="0"/>
        <v>Checking</v>
      </c>
      <c r="H15" t="s">
        <v>114</v>
      </c>
      <c r="I15" t="s">
        <v>191</v>
      </c>
      <c r="J15" t="str">
        <f t="shared" si="1"/>
        <v>Yes</v>
      </c>
      <c r="K15" s="4" t="str">
        <f t="shared" si="2"/>
        <v>September 2026</v>
      </c>
      <c r="L15" s="47">
        <f t="shared" si="3"/>
        <v>114.89</v>
      </c>
      <c r="M15" s="47">
        <f t="shared" si="4"/>
        <v>0</v>
      </c>
      <c r="N15" t="str">
        <f>IF(A15="","",IF(D15="Category Pending","Needs categorization",IF(COUNTIFS($A$2:A15,A15,$B$2:B15,B15,$E$2:E15,E15)&gt;1,"Possible duplicate","")))</f>
        <v/>
      </c>
    </row>
    <row r="16" spans="1:14" x14ac:dyDescent="0.3">
      <c r="A16" s="46">
        <v>46237</v>
      </c>
      <c r="B16" t="s">
        <v>393</v>
      </c>
      <c r="C16" s="16" t="s">
        <v>394</v>
      </c>
      <c r="D16" t="s">
        <v>275</v>
      </c>
      <c r="E16" s="47">
        <v>-99.07</v>
      </c>
      <c r="F16" t="s">
        <v>381</v>
      </c>
      <c r="G16" s="5" t="str">
        <f t="shared" si="0"/>
        <v>Checking</v>
      </c>
      <c r="H16" t="s">
        <v>108</v>
      </c>
      <c r="I16" t="s">
        <v>154</v>
      </c>
      <c r="J16" t="str">
        <f t="shared" si="1"/>
        <v>Yes</v>
      </c>
      <c r="K16" s="4" t="str">
        <f t="shared" si="2"/>
        <v>September 2026</v>
      </c>
      <c r="L16" s="47">
        <f t="shared" si="3"/>
        <v>99.07</v>
      </c>
      <c r="M16" s="47">
        <f t="shared" si="4"/>
        <v>0</v>
      </c>
      <c r="N16" t="str">
        <f>IF(A16="","",IF(D16="Category Pending","Needs categorization",IF(COUNTIFS($A$2:A16,A16,$B$2:B16,B16,$E$2:E16,E16)&gt;1,"Possible duplicate","")))</f>
        <v/>
      </c>
    </row>
    <row r="17" spans="1:14" x14ac:dyDescent="0.3">
      <c r="A17" s="46">
        <v>46237</v>
      </c>
      <c r="B17" t="s">
        <v>396</v>
      </c>
      <c r="C17" s="16" t="s">
        <v>397</v>
      </c>
      <c r="D17" t="s">
        <v>249</v>
      </c>
      <c r="E17" s="47">
        <v>-35.71</v>
      </c>
      <c r="F17" t="s">
        <v>381</v>
      </c>
      <c r="G17" s="5" t="str">
        <f t="shared" si="0"/>
        <v>Checking</v>
      </c>
      <c r="H17" t="s">
        <v>108</v>
      </c>
      <c r="I17" t="s">
        <v>154</v>
      </c>
      <c r="J17" t="str">
        <f t="shared" si="1"/>
        <v>Yes</v>
      </c>
      <c r="K17" s="4" t="str">
        <f t="shared" si="2"/>
        <v>September 2026</v>
      </c>
      <c r="L17" s="47">
        <f t="shared" si="3"/>
        <v>35.71</v>
      </c>
      <c r="M17" s="47">
        <f t="shared" si="4"/>
        <v>0</v>
      </c>
      <c r="N17" t="str">
        <f>IF(A17="","",IF(D17="Category Pending","Needs categorization",IF(COUNTIFS($A$2:A17,A17,$B$2:B17,B17,$E$2:E17,E17)&gt;1,"Possible duplicate","")))</f>
        <v/>
      </c>
    </row>
    <row r="18" spans="1:14" x14ac:dyDescent="0.3">
      <c r="A18" s="46">
        <v>46237</v>
      </c>
      <c r="B18" t="s">
        <v>411</v>
      </c>
      <c r="C18" s="16" t="s">
        <v>412</v>
      </c>
      <c r="D18" t="s">
        <v>272</v>
      </c>
      <c r="E18" s="47">
        <v>-25.41</v>
      </c>
      <c r="F18" t="s">
        <v>381</v>
      </c>
      <c r="G18" s="5" t="str">
        <f t="shared" si="0"/>
        <v>Checking</v>
      </c>
      <c r="H18" t="s">
        <v>116</v>
      </c>
      <c r="I18" t="s">
        <v>179</v>
      </c>
      <c r="J18" t="str">
        <f t="shared" si="1"/>
        <v>Yes</v>
      </c>
      <c r="K18" s="4" t="str">
        <f t="shared" si="2"/>
        <v>September 2026</v>
      </c>
      <c r="L18" s="47">
        <f t="shared" si="3"/>
        <v>25.41</v>
      </c>
      <c r="M18" s="47">
        <f t="shared" si="4"/>
        <v>0</v>
      </c>
      <c r="N18" t="str">
        <f>IF(A18="","",IF(D18="Category Pending","Needs categorization",IF(COUNTIFS($A$2:A18,A18,$B$2:B18,B18,$E$2:E18,E18)&gt;1,"Possible duplicate","")))</f>
        <v/>
      </c>
    </row>
    <row r="19" spans="1:14" x14ac:dyDescent="0.3">
      <c r="A19" s="46">
        <v>46237</v>
      </c>
      <c r="B19" t="s">
        <v>386</v>
      </c>
      <c r="C19" s="16" t="s">
        <v>413</v>
      </c>
      <c r="D19" t="s">
        <v>207</v>
      </c>
      <c r="E19" s="47">
        <v>-12.81</v>
      </c>
      <c r="F19" t="s">
        <v>381</v>
      </c>
      <c r="G19" s="5" t="str">
        <f t="shared" si="0"/>
        <v>Checking</v>
      </c>
      <c r="H19" t="s">
        <v>235</v>
      </c>
      <c r="I19" t="s">
        <v>244</v>
      </c>
      <c r="J19" t="str">
        <f t="shared" si="1"/>
        <v>No</v>
      </c>
      <c r="K19" s="4" t="str">
        <f t="shared" si="2"/>
        <v>September 2026</v>
      </c>
      <c r="L19" s="47">
        <f t="shared" si="3"/>
        <v>0</v>
      </c>
      <c r="M19" s="47">
        <f t="shared" si="4"/>
        <v>0</v>
      </c>
      <c r="N19" t="str">
        <f>IF(A19="","",IF(D19="Category Pending","Needs categorization",IF(COUNTIFS($A$2:A19,A19,$B$2:B19,B19,$E$2:E19,E19)&gt;1,"Possible duplicate","")))</f>
        <v/>
      </c>
    </row>
    <row r="20" spans="1:14" x14ac:dyDescent="0.3">
      <c r="A20" s="46">
        <v>46237</v>
      </c>
      <c r="B20" t="s">
        <v>414</v>
      </c>
      <c r="C20" s="16" t="s">
        <v>415</v>
      </c>
      <c r="D20" t="s">
        <v>277</v>
      </c>
      <c r="E20" s="47">
        <v>-11.64</v>
      </c>
      <c r="F20" t="s">
        <v>381</v>
      </c>
      <c r="G20" s="5" t="str">
        <f t="shared" si="0"/>
        <v>Checking</v>
      </c>
      <c r="H20" t="s">
        <v>108</v>
      </c>
      <c r="I20" t="s">
        <v>154</v>
      </c>
      <c r="J20" t="str">
        <f t="shared" si="1"/>
        <v>Yes</v>
      </c>
      <c r="K20" s="4" t="str">
        <f t="shared" si="2"/>
        <v>September 2026</v>
      </c>
      <c r="L20" s="47">
        <f t="shared" si="3"/>
        <v>11.64</v>
      </c>
      <c r="M20" s="47">
        <f t="shared" si="4"/>
        <v>0</v>
      </c>
      <c r="N20" t="str">
        <f>IF(A20="","",IF(D20="Category Pending","Needs categorization",IF(COUNTIFS($A$2:A20,A20,$B$2:B20,B20,$E$2:E20,E20)&gt;1,"Possible duplicate","")))</f>
        <v/>
      </c>
    </row>
    <row r="21" spans="1:14" x14ac:dyDescent="0.3">
      <c r="A21" s="46">
        <v>46237</v>
      </c>
      <c r="B21" t="s">
        <v>386</v>
      </c>
      <c r="C21" s="16" t="s">
        <v>413</v>
      </c>
      <c r="D21" t="s">
        <v>207</v>
      </c>
      <c r="E21" s="47">
        <v>-4.5199999999999996</v>
      </c>
      <c r="F21" t="s">
        <v>381</v>
      </c>
      <c r="G21" s="5" t="str">
        <f t="shared" si="0"/>
        <v>Checking</v>
      </c>
      <c r="H21" t="s">
        <v>104</v>
      </c>
      <c r="I21" t="s">
        <v>147</v>
      </c>
      <c r="J21" t="str">
        <f t="shared" si="1"/>
        <v>Yes</v>
      </c>
      <c r="K21" s="4" t="str">
        <f t="shared" si="2"/>
        <v>September 2026</v>
      </c>
      <c r="L21" s="47">
        <f t="shared" si="3"/>
        <v>4.5199999999999996</v>
      </c>
      <c r="M21" s="47">
        <f t="shared" si="4"/>
        <v>0</v>
      </c>
      <c r="N21" t="str">
        <f>IF(A21="","",IF(D21="Category Pending","Needs categorization",IF(COUNTIFS($A$2:A21,A21,$B$2:B21,B21,$E$2:E21,E21)&gt;1,"Possible duplicate","")))</f>
        <v/>
      </c>
    </row>
    <row r="22" spans="1:14" x14ac:dyDescent="0.3">
      <c r="A22" s="46">
        <v>46233</v>
      </c>
      <c r="B22" t="s">
        <v>305</v>
      </c>
      <c r="C22" s="16" t="s">
        <v>398</v>
      </c>
      <c r="D22" t="s">
        <v>96</v>
      </c>
      <c r="E22" s="47">
        <v>-121</v>
      </c>
      <c r="F22" t="s">
        <v>381</v>
      </c>
      <c r="G22" s="5" t="str">
        <f t="shared" si="0"/>
        <v>Checking</v>
      </c>
      <c r="H22" t="s">
        <v>114</v>
      </c>
      <c r="I22" t="s">
        <v>191</v>
      </c>
      <c r="J22" t="str">
        <f t="shared" si="1"/>
        <v>Yes</v>
      </c>
      <c r="K22" s="4" t="str">
        <f t="shared" si="2"/>
        <v>August 2026</v>
      </c>
      <c r="L22" s="47">
        <f t="shared" si="3"/>
        <v>121</v>
      </c>
      <c r="M22" s="47">
        <f t="shared" si="4"/>
        <v>0</v>
      </c>
      <c r="N22" t="str">
        <f>IF(A22="","",IF(D22="Category Pending","Needs categorization",IF(COUNTIFS($A$2:A22,A22,$B$2:B22,B22,$E$2:E22,E22)&gt;1,"Possible duplicate","")))</f>
        <v/>
      </c>
    </row>
    <row r="23" spans="1:14" x14ac:dyDescent="0.3">
      <c r="A23" s="46">
        <v>46233</v>
      </c>
      <c r="B23" t="s">
        <v>416</v>
      </c>
      <c r="C23" s="16" t="s">
        <v>417</v>
      </c>
      <c r="D23" t="s">
        <v>418</v>
      </c>
      <c r="E23" s="47">
        <v>-82.99</v>
      </c>
      <c r="F23" t="s">
        <v>381</v>
      </c>
      <c r="G23" s="5" t="str">
        <f t="shared" si="0"/>
        <v>Checking</v>
      </c>
      <c r="H23" t="s">
        <v>114</v>
      </c>
      <c r="I23" t="s">
        <v>191</v>
      </c>
      <c r="J23" t="str">
        <f t="shared" si="1"/>
        <v>Yes</v>
      </c>
      <c r="K23" s="4" t="str">
        <f t="shared" si="2"/>
        <v>August 2026</v>
      </c>
      <c r="L23" s="47">
        <f t="shared" si="3"/>
        <v>82.99</v>
      </c>
      <c r="M23" s="47">
        <f t="shared" si="4"/>
        <v>0</v>
      </c>
      <c r="N23" t="str">
        <f>IF(A23="","",IF(D23="Category Pending","Needs categorization",IF(COUNTIFS($A$2:A23,A23,$B$2:B23,B23,$E$2:E23,E23)&gt;1,"Possible duplicate","")))</f>
        <v/>
      </c>
    </row>
    <row r="24" spans="1:14" x14ac:dyDescent="0.3">
      <c r="A24" s="46">
        <v>46232</v>
      </c>
      <c r="B24" t="s">
        <v>419</v>
      </c>
      <c r="C24" s="16" t="s">
        <v>420</v>
      </c>
      <c r="D24" t="s">
        <v>262</v>
      </c>
      <c r="E24" s="47">
        <v>-16.5</v>
      </c>
      <c r="F24" t="s">
        <v>381</v>
      </c>
      <c r="G24" s="5" t="str">
        <f t="shared" si="0"/>
        <v>Checking</v>
      </c>
      <c r="H24" t="s">
        <v>137</v>
      </c>
      <c r="I24" t="s">
        <v>137</v>
      </c>
      <c r="J24" t="str">
        <f t="shared" si="1"/>
        <v>Yes</v>
      </c>
      <c r="K24" s="4" t="str">
        <f t="shared" si="2"/>
        <v>August 2026</v>
      </c>
      <c r="L24" s="47">
        <f t="shared" si="3"/>
        <v>16.5</v>
      </c>
      <c r="M24" s="47">
        <f t="shared" si="4"/>
        <v>0</v>
      </c>
      <c r="N24" t="str">
        <f>IF(A24="","",IF(D24="Category Pending","Needs categorization",IF(COUNTIFS($A$2:A24,A24,$B$2:B24,B24,$E$2:E24,E24)&gt;1,"Possible duplicate","")))</f>
        <v/>
      </c>
    </row>
    <row r="25" spans="1:14" x14ac:dyDescent="0.3">
      <c r="A25" s="46">
        <v>46232</v>
      </c>
      <c r="B25" t="s">
        <v>421</v>
      </c>
      <c r="C25" s="16" t="s">
        <v>422</v>
      </c>
      <c r="D25" t="s">
        <v>256</v>
      </c>
      <c r="E25" s="47">
        <v>-3.97</v>
      </c>
      <c r="F25" t="s">
        <v>381</v>
      </c>
      <c r="G25" s="5" t="str">
        <f t="shared" si="0"/>
        <v>Checking</v>
      </c>
      <c r="H25" t="s">
        <v>100</v>
      </c>
      <c r="I25" t="s">
        <v>199</v>
      </c>
      <c r="J25" t="str">
        <f t="shared" si="1"/>
        <v>Yes</v>
      </c>
      <c r="K25" s="4" t="str">
        <f t="shared" si="2"/>
        <v>August 2026</v>
      </c>
      <c r="L25" s="47">
        <f t="shared" si="3"/>
        <v>3.97</v>
      </c>
      <c r="M25" s="47">
        <f t="shared" si="4"/>
        <v>0</v>
      </c>
      <c r="N25" t="str">
        <f>IF(A25="","",IF(D25="Category Pending","Needs categorization",IF(COUNTIFS($A$2:A25,A25,$B$2:B25,B25,$E$2:E25,E25)&gt;1,"Possible duplicate","")))</f>
        <v/>
      </c>
    </row>
    <row r="26" spans="1:14" x14ac:dyDescent="0.3">
      <c r="A26" s="46">
        <v>46232</v>
      </c>
      <c r="B26" t="s">
        <v>400</v>
      </c>
      <c r="C26" s="16" t="s">
        <v>401</v>
      </c>
      <c r="D26" t="s">
        <v>274</v>
      </c>
      <c r="E26" s="47">
        <v>758.37</v>
      </c>
      <c r="F26" t="s">
        <v>381</v>
      </c>
      <c r="G26" s="5" t="str">
        <f t="shared" si="0"/>
        <v>Checking</v>
      </c>
      <c r="H26" t="s">
        <v>104</v>
      </c>
      <c r="I26" t="s">
        <v>169</v>
      </c>
      <c r="J26" t="str">
        <f t="shared" si="1"/>
        <v>Yes</v>
      </c>
      <c r="K26" s="4" t="str">
        <f t="shared" si="2"/>
        <v>August 2026</v>
      </c>
      <c r="L26" s="47">
        <f t="shared" si="3"/>
        <v>0</v>
      </c>
      <c r="M26" s="47">
        <f t="shared" si="4"/>
        <v>758.37</v>
      </c>
      <c r="N26" t="str">
        <f>IF(A26="","",IF(D26="Category Pending","Needs categorization",IF(COUNTIFS($A$2:A26,A26,$B$2:B26,B26,$E$2:E26,E26)&gt;1,"Possible duplicate","")))</f>
        <v/>
      </c>
    </row>
    <row r="27" spans="1:14" x14ac:dyDescent="0.3">
      <c r="A27" s="46">
        <v>46231</v>
      </c>
      <c r="B27" t="s">
        <v>416</v>
      </c>
      <c r="C27" s="16" t="s">
        <v>417</v>
      </c>
      <c r="D27" t="s">
        <v>418</v>
      </c>
      <c r="E27" s="47">
        <v>-29.99</v>
      </c>
      <c r="F27" t="s">
        <v>381</v>
      </c>
      <c r="G27" s="5" t="str">
        <f t="shared" si="0"/>
        <v>Checking</v>
      </c>
      <c r="H27" t="s">
        <v>96</v>
      </c>
      <c r="I27" t="s">
        <v>198</v>
      </c>
      <c r="J27" t="str">
        <f t="shared" si="1"/>
        <v>Yes</v>
      </c>
      <c r="K27" s="4" t="str">
        <f t="shared" si="2"/>
        <v>July 2026</v>
      </c>
      <c r="L27" s="47">
        <f t="shared" si="3"/>
        <v>29.99</v>
      </c>
      <c r="M27" s="47">
        <f t="shared" si="4"/>
        <v>0</v>
      </c>
      <c r="N27" t="str">
        <f>IF(A27="","",IF(D27="Category Pending","Needs categorization",IF(COUNTIFS($A$2:A27,A27,$B$2:B27,B27,$E$2:E27,E27)&gt;1,"Possible duplicate","")))</f>
        <v/>
      </c>
    </row>
    <row r="28" spans="1:14" x14ac:dyDescent="0.3">
      <c r="A28" s="46">
        <v>46231</v>
      </c>
      <c r="B28" t="s">
        <v>423</v>
      </c>
      <c r="C28" s="16" t="s">
        <v>424</v>
      </c>
      <c r="D28" t="s">
        <v>207</v>
      </c>
      <c r="E28" s="47">
        <v>-11.36</v>
      </c>
      <c r="F28" t="s">
        <v>381</v>
      </c>
      <c r="G28" s="5" t="str">
        <f t="shared" si="0"/>
        <v>Checking</v>
      </c>
      <c r="H28" t="s">
        <v>104</v>
      </c>
      <c r="I28" t="s">
        <v>147</v>
      </c>
      <c r="J28" t="str">
        <f t="shared" si="1"/>
        <v>Yes</v>
      </c>
      <c r="K28" s="4" t="str">
        <f t="shared" si="2"/>
        <v>July 2026</v>
      </c>
      <c r="L28" s="47">
        <f t="shared" si="3"/>
        <v>11.36</v>
      </c>
      <c r="M28" s="47">
        <f t="shared" si="4"/>
        <v>0</v>
      </c>
      <c r="N28" t="str">
        <f>IF(A28="","",IF(D28="Category Pending","Needs categorization",IF(COUNTIFS($A$2:A28,A28,$B$2:B28,B28,$E$2:E28,E28)&gt;1,"Possible duplicate","")))</f>
        <v/>
      </c>
    </row>
    <row r="29" spans="1:14" x14ac:dyDescent="0.3">
      <c r="A29" s="46">
        <v>46230</v>
      </c>
      <c r="B29" t="s">
        <v>395</v>
      </c>
      <c r="C29" s="16" t="s">
        <v>382</v>
      </c>
      <c r="D29" t="s">
        <v>278</v>
      </c>
      <c r="E29" s="47">
        <v>-200</v>
      </c>
      <c r="F29" t="s">
        <v>381</v>
      </c>
      <c r="G29" s="5" t="str">
        <f t="shared" si="0"/>
        <v>Checking</v>
      </c>
      <c r="H29" t="s">
        <v>92</v>
      </c>
      <c r="I29" t="s">
        <v>206</v>
      </c>
      <c r="J29" t="str">
        <f t="shared" si="1"/>
        <v>No</v>
      </c>
      <c r="K29" s="4" t="str">
        <f t="shared" si="2"/>
        <v>July 2026</v>
      </c>
      <c r="L29" s="47">
        <f t="shared" si="3"/>
        <v>0</v>
      </c>
      <c r="M29" s="47">
        <f t="shared" si="4"/>
        <v>0</v>
      </c>
      <c r="N29" t="str">
        <f>IF(A29="","",IF(D29="Category Pending","Needs categorization",IF(COUNTIFS($A$2:A29,A29,$B$2:B29,B29,$E$2:E29,E29)&gt;1,"Possible duplicate","")))</f>
        <v/>
      </c>
    </row>
    <row r="30" spans="1:14" x14ac:dyDescent="0.3">
      <c r="A30" s="46">
        <v>46230</v>
      </c>
      <c r="B30" t="s">
        <v>425</v>
      </c>
      <c r="C30" s="16" t="s">
        <v>426</v>
      </c>
      <c r="D30" t="s">
        <v>427</v>
      </c>
      <c r="E30" s="47">
        <v>-119.9</v>
      </c>
      <c r="F30" t="s">
        <v>381</v>
      </c>
      <c r="G30" s="5" t="str">
        <f t="shared" si="0"/>
        <v>Checking</v>
      </c>
      <c r="H30" t="s">
        <v>100</v>
      </c>
      <c r="I30" t="s">
        <v>187</v>
      </c>
      <c r="J30" t="str">
        <f t="shared" si="1"/>
        <v>Yes</v>
      </c>
      <c r="K30" s="4" t="str">
        <f t="shared" si="2"/>
        <v>July 2026</v>
      </c>
      <c r="L30" s="47">
        <f t="shared" si="3"/>
        <v>119.9</v>
      </c>
      <c r="M30" s="47">
        <f t="shared" si="4"/>
        <v>0</v>
      </c>
      <c r="N30" t="str">
        <f>IF(A30="","",IF(D30="Category Pending","Needs categorization",IF(COUNTIFS($A$2:A30,A30,$B$2:B30,B30,$E$2:E30,E30)&gt;1,"Possible duplicate","")))</f>
        <v/>
      </c>
    </row>
    <row r="31" spans="1:14" x14ac:dyDescent="0.3">
      <c r="A31" s="46">
        <v>46230</v>
      </c>
      <c r="B31" t="s">
        <v>387</v>
      </c>
      <c r="C31" s="16" t="s">
        <v>388</v>
      </c>
      <c r="D31" t="s">
        <v>278</v>
      </c>
      <c r="E31" s="47">
        <v>-100</v>
      </c>
      <c r="F31" t="s">
        <v>381</v>
      </c>
      <c r="G31" s="5" t="str">
        <f t="shared" si="0"/>
        <v>Checking</v>
      </c>
      <c r="H31" t="s">
        <v>100</v>
      </c>
      <c r="I31" t="s">
        <v>187</v>
      </c>
      <c r="J31" t="str">
        <f t="shared" si="1"/>
        <v>No</v>
      </c>
      <c r="K31" s="4" t="str">
        <f t="shared" si="2"/>
        <v>July 2026</v>
      </c>
      <c r="L31" s="47">
        <f t="shared" si="3"/>
        <v>0</v>
      </c>
      <c r="M31" s="47">
        <f t="shared" si="4"/>
        <v>0</v>
      </c>
      <c r="N31" t="str">
        <f>IF(A31="","",IF(D31="Category Pending","Needs categorization",IF(COUNTIFS($A$2:A31,A31,$B$2:B31,B31,$E$2:E31,E31)&gt;1,"Possible duplicate","")))</f>
        <v/>
      </c>
    </row>
    <row r="32" spans="1:14" x14ac:dyDescent="0.3">
      <c r="A32" s="46">
        <v>46230</v>
      </c>
      <c r="B32" t="s">
        <v>428</v>
      </c>
      <c r="C32" s="16" t="s">
        <v>429</v>
      </c>
      <c r="D32" t="s">
        <v>430</v>
      </c>
      <c r="E32" s="47">
        <v>-55.38</v>
      </c>
      <c r="F32" t="s">
        <v>381</v>
      </c>
      <c r="G32" s="5" t="str">
        <f t="shared" si="0"/>
        <v>Checking</v>
      </c>
      <c r="H32" t="s">
        <v>108</v>
      </c>
      <c r="I32" t="s">
        <v>154</v>
      </c>
      <c r="J32" t="str">
        <f t="shared" si="1"/>
        <v>Yes</v>
      </c>
      <c r="K32" s="4" t="str">
        <f t="shared" si="2"/>
        <v>July 2026</v>
      </c>
      <c r="L32" s="47">
        <f t="shared" si="3"/>
        <v>55.38</v>
      </c>
      <c r="M32" s="47">
        <f t="shared" si="4"/>
        <v>0</v>
      </c>
      <c r="N32" t="str">
        <f>IF(A32="","",IF(D32="Category Pending","Needs categorization",IF(COUNTIFS($A$2:A32,A32,$B$2:B32,B32,$E$2:E32,E32)&gt;1,"Possible duplicate","")))</f>
        <v/>
      </c>
    </row>
    <row r="33" spans="1:14" x14ac:dyDescent="0.3">
      <c r="A33" s="46">
        <v>46230</v>
      </c>
      <c r="B33" t="s">
        <v>389</v>
      </c>
      <c r="C33" s="16" t="s">
        <v>431</v>
      </c>
      <c r="D33" t="s">
        <v>262</v>
      </c>
      <c r="E33" s="47">
        <v>-51.38</v>
      </c>
      <c r="F33" t="s">
        <v>381</v>
      </c>
      <c r="G33" s="5" t="str">
        <f t="shared" si="0"/>
        <v>Checking</v>
      </c>
      <c r="H33" t="s">
        <v>237</v>
      </c>
      <c r="I33" t="s">
        <v>237</v>
      </c>
      <c r="J33" t="str">
        <f t="shared" si="1"/>
        <v>No</v>
      </c>
      <c r="K33" s="4" t="str">
        <f t="shared" si="2"/>
        <v>July 2026</v>
      </c>
      <c r="L33" s="47">
        <f t="shared" si="3"/>
        <v>0</v>
      </c>
      <c r="M33" s="47">
        <f t="shared" si="4"/>
        <v>0</v>
      </c>
      <c r="N33" t="str">
        <f>IF(A33="","",IF(D33="Category Pending","Needs categorization",IF(COUNTIFS($A$2:A33,A33,$B$2:B33,B33,$E$2:E33,E33)&gt;1,"Possible duplicate","")))</f>
        <v/>
      </c>
    </row>
    <row r="34" spans="1:14" x14ac:dyDescent="0.3">
      <c r="A34" s="46">
        <v>46230</v>
      </c>
      <c r="B34" t="s">
        <v>432</v>
      </c>
      <c r="C34" s="16" t="s">
        <v>433</v>
      </c>
      <c r="D34" t="s">
        <v>434</v>
      </c>
      <c r="E34" s="47">
        <v>-35</v>
      </c>
      <c r="F34" t="s">
        <v>381</v>
      </c>
      <c r="G34" s="5" t="str">
        <f t="shared" si="0"/>
        <v>Checking</v>
      </c>
      <c r="H34" t="s">
        <v>104</v>
      </c>
      <c r="I34" t="s">
        <v>169</v>
      </c>
      <c r="J34" t="str">
        <f t="shared" si="1"/>
        <v>Yes</v>
      </c>
      <c r="K34" s="4" t="str">
        <f t="shared" si="2"/>
        <v>July 2026</v>
      </c>
      <c r="L34" s="47">
        <f t="shared" si="3"/>
        <v>35</v>
      </c>
      <c r="M34" s="47">
        <f t="shared" si="4"/>
        <v>0</v>
      </c>
      <c r="N34" t="str">
        <f>IF(A34="","",IF(D34="Category Pending","Needs categorization",IF(COUNTIFS($A$2:A34,A34,$B$2:B34,B34,$E$2:E34,E34)&gt;1,"Possible duplicate","")))</f>
        <v/>
      </c>
    </row>
    <row r="35" spans="1:14" x14ac:dyDescent="0.3">
      <c r="A35" s="46">
        <v>46230</v>
      </c>
      <c r="B35" t="s">
        <v>435</v>
      </c>
      <c r="C35" s="16" t="s">
        <v>436</v>
      </c>
      <c r="D35" t="s">
        <v>259</v>
      </c>
      <c r="E35" s="47">
        <v>-31.26</v>
      </c>
      <c r="F35" t="s">
        <v>381</v>
      </c>
      <c r="G35" s="5" t="str">
        <f t="shared" si="0"/>
        <v>Checking</v>
      </c>
      <c r="H35" t="s">
        <v>104</v>
      </c>
      <c r="I35" t="s">
        <v>147</v>
      </c>
      <c r="J35" t="str">
        <f t="shared" si="1"/>
        <v>Yes</v>
      </c>
      <c r="K35" s="4" t="str">
        <f t="shared" si="2"/>
        <v>July 2026</v>
      </c>
      <c r="L35" s="47">
        <f t="shared" si="3"/>
        <v>31.26</v>
      </c>
      <c r="M35" s="47">
        <f t="shared" si="4"/>
        <v>0</v>
      </c>
      <c r="N35" t="str">
        <f>IF(A35="","",IF(D35="Category Pending","Needs categorization",IF(COUNTIFS($A$2:A35,A35,$B$2:B35,B35,$E$2:E35,E35)&gt;1,"Possible duplicate","")))</f>
        <v/>
      </c>
    </row>
    <row r="36" spans="1:14" x14ac:dyDescent="0.3">
      <c r="A36" s="46">
        <v>46230</v>
      </c>
      <c r="B36" t="s">
        <v>437</v>
      </c>
      <c r="C36" s="16" t="s">
        <v>438</v>
      </c>
      <c r="D36" t="s">
        <v>439</v>
      </c>
      <c r="E36" s="47">
        <v>-24.15</v>
      </c>
      <c r="F36" t="s">
        <v>381</v>
      </c>
      <c r="G36" s="5" t="str">
        <f t="shared" si="0"/>
        <v>Checking</v>
      </c>
      <c r="H36" t="s">
        <v>237</v>
      </c>
      <c r="I36" t="s">
        <v>237</v>
      </c>
      <c r="J36" t="str">
        <f t="shared" si="1"/>
        <v>No</v>
      </c>
      <c r="K36" s="4" t="str">
        <f t="shared" si="2"/>
        <v>July 2026</v>
      </c>
      <c r="L36" s="47">
        <f t="shared" si="3"/>
        <v>0</v>
      </c>
      <c r="M36" s="47">
        <f t="shared" si="4"/>
        <v>0</v>
      </c>
      <c r="N36" t="str">
        <f>IF(A36="","",IF(D36="Category Pending","Needs categorization",IF(COUNTIFS($A$2:A36,A36,$B$2:B36,B36,$E$2:E36,E36)&gt;1,"Possible duplicate","")))</f>
        <v/>
      </c>
    </row>
    <row r="37" spans="1:14" x14ac:dyDescent="0.3">
      <c r="A37" s="46">
        <v>46230</v>
      </c>
      <c r="B37" t="s">
        <v>437</v>
      </c>
      <c r="C37" s="16" t="s">
        <v>438</v>
      </c>
      <c r="D37" t="s">
        <v>439</v>
      </c>
      <c r="E37" s="47">
        <v>-24.15</v>
      </c>
      <c r="F37" t="s">
        <v>381</v>
      </c>
      <c r="G37" s="5" t="str">
        <f t="shared" si="0"/>
        <v>Checking</v>
      </c>
      <c r="H37" t="s">
        <v>116</v>
      </c>
      <c r="I37" t="s">
        <v>157</v>
      </c>
      <c r="J37" t="str">
        <f t="shared" si="1"/>
        <v>Yes</v>
      </c>
      <c r="K37" s="4" t="str">
        <f t="shared" si="2"/>
        <v>July 2026</v>
      </c>
      <c r="L37" s="47">
        <f t="shared" si="3"/>
        <v>24.15</v>
      </c>
      <c r="M37" s="47">
        <f t="shared" si="4"/>
        <v>0</v>
      </c>
      <c r="N37" t="str">
        <f>IF(A37="","",IF(D37="Category Pending","Needs categorization",IF(COUNTIFS($A$2:A37,A37,$B$2:B37,B37,$E$2:E37,E37)&gt;1,"Possible duplicate","")))</f>
        <v>Possible duplicate</v>
      </c>
    </row>
    <row r="38" spans="1:14" x14ac:dyDescent="0.3">
      <c r="A38" s="46">
        <v>46230</v>
      </c>
      <c r="B38" t="s">
        <v>440</v>
      </c>
      <c r="C38" s="16" t="s">
        <v>441</v>
      </c>
      <c r="D38" t="s">
        <v>275</v>
      </c>
      <c r="E38" s="47">
        <v>-16.29</v>
      </c>
      <c r="F38" t="s">
        <v>381</v>
      </c>
      <c r="G38" s="5" t="str">
        <f t="shared" si="0"/>
        <v>Checking</v>
      </c>
      <c r="H38" t="s">
        <v>113</v>
      </c>
      <c r="I38" t="s">
        <v>174</v>
      </c>
      <c r="J38" t="str">
        <f t="shared" si="1"/>
        <v>Yes</v>
      </c>
      <c r="K38" s="4" t="str">
        <f t="shared" si="2"/>
        <v>July 2026</v>
      </c>
      <c r="L38" s="47">
        <f t="shared" si="3"/>
        <v>16.29</v>
      </c>
      <c r="M38" s="47">
        <f t="shared" si="4"/>
        <v>0</v>
      </c>
      <c r="N38" t="str">
        <f>IF(A38="","",IF(D38="Category Pending","Needs categorization",IF(COUNTIFS($A$2:A38,A38,$B$2:B38,B38,$E$2:E38,E38)&gt;1,"Possible duplicate","")))</f>
        <v/>
      </c>
    </row>
    <row r="39" spans="1:14" x14ac:dyDescent="0.3">
      <c r="A39" s="46">
        <v>46230</v>
      </c>
      <c r="B39" t="s">
        <v>428</v>
      </c>
      <c r="C39" s="16" t="s">
        <v>429</v>
      </c>
      <c r="D39" t="s">
        <v>430</v>
      </c>
      <c r="E39" s="47">
        <v>-16</v>
      </c>
      <c r="F39" t="s">
        <v>381</v>
      </c>
      <c r="G39" s="5" t="str">
        <f t="shared" si="0"/>
        <v>Checking</v>
      </c>
      <c r="H39" t="s">
        <v>108</v>
      </c>
      <c r="I39" t="s">
        <v>177</v>
      </c>
      <c r="J39" t="str">
        <f t="shared" si="1"/>
        <v>Yes</v>
      </c>
      <c r="K39" s="4" t="str">
        <f t="shared" si="2"/>
        <v>July 2026</v>
      </c>
      <c r="L39" s="47">
        <f t="shared" si="3"/>
        <v>16</v>
      </c>
      <c r="M39" s="47">
        <f t="shared" si="4"/>
        <v>0</v>
      </c>
      <c r="N39" t="str">
        <f>IF(A39="","",IF(D39="Category Pending","Needs categorization",IF(COUNTIFS($A$2:A39,A39,$B$2:B39,B39,$E$2:E39,E39)&gt;1,"Possible duplicate","")))</f>
        <v/>
      </c>
    </row>
    <row r="40" spans="1:14" x14ac:dyDescent="0.3">
      <c r="A40" s="46">
        <v>46230</v>
      </c>
      <c r="B40" t="s">
        <v>442</v>
      </c>
      <c r="C40" s="16" t="s">
        <v>443</v>
      </c>
      <c r="D40" t="s">
        <v>96</v>
      </c>
      <c r="E40" s="47">
        <v>-10</v>
      </c>
      <c r="F40" t="s">
        <v>381</v>
      </c>
      <c r="G40" s="5" t="str">
        <f t="shared" si="0"/>
        <v>Checking</v>
      </c>
      <c r="H40" t="s">
        <v>108</v>
      </c>
      <c r="I40" t="s">
        <v>177</v>
      </c>
      <c r="J40" t="str">
        <f t="shared" si="1"/>
        <v>Yes</v>
      </c>
      <c r="K40" s="4" t="str">
        <f t="shared" si="2"/>
        <v>July 2026</v>
      </c>
      <c r="L40" s="47">
        <f t="shared" si="3"/>
        <v>10</v>
      </c>
      <c r="M40" s="47">
        <f t="shared" si="4"/>
        <v>0</v>
      </c>
      <c r="N40" t="str">
        <f>IF(A40="","",IF(D40="Category Pending","Needs categorization",IF(COUNTIFS($A$2:A40,A40,$B$2:B40,B40,$E$2:E40,E40)&gt;1,"Possible duplicate","")))</f>
        <v/>
      </c>
    </row>
    <row r="41" spans="1:14" x14ac:dyDescent="0.3">
      <c r="A41" s="46">
        <v>46230</v>
      </c>
      <c r="B41" t="s">
        <v>442</v>
      </c>
      <c r="C41" s="16" t="s">
        <v>443</v>
      </c>
      <c r="D41" t="s">
        <v>96</v>
      </c>
      <c r="E41" s="47">
        <v>-10</v>
      </c>
      <c r="F41" t="s">
        <v>381</v>
      </c>
      <c r="G41" s="5" t="str">
        <f t="shared" si="0"/>
        <v>Checking</v>
      </c>
      <c r="H41" t="s">
        <v>116</v>
      </c>
      <c r="I41" t="s">
        <v>157</v>
      </c>
      <c r="J41" t="str">
        <f t="shared" si="1"/>
        <v>Yes</v>
      </c>
      <c r="K41" s="4" t="str">
        <f t="shared" si="2"/>
        <v>July 2026</v>
      </c>
      <c r="L41" s="47">
        <f t="shared" si="3"/>
        <v>10</v>
      </c>
      <c r="M41" s="47">
        <f t="shared" si="4"/>
        <v>0</v>
      </c>
      <c r="N41" t="str">
        <f>IF(A41="","",IF(D41="Category Pending","Needs categorization",IF(COUNTIFS($A$2:A41,A41,$B$2:B41,B41,$E$2:E41,E41)&gt;1,"Possible duplicate","")))</f>
        <v>Possible duplicate</v>
      </c>
    </row>
    <row r="42" spans="1:14" x14ac:dyDescent="0.3">
      <c r="A42" s="46">
        <v>46227</v>
      </c>
      <c r="B42" t="s">
        <v>444</v>
      </c>
      <c r="C42" s="16" t="s">
        <v>445</v>
      </c>
      <c r="D42" t="s">
        <v>278</v>
      </c>
      <c r="E42" s="47">
        <v>1278.03</v>
      </c>
      <c r="F42" t="s">
        <v>381</v>
      </c>
      <c r="G42" s="5" t="str">
        <f t="shared" si="0"/>
        <v>Checking</v>
      </c>
      <c r="H42" t="s">
        <v>237</v>
      </c>
      <c r="I42" t="s">
        <v>237</v>
      </c>
      <c r="J42" t="str">
        <f t="shared" si="1"/>
        <v>No</v>
      </c>
      <c r="K42" s="4" t="str">
        <f t="shared" si="2"/>
        <v>July 2026</v>
      </c>
      <c r="L42" s="47">
        <f t="shared" si="3"/>
        <v>0</v>
      </c>
      <c r="M42" s="47">
        <f t="shared" si="4"/>
        <v>0</v>
      </c>
      <c r="N42" t="str">
        <f>IF(A42="","",IF(D42="Category Pending","Needs categorization",IF(COUNTIFS($A$2:A42,A42,$B$2:B42,B42,$E$2:E42,E42)&gt;1,"Possible duplicate","")))</f>
        <v/>
      </c>
    </row>
    <row r="43" spans="1:14" x14ac:dyDescent="0.3">
      <c r="A43" s="46" t="s">
        <v>446</v>
      </c>
      <c r="C43" s="16"/>
      <c r="E43" s="47"/>
      <c r="G43" s="5" t="str">
        <f t="shared" ref="G43:G96" si="5">IF(A43="","","Checking")</f>
        <v>Checking</v>
      </c>
      <c r="H43">
        <f>IF(A43="","",IFERROR(_xlfn.XLOOKUP(D43,Setup!$E$15:$E$79,Setup!$F$15:$F$79),"Miscellaneous"))</f>
        <v>0</v>
      </c>
      <c r="I43">
        <f>IF(A43="","",IFERROR(_xlfn.XLOOKUP(D43,Setup!$E$15:$E$79,Setup!$G$15:$G$79),"Uncategorized"))</f>
        <v>0</v>
      </c>
      <c r="J43" t="str">
        <f t="shared" ref="J43:J96" si="6">IF(A43="","",IF(OR(H43="Transfers",H43="Income",D43="Transfer",D43="Category Pending"),"No","Yes"))</f>
        <v>Yes</v>
      </c>
      <c r="K43" s="4" t="e">
        <f t="shared" ref="K43:K96" si="7">IF(A43="","",IF(A43&gt;=46232,TEXT(DATE(YEAR(A43),MONTH(A43)+1,1),"mmmm yyyy"),TEXT(DATE(YEAR(A43),MONTH(A43),1),"mmmm yyyy")))</f>
        <v>#VALUE!</v>
      </c>
      <c r="L43" s="47">
        <f t="shared" ref="L43:L96" si="8">IF(AND(J43="Yes",E43&lt;0),-E43,0)</f>
        <v>0</v>
      </c>
      <c r="M43" s="47">
        <f t="shared" ref="M43:M96" si="9">IF(AND(J43="Yes",E43&gt;0),E43,0)</f>
        <v>0</v>
      </c>
      <c r="N43" t="str">
        <f>IF(A43="","",IF(D43="Category Pending","Needs categorization",IF(COUNTIFS($A$2:A43,A43,$B$2:B43,B43,$E$2:E43,E43)&gt;1,"Possible duplicate","")))</f>
        <v/>
      </c>
    </row>
    <row r="44" spans="1:14" x14ac:dyDescent="0.3">
      <c r="A44" s="46"/>
      <c r="C44" s="16"/>
      <c r="E44" s="47"/>
      <c r="G44" s="5" t="str">
        <f t="shared" si="5"/>
        <v/>
      </c>
      <c r="H44" t="str">
        <f>IF(A44="","",IFERROR(_xlfn.XLOOKUP(D44,Setup!$E$15:$E$79,Setup!$F$15:$F$79),"Miscellaneous"))</f>
        <v/>
      </c>
      <c r="I44" t="str">
        <f>IF(A44="","",IFERROR(_xlfn.XLOOKUP(D44,Setup!$E$15:$E$79,Setup!$G$15:$G$79),"Uncategorized"))</f>
        <v/>
      </c>
      <c r="J44" t="str">
        <f t="shared" si="6"/>
        <v/>
      </c>
      <c r="K44" s="4" t="str">
        <f t="shared" si="7"/>
        <v/>
      </c>
      <c r="L44" s="47">
        <f t="shared" si="8"/>
        <v>0</v>
      </c>
      <c r="M44" s="47">
        <f t="shared" si="9"/>
        <v>0</v>
      </c>
      <c r="N44" t="str">
        <f>IF(A44="","",IF(D44="Category Pending","Needs categorization",IF(COUNTIFS($A$2:A44,A44,$B$2:B44,B44,$E$2:E44,E44)&gt;1,"Possible duplicate","")))</f>
        <v/>
      </c>
    </row>
    <row r="45" spans="1:14" x14ac:dyDescent="0.3">
      <c r="A45" s="46"/>
      <c r="C45" s="16"/>
      <c r="E45" s="47"/>
      <c r="G45" s="5" t="str">
        <f t="shared" si="5"/>
        <v/>
      </c>
      <c r="H45" t="str">
        <f>IF(A45="","",IFERROR(_xlfn.XLOOKUP(D45,Setup!$E$15:$E$79,Setup!$F$15:$F$79),"Miscellaneous"))</f>
        <v/>
      </c>
      <c r="I45" t="str">
        <f>IF(A45="","",IFERROR(_xlfn.XLOOKUP(D45,Setup!$E$15:$E$79,Setup!$G$15:$G$79),"Uncategorized"))</f>
        <v/>
      </c>
      <c r="J45" t="str">
        <f t="shared" si="6"/>
        <v/>
      </c>
      <c r="K45" s="4" t="str">
        <f t="shared" si="7"/>
        <v/>
      </c>
      <c r="L45" s="47">
        <f t="shared" si="8"/>
        <v>0</v>
      </c>
      <c r="M45" s="47">
        <f t="shared" si="9"/>
        <v>0</v>
      </c>
      <c r="N45" t="str">
        <f>IF(A45="","",IF(D45="Category Pending","Needs categorization",IF(COUNTIFS($A$2:A45,A45,$B$2:B45,B45,$E$2:E45,E45)&gt;1,"Possible duplicate","")))</f>
        <v/>
      </c>
    </row>
    <row r="46" spans="1:14" x14ac:dyDescent="0.3">
      <c r="A46" s="46"/>
      <c r="C46" s="16"/>
      <c r="E46" s="47"/>
      <c r="G46" s="5" t="str">
        <f t="shared" si="5"/>
        <v/>
      </c>
      <c r="H46" t="str">
        <f>IF(A46="","",IFERROR(_xlfn.XLOOKUP(D46,Setup!$E$15:$E$79,Setup!$F$15:$F$79),"Miscellaneous"))</f>
        <v/>
      </c>
      <c r="I46" t="str">
        <f>IF(A46="","",IFERROR(_xlfn.XLOOKUP(D46,Setup!$E$15:$E$79,Setup!$G$15:$G$79),"Uncategorized"))</f>
        <v/>
      </c>
      <c r="J46" t="str">
        <f t="shared" si="6"/>
        <v/>
      </c>
      <c r="K46" s="4" t="str">
        <f t="shared" si="7"/>
        <v/>
      </c>
      <c r="L46" s="47">
        <f t="shared" si="8"/>
        <v>0</v>
      </c>
      <c r="M46" s="47">
        <f t="shared" si="9"/>
        <v>0</v>
      </c>
      <c r="N46" t="str">
        <f>IF(A46="","",IF(D46="Category Pending","Needs categorization",IF(COUNTIFS($A$2:A46,A46,$B$2:B46,B46,$E$2:E46,E46)&gt;1,"Possible duplicate","")))</f>
        <v/>
      </c>
    </row>
    <row r="47" spans="1:14" x14ac:dyDescent="0.3">
      <c r="A47" s="46"/>
      <c r="C47" s="16"/>
      <c r="E47" s="47"/>
      <c r="G47" s="5" t="str">
        <f t="shared" si="5"/>
        <v/>
      </c>
      <c r="H47" t="str">
        <f>IF(A47="","",IFERROR(_xlfn.XLOOKUP(D47,Setup!$E$15:$E$79,Setup!$F$15:$F$79),"Miscellaneous"))</f>
        <v/>
      </c>
      <c r="I47" t="str">
        <f>IF(A47="","",IFERROR(_xlfn.XLOOKUP(D47,Setup!$E$15:$E$79,Setup!$G$15:$G$79),"Uncategorized"))</f>
        <v/>
      </c>
      <c r="J47" t="str">
        <f t="shared" si="6"/>
        <v/>
      </c>
      <c r="K47" s="4" t="str">
        <f t="shared" si="7"/>
        <v/>
      </c>
      <c r="L47" s="47">
        <f t="shared" si="8"/>
        <v>0</v>
      </c>
      <c r="M47" s="47">
        <f t="shared" si="9"/>
        <v>0</v>
      </c>
      <c r="N47" t="str">
        <f>IF(A47="","",IF(D47="Category Pending","Needs categorization",IF(COUNTIFS($A$2:A47,A47,$B$2:B47,B47,$E$2:E47,E47)&gt;1,"Possible duplicate","")))</f>
        <v/>
      </c>
    </row>
    <row r="48" spans="1:14" x14ac:dyDescent="0.3">
      <c r="A48" s="46"/>
      <c r="C48" s="16"/>
      <c r="E48" s="47"/>
      <c r="G48" s="5" t="str">
        <f t="shared" si="5"/>
        <v/>
      </c>
      <c r="H48" t="str">
        <f>IF(A48="","",IFERROR(_xlfn.XLOOKUP(D48,Setup!$E$15:$E$79,Setup!$F$15:$F$79),"Miscellaneous"))</f>
        <v/>
      </c>
      <c r="I48" t="str">
        <f>IF(A48="","",IFERROR(_xlfn.XLOOKUP(D48,Setup!$E$15:$E$79,Setup!$G$15:$G$79),"Uncategorized"))</f>
        <v/>
      </c>
      <c r="J48" t="str">
        <f t="shared" si="6"/>
        <v/>
      </c>
      <c r="K48" s="4" t="str">
        <f t="shared" si="7"/>
        <v/>
      </c>
      <c r="L48" s="47">
        <f t="shared" si="8"/>
        <v>0</v>
      </c>
      <c r="M48" s="47">
        <f t="shared" si="9"/>
        <v>0</v>
      </c>
      <c r="N48" t="str">
        <f>IF(A48="","",IF(D48="Category Pending","Needs categorization",IF(COUNTIFS($A$2:A48,A48,$B$2:B48,B48,$E$2:E48,E48)&gt;1,"Possible duplicate","")))</f>
        <v/>
      </c>
    </row>
    <row r="49" spans="1:14" x14ac:dyDescent="0.3">
      <c r="A49" s="46"/>
      <c r="C49" s="16"/>
      <c r="E49" s="47"/>
      <c r="G49" s="5" t="str">
        <f t="shared" si="5"/>
        <v/>
      </c>
      <c r="H49" t="str">
        <f>IF(A49="","",IFERROR(_xlfn.XLOOKUP(D49,Setup!$E$15:$E$79,Setup!$F$15:$F$79),"Miscellaneous"))</f>
        <v/>
      </c>
      <c r="I49" t="str">
        <f>IF(A49="","",IFERROR(_xlfn.XLOOKUP(D49,Setup!$E$15:$E$79,Setup!$G$15:$G$79),"Uncategorized"))</f>
        <v/>
      </c>
      <c r="J49" t="str">
        <f t="shared" si="6"/>
        <v/>
      </c>
      <c r="K49" s="4" t="str">
        <f t="shared" si="7"/>
        <v/>
      </c>
      <c r="L49" s="47">
        <f t="shared" si="8"/>
        <v>0</v>
      </c>
      <c r="M49" s="47">
        <f t="shared" si="9"/>
        <v>0</v>
      </c>
      <c r="N49" t="str">
        <f>IF(A49="","",IF(D49="Category Pending","Needs categorization",IF(COUNTIFS($A$2:A49,A49,$B$2:B49,B49,$E$2:E49,E49)&gt;1,"Possible duplicate","")))</f>
        <v/>
      </c>
    </row>
    <row r="50" spans="1:14" x14ac:dyDescent="0.3">
      <c r="A50" s="46"/>
      <c r="C50" s="16"/>
      <c r="E50" s="47"/>
      <c r="G50" s="5" t="str">
        <f t="shared" si="5"/>
        <v/>
      </c>
      <c r="H50" t="str">
        <f>IF(A50="","",IFERROR(_xlfn.XLOOKUP(D50,Setup!$E$15:$E$79,Setup!$F$15:$F$79),"Miscellaneous"))</f>
        <v/>
      </c>
      <c r="I50" t="str">
        <f>IF(A50="","",IFERROR(_xlfn.XLOOKUP(D50,Setup!$E$15:$E$79,Setup!$G$15:$G$79),"Uncategorized"))</f>
        <v/>
      </c>
      <c r="J50" t="str">
        <f t="shared" si="6"/>
        <v/>
      </c>
      <c r="K50" s="4" t="str">
        <f t="shared" si="7"/>
        <v/>
      </c>
      <c r="L50" s="47">
        <f t="shared" si="8"/>
        <v>0</v>
      </c>
      <c r="M50" s="47">
        <f t="shared" si="9"/>
        <v>0</v>
      </c>
      <c r="N50" t="str">
        <f>IF(A50="","",IF(D50="Category Pending","Needs categorization",IF(COUNTIFS($A$2:A50,A50,$B$2:B50,B50,$E$2:E50,E50)&gt;1,"Possible duplicate","")))</f>
        <v/>
      </c>
    </row>
    <row r="51" spans="1:14" x14ac:dyDescent="0.3">
      <c r="A51" s="46"/>
      <c r="C51" s="16"/>
      <c r="E51" s="47"/>
      <c r="G51" s="5" t="str">
        <f t="shared" si="5"/>
        <v/>
      </c>
      <c r="H51" t="str">
        <f>IF(A51="","",IFERROR(_xlfn.XLOOKUP(D51,Setup!$E$15:$E$79,Setup!$F$15:$F$79),"Miscellaneous"))</f>
        <v/>
      </c>
      <c r="I51" t="str">
        <f>IF(A51="","",IFERROR(_xlfn.XLOOKUP(D51,Setup!$E$15:$E$79,Setup!$G$15:$G$79),"Uncategorized"))</f>
        <v/>
      </c>
      <c r="J51" t="str">
        <f t="shared" si="6"/>
        <v/>
      </c>
      <c r="K51" s="4" t="str">
        <f t="shared" si="7"/>
        <v/>
      </c>
      <c r="L51" s="47">
        <f t="shared" si="8"/>
        <v>0</v>
      </c>
      <c r="M51" s="47">
        <f t="shared" si="9"/>
        <v>0</v>
      </c>
      <c r="N51" t="str">
        <f>IF(A51="","",IF(D51="Category Pending","Needs categorization",IF(COUNTIFS($A$2:A51,A51,$B$2:B51,B51,$E$2:E51,E51)&gt;1,"Possible duplicate","")))</f>
        <v/>
      </c>
    </row>
    <row r="52" spans="1:14" x14ac:dyDescent="0.3">
      <c r="A52" s="46"/>
      <c r="C52" s="16"/>
      <c r="E52" s="47"/>
      <c r="G52" s="5" t="str">
        <f t="shared" si="5"/>
        <v/>
      </c>
      <c r="H52" t="str">
        <f>IF(A52="","",IFERROR(_xlfn.XLOOKUP(D52,Setup!$E$15:$E$79,Setup!$F$15:$F$79),"Miscellaneous"))</f>
        <v/>
      </c>
      <c r="I52" t="str">
        <f>IF(A52="","",IFERROR(_xlfn.XLOOKUP(D52,Setup!$E$15:$E$79,Setup!$G$15:$G$79),"Uncategorized"))</f>
        <v/>
      </c>
      <c r="J52" t="str">
        <f t="shared" si="6"/>
        <v/>
      </c>
      <c r="K52" s="4" t="str">
        <f t="shared" si="7"/>
        <v/>
      </c>
      <c r="L52" s="47">
        <f t="shared" si="8"/>
        <v>0</v>
      </c>
      <c r="M52" s="47">
        <f t="shared" si="9"/>
        <v>0</v>
      </c>
      <c r="N52" t="str">
        <f>IF(A52="","",IF(D52="Category Pending","Needs categorization",IF(COUNTIFS($A$2:A52,A52,$B$2:B52,B52,$E$2:E52,E52)&gt;1,"Possible duplicate","")))</f>
        <v/>
      </c>
    </row>
    <row r="53" spans="1:14" x14ac:dyDescent="0.3">
      <c r="C53" s="16"/>
      <c r="G53" s="5" t="str">
        <f t="shared" si="5"/>
        <v/>
      </c>
      <c r="H53" t="str">
        <f>IF(A53="","",IFERROR(_xlfn.XLOOKUP(D53,Setup!$E$15:$E$79,Setup!$F$15:$F$79),"Miscellaneous"))</f>
        <v/>
      </c>
      <c r="I53" t="str">
        <f>IF(A53="","",IFERROR(_xlfn.XLOOKUP(D53,Setup!$E$15:$E$79,Setup!$G$15:$G$79),"Uncategorized"))</f>
        <v/>
      </c>
      <c r="J53" t="str">
        <f t="shared" si="6"/>
        <v/>
      </c>
      <c r="K53" s="4" t="str">
        <f t="shared" si="7"/>
        <v/>
      </c>
      <c r="L53" s="47">
        <f t="shared" si="8"/>
        <v>0</v>
      </c>
      <c r="M53" s="47">
        <f t="shared" si="9"/>
        <v>0</v>
      </c>
      <c r="N53" t="str">
        <f>IF(A53="","",IF(D53="Category Pending","Needs categorization",IF(COUNTIFS($A$2:A53,A53,$B$2:B53,B53,$E$2:E53,E53)&gt;1,"Possible duplicate","")))</f>
        <v/>
      </c>
    </row>
    <row r="54" spans="1:14" x14ac:dyDescent="0.3">
      <c r="C54" s="16"/>
      <c r="G54" s="5" t="str">
        <f t="shared" si="5"/>
        <v/>
      </c>
      <c r="H54" t="str">
        <f>IF(A54="","",IFERROR(_xlfn.XLOOKUP(D54,Setup!$E$15:$E$79,Setup!$F$15:$F$79),"Miscellaneous"))</f>
        <v/>
      </c>
      <c r="I54" t="str">
        <f>IF(A54="","",IFERROR(_xlfn.XLOOKUP(D54,Setup!$E$15:$E$79,Setup!$G$15:$G$79),"Uncategorized"))</f>
        <v/>
      </c>
      <c r="J54" t="str">
        <f t="shared" si="6"/>
        <v/>
      </c>
      <c r="K54" s="4" t="str">
        <f t="shared" si="7"/>
        <v/>
      </c>
      <c r="L54" s="47">
        <f t="shared" si="8"/>
        <v>0</v>
      </c>
      <c r="M54" s="47">
        <f t="shared" si="9"/>
        <v>0</v>
      </c>
      <c r="N54" t="str">
        <f>IF(A54="","",IF(D54="Category Pending","Needs categorization",IF(COUNTIFS($A$2:A54,A54,$B$2:B54,B54,$E$2:E54,E54)&gt;1,"Possible duplicate","")))</f>
        <v/>
      </c>
    </row>
    <row r="55" spans="1:14" x14ac:dyDescent="0.3">
      <c r="C55" s="16"/>
      <c r="G55" s="5" t="str">
        <f t="shared" si="5"/>
        <v/>
      </c>
      <c r="H55" t="str">
        <f>IF(A55="","",IFERROR(_xlfn.XLOOKUP(D55,Setup!$E$15:$E$79,Setup!$F$15:$F$79),"Miscellaneous"))</f>
        <v/>
      </c>
      <c r="I55" t="str">
        <f>IF(A55="","",IFERROR(_xlfn.XLOOKUP(D55,Setup!$E$15:$E$79,Setup!$G$15:$G$79),"Uncategorized"))</f>
        <v/>
      </c>
      <c r="J55" t="str">
        <f t="shared" si="6"/>
        <v/>
      </c>
      <c r="K55" s="4" t="str">
        <f t="shared" si="7"/>
        <v/>
      </c>
      <c r="L55" s="47">
        <f t="shared" si="8"/>
        <v>0</v>
      </c>
      <c r="M55" s="47">
        <f t="shared" si="9"/>
        <v>0</v>
      </c>
      <c r="N55" t="str">
        <f>IF(A55="","",IF(D55="Category Pending","Needs categorization",IF(COUNTIFS($A$2:A55,A55,$B$2:B55,B55,$E$2:E55,E55)&gt;1,"Possible duplicate","")))</f>
        <v/>
      </c>
    </row>
    <row r="56" spans="1:14" x14ac:dyDescent="0.3">
      <c r="C56" s="16"/>
      <c r="G56" s="5" t="str">
        <f t="shared" si="5"/>
        <v/>
      </c>
      <c r="H56" t="str">
        <f>IF(A56="","",IFERROR(_xlfn.XLOOKUP(D56,Setup!$E$15:$E$79,Setup!$F$15:$F$79),"Miscellaneous"))</f>
        <v/>
      </c>
      <c r="I56" t="str">
        <f>IF(A56="","",IFERROR(_xlfn.XLOOKUP(D56,Setup!$E$15:$E$79,Setup!$G$15:$G$79),"Uncategorized"))</f>
        <v/>
      </c>
      <c r="J56" t="str">
        <f t="shared" si="6"/>
        <v/>
      </c>
      <c r="K56" s="4" t="str">
        <f t="shared" si="7"/>
        <v/>
      </c>
      <c r="L56" s="47">
        <f t="shared" si="8"/>
        <v>0</v>
      </c>
      <c r="M56" s="47">
        <f t="shared" si="9"/>
        <v>0</v>
      </c>
      <c r="N56" t="str">
        <f>IF(A56="","",IF(D56="Category Pending","Needs categorization",IF(COUNTIFS($A$2:A56,A56,$B$2:B56,B56,$E$2:E56,E56)&gt;1,"Possible duplicate","")))</f>
        <v/>
      </c>
    </row>
    <row r="57" spans="1:14" x14ac:dyDescent="0.3">
      <c r="C57" s="16"/>
      <c r="G57" s="5" t="str">
        <f t="shared" si="5"/>
        <v/>
      </c>
      <c r="H57" t="str">
        <f>IF(A57="","",IFERROR(_xlfn.XLOOKUP(D57,Setup!$E$15:$E$79,Setup!$F$15:$F$79),"Miscellaneous"))</f>
        <v/>
      </c>
      <c r="I57" t="str">
        <f>IF(A57="","",IFERROR(_xlfn.XLOOKUP(D57,Setup!$E$15:$E$79,Setup!$G$15:$G$79),"Uncategorized"))</f>
        <v/>
      </c>
      <c r="J57" t="str">
        <f t="shared" si="6"/>
        <v/>
      </c>
      <c r="K57" s="4" t="str">
        <f t="shared" si="7"/>
        <v/>
      </c>
      <c r="L57" s="47">
        <f t="shared" si="8"/>
        <v>0</v>
      </c>
      <c r="M57" s="47">
        <f t="shared" si="9"/>
        <v>0</v>
      </c>
      <c r="N57" t="str">
        <f>IF(A57="","",IF(D57="Category Pending","Needs categorization",IF(COUNTIFS($A$2:A57,A57,$B$2:B57,B57,$E$2:E57,E57)&gt;1,"Possible duplicate","")))</f>
        <v/>
      </c>
    </row>
    <row r="58" spans="1:14" x14ac:dyDescent="0.3">
      <c r="C58" s="16"/>
      <c r="G58" s="5" t="str">
        <f t="shared" si="5"/>
        <v/>
      </c>
      <c r="H58" t="str">
        <f>IF(A58="","",IFERROR(_xlfn.XLOOKUP(D58,Setup!$E$15:$E$79,Setup!$F$15:$F$79),"Miscellaneous"))</f>
        <v/>
      </c>
      <c r="I58" t="str">
        <f>IF(A58="","",IFERROR(_xlfn.XLOOKUP(D58,Setup!$E$15:$E$79,Setup!$G$15:$G$79),"Uncategorized"))</f>
        <v/>
      </c>
      <c r="J58" t="str">
        <f t="shared" si="6"/>
        <v/>
      </c>
      <c r="K58" s="4" t="str">
        <f t="shared" si="7"/>
        <v/>
      </c>
      <c r="L58" s="47">
        <f t="shared" si="8"/>
        <v>0</v>
      </c>
      <c r="M58" s="47">
        <f t="shared" si="9"/>
        <v>0</v>
      </c>
      <c r="N58" t="str">
        <f>IF(A58="","",IF(D58="Category Pending","Needs categorization",IF(COUNTIFS($A$2:A58,A58,$B$2:B58,B58,$E$2:E58,E58)&gt;1,"Possible duplicate","")))</f>
        <v/>
      </c>
    </row>
    <row r="59" spans="1:14" x14ac:dyDescent="0.3">
      <c r="C59" s="16"/>
      <c r="G59" s="5" t="str">
        <f t="shared" si="5"/>
        <v/>
      </c>
      <c r="H59" t="str">
        <f>IF(A59="","",IFERROR(_xlfn.XLOOKUP(D59,Setup!$E$15:$E$79,Setup!$F$15:$F$79),"Miscellaneous"))</f>
        <v/>
      </c>
      <c r="I59" t="str">
        <f>IF(A59="","",IFERROR(_xlfn.XLOOKUP(D59,Setup!$E$15:$E$79,Setup!$G$15:$G$79),"Uncategorized"))</f>
        <v/>
      </c>
      <c r="J59" t="str">
        <f t="shared" si="6"/>
        <v/>
      </c>
      <c r="K59" s="4" t="str">
        <f t="shared" si="7"/>
        <v/>
      </c>
      <c r="L59" s="47">
        <f t="shared" si="8"/>
        <v>0</v>
      </c>
      <c r="M59" s="47">
        <f t="shared" si="9"/>
        <v>0</v>
      </c>
      <c r="N59" t="str">
        <f>IF(A59="","",IF(D59="Category Pending","Needs categorization",IF(COUNTIFS($A$2:A59,A59,$B$2:B59,B59,$E$2:E59,E59)&gt;1,"Possible duplicate","")))</f>
        <v/>
      </c>
    </row>
    <row r="60" spans="1:14" x14ac:dyDescent="0.3">
      <c r="C60" s="16"/>
      <c r="G60" s="5" t="str">
        <f t="shared" si="5"/>
        <v/>
      </c>
      <c r="H60" t="str">
        <f>IF(A60="","",IFERROR(_xlfn.XLOOKUP(D60,Setup!$E$15:$E$79,Setup!$F$15:$F$79),"Miscellaneous"))</f>
        <v/>
      </c>
      <c r="I60" t="str">
        <f>IF(A60="","",IFERROR(_xlfn.XLOOKUP(D60,Setup!$E$15:$E$79,Setup!$G$15:$G$79),"Uncategorized"))</f>
        <v/>
      </c>
      <c r="J60" t="str">
        <f t="shared" si="6"/>
        <v/>
      </c>
      <c r="K60" s="4" t="str">
        <f t="shared" si="7"/>
        <v/>
      </c>
      <c r="L60" s="47">
        <f t="shared" si="8"/>
        <v>0</v>
      </c>
      <c r="M60" s="47">
        <f t="shared" si="9"/>
        <v>0</v>
      </c>
      <c r="N60" t="str">
        <f>IF(A60="","",IF(D60="Category Pending","Needs categorization",IF(COUNTIFS($A$2:A60,A60,$B$2:B60,B60,$E$2:E60,E60)&gt;1,"Possible duplicate","")))</f>
        <v/>
      </c>
    </row>
    <row r="61" spans="1:14" x14ac:dyDescent="0.3">
      <c r="C61" s="16"/>
      <c r="G61" s="5" t="str">
        <f t="shared" si="5"/>
        <v/>
      </c>
      <c r="H61" t="str">
        <f>IF(A61="","",IFERROR(_xlfn.XLOOKUP(D61,Setup!$E$15:$E$79,Setup!$F$15:$F$79),"Miscellaneous"))</f>
        <v/>
      </c>
      <c r="I61" t="str">
        <f>IF(A61="","",IFERROR(_xlfn.XLOOKUP(D61,Setup!$E$15:$E$79,Setup!$G$15:$G$79),"Uncategorized"))</f>
        <v/>
      </c>
      <c r="J61" t="str">
        <f t="shared" si="6"/>
        <v/>
      </c>
      <c r="K61" s="4" t="str">
        <f t="shared" si="7"/>
        <v/>
      </c>
      <c r="L61" s="47">
        <f t="shared" si="8"/>
        <v>0</v>
      </c>
      <c r="M61" s="47">
        <f t="shared" si="9"/>
        <v>0</v>
      </c>
      <c r="N61" t="str">
        <f>IF(A61="","",IF(D61="Category Pending","Needs categorization",IF(COUNTIFS($A$2:A61,A61,$B$2:B61,B61,$E$2:E61,E61)&gt;1,"Possible duplicate","")))</f>
        <v/>
      </c>
    </row>
    <row r="62" spans="1:14" x14ac:dyDescent="0.3">
      <c r="C62" s="16"/>
      <c r="G62" s="5" t="str">
        <f t="shared" si="5"/>
        <v/>
      </c>
      <c r="H62" t="str">
        <f>IF(A62="","",IFERROR(_xlfn.XLOOKUP(D62,Setup!$E$15:$E$79,Setup!$F$15:$F$79),"Miscellaneous"))</f>
        <v/>
      </c>
      <c r="I62" t="str">
        <f>IF(A62="","",IFERROR(_xlfn.XLOOKUP(D62,Setup!$E$15:$E$79,Setup!$G$15:$G$79),"Uncategorized"))</f>
        <v/>
      </c>
      <c r="J62" t="str">
        <f t="shared" si="6"/>
        <v/>
      </c>
      <c r="K62" s="4" t="str">
        <f t="shared" si="7"/>
        <v/>
      </c>
      <c r="L62" s="47">
        <f t="shared" si="8"/>
        <v>0</v>
      </c>
      <c r="M62" s="47">
        <f t="shared" si="9"/>
        <v>0</v>
      </c>
      <c r="N62" t="str">
        <f>IF(A62="","",IF(D62="Category Pending","Needs categorization",IF(COUNTIFS($A$2:A62,A62,$B$2:B62,B62,$E$2:E62,E62)&gt;1,"Possible duplicate","")))</f>
        <v/>
      </c>
    </row>
    <row r="63" spans="1:14" x14ac:dyDescent="0.3">
      <c r="C63" s="16"/>
      <c r="G63" s="5" t="str">
        <f t="shared" si="5"/>
        <v/>
      </c>
      <c r="H63" t="str">
        <f>IF(A63="","",IFERROR(_xlfn.XLOOKUP(D63,Setup!$E$15:$E$79,Setup!$F$15:$F$79),"Miscellaneous"))</f>
        <v/>
      </c>
      <c r="I63" t="str">
        <f>IF(A63="","",IFERROR(_xlfn.XLOOKUP(D63,Setup!$E$15:$E$79,Setup!$G$15:$G$79),"Uncategorized"))</f>
        <v/>
      </c>
      <c r="J63" t="str">
        <f t="shared" si="6"/>
        <v/>
      </c>
      <c r="K63" s="4" t="str">
        <f t="shared" si="7"/>
        <v/>
      </c>
      <c r="L63" s="47">
        <f t="shared" si="8"/>
        <v>0</v>
      </c>
      <c r="M63" s="47">
        <f t="shared" si="9"/>
        <v>0</v>
      </c>
      <c r="N63" t="str">
        <f>IF(A63="","",IF(D63="Category Pending","Needs categorization",IF(COUNTIFS($A$2:A63,A63,$B$2:B63,B63,$E$2:E63,E63)&gt;1,"Possible duplicate","")))</f>
        <v/>
      </c>
    </row>
    <row r="64" spans="1:14" x14ac:dyDescent="0.3">
      <c r="C64" s="16"/>
      <c r="G64" s="5" t="str">
        <f t="shared" si="5"/>
        <v/>
      </c>
      <c r="H64" t="str">
        <f>IF(A64="","",IFERROR(_xlfn.XLOOKUP(D64,Setup!$E$15:$E$79,Setup!$F$15:$F$79),"Miscellaneous"))</f>
        <v/>
      </c>
      <c r="I64" t="str">
        <f>IF(A64="","",IFERROR(_xlfn.XLOOKUP(D64,Setup!$E$15:$E$79,Setup!$G$15:$G$79),"Uncategorized"))</f>
        <v/>
      </c>
      <c r="J64" t="str">
        <f t="shared" si="6"/>
        <v/>
      </c>
      <c r="K64" s="4" t="str">
        <f t="shared" si="7"/>
        <v/>
      </c>
      <c r="L64" s="47">
        <f t="shared" si="8"/>
        <v>0</v>
      </c>
      <c r="M64" s="47">
        <f t="shared" si="9"/>
        <v>0</v>
      </c>
      <c r="N64" t="str">
        <f>IF(A64="","",IF(D64="Category Pending","Needs categorization",IF(COUNTIFS($A$2:A64,A64,$B$2:B64,B64,$E$2:E64,E64)&gt;1,"Possible duplicate","")))</f>
        <v/>
      </c>
    </row>
    <row r="65" spans="3:14" x14ac:dyDescent="0.3">
      <c r="C65" s="16"/>
      <c r="G65" s="5" t="str">
        <f t="shared" si="5"/>
        <v/>
      </c>
      <c r="H65" t="str">
        <f>IF(A65="","",IFERROR(_xlfn.XLOOKUP(D65,Setup!$E$15:$E$79,Setup!$F$15:$F$79),"Miscellaneous"))</f>
        <v/>
      </c>
      <c r="I65" t="str">
        <f>IF(A65="","",IFERROR(_xlfn.XLOOKUP(D65,Setup!$E$15:$E$79,Setup!$G$15:$G$79),"Uncategorized"))</f>
        <v/>
      </c>
      <c r="J65" t="str">
        <f t="shared" si="6"/>
        <v/>
      </c>
      <c r="K65" s="4" t="str">
        <f t="shared" si="7"/>
        <v/>
      </c>
      <c r="L65" s="47">
        <f t="shared" si="8"/>
        <v>0</v>
      </c>
      <c r="M65" s="47">
        <f t="shared" si="9"/>
        <v>0</v>
      </c>
      <c r="N65" t="str">
        <f>IF(A65="","",IF(D65="Category Pending","Needs categorization",IF(COUNTIFS($A$2:A65,A65,$B$2:B65,B65,$E$2:E65,E65)&gt;1,"Possible duplicate","")))</f>
        <v/>
      </c>
    </row>
    <row r="66" spans="3:14" x14ac:dyDescent="0.3">
      <c r="C66" s="16"/>
      <c r="G66" s="5" t="str">
        <f t="shared" si="5"/>
        <v/>
      </c>
      <c r="H66" t="str">
        <f>IF(A66="","",IFERROR(_xlfn.XLOOKUP(D66,Setup!$E$15:$E$79,Setup!$F$15:$F$79),"Miscellaneous"))</f>
        <v/>
      </c>
      <c r="I66" t="str">
        <f>IF(A66="","",IFERROR(_xlfn.XLOOKUP(D66,Setup!$E$15:$E$79,Setup!$G$15:$G$79),"Uncategorized"))</f>
        <v/>
      </c>
      <c r="J66" t="str">
        <f t="shared" si="6"/>
        <v/>
      </c>
      <c r="K66" s="4" t="str">
        <f t="shared" si="7"/>
        <v/>
      </c>
      <c r="L66" s="47">
        <f t="shared" si="8"/>
        <v>0</v>
      </c>
      <c r="M66" s="47">
        <f t="shared" si="9"/>
        <v>0</v>
      </c>
      <c r="N66" t="str">
        <f>IF(A66="","",IF(D66="Category Pending","Needs categorization",IF(COUNTIFS($A$2:A66,A66,$B$2:B66,B66,$E$2:E66,E66)&gt;1,"Possible duplicate","")))</f>
        <v/>
      </c>
    </row>
    <row r="67" spans="3:14" x14ac:dyDescent="0.3">
      <c r="C67" s="16"/>
      <c r="G67" s="5" t="str">
        <f t="shared" si="5"/>
        <v/>
      </c>
      <c r="H67" t="str">
        <f>IF(A67="","",IFERROR(_xlfn.XLOOKUP(D67,Setup!$E$15:$E$79,Setup!$F$15:$F$79),"Miscellaneous"))</f>
        <v/>
      </c>
      <c r="I67" t="str">
        <f>IF(A67="","",IFERROR(_xlfn.XLOOKUP(D67,Setup!$E$15:$E$79,Setup!$G$15:$G$79),"Uncategorized"))</f>
        <v/>
      </c>
      <c r="J67" t="str">
        <f t="shared" si="6"/>
        <v/>
      </c>
      <c r="K67" s="4" t="str">
        <f t="shared" si="7"/>
        <v/>
      </c>
      <c r="L67" s="47">
        <f t="shared" si="8"/>
        <v>0</v>
      </c>
      <c r="M67" s="47">
        <f t="shared" si="9"/>
        <v>0</v>
      </c>
      <c r="N67" t="str">
        <f>IF(A67="","",IF(D67="Category Pending","Needs categorization",IF(COUNTIFS($A$2:A67,A67,$B$2:B67,B67,$E$2:E67,E67)&gt;1,"Possible duplicate","")))</f>
        <v/>
      </c>
    </row>
    <row r="68" spans="3:14" x14ac:dyDescent="0.3">
      <c r="C68" s="16"/>
      <c r="G68" s="5" t="str">
        <f t="shared" si="5"/>
        <v/>
      </c>
      <c r="H68" t="str">
        <f>IF(A68="","",IFERROR(_xlfn.XLOOKUP(D68,Setup!$E$15:$E$79,Setup!$F$15:$F$79),"Miscellaneous"))</f>
        <v/>
      </c>
      <c r="I68" t="str">
        <f>IF(A68="","",IFERROR(_xlfn.XLOOKUP(D68,Setup!$E$15:$E$79,Setup!$G$15:$G$79),"Uncategorized"))</f>
        <v/>
      </c>
      <c r="J68" t="str">
        <f t="shared" si="6"/>
        <v/>
      </c>
      <c r="K68" s="4" t="str">
        <f t="shared" si="7"/>
        <v/>
      </c>
      <c r="L68" s="47">
        <f t="shared" si="8"/>
        <v>0</v>
      </c>
      <c r="M68" s="47">
        <f t="shared" si="9"/>
        <v>0</v>
      </c>
      <c r="N68" t="str">
        <f>IF(A68="","",IF(D68="Category Pending","Needs categorization",IF(COUNTIFS($A$2:A68,A68,$B$2:B68,B68,$E$2:E68,E68)&gt;1,"Possible duplicate","")))</f>
        <v/>
      </c>
    </row>
    <row r="69" spans="3:14" x14ac:dyDescent="0.3">
      <c r="C69" s="16"/>
      <c r="G69" s="5" t="str">
        <f t="shared" si="5"/>
        <v/>
      </c>
      <c r="H69" t="str">
        <f>IF(A69="","",IFERROR(_xlfn.XLOOKUP(D69,Setup!$E$15:$E$79,Setup!$F$15:$F$79),"Miscellaneous"))</f>
        <v/>
      </c>
      <c r="I69" t="str">
        <f>IF(A69="","",IFERROR(_xlfn.XLOOKUP(D69,Setup!$E$15:$E$79,Setup!$G$15:$G$79),"Uncategorized"))</f>
        <v/>
      </c>
      <c r="J69" t="str">
        <f t="shared" si="6"/>
        <v/>
      </c>
      <c r="K69" s="4" t="str">
        <f t="shared" si="7"/>
        <v/>
      </c>
      <c r="L69" s="47">
        <f t="shared" si="8"/>
        <v>0</v>
      </c>
      <c r="M69" s="47">
        <f t="shared" si="9"/>
        <v>0</v>
      </c>
      <c r="N69" t="str">
        <f>IF(A69="","",IF(D69="Category Pending","Needs categorization",IF(COUNTIFS($A$2:A69,A69,$B$2:B69,B69,$E$2:E69,E69)&gt;1,"Possible duplicate","")))</f>
        <v/>
      </c>
    </row>
    <row r="70" spans="3:14" x14ac:dyDescent="0.3">
      <c r="C70" s="16"/>
      <c r="G70" s="5" t="str">
        <f t="shared" si="5"/>
        <v/>
      </c>
      <c r="H70" t="str">
        <f>IF(A70="","",IFERROR(_xlfn.XLOOKUP(D70,Setup!$E$15:$E$79,Setup!$F$15:$F$79),"Miscellaneous"))</f>
        <v/>
      </c>
      <c r="I70" t="str">
        <f>IF(A70="","",IFERROR(_xlfn.XLOOKUP(D70,Setup!$E$15:$E$79,Setup!$G$15:$G$79),"Uncategorized"))</f>
        <v/>
      </c>
      <c r="J70" t="str">
        <f t="shared" si="6"/>
        <v/>
      </c>
      <c r="K70" s="4" t="str">
        <f t="shared" si="7"/>
        <v/>
      </c>
      <c r="L70" s="47">
        <f t="shared" si="8"/>
        <v>0</v>
      </c>
      <c r="M70" s="47">
        <f t="shared" si="9"/>
        <v>0</v>
      </c>
      <c r="N70" t="str">
        <f>IF(A70="","",IF(D70="Category Pending","Needs categorization",IF(COUNTIFS($A$2:A70,A70,$B$2:B70,B70,$E$2:E70,E70)&gt;1,"Possible duplicate","")))</f>
        <v/>
      </c>
    </row>
    <row r="71" spans="3:14" x14ac:dyDescent="0.3">
      <c r="C71" s="16"/>
      <c r="G71" s="5" t="str">
        <f t="shared" si="5"/>
        <v/>
      </c>
      <c r="H71" t="str">
        <f>IF(A71="","",IFERROR(_xlfn.XLOOKUP(D71,Setup!$E$15:$E$79,Setup!$F$15:$F$79),"Miscellaneous"))</f>
        <v/>
      </c>
      <c r="I71" t="str">
        <f>IF(A71="","",IFERROR(_xlfn.XLOOKUP(D71,Setup!$E$15:$E$79,Setup!$G$15:$G$79),"Uncategorized"))</f>
        <v/>
      </c>
      <c r="J71" t="str">
        <f t="shared" si="6"/>
        <v/>
      </c>
      <c r="K71" s="4" t="str">
        <f t="shared" si="7"/>
        <v/>
      </c>
      <c r="L71" s="47">
        <f t="shared" si="8"/>
        <v>0</v>
      </c>
      <c r="M71" s="47">
        <f t="shared" si="9"/>
        <v>0</v>
      </c>
      <c r="N71" t="str">
        <f>IF(A71="","",IF(D71="Category Pending","Needs categorization",IF(COUNTIFS($A$2:A71,A71,$B$2:B71,B71,$E$2:E71,E71)&gt;1,"Possible duplicate","")))</f>
        <v/>
      </c>
    </row>
    <row r="72" spans="3:14" x14ac:dyDescent="0.3">
      <c r="C72" s="16"/>
      <c r="G72" s="5" t="str">
        <f t="shared" si="5"/>
        <v/>
      </c>
      <c r="H72" t="str">
        <f>IF(A72="","",IFERROR(_xlfn.XLOOKUP(D72,Setup!$E$15:$E$79,Setup!$F$15:$F$79),"Miscellaneous"))</f>
        <v/>
      </c>
      <c r="I72" t="str">
        <f>IF(A72="","",IFERROR(_xlfn.XLOOKUP(D72,Setup!$E$15:$E$79,Setup!$G$15:$G$79),"Uncategorized"))</f>
        <v/>
      </c>
      <c r="J72" t="str">
        <f t="shared" si="6"/>
        <v/>
      </c>
      <c r="K72" s="4" t="str">
        <f t="shared" si="7"/>
        <v/>
      </c>
      <c r="L72" s="47">
        <f t="shared" si="8"/>
        <v>0</v>
      </c>
      <c r="M72" s="47">
        <f t="shared" si="9"/>
        <v>0</v>
      </c>
      <c r="N72" t="str">
        <f>IF(A72="","",IF(D72="Category Pending","Needs categorization",IF(COUNTIFS($A$2:A72,A72,$B$2:B72,B72,$E$2:E72,E72)&gt;1,"Possible duplicate","")))</f>
        <v/>
      </c>
    </row>
    <row r="73" spans="3:14" x14ac:dyDescent="0.3">
      <c r="C73" s="16"/>
      <c r="G73" s="5" t="str">
        <f t="shared" si="5"/>
        <v/>
      </c>
      <c r="H73" t="str">
        <f>IF(A73="","",IFERROR(_xlfn.XLOOKUP(D73,Setup!$E$15:$E$79,Setup!$F$15:$F$79),"Miscellaneous"))</f>
        <v/>
      </c>
      <c r="I73" t="str">
        <f>IF(A73="","",IFERROR(_xlfn.XLOOKUP(D73,Setup!$E$15:$E$79,Setup!$G$15:$G$79),"Uncategorized"))</f>
        <v/>
      </c>
      <c r="J73" t="str">
        <f t="shared" si="6"/>
        <v/>
      </c>
      <c r="K73" s="4" t="str">
        <f t="shared" si="7"/>
        <v/>
      </c>
      <c r="L73" s="47">
        <f t="shared" si="8"/>
        <v>0</v>
      </c>
      <c r="M73" s="47">
        <f t="shared" si="9"/>
        <v>0</v>
      </c>
      <c r="N73" t="str">
        <f>IF(A73="","",IF(D73="Category Pending","Needs categorization",IF(COUNTIFS($A$2:A73,A73,$B$2:B73,B73,$E$2:E73,E73)&gt;1,"Possible duplicate","")))</f>
        <v/>
      </c>
    </row>
    <row r="74" spans="3:14" x14ac:dyDescent="0.3">
      <c r="C74" s="16"/>
      <c r="G74" s="5" t="str">
        <f t="shared" si="5"/>
        <v/>
      </c>
      <c r="H74" t="str">
        <f>IF(A74="","",IFERROR(_xlfn.XLOOKUP(D74,Setup!$E$15:$E$79,Setup!$F$15:$F$79),"Miscellaneous"))</f>
        <v/>
      </c>
      <c r="I74" t="str">
        <f>IF(A74="","",IFERROR(_xlfn.XLOOKUP(D74,Setup!$E$15:$E$79,Setup!$G$15:$G$79),"Uncategorized"))</f>
        <v/>
      </c>
      <c r="J74" t="str">
        <f t="shared" si="6"/>
        <v/>
      </c>
      <c r="K74" s="4" t="str">
        <f t="shared" si="7"/>
        <v/>
      </c>
      <c r="L74" s="47">
        <f t="shared" si="8"/>
        <v>0</v>
      </c>
      <c r="M74" s="47">
        <f t="shared" si="9"/>
        <v>0</v>
      </c>
      <c r="N74" t="str">
        <f>IF(A74="","",IF(D74="Category Pending","Needs categorization",IF(COUNTIFS($A$2:A74,A74,$B$2:B74,B74,$E$2:E74,E74)&gt;1,"Possible duplicate","")))</f>
        <v/>
      </c>
    </row>
    <row r="75" spans="3:14" x14ac:dyDescent="0.3">
      <c r="C75" s="16"/>
      <c r="G75" s="5" t="str">
        <f t="shared" si="5"/>
        <v/>
      </c>
      <c r="H75" t="str">
        <f>IF(A75="","",IFERROR(_xlfn.XLOOKUP(D75,Setup!$E$15:$E$79,Setup!$F$15:$F$79),"Miscellaneous"))</f>
        <v/>
      </c>
      <c r="I75" t="str">
        <f>IF(A75="","",IFERROR(_xlfn.XLOOKUP(D75,Setup!$E$15:$E$79,Setup!$G$15:$G$79),"Uncategorized"))</f>
        <v/>
      </c>
      <c r="J75" t="str">
        <f t="shared" si="6"/>
        <v/>
      </c>
      <c r="K75" s="4" t="str">
        <f t="shared" si="7"/>
        <v/>
      </c>
      <c r="L75" s="47">
        <f t="shared" si="8"/>
        <v>0</v>
      </c>
      <c r="M75" s="47">
        <f t="shared" si="9"/>
        <v>0</v>
      </c>
      <c r="N75" t="str">
        <f>IF(A75="","",IF(D75="Category Pending","Needs categorization",IF(COUNTIFS($A$2:A75,A75,$B$2:B75,B75,$E$2:E75,E75)&gt;1,"Possible duplicate","")))</f>
        <v/>
      </c>
    </row>
    <row r="76" spans="3:14" x14ac:dyDescent="0.3">
      <c r="C76" s="16"/>
      <c r="G76" s="5" t="str">
        <f t="shared" si="5"/>
        <v/>
      </c>
      <c r="H76" t="str">
        <f>IF(A76="","",IFERROR(_xlfn.XLOOKUP(D76,Setup!$E$15:$E$79,Setup!$F$15:$F$79),"Miscellaneous"))</f>
        <v/>
      </c>
      <c r="I76" t="str">
        <f>IF(A76="","",IFERROR(_xlfn.XLOOKUP(D76,Setup!$E$15:$E$79,Setup!$G$15:$G$79),"Uncategorized"))</f>
        <v/>
      </c>
      <c r="J76" t="str">
        <f t="shared" si="6"/>
        <v/>
      </c>
      <c r="K76" s="4" t="str">
        <f t="shared" si="7"/>
        <v/>
      </c>
      <c r="L76" s="47">
        <f t="shared" si="8"/>
        <v>0</v>
      </c>
      <c r="M76" s="47">
        <f t="shared" si="9"/>
        <v>0</v>
      </c>
      <c r="N76" t="str">
        <f>IF(A76="","",IF(D76="Category Pending","Needs categorization",IF(COUNTIFS($A$2:A76,A76,$B$2:B76,B76,$E$2:E76,E76)&gt;1,"Possible duplicate","")))</f>
        <v/>
      </c>
    </row>
    <row r="77" spans="3:14" x14ac:dyDescent="0.3">
      <c r="C77" s="16"/>
      <c r="G77" s="5" t="str">
        <f t="shared" si="5"/>
        <v/>
      </c>
      <c r="H77" t="str">
        <f>IF(A77="","",IFERROR(_xlfn.XLOOKUP(D77,Setup!$E$15:$E$79,Setup!$F$15:$F$79),"Miscellaneous"))</f>
        <v/>
      </c>
      <c r="I77" t="str">
        <f>IF(A77="","",IFERROR(_xlfn.XLOOKUP(D77,Setup!$E$15:$E$79,Setup!$G$15:$G$79),"Uncategorized"))</f>
        <v/>
      </c>
      <c r="J77" t="str">
        <f t="shared" si="6"/>
        <v/>
      </c>
      <c r="K77" s="4" t="str">
        <f t="shared" si="7"/>
        <v/>
      </c>
      <c r="L77" s="47">
        <f t="shared" si="8"/>
        <v>0</v>
      </c>
      <c r="M77" s="47">
        <f t="shared" si="9"/>
        <v>0</v>
      </c>
      <c r="N77" t="str">
        <f>IF(A77="","",IF(D77="Category Pending","Needs categorization",IF(COUNTIFS($A$2:A77,A77,$B$2:B77,B77,$E$2:E77,E77)&gt;1,"Possible duplicate","")))</f>
        <v/>
      </c>
    </row>
    <row r="78" spans="3:14" x14ac:dyDescent="0.3">
      <c r="C78" s="16"/>
      <c r="G78" s="5" t="str">
        <f t="shared" si="5"/>
        <v/>
      </c>
      <c r="H78" t="str">
        <f>IF(A78="","",IFERROR(_xlfn.XLOOKUP(D78,Setup!$E$15:$E$79,Setup!$F$15:$F$79),"Miscellaneous"))</f>
        <v/>
      </c>
      <c r="I78" t="str">
        <f>IF(A78="","",IFERROR(_xlfn.XLOOKUP(D78,Setup!$E$15:$E$79,Setup!$G$15:$G$79),"Uncategorized"))</f>
        <v/>
      </c>
      <c r="J78" t="str">
        <f t="shared" si="6"/>
        <v/>
      </c>
      <c r="K78" s="4" t="str">
        <f t="shared" si="7"/>
        <v/>
      </c>
      <c r="L78" s="47">
        <f t="shared" si="8"/>
        <v>0</v>
      </c>
      <c r="M78" s="47">
        <f t="shared" si="9"/>
        <v>0</v>
      </c>
      <c r="N78" t="str">
        <f>IF(A78="","",IF(D78="Category Pending","Needs categorization",IF(COUNTIFS($A$2:A78,A78,$B$2:B78,B78,$E$2:E78,E78)&gt;1,"Possible duplicate","")))</f>
        <v/>
      </c>
    </row>
    <row r="79" spans="3:14" x14ac:dyDescent="0.3">
      <c r="C79" s="16"/>
      <c r="G79" s="5" t="str">
        <f t="shared" si="5"/>
        <v/>
      </c>
      <c r="H79" t="str">
        <f>IF(A79="","",IFERROR(_xlfn.XLOOKUP(D79,Setup!$E$15:$E$79,Setup!$F$15:$F$79),"Miscellaneous"))</f>
        <v/>
      </c>
      <c r="I79" t="str">
        <f>IF(A79="","",IFERROR(_xlfn.XLOOKUP(D79,Setup!$E$15:$E$79,Setup!$G$15:$G$79),"Uncategorized"))</f>
        <v/>
      </c>
      <c r="J79" t="str">
        <f t="shared" si="6"/>
        <v/>
      </c>
      <c r="K79" s="4" t="str">
        <f t="shared" si="7"/>
        <v/>
      </c>
      <c r="L79" s="47">
        <f t="shared" si="8"/>
        <v>0</v>
      </c>
      <c r="M79" s="47">
        <f t="shared" si="9"/>
        <v>0</v>
      </c>
      <c r="N79" t="str">
        <f>IF(A79="","",IF(D79="Category Pending","Needs categorization",IF(COUNTIFS($A$2:A79,A79,$B$2:B79,B79,$E$2:E79,E79)&gt;1,"Possible duplicate","")))</f>
        <v/>
      </c>
    </row>
    <row r="80" spans="3:14" x14ac:dyDescent="0.3">
      <c r="C80" s="16"/>
      <c r="G80" s="5" t="str">
        <f t="shared" si="5"/>
        <v/>
      </c>
      <c r="H80" t="str">
        <f>IF(A80="","",IFERROR(_xlfn.XLOOKUP(D80,Setup!$E$15:$E$79,Setup!$F$15:$F$79),"Miscellaneous"))</f>
        <v/>
      </c>
      <c r="I80" t="str">
        <f>IF(A80="","",IFERROR(_xlfn.XLOOKUP(D80,Setup!$E$15:$E$79,Setup!$G$15:$G$79),"Uncategorized"))</f>
        <v/>
      </c>
      <c r="J80" t="str">
        <f t="shared" si="6"/>
        <v/>
      </c>
      <c r="K80" s="4" t="str">
        <f t="shared" si="7"/>
        <v/>
      </c>
      <c r="L80" s="47">
        <f t="shared" si="8"/>
        <v>0</v>
      </c>
      <c r="M80" s="47">
        <f t="shared" si="9"/>
        <v>0</v>
      </c>
      <c r="N80" t="str">
        <f>IF(A80="","",IF(D80="Category Pending","Needs categorization",IF(COUNTIFS($A$2:A80,A80,$B$2:B80,B80,$E$2:E80,E80)&gt;1,"Possible duplicate","")))</f>
        <v/>
      </c>
    </row>
    <row r="81" spans="3:14" x14ac:dyDescent="0.3">
      <c r="C81" s="16"/>
      <c r="G81" s="5" t="str">
        <f t="shared" si="5"/>
        <v/>
      </c>
      <c r="H81" t="str">
        <f>IF(A81="","",IFERROR(_xlfn.XLOOKUP(D81,Setup!$E$15:$E$79,Setup!$F$15:$F$79),"Miscellaneous"))</f>
        <v/>
      </c>
      <c r="I81" t="str">
        <f>IF(A81="","",IFERROR(_xlfn.XLOOKUP(D81,Setup!$E$15:$E$79,Setup!$G$15:$G$79),"Uncategorized"))</f>
        <v/>
      </c>
      <c r="J81" t="str">
        <f t="shared" si="6"/>
        <v/>
      </c>
      <c r="K81" s="4" t="str">
        <f t="shared" si="7"/>
        <v/>
      </c>
      <c r="L81" s="47">
        <f t="shared" si="8"/>
        <v>0</v>
      </c>
      <c r="M81" s="47">
        <f t="shared" si="9"/>
        <v>0</v>
      </c>
      <c r="N81" t="str">
        <f>IF(A81="","",IF(D81="Category Pending","Needs categorization",IF(COUNTIFS($A$2:A81,A81,$B$2:B81,B81,$E$2:E81,E81)&gt;1,"Possible duplicate","")))</f>
        <v/>
      </c>
    </row>
    <row r="82" spans="3:14" x14ac:dyDescent="0.3">
      <c r="C82" s="16"/>
      <c r="G82" s="5" t="str">
        <f t="shared" si="5"/>
        <v/>
      </c>
      <c r="H82" t="str">
        <f>IF(A82="","",IFERROR(_xlfn.XLOOKUP(D82,Setup!$E$15:$E$79,Setup!$F$15:$F$79),"Miscellaneous"))</f>
        <v/>
      </c>
      <c r="I82" t="str">
        <f>IF(A82="","",IFERROR(_xlfn.XLOOKUP(D82,Setup!$E$15:$E$79,Setup!$G$15:$G$79),"Uncategorized"))</f>
        <v/>
      </c>
      <c r="J82" t="str">
        <f t="shared" si="6"/>
        <v/>
      </c>
      <c r="K82" s="4" t="str">
        <f t="shared" si="7"/>
        <v/>
      </c>
      <c r="L82" s="47">
        <f t="shared" si="8"/>
        <v>0</v>
      </c>
      <c r="M82" s="47">
        <f t="shared" si="9"/>
        <v>0</v>
      </c>
      <c r="N82" t="str">
        <f>IF(A82="","",IF(D82="Category Pending","Needs categorization",IF(COUNTIFS($A$2:A82,A82,$B$2:B82,B82,$E$2:E82,E82)&gt;1,"Possible duplicate","")))</f>
        <v/>
      </c>
    </row>
    <row r="83" spans="3:14" x14ac:dyDescent="0.3">
      <c r="C83" s="16"/>
      <c r="G83" s="5" t="str">
        <f t="shared" si="5"/>
        <v/>
      </c>
      <c r="H83" t="str">
        <f>IF(A83="","",IFERROR(_xlfn.XLOOKUP(D83,Setup!$E$15:$E$79,Setup!$F$15:$F$79),"Miscellaneous"))</f>
        <v/>
      </c>
      <c r="I83" t="str">
        <f>IF(A83="","",IFERROR(_xlfn.XLOOKUP(D83,Setup!$E$15:$E$79,Setup!$G$15:$G$79),"Uncategorized"))</f>
        <v/>
      </c>
      <c r="J83" t="str">
        <f t="shared" si="6"/>
        <v/>
      </c>
      <c r="K83" s="4" t="str">
        <f t="shared" si="7"/>
        <v/>
      </c>
      <c r="L83" s="47">
        <f t="shared" si="8"/>
        <v>0</v>
      </c>
      <c r="M83" s="47">
        <f t="shared" si="9"/>
        <v>0</v>
      </c>
      <c r="N83" t="str">
        <f>IF(A83="","",IF(D83="Category Pending","Needs categorization",IF(COUNTIFS($A$2:A83,A83,$B$2:B83,B83,$E$2:E83,E83)&gt;1,"Possible duplicate","")))</f>
        <v/>
      </c>
    </row>
    <row r="84" spans="3:14" x14ac:dyDescent="0.3">
      <c r="C84" s="16"/>
      <c r="G84" s="5" t="str">
        <f t="shared" si="5"/>
        <v/>
      </c>
      <c r="H84" t="str">
        <f>IF(A84="","",IFERROR(_xlfn.XLOOKUP(D84,Setup!$E$15:$E$79,Setup!$F$15:$F$79),"Miscellaneous"))</f>
        <v/>
      </c>
      <c r="I84" t="str">
        <f>IF(A84="","",IFERROR(_xlfn.XLOOKUP(D84,Setup!$E$15:$E$79,Setup!$G$15:$G$79),"Uncategorized"))</f>
        <v/>
      </c>
      <c r="J84" t="str">
        <f t="shared" si="6"/>
        <v/>
      </c>
      <c r="K84" s="4" t="str">
        <f t="shared" si="7"/>
        <v/>
      </c>
      <c r="L84" s="47">
        <f t="shared" si="8"/>
        <v>0</v>
      </c>
      <c r="M84" s="47">
        <f t="shared" si="9"/>
        <v>0</v>
      </c>
      <c r="N84" t="str">
        <f>IF(A84="","",IF(D84="Category Pending","Needs categorization",IF(COUNTIFS($A$2:A84,A84,$B$2:B84,B84,$E$2:E84,E84)&gt;1,"Possible duplicate","")))</f>
        <v/>
      </c>
    </row>
    <row r="85" spans="3:14" x14ac:dyDescent="0.3">
      <c r="C85" s="16"/>
      <c r="G85" s="5" t="str">
        <f t="shared" si="5"/>
        <v/>
      </c>
      <c r="H85" t="str">
        <f>IF(A85="","",IFERROR(_xlfn.XLOOKUP(D85,Setup!$E$15:$E$79,Setup!$F$15:$F$79),"Miscellaneous"))</f>
        <v/>
      </c>
      <c r="I85" t="str">
        <f>IF(A85="","",IFERROR(_xlfn.XLOOKUP(D85,Setup!$E$15:$E$79,Setup!$G$15:$G$79),"Uncategorized"))</f>
        <v/>
      </c>
      <c r="J85" t="str">
        <f t="shared" si="6"/>
        <v/>
      </c>
      <c r="K85" s="4" t="str">
        <f t="shared" si="7"/>
        <v/>
      </c>
      <c r="L85" s="47">
        <f t="shared" si="8"/>
        <v>0</v>
      </c>
      <c r="M85" s="47">
        <f t="shared" si="9"/>
        <v>0</v>
      </c>
      <c r="N85" t="str">
        <f>IF(A85="","",IF(D85="Category Pending","Needs categorization",IF(COUNTIFS($A$2:A85,A85,$B$2:B85,B85,$E$2:E85,E85)&gt;1,"Possible duplicate","")))</f>
        <v/>
      </c>
    </row>
    <row r="86" spans="3:14" x14ac:dyDescent="0.3">
      <c r="C86" s="16"/>
      <c r="G86" s="5" t="str">
        <f t="shared" si="5"/>
        <v/>
      </c>
      <c r="H86" t="str">
        <f>IF(A86="","",IFERROR(_xlfn.XLOOKUP(D86,Setup!$E$15:$E$79,Setup!$F$15:$F$79),"Miscellaneous"))</f>
        <v/>
      </c>
      <c r="I86" t="str">
        <f>IF(A86="","",IFERROR(_xlfn.XLOOKUP(D86,Setup!$E$15:$E$79,Setup!$G$15:$G$79),"Uncategorized"))</f>
        <v/>
      </c>
      <c r="J86" t="str">
        <f t="shared" si="6"/>
        <v/>
      </c>
      <c r="K86" s="4" t="str">
        <f t="shared" si="7"/>
        <v/>
      </c>
      <c r="L86" s="47">
        <f t="shared" si="8"/>
        <v>0</v>
      </c>
      <c r="M86" s="47">
        <f t="shared" si="9"/>
        <v>0</v>
      </c>
      <c r="N86" t="str">
        <f>IF(A86="","",IF(D86="Category Pending","Needs categorization",IF(COUNTIFS($A$2:A86,A86,$B$2:B86,B86,$E$2:E86,E86)&gt;1,"Possible duplicate","")))</f>
        <v/>
      </c>
    </row>
    <row r="87" spans="3:14" x14ac:dyDescent="0.3">
      <c r="C87" s="16"/>
      <c r="G87" s="5" t="str">
        <f t="shared" si="5"/>
        <v/>
      </c>
      <c r="H87" t="str">
        <f>IF(A87="","",IFERROR(_xlfn.XLOOKUP(D87,Setup!$E$15:$E$79,Setup!$F$15:$F$79),"Miscellaneous"))</f>
        <v/>
      </c>
      <c r="I87" t="str">
        <f>IF(A87="","",IFERROR(_xlfn.XLOOKUP(D87,Setup!$E$15:$E$79,Setup!$G$15:$G$79),"Uncategorized"))</f>
        <v/>
      </c>
      <c r="J87" t="str">
        <f t="shared" si="6"/>
        <v/>
      </c>
      <c r="K87" s="4" t="str">
        <f t="shared" si="7"/>
        <v/>
      </c>
      <c r="L87" s="47">
        <f t="shared" si="8"/>
        <v>0</v>
      </c>
      <c r="M87" s="47">
        <f t="shared" si="9"/>
        <v>0</v>
      </c>
      <c r="N87" t="str">
        <f>IF(A87="","",IF(D87="Category Pending","Needs categorization",IF(COUNTIFS($A$2:A87,A87,$B$2:B87,B87,$E$2:E87,E87)&gt;1,"Possible duplicate","")))</f>
        <v/>
      </c>
    </row>
    <row r="88" spans="3:14" x14ac:dyDescent="0.3">
      <c r="C88" s="16"/>
      <c r="G88" s="5" t="str">
        <f t="shared" si="5"/>
        <v/>
      </c>
      <c r="H88" t="str">
        <f>IF(A88="","",IFERROR(_xlfn.XLOOKUP(D88,Setup!$E$15:$E$79,Setup!$F$15:$F$79),"Miscellaneous"))</f>
        <v/>
      </c>
      <c r="I88" t="str">
        <f>IF(A88="","",IFERROR(_xlfn.XLOOKUP(D88,Setup!$E$15:$E$79,Setup!$G$15:$G$79),"Uncategorized"))</f>
        <v/>
      </c>
      <c r="J88" t="str">
        <f t="shared" si="6"/>
        <v/>
      </c>
      <c r="K88" s="4" t="str">
        <f t="shared" si="7"/>
        <v/>
      </c>
      <c r="L88" s="47">
        <f t="shared" si="8"/>
        <v>0</v>
      </c>
      <c r="M88" s="47">
        <f t="shared" si="9"/>
        <v>0</v>
      </c>
      <c r="N88" t="str">
        <f>IF(A88="","",IF(D88="Category Pending","Needs categorization",IF(COUNTIFS($A$2:A88,A88,$B$2:B88,B88,$E$2:E88,E88)&gt;1,"Possible duplicate","")))</f>
        <v/>
      </c>
    </row>
    <row r="89" spans="3:14" x14ac:dyDescent="0.3">
      <c r="C89" s="16"/>
      <c r="G89" s="5" t="str">
        <f t="shared" si="5"/>
        <v/>
      </c>
      <c r="H89" t="str">
        <f>IF(A89="","",IFERROR(_xlfn.XLOOKUP(D89,Setup!$E$15:$E$79,Setup!$F$15:$F$79),"Miscellaneous"))</f>
        <v/>
      </c>
      <c r="I89" t="str">
        <f>IF(A89="","",IFERROR(_xlfn.XLOOKUP(D89,Setup!$E$15:$E$79,Setup!$G$15:$G$79),"Uncategorized"))</f>
        <v/>
      </c>
      <c r="J89" t="str">
        <f t="shared" si="6"/>
        <v/>
      </c>
      <c r="K89" s="4" t="str">
        <f t="shared" si="7"/>
        <v/>
      </c>
      <c r="L89" s="47">
        <f t="shared" si="8"/>
        <v>0</v>
      </c>
      <c r="M89" s="47">
        <f t="shared" si="9"/>
        <v>0</v>
      </c>
      <c r="N89" t="str">
        <f>IF(A89="","",IF(D89="Category Pending","Needs categorization",IF(COUNTIFS($A$2:A89,A89,$B$2:B89,B89,$E$2:E89,E89)&gt;1,"Possible duplicate","")))</f>
        <v/>
      </c>
    </row>
    <row r="90" spans="3:14" x14ac:dyDescent="0.3">
      <c r="C90" s="16"/>
      <c r="G90" s="5" t="str">
        <f t="shared" si="5"/>
        <v/>
      </c>
      <c r="H90" t="str">
        <f>IF(A90="","",IFERROR(_xlfn.XLOOKUP(D90,Setup!$E$15:$E$79,Setup!$F$15:$F$79),"Miscellaneous"))</f>
        <v/>
      </c>
      <c r="I90" t="str">
        <f>IF(A90="","",IFERROR(_xlfn.XLOOKUP(D90,Setup!$E$15:$E$79,Setup!$G$15:$G$79),"Uncategorized"))</f>
        <v/>
      </c>
      <c r="J90" t="str">
        <f t="shared" si="6"/>
        <v/>
      </c>
      <c r="K90" s="4" t="str">
        <f t="shared" si="7"/>
        <v/>
      </c>
      <c r="L90" s="47">
        <f t="shared" si="8"/>
        <v>0</v>
      </c>
      <c r="M90" s="47">
        <f t="shared" si="9"/>
        <v>0</v>
      </c>
      <c r="N90" t="str">
        <f>IF(A90="","",IF(D90="Category Pending","Needs categorization",IF(COUNTIFS($A$2:A90,A90,$B$2:B90,B90,$E$2:E90,E90)&gt;1,"Possible duplicate","")))</f>
        <v/>
      </c>
    </row>
    <row r="91" spans="3:14" x14ac:dyDescent="0.3">
      <c r="C91" s="16"/>
      <c r="G91" s="5" t="str">
        <f t="shared" si="5"/>
        <v/>
      </c>
      <c r="H91" t="str">
        <f>IF(A91="","",IFERROR(_xlfn.XLOOKUP(D91,Setup!$E$15:$E$79,Setup!$F$15:$F$79),"Miscellaneous"))</f>
        <v/>
      </c>
      <c r="I91" t="str">
        <f>IF(A91="","",IFERROR(_xlfn.XLOOKUP(D91,Setup!$E$15:$E$79,Setup!$G$15:$G$79),"Uncategorized"))</f>
        <v/>
      </c>
      <c r="J91" t="str">
        <f t="shared" si="6"/>
        <v/>
      </c>
      <c r="K91" s="4" t="str">
        <f t="shared" si="7"/>
        <v/>
      </c>
      <c r="L91" s="47">
        <f t="shared" si="8"/>
        <v>0</v>
      </c>
      <c r="M91" s="47">
        <f t="shared" si="9"/>
        <v>0</v>
      </c>
      <c r="N91" t="str">
        <f>IF(A91="","",IF(D91="Category Pending","Needs categorization",IF(COUNTIFS($A$2:A91,A91,$B$2:B91,B91,$E$2:E91,E91)&gt;1,"Possible duplicate","")))</f>
        <v/>
      </c>
    </row>
    <row r="92" spans="3:14" x14ac:dyDescent="0.3">
      <c r="C92" s="16"/>
      <c r="G92" s="5" t="str">
        <f t="shared" si="5"/>
        <v/>
      </c>
      <c r="H92" t="str">
        <f>IF(A92="","",IFERROR(_xlfn.XLOOKUP(D92,Setup!$E$15:$E$79,Setup!$F$15:$F$79),"Miscellaneous"))</f>
        <v/>
      </c>
      <c r="I92" t="str">
        <f>IF(A92="","",IFERROR(_xlfn.XLOOKUP(D92,Setup!$E$15:$E$79,Setup!$G$15:$G$79),"Uncategorized"))</f>
        <v/>
      </c>
      <c r="J92" t="str">
        <f t="shared" si="6"/>
        <v/>
      </c>
      <c r="K92" s="4" t="str">
        <f t="shared" si="7"/>
        <v/>
      </c>
      <c r="L92" s="47">
        <f t="shared" si="8"/>
        <v>0</v>
      </c>
      <c r="M92" s="47">
        <f t="shared" si="9"/>
        <v>0</v>
      </c>
      <c r="N92" t="str">
        <f>IF(A92="","",IF(D92="Category Pending","Needs categorization",IF(COUNTIFS($A$2:A92,A92,$B$2:B92,B92,$E$2:E92,E92)&gt;1,"Possible duplicate","")))</f>
        <v/>
      </c>
    </row>
    <row r="93" spans="3:14" x14ac:dyDescent="0.3">
      <c r="C93" s="16"/>
      <c r="G93" s="5" t="str">
        <f t="shared" si="5"/>
        <v/>
      </c>
      <c r="H93" t="str">
        <f>IF(A93="","",IFERROR(_xlfn.XLOOKUP(D93,Setup!$E$15:$E$79,Setup!$F$15:$F$79),"Miscellaneous"))</f>
        <v/>
      </c>
      <c r="I93" t="str">
        <f>IF(A93="","",IFERROR(_xlfn.XLOOKUP(D93,Setup!$E$15:$E$79,Setup!$G$15:$G$79),"Uncategorized"))</f>
        <v/>
      </c>
      <c r="J93" t="str">
        <f t="shared" si="6"/>
        <v/>
      </c>
      <c r="K93" s="4" t="str">
        <f t="shared" si="7"/>
        <v/>
      </c>
      <c r="L93" s="47">
        <f t="shared" si="8"/>
        <v>0</v>
      </c>
      <c r="M93" s="47">
        <f t="shared" si="9"/>
        <v>0</v>
      </c>
      <c r="N93" t="str">
        <f>IF(A93="","",IF(D93="Category Pending","Needs categorization",IF(COUNTIFS($A$2:A93,A93,$B$2:B93,B93,$E$2:E93,E93)&gt;1,"Possible duplicate","")))</f>
        <v/>
      </c>
    </row>
    <row r="94" spans="3:14" x14ac:dyDescent="0.3">
      <c r="C94" s="16"/>
      <c r="G94" s="5" t="str">
        <f t="shared" si="5"/>
        <v/>
      </c>
      <c r="H94" t="str">
        <f>IF(A94="","",IFERROR(_xlfn.XLOOKUP(D94,Setup!$E$15:$E$79,Setup!$F$15:$F$79),"Miscellaneous"))</f>
        <v/>
      </c>
      <c r="I94" t="str">
        <f>IF(A94="","",IFERROR(_xlfn.XLOOKUP(D94,Setup!$E$15:$E$79,Setup!$G$15:$G$79),"Uncategorized"))</f>
        <v/>
      </c>
      <c r="J94" t="str">
        <f t="shared" si="6"/>
        <v/>
      </c>
      <c r="K94" s="4" t="str">
        <f t="shared" si="7"/>
        <v/>
      </c>
      <c r="L94" s="47">
        <f t="shared" si="8"/>
        <v>0</v>
      </c>
      <c r="M94" s="47">
        <f t="shared" si="9"/>
        <v>0</v>
      </c>
      <c r="N94" t="str">
        <f>IF(A94="","",IF(D94="Category Pending","Needs categorization",IF(COUNTIFS($A$2:A94,A94,$B$2:B94,B94,$E$2:E94,E94)&gt;1,"Possible duplicate","")))</f>
        <v/>
      </c>
    </row>
    <row r="95" spans="3:14" x14ac:dyDescent="0.3">
      <c r="C95" s="16"/>
      <c r="G95" s="5" t="str">
        <f t="shared" si="5"/>
        <v/>
      </c>
      <c r="H95" t="str">
        <f>IF(A95="","",IFERROR(_xlfn.XLOOKUP(D95,Setup!$E$15:$E$79,Setup!$F$15:$F$79),"Miscellaneous"))</f>
        <v/>
      </c>
      <c r="I95" t="str">
        <f>IF(A95="","",IFERROR(_xlfn.XLOOKUP(D95,Setup!$E$15:$E$79,Setup!$G$15:$G$79),"Uncategorized"))</f>
        <v/>
      </c>
      <c r="J95" t="str">
        <f t="shared" si="6"/>
        <v/>
      </c>
      <c r="K95" s="4" t="str">
        <f t="shared" si="7"/>
        <v/>
      </c>
      <c r="L95" s="47">
        <f t="shared" si="8"/>
        <v>0</v>
      </c>
      <c r="M95" s="47">
        <f t="shared" si="9"/>
        <v>0</v>
      </c>
      <c r="N95" t="str">
        <f>IF(A95="","",IF(D95="Category Pending","Needs categorization",IF(COUNTIFS($A$2:A95,A95,$B$2:B95,B95,$E$2:E95,E95)&gt;1,"Possible duplicate","")))</f>
        <v/>
      </c>
    </row>
    <row r="96" spans="3:14" x14ac:dyDescent="0.3">
      <c r="C96" s="16"/>
      <c r="G96" s="5" t="str">
        <f t="shared" si="5"/>
        <v/>
      </c>
      <c r="H96" t="str">
        <f>IF(A96="","",IFERROR(_xlfn.XLOOKUP(D96,Setup!$E$15:$E$79,Setup!$F$15:$F$79),"Miscellaneous"))</f>
        <v/>
      </c>
      <c r="I96" t="str">
        <f>IF(A96="","",IFERROR(_xlfn.XLOOKUP(D96,Setup!$E$15:$E$79,Setup!$G$15:$G$79),"Uncategorized"))</f>
        <v/>
      </c>
      <c r="J96" t="str">
        <f t="shared" si="6"/>
        <v/>
      </c>
      <c r="K96" s="4" t="str">
        <f t="shared" si="7"/>
        <v/>
      </c>
      <c r="L96" s="47">
        <f t="shared" si="8"/>
        <v>0</v>
      </c>
      <c r="M96" s="47">
        <f t="shared" si="9"/>
        <v>0</v>
      </c>
      <c r="N96" t="str">
        <f>IF(A96="","",IF(D96="Category Pending","Needs categorization",IF(COUNTIFS($A$2:A96,A96,$B$2:B96,B96,$E$2:E96,E96)&gt;1,"Possible duplicate","")))</f>
        <v/>
      </c>
    </row>
    <row r="97" spans="3:14" x14ac:dyDescent="0.3">
      <c r="C97" s="16"/>
      <c r="G97" s="5" t="str">
        <f t="shared" ref="G97:G160" si="10">IF(A97="","","Checking")</f>
        <v/>
      </c>
      <c r="H97" t="str">
        <f>IF(A97="","",IFERROR(_xlfn.XLOOKUP(D97,Setup!$E$15:$E$79,Setup!$F$15:$F$79),"Miscellaneous"))</f>
        <v/>
      </c>
      <c r="I97" t="str">
        <f>IF(A97="","",IFERROR(_xlfn.XLOOKUP(D97,Setup!$E$15:$E$79,Setup!$G$15:$G$79),"Uncategorized"))</f>
        <v/>
      </c>
      <c r="J97" t="str">
        <f t="shared" ref="J97:J160" si="11">IF(A97="","",IF(OR(H97="Transfers",H97="Income",D97="Transfer",D97="Category Pending"),"No","Yes"))</f>
        <v/>
      </c>
      <c r="K97" s="4" t="str">
        <f t="shared" ref="K97:K160" si="12">IF(A97="","",IF(A97&gt;=46232,TEXT(DATE(YEAR(A97),MONTH(A97)+1,1),"mmmm yyyy"),TEXT(DATE(YEAR(A97),MONTH(A97),1),"mmmm yyyy")))</f>
        <v/>
      </c>
      <c r="L97" s="47">
        <f t="shared" ref="L97:L160" si="13">IF(AND(J97="Yes",E97&lt;0),-E97,0)</f>
        <v>0</v>
      </c>
      <c r="M97" s="47">
        <f t="shared" ref="M97:M160" si="14">IF(AND(J97="Yes",E97&gt;0),E97,0)</f>
        <v>0</v>
      </c>
      <c r="N97" t="str">
        <f>IF(A97="","",IF(D97="Category Pending","Needs categorization",IF(COUNTIFS($A$2:A97,A97,$B$2:B97,B97,$E$2:E97,E97)&gt;1,"Possible duplicate","")))</f>
        <v/>
      </c>
    </row>
    <row r="98" spans="3:14" x14ac:dyDescent="0.3">
      <c r="C98" s="16"/>
      <c r="G98" s="5" t="str">
        <f t="shared" si="10"/>
        <v/>
      </c>
      <c r="H98" t="str">
        <f>IF(A98="","",IFERROR(_xlfn.XLOOKUP(D98,Setup!$E$15:$E$79,Setup!$F$15:$F$79),"Miscellaneous"))</f>
        <v/>
      </c>
      <c r="I98" t="str">
        <f>IF(A98="","",IFERROR(_xlfn.XLOOKUP(D98,Setup!$E$15:$E$79,Setup!$G$15:$G$79),"Uncategorized"))</f>
        <v/>
      </c>
      <c r="J98" t="str">
        <f t="shared" si="11"/>
        <v/>
      </c>
      <c r="K98" s="4" t="str">
        <f t="shared" si="12"/>
        <v/>
      </c>
      <c r="L98" s="47">
        <f t="shared" si="13"/>
        <v>0</v>
      </c>
      <c r="M98" s="47">
        <f t="shared" si="14"/>
        <v>0</v>
      </c>
      <c r="N98" t="str">
        <f>IF(A98="","",IF(D98="Category Pending","Needs categorization",IF(COUNTIFS($A$2:A98,A98,$B$2:B98,B98,$E$2:E98,E98)&gt;1,"Possible duplicate","")))</f>
        <v/>
      </c>
    </row>
    <row r="99" spans="3:14" x14ac:dyDescent="0.3">
      <c r="C99" s="16"/>
      <c r="G99" s="5" t="str">
        <f t="shared" si="10"/>
        <v/>
      </c>
      <c r="H99" t="str">
        <f>IF(A99="","",IFERROR(_xlfn.XLOOKUP(D99,Setup!$E$15:$E$79,Setup!$F$15:$F$79),"Miscellaneous"))</f>
        <v/>
      </c>
      <c r="I99" t="str">
        <f>IF(A99="","",IFERROR(_xlfn.XLOOKUP(D99,Setup!$E$15:$E$79,Setup!$G$15:$G$79),"Uncategorized"))</f>
        <v/>
      </c>
      <c r="J99" t="str">
        <f t="shared" si="11"/>
        <v/>
      </c>
      <c r="K99" s="4" t="str">
        <f t="shared" si="12"/>
        <v/>
      </c>
      <c r="L99" s="47">
        <f t="shared" si="13"/>
        <v>0</v>
      </c>
      <c r="M99" s="47">
        <f t="shared" si="14"/>
        <v>0</v>
      </c>
      <c r="N99" t="str">
        <f>IF(A99="","",IF(D99="Category Pending","Needs categorization",IF(COUNTIFS($A$2:A99,A99,$B$2:B99,B99,$E$2:E99,E99)&gt;1,"Possible duplicate","")))</f>
        <v/>
      </c>
    </row>
    <row r="100" spans="3:14" x14ac:dyDescent="0.3">
      <c r="C100" s="16"/>
      <c r="G100" s="5" t="str">
        <f t="shared" si="10"/>
        <v/>
      </c>
      <c r="H100" t="str">
        <f>IF(A100="","",IFERROR(_xlfn.XLOOKUP(D100,Setup!$E$15:$E$79,Setup!$F$15:$F$79),"Miscellaneous"))</f>
        <v/>
      </c>
      <c r="I100" t="str">
        <f>IF(A100="","",IFERROR(_xlfn.XLOOKUP(D100,Setup!$E$15:$E$79,Setup!$G$15:$G$79),"Uncategorized"))</f>
        <v/>
      </c>
      <c r="J100" t="str">
        <f t="shared" si="11"/>
        <v/>
      </c>
      <c r="K100" s="4" t="str">
        <f t="shared" si="12"/>
        <v/>
      </c>
      <c r="L100" s="47">
        <f t="shared" si="13"/>
        <v>0</v>
      </c>
      <c r="M100" s="47">
        <f t="shared" si="14"/>
        <v>0</v>
      </c>
      <c r="N100" t="str">
        <f>IF(A100="","",IF(D100="Category Pending","Needs categorization",IF(COUNTIFS($A$2:A100,A100,$B$2:B100,B100,$E$2:E100,E100)&gt;1,"Possible duplicate","")))</f>
        <v/>
      </c>
    </row>
    <row r="101" spans="3:14" x14ac:dyDescent="0.3">
      <c r="C101" s="16"/>
      <c r="G101" s="5" t="str">
        <f t="shared" si="10"/>
        <v/>
      </c>
      <c r="H101" t="str">
        <f>IF(A101="","",IFERROR(_xlfn.XLOOKUP(D101,Setup!$E$15:$E$79,Setup!$F$15:$F$79),"Miscellaneous"))</f>
        <v/>
      </c>
      <c r="I101" t="str">
        <f>IF(A101="","",IFERROR(_xlfn.XLOOKUP(D101,Setup!$E$15:$E$79,Setup!$G$15:$G$79),"Uncategorized"))</f>
        <v/>
      </c>
      <c r="J101" t="str">
        <f t="shared" si="11"/>
        <v/>
      </c>
      <c r="K101" s="4" t="str">
        <f t="shared" si="12"/>
        <v/>
      </c>
      <c r="L101" s="47">
        <f t="shared" si="13"/>
        <v>0</v>
      </c>
      <c r="M101" s="47">
        <f t="shared" si="14"/>
        <v>0</v>
      </c>
      <c r="N101" t="str">
        <f>IF(A101="","",IF(D101="Category Pending","Needs categorization",IF(COUNTIFS($A$2:A101,A101,$B$2:B101,B101,$E$2:E101,E101)&gt;1,"Possible duplicate","")))</f>
        <v/>
      </c>
    </row>
    <row r="102" spans="3:14" x14ac:dyDescent="0.3">
      <c r="C102" s="16"/>
      <c r="G102" s="5" t="str">
        <f t="shared" si="10"/>
        <v/>
      </c>
      <c r="H102" t="str">
        <f>IF(A102="","",IFERROR(_xlfn.XLOOKUP(D102,Setup!$E$15:$E$79,Setup!$F$15:$F$79),"Miscellaneous"))</f>
        <v/>
      </c>
      <c r="I102" t="str">
        <f>IF(A102="","",IFERROR(_xlfn.XLOOKUP(D102,Setup!$E$15:$E$79,Setup!$G$15:$G$79),"Uncategorized"))</f>
        <v/>
      </c>
      <c r="J102" t="str">
        <f t="shared" si="11"/>
        <v/>
      </c>
      <c r="K102" s="4" t="str">
        <f t="shared" si="12"/>
        <v/>
      </c>
      <c r="L102" s="47">
        <f t="shared" si="13"/>
        <v>0</v>
      </c>
      <c r="M102" s="47">
        <f t="shared" si="14"/>
        <v>0</v>
      </c>
      <c r="N102" t="str">
        <f>IF(A102="","",IF(D102="Category Pending","Needs categorization",IF(COUNTIFS($A$2:A102,A102,$B$2:B102,B102,$E$2:E102,E102)&gt;1,"Possible duplicate","")))</f>
        <v/>
      </c>
    </row>
    <row r="103" spans="3:14" x14ac:dyDescent="0.3">
      <c r="C103" s="16"/>
      <c r="G103" s="5" t="str">
        <f t="shared" si="10"/>
        <v/>
      </c>
      <c r="H103" t="str">
        <f>IF(A103="","",IFERROR(_xlfn.XLOOKUP(D103,Setup!$E$15:$E$79,Setup!$F$15:$F$79),"Miscellaneous"))</f>
        <v/>
      </c>
      <c r="I103" t="str">
        <f>IF(A103="","",IFERROR(_xlfn.XLOOKUP(D103,Setup!$E$15:$E$79,Setup!$G$15:$G$79),"Uncategorized"))</f>
        <v/>
      </c>
      <c r="J103" t="str">
        <f t="shared" si="11"/>
        <v/>
      </c>
      <c r="K103" s="4" t="str">
        <f t="shared" si="12"/>
        <v/>
      </c>
      <c r="L103" s="47">
        <f t="shared" si="13"/>
        <v>0</v>
      </c>
      <c r="M103" s="47">
        <f t="shared" si="14"/>
        <v>0</v>
      </c>
      <c r="N103" t="str">
        <f>IF(A103="","",IF(D103="Category Pending","Needs categorization",IF(COUNTIFS($A$2:A103,A103,$B$2:B103,B103,$E$2:E103,E103)&gt;1,"Possible duplicate","")))</f>
        <v/>
      </c>
    </row>
    <row r="104" spans="3:14" x14ac:dyDescent="0.3">
      <c r="C104" s="16"/>
      <c r="G104" s="5" t="str">
        <f t="shared" si="10"/>
        <v/>
      </c>
      <c r="H104" t="str">
        <f>IF(A104="","",IFERROR(_xlfn.XLOOKUP(D104,Setup!$E$15:$E$79,Setup!$F$15:$F$79),"Miscellaneous"))</f>
        <v/>
      </c>
      <c r="I104" t="str">
        <f>IF(A104="","",IFERROR(_xlfn.XLOOKUP(D104,Setup!$E$15:$E$79,Setup!$G$15:$G$79),"Uncategorized"))</f>
        <v/>
      </c>
      <c r="J104" t="str">
        <f t="shared" si="11"/>
        <v/>
      </c>
      <c r="K104" s="4" t="str">
        <f t="shared" si="12"/>
        <v/>
      </c>
      <c r="L104" s="47">
        <f t="shared" si="13"/>
        <v>0</v>
      </c>
      <c r="M104" s="47">
        <f t="shared" si="14"/>
        <v>0</v>
      </c>
      <c r="N104" t="str">
        <f>IF(A104="","",IF(D104="Category Pending","Needs categorization",IF(COUNTIFS($A$2:A104,A104,$B$2:B104,B104,$E$2:E104,E104)&gt;1,"Possible duplicate","")))</f>
        <v/>
      </c>
    </row>
    <row r="105" spans="3:14" x14ac:dyDescent="0.3">
      <c r="C105" s="16"/>
      <c r="G105" s="5" t="str">
        <f t="shared" si="10"/>
        <v/>
      </c>
      <c r="H105" t="str">
        <f>IF(A105="","",IFERROR(_xlfn.XLOOKUP(D105,Setup!$E$15:$E$79,Setup!$F$15:$F$79),"Miscellaneous"))</f>
        <v/>
      </c>
      <c r="I105" t="str">
        <f>IF(A105="","",IFERROR(_xlfn.XLOOKUP(D105,Setup!$E$15:$E$79,Setup!$G$15:$G$79),"Uncategorized"))</f>
        <v/>
      </c>
      <c r="J105" t="str">
        <f t="shared" si="11"/>
        <v/>
      </c>
      <c r="K105" s="4" t="str">
        <f t="shared" si="12"/>
        <v/>
      </c>
      <c r="L105" s="47">
        <f t="shared" si="13"/>
        <v>0</v>
      </c>
      <c r="M105" s="47">
        <f t="shared" si="14"/>
        <v>0</v>
      </c>
      <c r="N105" t="str">
        <f>IF(A105="","",IF(D105="Category Pending","Needs categorization",IF(COUNTIFS($A$2:A105,A105,$B$2:B105,B105,$E$2:E105,E105)&gt;1,"Possible duplicate","")))</f>
        <v/>
      </c>
    </row>
    <row r="106" spans="3:14" x14ac:dyDescent="0.3">
      <c r="C106" s="16"/>
      <c r="G106" s="5" t="str">
        <f t="shared" si="10"/>
        <v/>
      </c>
      <c r="H106" t="str">
        <f>IF(A106="","",IFERROR(_xlfn.XLOOKUP(D106,Setup!$E$15:$E$79,Setup!$F$15:$F$79),"Miscellaneous"))</f>
        <v/>
      </c>
      <c r="I106" t="str">
        <f>IF(A106="","",IFERROR(_xlfn.XLOOKUP(D106,Setup!$E$15:$E$79,Setup!$G$15:$G$79),"Uncategorized"))</f>
        <v/>
      </c>
      <c r="J106" t="str">
        <f t="shared" si="11"/>
        <v/>
      </c>
      <c r="K106" s="4" t="str">
        <f t="shared" si="12"/>
        <v/>
      </c>
      <c r="L106" s="47">
        <f t="shared" si="13"/>
        <v>0</v>
      </c>
      <c r="M106" s="47">
        <f t="shared" si="14"/>
        <v>0</v>
      </c>
      <c r="N106" t="str">
        <f>IF(A106="","",IF(D106="Category Pending","Needs categorization",IF(COUNTIFS($A$2:A106,A106,$B$2:B106,B106,$E$2:E106,E106)&gt;1,"Possible duplicate","")))</f>
        <v/>
      </c>
    </row>
    <row r="107" spans="3:14" x14ac:dyDescent="0.3">
      <c r="C107" s="16"/>
      <c r="G107" s="5" t="str">
        <f t="shared" si="10"/>
        <v/>
      </c>
      <c r="H107" t="str">
        <f>IF(A107="","",IFERROR(_xlfn.XLOOKUP(D107,Setup!$E$15:$E$79,Setup!$F$15:$F$79),"Miscellaneous"))</f>
        <v/>
      </c>
      <c r="I107" t="str">
        <f>IF(A107="","",IFERROR(_xlfn.XLOOKUP(D107,Setup!$E$15:$E$79,Setup!$G$15:$G$79),"Uncategorized"))</f>
        <v/>
      </c>
      <c r="J107" t="str">
        <f t="shared" si="11"/>
        <v/>
      </c>
      <c r="K107" s="4" t="str">
        <f t="shared" si="12"/>
        <v/>
      </c>
      <c r="L107" s="47">
        <f t="shared" si="13"/>
        <v>0</v>
      </c>
      <c r="M107" s="47">
        <f t="shared" si="14"/>
        <v>0</v>
      </c>
      <c r="N107" t="str">
        <f>IF(A107="","",IF(D107="Category Pending","Needs categorization",IF(COUNTIFS($A$2:A107,A107,$B$2:B107,B107,$E$2:E107,E107)&gt;1,"Possible duplicate","")))</f>
        <v/>
      </c>
    </row>
    <row r="108" spans="3:14" x14ac:dyDescent="0.3">
      <c r="C108" s="16"/>
      <c r="G108" s="5" t="str">
        <f t="shared" si="10"/>
        <v/>
      </c>
      <c r="H108" t="str">
        <f>IF(A108="","",IFERROR(_xlfn.XLOOKUP(D108,Setup!$E$15:$E$79,Setup!$F$15:$F$79),"Miscellaneous"))</f>
        <v/>
      </c>
      <c r="I108" t="str">
        <f>IF(A108="","",IFERROR(_xlfn.XLOOKUP(D108,Setup!$E$15:$E$79,Setup!$G$15:$G$79),"Uncategorized"))</f>
        <v/>
      </c>
      <c r="J108" t="str">
        <f t="shared" si="11"/>
        <v/>
      </c>
      <c r="K108" s="4" t="str">
        <f t="shared" si="12"/>
        <v/>
      </c>
      <c r="L108" s="47">
        <f t="shared" si="13"/>
        <v>0</v>
      </c>
      <c r="M108" s="47">
        <f t="shared" si="14"/>
        <v>0</v>
      </c>
      <c r="N108" t="str">
        <f>IF(A108="","",IF(D108="Category Pending","Needs categorization",IF(COUNTIFS($A$2:A108,A108,$B$2:B108,B108,$E$2:E108,E108)&gt;1,"Possible duplicate","")))</f>
        <v/>
      </c>
    </row>
    <row r="109" spans="3:14" x14ac:dyDescent="0.3">
      <c r="C109" s="16"/>
      <c r="G109" s="5" t="str">
        <f t="shared" si="10"/>
        <v/>
      </c>
      <c r="H109" t="str">
        <f>IF(A109="","",IFERROR(_xlfn.XLOOKUP(D109,Setup!$E$15:$E$79,Setup!$F$15:$F$79),"Miscellaneous"))</f>
        <v/>
      </c>
      <c r="I109" t="str">
        <f>IF(A109="","",IFERROR(_xlfn.XLOOKUP(D109,Setup!$E$15:$E$79,Setup!$G$15:$G$79),"Uncategorized"))</f>
        <v/>
      </c>
      <c r="J109" t="str">
        <f t="shared" si="11"/>
        <v/>
      </c>
      <c r="K109" s="4" t="str">
        <f t="shared" si="12"/>
        <v/>
      </c>
      <c r="L109" s="47">
        <f t="shared" si="13"/>
        <v>0</v>
      </c>
      <c r="M109" s="47">
        <f t="shared" si="14"/>
        <v>0</v>
      </c>
      <c r="N109" t="str">
        <f>IF(A109="","",IF(D109="Category Pending","Needs categorization",IF(COUNTIFS($A$2:A109,A109,$B$2:B109,B109,$E$2:E109,E109)&gt;1,"Possible duplicate","")))</f>
        <v/>
      </c>
    </row>
    <row r="110" spans="3:14" x14ac:dyDescent="0.3">
      <c r="C110" s="16"/>
      <c r="G110" s="5" t="str">
        <f t="shared" si="10"/>
        <v/>
      </c>
      <c r="H110" t="str">
        <f>IF(A110="","",IFERROR(_xlfn.XLOOKUP(D110,Setup!$E$15:$E$79,Setup!$F$15:$F$79),"Miscellaneous"))</f>
        <v/>
      </c>
      <c r="I110" t="str">
        <f>IF(A110="","",IFERROR(_xlfn.XLOOKUP(D110,Setup!$E$15:$E$79,Setup!$G$15:$G$79),"Uncategorized"))</f>
        <v/>
      </c>
      <c r="J110" t="str">
        <f t="shared" si="11"/>
        <v/>
      </c>
      <c r="K110" s="4" t="str">
        <f t="shared" si="12"/>
        <v/>
      </c>
      <c r="L110" s="47">
        <f t="shared" si="13"/>
        <v>0</v>
      </c>
      <c r="M110" s="47">
        <f t="shared" si="14"/>
        <v>0</v>
      </c>
      <c r="N110" t="str">
        <f>IF(A110="","",IF(D110="Category Pending","Needs categorization",IF(COUNTIFS($A$2:A110,A110,$B$2:B110,B110,$E$2:E110,E110)&gt;1,"Possible duplicate","")))</f>
        <v/>
      </c>
    </row>
    <row r="111" spans="3:14" x14ac:dyDescent="0.3">
      <c r="C111" s="16"/>
      <c r="G111" s="5" t="str">
        <f t="shared" si="10"/>
        <v/>
      </c>
      <c r="H111" t="str">
        <f>IF(A111="","",IFERROR(_xlfn.XLOOKUP(D111,Setup!$E$15:$E$79,Setup!$F$15:$F$79),"Miscellaneous"))</f>
        <v/>
      </c>
      <c r="I111" t="str">
        <f>IF(A111="","",IFERROR(_xlfn.XLOOKUP(D111,Setup!$E$15:$E$79,Setup!$G$15:$G$79),"Uncategorized"))</f>
        <v/>
      </c>
      <c r="J111" t="str">
        <f t="shared" si="11"/>
        <v/>
      </c>
      <c r="K111" s="4" t="str">
        <f t="shared" si="12"/>
        <v/>
      </c>
      <c r="L111" s="47">
        <f t="shared" si="13"/>
        <v>0</v>
      </c>
      <c r="M111" s="47">
        <f t="shared" si="14"/>
        <v>0</v>
      </c>
      <c r="N111" t="str">
        <f>IF(A111="","",IF(D111="Category Pending","Needs categorization",IF(COUNTIFS($A$2:A111,A111,$B$2:B111,B111,$E$2:E111,E111)&gt;1,"Possible duplicate","")))</f>
        <v/>
      </c>
    </row>
    <row r="112" spans="3:14" x14ac:dyDescent="0.3">
      <c r="C112" s="16"/>
      <c r="G112" s="5" t="str">
        <f t="shared" si="10"/>
        <v/>
      </c>
      <c r="H112" t="str">
        <f>IF(A112="","",IFERROR(_xlfn.XLOOKUP(D112,Setup!$E$15:$E$79,Setup!$F$15:$F$79),"Miscellaneous"))</f>
        <v/>
      </c>
      <c r="I112" t="str">
        <f>IF(A112="","",IFERROR(_xlfn.XLOOKUP(D112,Setup!$E$15:$E$79,Setup!$G$15:$G$79),"Uncategorized"))</f>
        <v/>
      </c>
      <c r="J112" t="str">
        <f t="shared" si="11"/>
        <v/>
      </c>
      <c r="K112" s="4" t="str">
        <f t="shared" si="12"/>
        <v/>
      </c>
      <c r="L112" s="47">
        <f t="shared" si="13"/>
        <v>0</v>
      </c>
      <c r="M112" s="47">
        <f t="shared" si="14"/>
        <v>0</v>
      </c>
      <c r="N112" t="str">
        <f>IF(A112="","",IF(D112="Category Pending","Needs categorization",IF(COUNTIFS($A$2:A112,A112,$B$2:B112,B112,$E$2:E112,E112)&gt;1,"Possible duplicate","")))</f>
        <v/>
      </c>
    </row>
    <row r="113" spans="3:14" x14ac:dyDescent="0.3">
      <c r="C113" s="16"/>
      <c r="G113" s="5" t="str">
        <f t="shared" si="10"/>
        <v/>
      </c>
      <c r="H113" t="str">
        <f>IF(A113="","",IFERROR(_xlfn.XLOOKUP(D113,Setup!$E$15:$E$79,Setup!$F$15:$F$79),"Miscellaneous"))</f>
        <v/>
      </c>
      <c r="I113" t="str">
        <f>IF(A113="","",IFERROR(_xlfn.XLOOKUP(D113,Setup!$E$15:$E$79,Setup!$G$15:$G$79),"Uncategorized"))</f>
        <v/>
      </c>
      <c r="J113" t="str">
        <f t="shared" si="11"/>
        <v/>
      </c>
      <c r="K113" s="4" t="str">
        <f t="shared" si="12"/>
        <v/>
      </c>
      <c r="L113" s="47">
        <f t="shared" si="13"/>
        <v>0</v>
      </c>
      <c r="M113" s="47">
        <f t="shared" si="14"/>
        <v>0</v>
      </c>
      <c r="N113" t="str">
        <f>IF(A113="","",IF(D113="Category Pending","Needs categorization",IF(COUNTIFS($A$2:A113,A113,$B$2:B113,B113,$E$2:E113,E113)&gt;1,"Possible duplicate","")))</f>
        <v/>
      </c>
    </row>
    <row r="114" spans="3:14" x14ac:dyDescent="0.3">
      <c r="C114" s="16"/>
      <c r="G114" s="5" t="str">
        <f t="shared" si="10"/>
        <v/>
      </c>
      <c r="H114" t="str">
        <f>IF(A114="","",IFERROR(_xlfn.XLOOKUP(D114,Setup!$E$15:$E$79,Setup!$F$15:$F$79),"Miscellaneous"))</f>
        <v/>
      </c>
      <c r="I114" t="str">
        <f>IF(A114="","",IFERROR(_xlfn.XLOOKUP(D114,Setup!$E$15:$E$79,Setup!$G$15:$G$79),"Uncategorized"))</f>
        <v/>
      </c>
      <c r="J114" t="str">
        <f t="shared" si="11"/>
        <v/>
      </c>
      <c r="K114" s="4" t="str">
        <f t="shared" si="12"/>
        <v/>
      </c>
      <c r="L114" s="47">
        <f t="shared" si="13"/>
        <v>0</v>
      </c>
      <c r="M114" s="47">
        <f t="shared" si="14"/>
        <v>0</v>
      </c>
      <c r="N114" t="str">
        <f>IF(A114="","",IF(D114="Category Pending","Needs categorization",IF(COUNTIFS($A$2:A114,A114,$B$2:B114,B114,$E$2:E114,E114)&gt;1,"Possible duplicate","")))</f>
        <v/>
      </c>
    </row>
    <row r="115" spans="3:14" x14ac:dyDescent="0.3">
      <c r="C115" s="16"/>
      <c r="G115" s="5" t="str">
        <f t="shared" si="10"/>
        <v/>
      </c>
      <c r="H115" t="str">
        <f>IF(A115="","",IFERROR(_xlfn.XLOOKUP(D115,Setup!$E$15:$E$79,Setup!$F$15:$F$79),"Miscellaneous"))</f>
        <v/>
      </c>
      <c r="I115" t="str">
        <f>IF(A115="","",IFERROR(_xlfn.XLOOKUP(D115,Setup!$E$15:$E$79,Setup!$G$15:$G$79),"Uncategorized"))</f>
        <v/>
      </c>
      <c r="J115" t="str">
        <f t="shared" si="11"/>
        <v/>
      </c>
      <c r="K115" s="4" t="str">
        <f t="shared" si="12"/>
        <v/>
      </c>
      <c r="L115" s="47">
        <f t="shared" si="13"/>
        <v>0</v>
      </c>
      <c r="M115" s="47">
        <f t="shared" si="14"/>
        <v>0</v>
      </c>
      <c r="N115" t="str">
        <f>IF(A115="","",IF(D115="Category Pending","Needs categorization",IF(COUNTIFS($A$2:A115,A115,$B$2:B115,B115,$E$2:E115,E115)&gt;1,"Possible duplicate","")))</f>
        <v/>
      </c>
    </row>
    <row r="116" spans="3:14" x14ac:dyDescent="0.3">
      <c r="C116" s="16"/>
      <c r="G116" s="5" t="str">
        <f t="shared" si="10"/>
        <v/>
      </c>
      <c r="H116" t="str">
        <f>IF(A116="","",IFERROR(_xlfn.XLOOKUP(D116,Setup!$E$15:$E$79,Setup!$F$15:$F$79),"Miscellaneous"))</f>
        <v/>
      </c>
      <c r="I116" t="str">
        <f>IF(A116="","",IFERROR(_xlfn.XLOOKUP(D116,Setup!$E$15:$E$79,Setup!$G$15:$G$79),"Uncategorized"))</f>
        <v/>
      </c>
      <c r="J116" t="str">
        <f t="shared" si="11"/>
        <v/>
      </c>
      <c r="K116" s="4" t="str">
        <f t="shared" si="12"/>
        <v/>
      </c>
      <c r="L116" s="47">
        <f t="shared" si="13"/>
        <v>0</v>
      </c>
      <c r="M116" s="47">
        <f t="shared" si="14"/>
        <v>0</v>
      </c>
      <c r="N116" t="str">
        <f>IF(A116="","",IF(D116="Category Pending","Needs categorization",IF(COUNTIFS($A$2:A116,A116,$B$2:B116,B116,$E$2:E116,E116)&gt;1,"Possible duplicate","")))</f>
        <v/>
      </c>
    </row>
    <row r="117" spans="3:14" x14ac:dyDescent="0.3">
      <c r="C117" s="16"/>
      <c r="G117" s="5" t="str">
        <f t="shared" si="10"/>
        <v/>
      </c>
      <c r="H117" t="str">
        <f>IF(A117="","",IFERROR(_xlfn.XLOOKUP(D117,Setup!$E$15:$E$79,Setup!$F$15:$F$79),"Miscellaneous"))</f>
        <v/>
      </c>
      <c r="I117" t="str">
        <f>IF(A117="","",IFERROR(_xlfn.XLOOKUP(D117,Setup!$E$15:$E$79,Setup!$G$15:$G$79),"Uncategorized"))</f>
        <v/>
      </c>
      <c r="J117" t="str">
        <f t="shared" si="11"/>
        <v/>
      </c>
      <c r="K117" s="4" t="str">
        <f t="shared" si="12"/>
        <v/>
      </c>
      <c r="L117" s="47">
        <f t="shared" si="13"/>
        <v>0</v>
      </c>
      <c r="M117" s="47">
        <f t="shared" si="14"/>
        <v>0</v>
      </c>
      <c r="N117" t="str">
        <f>IF(A117="","",IF(D117="Category Pending","Needs categorization",IF(COUNTIFS($A$2:A117,A117,$B$2:B117,B117,$E$2:E117,E117)&gt;1,"Possible duplicate","")))</f>
        <v/>
      </c>
    </row>
    <row r="118" spans="3:14" x14ac:dyDescent="0.3">
      <c r="C118" s="16"/>
      <c r="G118" s="5" t="str">
        <f t="shared" si="10"/>
        <v/>
      </c>
      <c r="H118" t="str">
        <f>IF(A118="","",IFERROR(_xlfn.XLOOKUP(D118,Setup!$E$15:$E$79,Setup!$F$15:$F$79),"Miscellaneous"))</f>
        <v/>
      </c>
      <c r="I118" t="str">
        <f>IF(A118="","",IFERROR(_xlfn.XLOOKUP(D118,Setup!$E$15:$E$79,Setup!$G$15:$G$79),"Uncategorized"))</f>
        <v/>
      </c>
      <c r="J118" t="str">
        <f t="shared" si="11"/>
        <v/>
      </c>
      <c r="K118" s="4" t="str">
        <f t="shared" si="12"/>
        <v/>
      </c>
      <c r="L118" s="47">
        <f t="shared" si="13"/>
        <v>0</v>
      </c>
      <c r="M118" s="47">
        <f t="shared" si="14"/>
        <v>0</v>
      </c>
      <c r="N118" t="str">
        <f>IF(A118="","",IF(D118="Category Pending","Needs categorization",IF(COUNTIFS($A$2:A118,A118,$B$2:B118,B118,$E$2:E118,E118)&gt;1,"Possible duplicate","")))</f>
        <v/>
      </c>
    </row>
    <row r="119" spans="3:14" x14ac:dyDescent="0.3">
      <c r="C119" s="16"/>
      <c r="G119" s="5" t="str">
        <f t="shared" si="10"/>
        <v/>
      </c>
      <c r="H119" t="str">
        <f>IF(A119="","",IFERROR(_xlfn.XLOOKUP(D119,Setup!$E$15:$E$79,Setup!$F$15:$F$79),"Miscellaneous"))</f>
        <v/>
      </c>
      <c r="I119" t="str">
        <f>IF(A119="","",IFERROR(_xlfn.XLOOKUP(D119,Setup!$E$15:$E$79,Setup!$G$15:$G$79),"Uncategorized"))</f>
        <v/>
      </c>
      <c r="J119" t="str">
        <f t="shared" si="11"/>
        <v/>
      </c>
      <c r="K119" s="4" t="str">
        <f t="shared" si="12"/>
        <v/>
      </c>
      <c r="L119" s="47">
        <f t="shared" si="13"/>
        <v>0</v>
      </c>
      <c r="M119" s="47">
        <f t="shared" si="14"/>
        <v>0</v>
      </c>
      <c r="N119" t="str">
        <f>IF(A119="","",IF(D119="Category Pending","Needs categorization",IF(COUNTIFS($A$2:A119,A119,$B$2:B119,B119,$E$2:E119,E119)&gt;1,"Possible duplicate","")))</f>
        <v/>
      </c>
    </row>
    <row r="120" spans="3:14" x14ac:dyDescent="0.3">
      <c r="C120" s="16"/>
      <c r="G120" s="5" t="str">
        <f t="shared" si="10"/>
        <v/>
      </c>
      <c r="H120" t="str">
        <f>IF(A120="","",IFERROR(_xlfn.XLOOKUP(D120,Setup!$E$15:$E$79,Setup!$F$15:$F$79),"Miscellaneous"))</f>
        <v/>
      </c>
      <c r="I120" t="str">
        <f>IF(A120="","",IFERROR(_xlfn.XLOOKUP(D120,Setup!$E$15:$E$79,Setup!$G$15:$G$79),"Uncategorized"))</f>
        <v/>
      </c>
      <c r="J120" t="str">
        <f t="shared" si="11"/>
        <v/>
      </c>
      <c r="K120" s="4" t="str">
        <f t="shared" si="12"/>
        <v/>
      </c>
      <c r="L120" s="47">
        <f t="shared" si="13"/>
        <v>0</v>
      </c>
      <c r="M120" s="47">
        <f t="shared" si="14"/>
        <v>0</v>
      </c>
      <c r="N120" t="str">
        <f>IF(A120="","",IF(D120="Category Pending","Needs categorization",IF(COUNTIFS($A$2:A120,A120,$B$2:B120,B120,$E$2:E120,E120)&gt;1,"Possible duplicate","")))</f>
        <v/>
      </c>
    </row>
    <row r="121" spans="3:14" x14ac:dyDescent="0.3">
      <c r="C121" s="16"/>
      <c r="G121" s="5" t="str">
        <f t="shared" si="10"/>
        <v/>
      </c>
      <c r="H121" t="str">
        <f>IF(A121="","",IFERROR(_xlfn.XLOOKUP(D121,Setup!$E$15:$E$79,Setup!$F$15:$F$79),"Miscellaneous"))</f>
        <v/>
      </c>
      <c r="I121" t="str">
        <f>IF(A121="","",IFERROR(_xlfn.XLOOKUP(D121,Setup!$E$15:$E$79,Setup!$G$15:$G$79),"Uncategorized"))</f>
        <v/>
      </c>
      <c r="J121" t="str">
        <f t="shared" si="11"/>
        <v/>
      </c>
      <c r="K121" s="4" t="str">
        <f t="shared" si="12"/>
        <v/>
      </c>
      <c r="L121" s="47">
        <f t="shared" si="13"/>
        <v>0</v>
      </c>
      <c r="M121" s="47">
        <f t="shared" si="14"/>
        <v>0</v>
      </c>
      <c r="N121" t="str">
        <f>IF(A121="","",IF(D121="Category Pending","Needs categorization",IF(COUNTIFS($A$2:A121,A121,$B$2:B121,B121,$E$2:E121,E121)&gt;1,"Possible duplicate","")))</f>
        <v/>
      </c>
    </row>
    <row r="122" spans="3:14" x14ac:dyDescent="0.3">
      <c r="C122" s="16"/>
      <c r="G122" s="5" t="str">
        <f t="shared" si="10"/>
        <v/>
      </c>
      <c r="H122" t="str">
        <f>IF(A122="","",IFERROR(_xlfn.XLOOKUP(D122,Setup!$E$15:$E$79,Setup!$F$15:$F$79),"Miscellaneous"))</f>
        <v/>
      </c>
      <c r="I122" t="str">
        <f>IF(A122="","",IFERROR(_xlfn.XLOOKUP(D122,Setup!$E$15:$E$79,Setup!$G$15:$G$79),"Uncategorized"))</f>
        <v/>
      </c>
      <c r="J122" t="str">
        <f t="shared" si="11"/>
        <v/>
      </c>
      <c r="K122" s="4" t="str">
        <f t="shared" si="12"/>
        <v/>
      </c>
      <c r="L122" s="47">
        <f t="shared" si="13"/>
        <v>0</v>
      </c>
      <c r="M122" s="47">
        <f t="shared" si="14"/>
        <v>0</v>
      </c>
      <c r="N122" t="str">
        <f>IF(A122="","",IF(D122="Category Pending","Needs categorization",IF(COUNTIFS($A$2:A122,A122,$B$2:B122,B122,$E$2:E122,E122)&gt;1,"Possible duplicate","")))</f>
        <v/>
      </c>
    </row>
    <row r="123" spans="3:14" x14ac:dyDescent="0.3">
      <c r="C123" s="16"/>
      <c r="G123" s="5" t="str">
        <f t="shared" si="10"/>
        <v/>
      </c>
      <c r="H123" t="str">
        <f>IF(A123="","",IFERROR(_xlfn.XLOOKUP(D123,Setup!$E$15:$E$79,Setup!$F$15:$F$79),"Miscellaneous"))</f>
        <v/>
      </c>
      <c r="I123" t="str">
        <f>IF(A123="","",IFERROR(_xlfn.XLOOKUP(D123,Setup!$E$15:$E$79,Setup!$G$15:$G$79),"Uncategorized"))</f>
        <v/>
      </c>
      <c r="J123" t="str">
        <f t="shared" si="11"/>
        <v/>
      </c>
      <c r="K123" s="4" t="str">
        <f t="shared" si="12"/>
        <v/>
      </c>
      <c r="L123" s="47">
        <f t="shared" si="13"/>
        <v>0</v>
      </c>
      <c r="M123" s="47">
        <f t="shared" si="14"/>
        <v>0</v>
      </c>
      <c r="N123" t="str">
        <f>IF(A123="","",IF(D123="Category Pending","Needs categorization",IF(COUNTIFS($A$2:A123,A123,$B$2:B123,B123,$E$2:E123,E123)&gt;1,"Possible duplicate","")))</f>
        <v/>
      </c>
    </row>
    <row r="124" spans="3:14" x14ac:dyDescent="0.3">
      <c r="C124" s="16"/>
      <c r="G124" s="5" t="str">
        <f t="shared" si="10"/>
        <v/>
      </c>
      <c r="H124" t="str">
        <f>IF(A124="","",IFERROR(_xlfn.XLOOKUP(D124,Setup!$E$15:$E$79,Setup!$F$15:$F$79),"Miscellaneous"))</f>
        <v/>
      </c>
      <c r="I124" t="str">
        <f>IF(A124="","",IFERROR(_xlfn.XLOOKUP(D124,Setup!$E$15:$E$79,Setup!$G$15:$G$79),"Uncategorized"))</f>
        <v/>
      </c>
      <c r="J124" t="str">
        <f t="shared" si="11"/>
        <v/>
      </c>
      <c r="K124" s="4" t="str">
        <f t="shared" si="12"/>
        <v/>
      </c>
      <c r="L124" s="47">
        <f t="shared" si="13"/>
        <v>0</v>
      </c>
      <c r="M124" s="47">
        <f t="shared" si="14"/>
        <v>0</v>
      </c>
      <c r="N124" t="str">
        <f>IF(A124="","",IF(D124="Category Pending","Needs categorization",IF(COUNTIFS($A$2:A124,A124,$B$2:B124,B124,$E$2:E124,E124)&gt;1,"Possible duplicate","")))</f>
        <v/>
      </c>
    </row>
    <row r="125" spans="3:14" x14ac:dyDescent="0.3">
      <c r="C125" s="16"/>
      <c r="G125" s="5" t="str">
        <f t="shared" si="10"/>
        <v/>
      </c>
      <c r="H125" t="str">
        <f>IF(A125="","",IFERROR(_xlfn.XLOOKUP(D125,Setup!$E$15:$E$79,Setup!$F$15:$F$79),"Miscellaneous"))</f>
        <v/>
      </c>
      <c r="I125" t="str">
        <f>IF(A125="","",IFERROR(_xlfn.XLOOKUP(D125,Setup!$E$15:$E$79,Setup!$G$15:$G$79),"Uncategorized"))</f>
        <v/>
      </c>
      <c r="J125" t="str">
        <f t="shared" si="11"/>
        <v/>
      </c>
      <c r="K125" s="4" t="str">
        <f t="shared" si="12"/>
        <v/>
      </c>
      <c r="L125" s="47">
        <f t="shared" si="13"/>
        <v>0</v>
      </c>
      <c r="M125" s="47">
        <f t="shared" si="14"/>
        <v>0</v>
      </c>
      <c r="N125" t="str">
        <f>IF(A125="","",IF(D125="Category Pending","Needs categorization",IF(COUNTIFS($A$2:A125,A125,$B$2:B125,B125,$E$2:E125,E125)&gt;1,"Possible duplicate","")))</f>
        <v/>
      </c>
    </row>
    <row r="126" spans="3:14" x14ac:dyDescent="0.3">
      <c r="C126" s="16"/>
      <c r="G126" s="5" t="str">
        <f t="shared" si="10"/>
        <v/>
      </c>
      <c r="H126" t="str">
        <f>IF(A126="","",IFERROR(_xlfn.XLOOKUP(D126,Setup!$E$15:$E$79,Setup!$F$15:$F$79),"Miscellaneous"))</f>
        <v/>
      </c>
      <c r="I126" t="str">
        <f>IF(A126="","",IFERROR(_xlfn.XLOOKUP(D126,Setup!$E$15:$E$79,Setup!$G$15:$G$79),"Uncategorized"))</f>
        <v/>
      </c>
      <c r="J126" t="str">
        <f t="shared" si="11"/>
        <v/>
      </c>
      <c r="K126" s="4" t="str">
        <f t="shared" si="12"/>
        <v/>
      </c>
      <c r="L126" s="47">
        <f t="shared" si="13"/>
        <v>0</v>
      </c>
      <c r="M126" s="47">
        <f t="shared" si="14"/>
        <v>0</v>
      </c>
      <c r="N126" t="str">
        <f>IF(A126="","",IF(D126="Category Pending","Needs categorization",IF(COUNTIFS($A$2:A126,A126,$B$2:B126,B126,$E$2:E126,E126)&gt;1,"Possible duplicate","")))</f>
        <v/>
      </c>
    </row>
    <row r="127" spans="3:14" x14ac:dyDescent="0.3">
      <c r="C127" s="16"/>
      <c r="G127" s="5" t="str">
        <f t="shared" si="10"/>
        <v/>
      </c>
      <c r="H127" t="str">
        <f>IF(A127="","",IFERROR(_xlfn.XLOOKUP(D127,Setup!$E$15:$E$79,Setup!$F$15:$F$79),"Miscellaneous"))</f>
        <v/>
      </c>
      <c r="I127" t="str">
        <f>IF(A127="","",IFERROR(_xlfn.XLOOKUP(D127,Setup!$E$15:$E$79,Setup!$G$15:$G$79),"Uncategorized"))</f>
        <v/>
      </c>
      <c r="J127" t="str">
        <f t="shared" si="11"/>
        <v/>
      </c>
      <c r="K127" s="4" t="str">
        <f t="shared" si="12"/>
        <v/>
      </c>
      <c r="L127" s="47">
        <f t="shared" si="13"/>
        <v>0</v>
      </c>
      <c r="M127" s="47">
        <f t="shared" si="14"/>
        <v>0</v>
      </c>
      <c r="N127" t="str">
        <f>IF(A127="","",IF(D127="Category Pending","Needs categorization",IF(COUNTIFS($A$2:A127,A127,$B$2:B127,B127,$E$2:E127,E127)&gt;1,"Possible duplicate","")))</f>
        <v/>
      </c>
    </row>
    <row r="128" spans="3:14" x14ac:dyDescent="0.3">
      <c r="C128" s="16"/>
      <c r="G128" s="5" t="str">
        <f t="shared" si="10"/>
        <v/>
      </c>
      <c r="H128" t="str">
        <f>IF(A128="","",IFERROR(_xlfn.XLOOKUP(D128,Setup!$E$15:$E$79,Setup!$F$15:$F$79),"Miscellaneous"))</f>
        <v/>
      </c>
      <c r="I128" t="str">
        <f>IF(A128="","",IFERROR(_xlfn.XLOOKUP(D128,Setup!$E$15:$E$79,Setup!$G$15:$G$79),"Uncategorized"))</f>
        <v/>
      </c>
      <c r="J128" t="str">
        <f t="shared" si="11"/>
        <v/>
      </c>
      <c r="K128" s="4" t="str">
        <f t="shared" si="12"/>
        <v/>
      </c>
      <c r="L128" s="47">
        <f t="shared" si="13"/>
        <v>0</v>
      </c>
      <c r="M128" s="47">
        <f t="shared" si="14"/>
        <v>0</v>
      </c>
      <c r="N128" t="str">
        <f>IF(A128="","",IF(D128="Category Pending","Needs categorization",IF(COUNTIFS($A$2:A128,A128,$B$2:B128,B128,$E$2:E128,E128)&gt;1,"Possible duplicate","")))</f>
        <v/>
      </c>
    </row>
    <row r="129" spans="3:14" x14ac:dyDescent="0.3">
      <c r="C129" s="16"/>
      <c r="G129" s="5" t="str">
        <f t="shared" si="10"/>
        <v/>
      </c>
      <c r="H129" t="str">
        <f>IF(A129="","",IFERROR(_xlfn.XLOOKUP(D129,Setup!$E$15:$E$79,Setup!$F$15:$F$79),"Miscellaneous"))</f>
        <v/>
      </c>
      <c r="I129" t="str">
        <f>IF(A129="","",IFERROR(_xlfn.XLOOKUP(D129,Setup!$E$15:$E$79,Setup!$G$15:$G$79),"Uncategorized"))</f>
        <v/>
      </c>
      <c r="J129" t="str">
        <f t="shared" si="11"/>
        <v/>
      </c>
      <c r="K129" s="4" t="str">
        <f t="shared" si="12"/>
        <v/>
      </c>
      <c r="L129" s="47">
        <f t="shared" si="13"/>
        <v>0</v>
      </c>
      <c r="M129" s="47">
        <f t="shared" si="14"/>
        <v>0</v>
      </c>
      <c r="N129" t="str">
        <f>IF(A129="","",IF(D129="Category Pending","Needs categorization",IF(COUNTIFS($A$2:A129,A129,$B$2:B129,B129,$E$2:E129,E129)&gt;1,"Possible duplicate","")))</f>
        <v/>
      </c>
    </row>
    <row r="130" spans="3:14" x14ac:dyDescent="0.3">
      <c r="C130" s="16"/>
      <c r="G130" s="5" t="str">
        <f t="shared" si="10"/>
        <v/>
      </c>
      <c r="H130" t="str">
        <f>IF(A130="","",IFERROR(_xlfn.XLOOKUP(D130,Setup!$E$15:$E$79,Setup!$F$15:$F$79),"Miscellaneous"))</f>
        <v/>
      </c>
      <c r="I130" t="str">
        <f>IF(A130="","",IFERROR(_xlfn.XLOOKUP(D130,Setup!$E$15:$E$79,Setup!$G$15:$G$79),"Uncategorized"))</f>
        <v/>
      </c>
      <c r="J130" t="str">
        <f t="shared" si="11"/>
        <v/>
      </c>
      <c r="K130" s="4" t="str">
        <f t="shared" si="12"/>
        <v/>
      </c>
      <c r="L130" s="47">
        <f t="shared" si="13"/>
        <v>0</v>
      </c>
      <c r="M130" s="47">
        <f t="shared" si="14"/>
        <v>0</v>
      </c>
      <c r="N130" t="str">
        <f>IF(A130="","",IF(D130="Category Pending","Needs categorization",IF(COUNTIFS($A$2:A130,A130,$B$2:B130,B130,$E$2:E130,E130)&gt;1,"Possible duplicate","")))</f>
        <v/>
      </c>
    </row>
    <row r="131" spans="3:14" x14ac:dyDescent="0.3">
      <c r="C131" s="16"/>
      <c r="G131" s="5" t="str">
        <f t="shared" si="10"/>
        <v/>
      </c>
      <c r="H131" t="str">
        <f>IF(A131="","",IFERROR(_xlfn.XLOOKUP(D131,Setup!$E$15:$E$79,Setup!$F$15:$F$79),"Miscellaneous"))</f>
        <v/>
      </c>
      <c r="I131" t="str">
        <f>IF(A131="","",IFERROR(_xlfn.XLOOKUP(D131,Setup!$E$15:$E$79,Setup!$G$15:$G$79),"Uncategorized"))</f>
        <v/>
      </c>
      <c r="J131" t="str">
        <f t="shared" si="11"/>
        <v/>
      </c>
      <c r="K131" s="4" t="str">
        <f t="shared" si="12"/>
        <v/>
      </c>
      <c r="L131" s="47">
        <f t="shared" si="13"/>
        <v>0</v>
      </c>
      <c r="M131" s="47">
        <f t="shared" si="14"/>
        <v>0</v>
      </c>
      <c r="N131" t="str">
        <f>IF(A131="","",IF(D131="Category Pending","Needs categorization",IF(COUNTIFS($A$2:A131,A131,$B$2:B131,B131,$E$2:E131,E131)&gt;1,"Possible duplicate","")))</f>
        <v/>
      </c>
    </row>
    <row r="132" spans="3:14" x14ac:dyDescent="0.3">
      <c r="C132" s="16"/>
      <c r="G132" s="5" t="str">
        <f t="shared" si="10"/>
        <v/>
      </c>
      <c r="H132" t="str">
        <f>IF(A132="","",IFERROR(_xlfn.XLOOKUP(D132,Setup!$E$15:$E$79,Setup!$F$15:$F$79),"Miscellaneous"))</f>
        <v/>
      </c>
      <c r="I132" t="str">
        <f>IF(A132="","",IFERROR(_xlfn.XLOOKUP(D132,Setup!$E$15:$E$79,Setup!$G$15:$G$79),"Uncategorized"))</f>
        <v/>
      </c>
      <c r="J132" t="str">
        <f t="shared" si="11"/>
        <v/>
      </c>
      <c r="K132" s="4" t="str">
        <f t="shared" si="12"/>
        <v/>
      </c>
      <c r="L132" s="47">
        <f t="shared" si="13"/>
        <v>0</v>
      </c>
      <c r="M132" s="47">
        <f t="shared" si="14"/>
        <v>0</v>
      </c>
      <c r="N132" t="str">
        <f>IF(A132="","",IF(D132="Category Pending","Needs categorization",IF(COUNTIFS($A$2:A132,A132,$B$2:B132,B132,$E$2:E132,E132)&gt;1,"Possible duplicate","")))</f>
        <v/>
      </c>
    </row>
    <row r="133" spans="3:14" x14ac:dyDescent="0.3">
      <c r="C133" s="16"/>
      <c r="G133" s="5" t="str">
        <f t="shared" si="10"/>
        <v/>
      </c>
      <c r="H133" t="str">
        <f>IF(A133="","",IFERROR(_xlfn.XLOOKUP(D133,Setup!$E$15:$E$79,Setup!$F$15:$F$79),"Miscellaneous"))</f>
        <v/>
      </c>
      <c r="I133" t="str">
        <f>IF(A133="","",IFERROR(_xlfn.XLOOKUP(D133,Setup!$E$15:$E$79,Setup!$G$15:$G$79),"Uncategorized"))</f>
        <v/>
      </c>
      <c r="J133" t="str">
        <f t="shared" si="11"/>
        <v/>
      </c>
      <c r="K133" s="4" t="str">
        <f t="shared" si="12"/>
        <v/>
      </c>
      <c r="L133" s="47">
        <f t="shared" si="13"/>
        <v>0</v>
      </c>
      <c r="M133" s="47">
        <f t="shared" si="14"/>
        <v>0</v>
      </c>
      <c r="N133" t="str">
        <f>IF(A133="","",IF(D133="Category Pending","Needs categorization",IF(COUNTIFS($A$2:A133,A133,$B$2:B133,B133,$E$2:E133,E133)&gt;1,"Possible duplicate","")))</f>
        <v/>
      </c>
    </row>
    <row r="134" spans="3:14" x14ac:dyDescent="0.3">
      <c r="C134" s="16"/>
      <c r="G134" s="5" t="str">
        <f t="shared" si="10"/>
        <v/>
      </c>
      <c r="H134" t="str">
        <f>IF(A134="","",IFERROR(_xlfn.XLOOKUP(D134,Setup!$E$15:$E$79,Setup!$F$15:$F$79),"Miscellaneous"))</f>
        <v/>
      </c>
      <c r="I134" t="str">
        <f>IF(A134="","",IFERROR(_xlfn.XLOOKUP(D134,Setup!$E$15:$E$79,Setup!$G$15:$G$79),"Uncategorized"))</f>
        <v/>
      </c>
      <c r="J134" t="str">
        <f t="shared" si="11"/>
        <v/>
      </c>
      <c r="K134" s="4" t="str">
        <f t="shared" si="12"/>
        <v/>
      </c>
      <c r="L134" s="47">
        <f t="shared" si="13"/>
        <v>0</v>
      </c>
      <c r="M134" s="47">
        <f t="shared" si="14"/>
        <v>0</v>
      </c>
      <c r="N134" t="str">
        <f>IF(A134="","",IF(D134="Category Pending","Needs categorization",IF(COUNTIFS($A$2:A134,A134,$B$2:B134,B134,$E$2:E134,E134)&gt;1,"Possible duplicate","")))</f>
        <v/>
      </c>
    </row>
    <row r="135" spans="3:14" x14ac:dyDescent="0.3">
      <c r="C135" s="16"/>
      <c r="G135" s="5" t="str">
        <f t="shared" si="10"/>
        <v/>
      </c>
      <c r="H135" t="str">
        <f>IF(A135="","",IFERROR(_xlfn.XLOOKUP(D135,Setup!$E$15:$E$79,Setup!$F$15:$F$79),"Miscellaneous"))</f>
        <v/>
      </c>
      <c r="I135" t="str">
        <f>IF(A135="","",IFERROR(_xlfn.XLOOKUP(D135,Setup!$E$15:$E$79,Setup!$G$15:$G$79),"Uncategorized"))</f>
        <v/>
      </c>
      <c r="J135" t="str">
        <f t="shared" si="11"/>
        <v/>
      </c>
      <c r="K135" s="4" t="str">
        <f t="shared" si="12"/>
        <v/>
      </c>
      <c r="L135" s="47">
        <f t="shared" si="13"/>
        <v>0</v>
      </c>
      <c r="M135" s="47">
        <f t="shared" si="14"/>
        <v>0</v>
      </c>
      <c r="N135" t="str">
        <f>IF(A135="","",IF(D135="Category Pending","Needs categorization",IF(COUNTIFS($A$2:A135,A135,$B$2:B135,B135,$E$2:E135,E135)&gt;1,"Possible duplicate","")))</f>
        <v/>
      </c>
    </row>
    <row r="136" spans="3:14" x14ac:dyDescent="0.3">
      <c r="C136" s="16"/>
      <c r="G136" s="5" t="str">
        <f t="shared" si="10"/>
        <v/>
      </c>
      <c r="H136" t="str">
        <f>IF(A136="","",IFERROR(_xlfn.XLOOKUP(D136,Setup!$E$15:$E$79,Setup!$F$15:$F$79),"Miscellaneous"))</f>
        <v/>
      </c>
      <c r="I136" t="str">
        <f>IF(A136="","",IFERROR(_xlfn.XLOOKUP(D136,Setup!$E$15:$E$79,Setup!$G$15:$G$79),"Uncategorized"))</f>
        <v/>
      </c>
      <c r="J136" t="str">
        <f t="shared" si="11"/>
        <v/>
      </c>
      <c r="K136" s="4" t="str">
        <f t="shared" si="12"/>
        <v/>
      </c>
      <c r="L136" s="47">
        <f t="shared" si="13"/>
        <v>0</v>
      </c>
      <c r="M136" s="47">
        <f t="shared" si="14"/>
        <v>0</v>
      </c>
      <c r="N136" t="str">
        <f>IF(A136="","",IF(D136="Category Pending","Needs categorization",IF(COUNTIFS($A$2:A136,A136,$B$2:B136,B136,$E$2:E136,E136)&gt;1,"Possible duplicate","")))</f>
        <v/>
      </c>
    </row>
    <row r="137" spans="3:14" x14ac:dyDescent="0.3">
      <c r="C137" s="16"/>
      <c r="G137" s="5" t="str">
        <f t="shared" si="10"/>
        <v/>
      </c>
      <c r="H137" t="str">
        <f>IF(A137="","",IFERROR(_xlfn.XLOOKUP(D137,Setup!$E$15:$E$79,Setup!$F$15:$F$79),"Miscellaneous"))</f>
        <v/>
      </c>
      <c r="I137" t="str">
        <f>IF(A137="","",IFERROR(_xlfn.XLOOKUP(D137,Setup!$E$15:$E$79,Setup!$G$15:$G$79),"Uncategorized"))</f>
        <v/>
      </c>
      <c r="J137" t="str">
        <f t="shared" si="11"/>
        <v/>
      </c>
      <c r="K137" s="4" t="str">
        <f t="shared" si="12"/>
        <v/>
      </c>
      <c r="L137" s="47">
        <f t="shared" si="13"/>
        <v>0</v>
      </c>
      <c r="M137" s="47">
        <f t="shared" si="14"/>
        <v>0</v>
      </c>
      <c r="N137" t="str">
        <f>IF(A137="","",IF(D137="Category Pending","Needs categorization",IF(COUNTIFS($A$2:A137,A137,$B$2:B137,B137,$E$2:E137,E137)&gt;1,"Possible duplicate","")))</f>
        <v/>
      </c>
    </row>
    <row r="138" spans="3:14" x14ac:dyDescent="0.3">
      <c r="C138" s="16"/>
      <c r="G138" s="5" t="str">
        <f t="shared" si="10"/>
        <v/>
      </c>
      <c r="H138" t="str">
        <f>IF(A138="","",IFERROR(_xlfn.XLOOKUP(D138,Setup!$E$15:$E$79,Setup!$F$15:$F$79),"Miscellaneous"))</f>
        <v/>
      </c>
      <c r="I138" t="str">
        <f>IF(A138="","",IFERROR(_xlfn.XLOOKUP(D138,Setup!$E$15:$E$79,Setup!$G$15:$G$79),"Uncategorized"))</f>
        <v/>
      </c>
      <c r="J138" t="str">
        <f t="shared" si="11"/>
        <v/>
      </c>
      <c r="K138" s="4" t="str">
        <f t="shared" si="12"/>
        <v/>
      </c>
      <c r="L138" s="47">
        <f t="shared" si="13"/>
        <v>0</v>
      </c>
      <c r="M138" s="47">
        <f t="shared" si="14"/>
        <v>0</v>
      </c>
      <c r="N138" t="str">
        <f>IF(A138="","",IF(D138="Category Pending","Needs categorization",IF(COUNTIFS($A$2:A138,A138,$B$2:B138,B138,$E$2:E138,E138)&gt;1,"Possible duplicate","")))</f>
        <v/>
      </c>
    </row>
    <row r="139" spans="3:14" x14ac:dyDescent="0.3">
      <c r="C139" s="16"/>
      <c r="G139" s="5" t="str">
        <f t="shared" si="10"/>
        <v/>
      </c>
      <c r="H139" t="str">
        <f>IF(A139="","",IFERROR(_xlfn.XLOOKUP(D139,Setup!$E$15:$E$79,Setup!$F$15:$F$79),"Miscellaneous"))</f>
        <v/>
      </c>
      <c r="I139" t="str">
        <f>IF(A139="","",IFERROR(_xlfn.XLOOKUP(D139,Setup!$E$15:$E$79,Setup!$G$15:$G$79),"Uncategorized"))</f>
        <v/>
      </c>
      <c r="J139" t="str">
        <f t="shared" si="11"/>
        <v/>
      </c>
      <c r="K139" s="4" t="str">
        <f t="shared" si="12"/>
        <v/>
      </c>
      <c r="L139" s="47">
        <f t="shared" si="13"/>
        <v>0</v>
      </c>
      <c r="M139" s="47">
        <f t="shared" si="14"/>
        <v>0</v>
      </c>
      <c r="N139" t="str">
        <f>IF(A139="","",IF(D139="Category Pending","Needs categorization",IF(COUNTIFS($A$2:A139,A139,$B$2:B139,B139,$E$2:E139,E139)&gt;1,"Possible duplicate","")))</f>
        <v/>
      </c>
    </row>
    <row r="140" spans="3:14" x14ac:dyDescent="0.3">
      <c r="C140" s="16"/>
      <c r="G140" s="5" t="str">
        <f t="shared" si="10"/>
        <v/>
      </c>
      <c r="H140" t="str">
        <f>IF(A140="","",IFERROR(_xlfn.XLOOKUP(D140,Setup!$E$15:$E$79,Setup!$F$15:$F$79),"Miscellaneous"))</f>
        <v/>
      </c>
      <c r="I140" t="str">
        <f>IF(A140="","",IFERROR(_xlfn.XLOOKUP(D140,Setup!$E$15:$E$79,Setup!$G$15:$G$79),"Uncategorized"))</f>
        <v/>
      </c>
      <c r="J140" t="str">
        <f t="shared" si="11"/>
        <v/>
      </c>
      <c r="K140" s="4" t="str">
        <f t="shared" si="12"/>
        <v/>
      </c>
      <c r="L140" s="47">
        <f t="shared" si="13"/>
        <v>0</v>
      </c>
      <c r="M140" s="47">
        <f t="shared" si="14"/>
        <v>0</v>
      </c>
      <c r="N140" t="str">
        <f>IF(A140="","",IF(D140="Category Pending","Needs categorization",IF(COUNTIFS($A$2:A140,A140,$B$2:B140,B140,$E$2:E140,E140)&gt;1,"Possible duplicate","")))</f>
        <v/>
      </c>
    </row>
    <row r="141" spans="3:14" x14ac:dyDescent="0.3">
      <c r="C141" s="16"/>
      <c r="G141" s="5" t="str">
        <f t="shared" si="10"/>
        <v/>
      </c>
      <c r="H141" t="str">
        <f>IF(A141="","",IFERROR(_xlfn.XLOOKUP(D141,Setup!$E$15:$E$79,Setup!$F$15:$F$79),"Miscellaneous"))</f>
        <v/>
      </c>
      <c r="I141" t="str">
        <f>IF(A141="","",IFERROR(_xlfn.XLOOKUP(D141,Setup!$E$15:$E$79,Setup!$G$15:$G$79),"Uncategorized"))</f>
        <v/>
      </c>
      <c r="J141" t="str">
        <f t="shared" si="11"/>
        <v/>
      </c>
      <c r="K141" s="4" t="str">
        <f t="shared" si="12"/>
        <v/>
      </c>
      <c r="L141" s="47">
        <f t="shared" si="13"/>
        <v>0</v>
      </c>
      <c r="M141" s="47">
        <f t="shared" si="14"/>
        <v>0</v>
      </c>
      <c r="N141" t="str">
        <f>IF(A141="","",IF(D141="Category Pending","Needs categorization",IF(COUNTIFS($A$2:A141,A141,$B$2:B141,B141,$E$2:E141,E141)&gt;1,"Possible duplicate","")))</f>
        <v/>
      </c>
    </row>
    <row r="142" spans="3:14" x14ac:dyDescent="0.3">
      <c r="C142" s="16"/>
      <c r="G142" s="5" t="str">
        <f t="shared" si="10"/>
        <v/>
      </c>
      <c r="H142" t="str">
        <f>IF(A142="","",IFERROR(_xlfn.XLOOKUP(D142,Setup!$E$15:$E$79,Setup!$F$15:$F$79),"Miscellaneous"))</f>
        <v/>
      </c>
      <c r="I142" t="str">
        <f>IF(A142="","",IFERROR(_xlfn.XLOOKUP(D142,Setup!$E$15:$E$79,Setup!$G$15:$G$79),"Uncategorized"))</f>
        <v/>
      </c>
      <c r="J142" t="str">
        <f t="shared" si="11"/>
        <v/>
      </c>
      <c r="K142" s="4" t="str">
        <f t="shared" si="12"/>
        <v/>
      </c>
      <c r="L142" s="47">
        <f t="shared" si="13"/>
        <v>0</v>
      </c>
      <c r="M142" s="47">
        <f t="shared" si="14"/>
        <v>0</v>
      </c>
      <c r="N142" t="str">
        <f>IF(A142="","",IF(D142="Category Pending","Needs categorization",IF(COUNTIFS($A$2:A142,A142,$B$2:B142,B142,$E$2:E142,E142)&gt;1,"Possible duplicate","")))</f>
        <v/>
      </c>
    </row>
    <row r="143" spans="3:14" x14ac:dyDescent="0.3">
      <c r="C143" s="16"/>
      <c r="G143" s="5" t="str">
        <f t="shared" si="10"/>
        <v/>
      </c>
      <c r="H143" t="str">
        <f>IF(A143="","",IFERROR(_xlfn.XLOOKUP(D143,Setup!$E$15:$E$79,Setup!$F$15:$F$79),"Miscellaneous"))</f>
        <v/>
      </c>
      <c r="I143" t="str">
        <f>IF(A143="","",IFERROR(_xlfn.XLOOKUP(D143,Setup!$E$15:$E$79,Setup!$G$15:$G$79),"Uncategorized"))</f>
        <v/>
      </c>
      <c r="J143" t="str">
        <f t="shared" si="11"/>
        <v/>
      </c>
      <c r="K143" s="4" t="str">
        <f t="shared" si="12"/>
        <v/>
      </c>
      <c r="L143" s="47">
        <f t="shared" si="13"/>
        <v>0</v>
      </c>
      <c r="M143" s="47">
        <f t="shared" si="14"/>
        <v>0</v>
      </c>
      <c r="N143" t="str">
        <f>IF(A143="","",IF(D143="Category Pending","Needs categorization",IF(COUNTIFS($A$2:A143,A143,$B$2:B143,B143,$E$2:E143,E143)&gt;1,"Possible duplicate","")))</f>
        <v/>
      </c>
    </row>
    <row r="144" spans="3:14" x14ac:dyDescent="0.3">
      <c r="C144" s="16"/>
      <c r="G144" s="5" t="str">
        <f t="shared" si="10"/>
        <v/>
      </c>
      <c r="H144" t="str">
        <f>IF(A144="","",IFERROR(_xlfn.XLOOKUP(D144,Setup!$E$15:$E$79,Setup!$F$15:$F$79),"Miscellaneous"))</f>
        <v/>
      </c>
      <c r="I144" t="str">
        <f>IF(A144="","",IFERROR(_xlfn.XLOOKUP(D144,Setup!$E$15:$E$79,Setup!$G$15:$G$79),"Uncategorized"))</f>
        <v/>
      </c>
      <c r="J144" t="str">
        <f t="shared" si="11"/>
        <v/>
      </c>
      <c r="K144" s="4" t="str">
        <f t="shared" si="12"/>
        <v/>
      </c>
      <c r="L144" s="47">
        <f t="shared" si="13"/>
        <v>0</v>
      </c>
      <c r="M144" s="47">
        <f t="shared" si="14"/>
        <v>0</v>
      </c>
      <c r="N144" t="str">
        <f>IF(A144="","",IF(D144="Category Pending","Needs categorization",IF(COUNTIFS($A$2:A144,A144,$B$2:B144,B144,$E$2:E144,E144)&gt;1,"Possible duplicate","")))</f>
        <v/>
      </c>
    </row>
    <row r="145" spans="3:14" x14ac:dyDescent="0.3">
      <c r="C145" s="16"/>
      <c r="G145" s="5" t="str">
        <f t="shared" si="10"/>
        <v/>
      </c>
      <c r="H145" t="str">
        <f>IF(A145="","",IFERROR(_xlfn.XLOOKUP(D145,Setup!$E$15:$E$79,Setup!$F$15:$F$79),"Miscellaneous"))</f>
        <v/>
      </c>
      <c r="I145" t="str">
        <f>IF(A145="","",IFERROR(_xlfn.XLOOKUP(D145,Setup!$E$15:$E$79,Setup!$G$15:$G$79),"Uncategorized"))</f>
        <v/>
      </c>
      <c r="J145" t="str">
        <f t="shared" si="11"/>
        <v/>
      </c>
      <c r="K145" s="4" t="str">
        <f t="shared" si="12"/>
        <v/>
      </c>
      <c r="L145" s="47">
        <f t="shared" si="13"/>
        <v>0</v>
      </c>
      <c r="M145" s="47">
        <f t="shared" si="14"/>
        <v>0</v>
      </c>
      <c r="N145" t="str">
        <f>IF(A145="","",IF(D145="Category Pending","Needs categorization",IF(COUNTIFS($A$2:A145,A145,$B$2:B145,B145,$E$2:E145,E145)&gt;1,"Possible duplicate","")))</f>
        <v/>
      </c>
    </row>
    <row r="146" spans="3:14" x14ac:dyDescent="0.3">
      <c r="C146" s="16"/>
      <c r="G146" s="5" t="str">
        <f t="shared" si="10"/>
        <v/>
      </c>
      <c r="H146" t="str">
        <f>IF(A146="","",IFERROR(_xlfn.XLOOKUP(D146,Setup!$E$15:$E$79,Setup!$F$15:$F$79),"Miscellaneous"))</f>
        <v/>
      </c>
      <c r="I146" t="str">
        <f>IF(A146="","",IFERROR(_xlfn.XLOOKUP(D146,Setup!$E$15:$E$79,Setup!$G$15:$G$79),"Uncategorized"))</f>
        <v/>
      </c>
      <c r="J146" t="str">
        <f t="shared" si="11"/>
        <v/>
      </c>
      <c r="K146" s="4" t="str">
        <f t="shared" si="12"/>
        <v/>
      </c>
      <c r="L146" s="47">
        <f t="shared" si="13"/>
        <v>0</v>
      </c>
      <c r="M146" s="47">
        <f t="shared" si="14"/>
        <v>0</v>
      </c>
      <c r="N146" t="str">
        <f>IF(A146="","",IF(D146="Category Pending","Needs categorization",IF(COUNTIFS($A$2:A146,A146,$B$2:B146,B146,$E$2:E146,E146)&gt;1,"Possible duplicate","")))</f>
        <v/>
      </c>
    </row>
    <row r="147" spans="3:14" x14ac:dyDescent="0.3">
      <c r="C147" s="16"/>
      <c r="G147" s="5" t="str">
        <f t="shared" si="10"/>
        <v/>
      </c>
      <c r="H147" t="str">
        <f>IF(A147="","",IFERROR(_xlfn.XLOOKUP(D147,Setup!$E$15:$E$79,Setup!$F$15:$F$79),"Miscellaneous"))</f>
        <v/>
      </c>
      <c r="I147" t="str">
        <f>IF(A147="","",IFERROR(_xlfn.XLOOKUP(D147,Setup!$E$15:$E$79,Setup!$G$15:$G$79),"Uncategorized"))</f>
        <v/>
      </c>
      <c r="J147" t="str">
        <f t="shared" si="11"/>
        <v/>
      </c>
      <c r="K147" s="4" t="str">
        <f t="shared" si="12"/>
        <v/>
      </c>
      <c r="L147" s="47">
        <f t="shared" si="13"/>
        <v>0</v>
      </c>
      <c r="M147" s="47">
        <f t="shared" si="14"/>
        <v>0</v>
      </c>
      <c r="N147" t="str">
        <f>IF(A147="","",IF(D147="Category Pending","Needs categorization",IF(COUNTIFS($A$2:A147,A147,$B$2:B147,B147,$E$2:E147,E147)&gt;1,"Possible duplicate","")))</f>
        <v/>
      </c>
    </row>
    <row r="148" spans="3:14" x14ac:dyDescent="0.3">
      <c r="C148" s="16"/>
      <c r="G148" s="5" t="str">
        <f t="shared" si="10"/>
        <v/>
      </c>
      <c r="H148" t="str">
        <f>IF(A148="","",IFERROR(_xlfn.XLOOKUP(D148,Setup!$E$15:$E$79,Setup!$F$15:$F$79),"Miscellaneous"))</f>
        <v/>
      </c>
      <c r="I148" t="str">
        <f>IF(A148="","",IFERROR(_xlfn.XLOOKUP(D148,Setup!$E$15:$E$79,Setup!$G$15:$G$79),"Uncategorized"))</f>
        <v/>
      </c>
      <c r="J148" t="str">
        <f t="shared" si="11"/>
        <v/>
      </c>
      <c r="K148" s="4" t="str">
        <f t="shared" si="12"/>
        <v/>
      </c>
      <c r="L148" s="47">
        <f t="shared" si="13"/>
        <v>0</v>
      </c>
      <c r="M148" s="47">
        <f t="shared" si="14"/>
        <v>0</v>
      </c>
      <c r="N148" t="str">
        <f>IF(A148="","",IF(D148="Category Pending","Needs categorization",IF(COUNTIFS($A$2:A148,A148,$B$2:B148,B148,$E$2:E148,E148)&gt;1,"Possible duplicate","")))</f>
        <v/>
      </c>
    </row>
    <row r="149" spans="3:14" x14ac:dyDescent="0.3">
      <c r="C149" s="16"/>
      <c r="G149" s="5" t="str">
        <f t="shared" si="10"/>
        <v/>
      </c>
      <c r="H149" t="str">
        <f>IF(A149="","",IFERROR(_xlfn.XLOOKUP(D149,Setup!$E$15:$E$79,Setup!$F$15:$F$79),"Miscellaneous"))</f>
        <v/>
      </c>
      <c r="I149" t="str">
        <f>IF(A149="","",IFERROR(_xlfn.XLOOKUP(D149,Setup!$E$15:$E$79,Setup!$G$15:$G$79),"Uncategorized"))</f>
        <v/>
      </c>
      <c r="J149" t="str">
        <f t="shared" si="11"/>
        <v/>
      </c>
      <c r="K149" s="4" t="str">
        <f t="shared" si="12"/>
        <v/>
      </c>
      <c r="L149" s="47">
        <f t="shared" si="13"/>
        <v>0</v>
      </c>
      <c r="M149" s="47">
        <f t="shared" si="14"/>
        <v>0</v>
      </c>
      <c r="N149" t="str">
        <f>IF(A149="","",IF(D149="Category Pending","Needs categorization",IF(COUNTIFS($A$2:A149,A149,$B$2:B149,B149,$E$2:E149,E149)&gt;1,"Possible duplicate","")))</f>
        <v/>
      </c>
    </row>
    <row r="150" spans="3:14" x14ac:dyDescent="0.3">
      <c r="C150" s="16"/>
      <c r="G150" s="5" t="str">
        <f t="shared" si="10"/>
        <v/>
      </c>
      <c r="H150" t="str">
        <f>IF(A150="","",IFERROR(_xlfn.XLOOKUP(D150,Setup!$E$15:$E$79,Setup!$F$15:$F$79),"Miscellaneous"))</f>
        <v/>
      </c>
      <c r="I150" t="str">
        <f>IF(A150="","",IFERROR(_xlfn.XLOOKUP(D150,Setup!$E$15:$E$79,Setup!$G$15:$G$79),"Uncategorized"))</f>
        <v/>
      </c>
      <c r="J150" t="str">
        <f t="shared" si="11"/>
        <v/>
      </c>
      <c r="K150" s="4" t="str">
        <f t="shared" si="12"/>
        <v/>
      </c>
      <c r="L150" s="47">
        <f t="shared" si="13"/>
        <v>0</v>
      </c>
      <c r="M150" s="47">
        <f t="shared" si="14"/>
        <v>0</v>
      </c>
      <c r="N150" t="str">
        <f>IF(A150="","",IF(D150="Category Pending","Needs categorization",IF(COUNTIFS($A$2:A150,A150,$B$2:B150,B150,$E$2:E150,E150)&gt;1,"Possible duplicate","")))</f>
        <v/>
      </c>
    </row>
    <row r="151" spans="3:14" x14ac:dyDescent="0.3">
      <c r="C151" s="16"/>
      <c r="G151" s="5" t="str">
        <f t="shared" si="10"/>
        <v/>
      </c>
      <c r="H151" t="str">
        <f>IF(A151="","",IFERROR(_xlfn.XLOOKUP(D151,Setup!$E$15:$E$79,Setup!$F$15:$F$79),"Miscellaneous"))</f>
        <v/>
      </c>
      <c r="I151" t="str">
        <f>IF(A151="","",IFERROR(_xlfn.XLOOKUP(D151,Setup!$E$15:$E$79,Setup!$G$15:$G$79),"Uncategorized"))</f>
        <v/>
      </c>
      <c r="J151" t="str">
        <f t="shared" si="11"/>
        <v/>
      </c>
      <c r="K151" s="4" t="str">
        <f t="shared" si="12"/>
        <v/>
      </c>
      <c r="L151" s="47">
        <f t="shared" si="13"/>
        <v>0</v>
      </c>
      <c r="M151" s="47">
        <f t="shared" si="14"/>
        <v>0</v>
      </c>
      <c r="N151" t="str">
        <f>IF(A151="","",IF(D151="Category Pending","Needs categorization",IF(COUNTIFS($A$2:A151,A151,$B$2:B151,B151,$E$2:E151,E151)&gt;1,"Possible duplicate","")))</f>
        <v/>
      </c>
    </row>
    <row r="152" spans="3:14" x14ac:dyDescent="0.3">
      <c r="C152" s="16"/>
      <c r="G152" s="5" t="str">
        <f t="shared" si="10"/>
        <v/>
      </c>
      <c r="H152" t="str">
        <f>IF(A152="","",IFERROR(_xlfn.XLOOKUP(D152,Setup!$E$15:$E$79,Setup!$F$15:$F$79),"Miscellaneous"))</f>
        <v/>
      </c>
      <c r="I152" t="str">
        <f>IF(A152="","",IFERROR(_xlfn.XLOOKUP(D152,Setup!$E$15:$E$79,Setup!$G$15:$G$79),"Uncategorized"))</f>
        <v/>
      </c>
      <c r="J152" t="str">
        <f t="shared" si="11"/>
        <v/>
      </c>
      <c r="K152" s="4" t="str">
        <f t="shared" si="12"/>
        <v/>
      </c>
      <c r="L152" s="47">
        <f t="shared" si="13"/>
        <v>0</v>
      </c>
      <c r="M152" s="47">
        <f t="shared" si="14"/>
        <v>0</v>
      </c>
      <c r="N152" t="str">
        <f>IF(A152="","",IF(D152="Category Pending","Needs categorization",IF(COUNTIFS($A$2:A152,A152,$B$2:B152,B152,$E$2:E152,E152)&gt;1,"Possible duplicate","")))</f>
        <v/>
      </c>
    </row>
    <row r="153" spans="3:14" x14ac:dyDescent="0.3">
      <c r="C153" s="16"/>
      <c r="G153" s="5" t="str">
        <f t="shared" si="10"/>
        <v/>
      </c>
      <c r="H153" t="str">
        <f>IF(A153="","",IFERROR(_xlfn.XLOOKUP(D153,Setup!$E$15:$E$79,Setup!$F$15:$F$79),"Miscellaneous"))</f>
        <v/>
      </c>
      <c r="I153" t="str">
        <f>IF(A153="","",IFERROR(_xlfn.XLOOKUP(D153,Setup!$E$15:$E$79,Setup!$G$15:$G$79),"Uncategorized"))</f>
        <v/>
      </c>
      <c r="J153" t="str">
        <f t="shared" si="11"/>
        <v/>
      </c>
      <c r="K153" s="4" t="str">
        <f t="shared" si="12"/>
        <v/>
      </c>
      <c r="L153" s="47">
        <f t="shared" si="13"/>
        <v>0</v>
      </c>
      <c r="M153" s="47">
        <f t="shared" si="14"/>
        <v>0</v>
      </c>
      <c r="N153" t="str">
        <f>IF(A153="","",IF(D153="Category Pending","Needs categorization",IF(COUNTIFS($A$2:A153,A153,$B$2:B153,B153,$E$2:E153,E153)&gt;1,"Possible duplicate","")))</f>
        <v/>
      </c>
    </row>
    <row r="154" spans="3:14" x14ac:dyDescent="0.3">
      <c r="C154" s="16"/>
      <c r="G154" s="5" t="str">
        <f t="shared" si="10"/>
        <v/>
      </c>
      <c r="H154" t="str">
        <f>IF(A154="","",IFERROR(_xlfn.XLOOKUP(D154,Setup!$E$15:$E$79,Setup!$F$15:$F$79),"Miscellaneous"))</f>
        <v/>
      </c>
      <c r="I154" t="str">
        <f>IF(A154="","",IFERROR(_xlfn.XLOOKUP(D154,Setup!$E$15:$E$79,Setup!$G$15:$G$79),"Uncategorized"))</f>
        <v/>
      </c>
      <c r="J154" t="str">
        <f t="shared" si="11"/>
        <v/>
      </c>
      <c r="K154" s="4" t="str">
        <f t="shared" si="12"/>
        <v/>
      </c>
      <c r="L154" s="47">
        <f t="shared" si="13"/>
        <v>0</v>
      </c>
      <c r="M154" s="47">
        <f t="shared" si="14"/>
        <v>0</v>
      </c>
      <c r="N154" t="str">
        <f>IF(A154="","",IF(D154="Category Pending","Needs categorization",IF(COUNTIFS($A$2:A154,A154,$B$2:B154,B154,$E$2:E154,E154)&gt;1,"Possible duplicate","")))</f>
        <v/>
      </c>
    </row>
    <row r="155" spans="3:14" x14ac:dyDescent="0.3">
      <c r="C155" s="16"/>
      <c r="G155" s="5" t="str">
        <f t="shared" si="10"/>
        <v/>
      </c>
      <c r="H155" t="str">
        <f>IF(A155="","",IFERROR(_xlfn.XLOOKUP(D155,Setup!$E$15:$E$79,Setup!$F$15:$F$79),"Miscellaneous"))</f>
        <v/>
      </c>
      <c r="I155" t="str">
        <f>IF(A155="","",IFERROR(_xlfn.XLOOKUP(D155,Setup!$E$15:$E$79,Setup!$G$15:$G$79),"Uncategorized"))</f>
        <v/>
      </c>
      <c r="J155" t="str">
        <f t="shared" si="11"/>
        <v/>
      </c>
      <c r="K155" s="4" t="str">
        <f t="shared" si="12"/>
        <v/>
      </c>
      <c r="L155" s="47">
        <f t="shared" si="13"/>
        <v>0</v>
      </c>
      <c r="M155" s="47">
        <f t="shared" si="14"/>
        <v>0</v>
      </c>
      <c r="N155" t="str">
        <f>IF(A155="","",IF(D155="Category Pending","Needs categorization",IF(COUNTIFS($A$2:A155,A155,$B$2:B155,B155,$E$2:E155,E155)&gt;1,"Possible duplicate","")))</f>
        <v/>
      </c>
    </row>
    <row r="156" spans="3:14" x14ac:dyDescent="0.3">
      <c r="C156" s="16"/>
      <c r="G156" s="5" t="str">
        <f t="shared" si="10"/>
        <v/>
      </c>
      <c r="H156" t="str">
        <f>IF(A156="","",IFERROR(_xlfn.XLOOKUP(D156,Setup!$E$15:$E$79,Setup!$F$15:$F$79),"Miscellaneous"))</f>
        <v/>
      </c>
      <c r="I156" t="str">
        <f>IF(A156="","",IFERROR(_xlfn.XLOOKUP(D156,Setup!$E$15:$E$79,Setup!$G$15:$G$79),"Uncategorized"))</f>
        <v/>
      </c>
      <c r="J156" t="str">
        <f t="shared" si="11"/>
        <v/>
      </c>
      <c r="K156" s="4" t="str">
        <f t="shared" si="12"/>
        <v/>
      </c>
      <c r="L156" s="47">
        <f t="shared" si="13"/>
        <v>0</v>
      </c>
      <c r="M156" s="47">
        <f t="shared" si="14"/>
        <v>0</v>
      </c>
      <c r="N156" t="str">
        <f>IF(A156="","",IF(D156="Category Pending","Needs categorization",IF(COUNTIFS($A$2:A156,A156,$B$2:B156,B156,$E$2:E156,E156)&gt;1,"Possible duplicate","")))</f>
        <v/>
      </c>
    </row>
    <row r="157" spans="3:14" x14ac:dyDescent="0.3">
      <c r="C157" s="16"/>
      <c r="G157" s="5" t="str">
        <f t="shared" si="10"/>
        <v/>
      </c>
      <c r="H157" t="str">
        <f>IF(A157="","",IFERROR(_xlfn.XLOOKUP(D157,Setup!$E$15:$E$79,Setup!$F$15:$F$79),"Miscellaneous"))</f>
        <v/>
      </c>
      <c r="I157" t="str">
        <f>IF(A157="","",IFERROR(_xlfn.XLOOKUP(D157,Setup!$E$15:$E$79,Setup!$G$15:$G$79),"Uncategorized"))</f>
        <v/>
      </c>
      <c r="J157" t="str">
        <f t="shared" si="11"/>
        <v/>
      </c>
      <c r="K157" s="4" t="str">
        <f t="shared" si="12"/>
        <v/>
      </c>
      <c r="L157" s="47">
        <f t="shared" si="13"/>
        <v>0</v>
      </c>
      <c r="M157" s="47">
        <f t="shared" si="14"/>
        <v>0</v>
      </c>
      <c r="N157" t="str">
        <f>IF(A157="","",IF(D157="Category Pending","Needs categorization",IF(COUNTIFS($A$2:A157,A157,$B$2:B157,B157,$E$2:E157,E157)&gt;1,"Possible duplicate","")))</f>
        <v/>
      </c>
    </row>
    <row r="158" spans="3:14" x14ac:dyDescent="0.3">
      <c r="C158" s="16"/>
      <c r="G158" s="5" t="str">
        <f t="shared" si="10"/>
        <v/>
      </c>
      <c r="H158" t="str">
        <f>IF(A158="","",IFERROR(_xlfn.XLOOKUP(D158,Setup!$E$15:$E$79,Setup!$F$15:$F$79),"Miscellaneous"))</f>
        <v/>
      </c>
      <c r="I158" t="str">
        <f>IF(A158="","",IFERROR(_xlfn.XLOOKUP(D158,Setup!$E$15:$E$79,Setup!$G$15:$G$79),"Uncategorized"))</f>
        <v/>
      </c>
      <c r="J158" t="str">
        <f t="shared" si="11"/>
        <v/>
      </c>
      <c r="K158" s="4" t="str">
        <f t="shared" si="12"/>
        <v/>
      </c>
      <c r="L158" s="47">
        <f t="shared" si="13"/>
        <v>0</v>
      </c>
      <c r="M158" s="47">
        <f t="shared" si="14"/>
        <v>0</v>
      </c>
      <c r="N158" t="str">
        <f>IF(A158="","",IF(D158="Category Pending","Needs categorization",IF(COUNTIFS($A$2:A158,A158,$B$2:B158,B158,$E$2:E158,E158)&gt;1,"Possible duplicate","")))</f>
        <v/>
      </c>
    </row>
    <row r="159" spans="3:14" x14ac:dyDescent="0.3">
      <c r="C159" s="16"/>
      <c r="G159" s="5" t="str">
        <f t="shared" si="10"/>
        <v/>
      </c>
      <c r="H159" t="str">
        <f>IF(A159="","",IFERROR(_xlfn.XLOOKUP(D159,Setup!$E$15:$E$79,Setup!$F$15:$F$79),"Miscellaneous"))</f>
        <v/>
      </c>
      <c r="I159" t="str">
        <f>IF(A159="","",IFERROR(_xlfn.XLOOKUP(D159,Setup!$E$15:$E$79,Setup!$G$15:$G$79),"Uncategorized"))</f>
        <v/>
      </c>
      <c r="J159" t="str">
        <f t="shared" si="11"/>
        <v/>
      </c>
      <c r="K159" s="4" t="str">
        <f t="shared" si="12"/>
        <v/>
      </c>
      <c r="L159" s="47">
        <f t="shared" si="13"/>
        <v>0</v>
      </c>
      <c r="M159" s="47">
        <f t="shared" si="14"/>
        <v>0</v>
      </c>
      <c r="N159" t="str">
        <f>IF(A159="","",IF(D159="Category Pending","Needs categorization",IF(COUNTIFS($A$2:A159,A159,$B$2:B159,B159,$E$2:E159,E159)&gt;1,"Possible duplicate","")))</f>
        <v/>
      </c>
    </row>
    <row r="160" spans="3:14" x14ac:dyDescent="0.3">
      <c r="C160" s="16"/>
      <c r="G160" s="5" t="str">
        <f t="shared" si="10"/>
        <v/>
      </c>
      <c r="H160" t="str">
        <f>IF(A160="","",IFERROR(_xlfn.XLOOKUP(D160,Setup!$E$15:$E$79,Setup!$F$15:$F$79),"Miscellaneous"))</f>
        <v/>
      </c>
      <c r="I160" t="str">
        <f>IF(A160="","",IFERROR(_xlfn.XLOOKUP(D160,Setup!$E$15:$E$79,Setup!$G$15:$G$79),"Uncategorized"))</f>
        <v/>
      </c>
      <c r="J160" t="str">
        <f t="shared" si="11"/>
        <v/>
      </c>
      <c r="K160" s="4" t="str">
        <f t="shared" si="12"/>
        <v/>
      </c>
      <c r="L160" s="47">
        <f t="shared" si="13"/>
        <v>0</v>
      </c>
      <c r="M160" s="47">
        <f t="shared" si="14"/>
        <v>0</v>
      </c>
      <c r="N160" t="str">
        <f>IF(A160="","",IF(D160="Category Pending","Needs categorization",IF(COUNTIFS($A$2:A160,A160,$B$2:B160,B160,$E$2:E160,E160)&gt;1,"Possible duplicate","")))</f>
        <v/>
      </c>
    </row>
    <row r="161" spans="3:14" x14ac:dyDescent="0.3">
      <c r="C161" s="16"/>
      <c r="G161" s="5" t="str">
        <f t="shared" ref="G161:G224" si="15">IF(A161="","","Checking")</f>
        <v/>
      </c>
      <c r="H161" t="str">
        <f>IF(A161="","",IFERROR(_xlfn.XLOOKUP(D161,Setup!$E$15:$E$79,Setup!$F$15:$F$79),"Miscellaneous"))</f>
        <v/>
      </c>
      <c r="I161" t="str">
        <f>IF(A161="","",IFERROR(_xlfn.XLOOKUP(D161,Setup!$E$15:$E$79,Setup!$G$15:$G$79),"Uncategorized"))</f>
        <v/>
      </c>
      <c r="J161" t="str">
        <f t="shared" ref="J161:J224" si="16">IF(A161="","",IF(OR(H161="Transfers",H161="Income",D161="Transfer",D161="Category Pending"),"No","Yes"))</f>
        <v/>
      </c>
      <c r="K161" s="4" t="str">
        <f t="shared" ref="K161:K224" si="17">IF(A161="","",IF(A161&gt;=46232,TEXT(DATE(YEAR(A161),MONTH(A161)+1,1),"mmmm yyyy"),TEXT(DATE(YEAR(A161),MONTH(A161),1),"mmmm yyyy")))</f>
        <v/>
      </c>
      <c r="L161" s="47">
        <f t="shared" ref="L161:L224" si="18">IF(AND(J161="Yes",E161&lt;0),-E161,0)</f>
        <v>0</v>
      </c>
      <c r="M161" s="47">
        <f t="shared" ref="M161:M224" si="19">IF(AND(J161="Yes",E161&gt;0),E161,0)</f>
        <v>0</v>
      </c>
      <c r="N161" t="str">
        <f>IF(A161="","",IF(D161="Category Pending","Needs categorization",IF(COUNTIFS($A$2:A161,A161,$B$2:B161,B161,$E$2:E161,E161)&gt;1,"Possible duplicate","")))</f>
        <v/>
      </c>
    </row>
    <row r="162" spans="3:14" x14ac:dyDescent="0.3">
      <c r="C162" s="16"/>
      <c r="G162" s="5" t="str">
        <f t="shared" si="15"/>
        <v/>
      </c>
      <c r="H162" t="str">
        <f>IF(A162="","",IFERROR(_xlfn.XLOOKUP(D162,Setup!$E$15:$E$79,Setup!$F$15:$F$79),"Miscellaneous"))</f>
        <v/>
      </c>
      <c r="I162" t="str">
        <f>IF(A162="","",IFERROR(_xlfn.XLOOKUP(D162,Setup!$E$15:$E$79,Setup!$G$15:$G$79),"Uncategorized"))</f>
        <v/>
      </c>
      <c r="J162" t="str">
        <f t="shared" si="16"/>
        <v/>
      </c>
      <c r="K162" s="4" t="str">
        <f t="shared" si="17"/>
        <v/>
      </c>
      <c r="L162" s="47">
        <f t="shared" si="18"/>
        <v>0</v>
      </c>
      <c r="M162" s="47">
        <f t="shared" si="19"/>
        <v>0</v>
      </c>
      <c r="N162" t="str">
        <f>IF(A162="","",IF(D162="Category Pending","Needs categorization",IF(COUNTIFS($A$2:A162,A162,$B$2:B162,B162,$E$2:E162,E162)&gt;1,"Possible duplicate","")))</f>
        <v/>
      </c>
    </row>
    <row r="163" spans="3:14" x14ac:dyDescent="0.3">
      <c r="C163" s="16"/>
      <c r="G163" s="5" t="str">
        <f t="shared" si="15"/>
        <v/>
      </c>
      <c r="H163" t="str">
        <f>IF(A163="","",IFERROR(_xlfn.XLOOKUP(D163,Setup!$E$15:$E$79,Setup!$F$15:$F$79),"Miscellaneous"))</f>
        <v/>
      </c>
      <c r="I163" t="str">
        <f>IF(A163="","",IFERROR(_xlfn.XLOOKUP(D163,Setup!$E$15:$E$79,Setup!$G$15:$G$79),"Uncategorized"))</f>
        <v/>
      </c>
      <c r="J163" t="str">
        <f t="shared" si="16"/>
        <v/>
      </c>
      <c r="K163" s="4" t="str">
        <f t="shared" si="17"/>
        <v/>
      </c>
      <c r="L163" s="47">
        <f t="shared" si="18"/>
        <v>0</v>
      </c>
      <c r="M163" s="47">
        <f t="shared" si="19"/>
        <v>0</v>
      </c>
      <c r="N163" t="str">
        <f>IF(A163="","",IF(D163="Category Pending","Needs categorization",IF(COUNTIFS($A$2:A163,A163,$B$2:B163,B163,$E$2:E163,E163)&gt;1,"Possible duplicate","")))</f>
        <v/>
      </c>
    </row>
    <row r="164" spans="3:14" x14ac:dyDescent="0.3">
      <c r="C164" s="16"/>
      <c r="G164" s="5" t="str">
        <f t="shared" si="15"/>
        <v/>
      </c>
      <c r="H164" t="str">
        <f>IF(A164="","",IFERROR(_xlfn.XLOOKUP(D164,Setup!$E$15:$E$79,Setup!$F$15:$F$79),"Miscellaneous"))</f>
        <v/>
      </c>
      <c r="I164" t="str">
        <f>IF(A164="","",IFERROR(_xlfn.XLOOKUP(D164,Setup!$E$15:$E$79,Setup!$G$15:$G$79),"Uncategorized"))</f>
        <v/>
      </c>
      <c r="J164" t="str">
        <f t="shared" si="16"/>
        <v/>
      </c>
      <c r="K164" s="4" t="str">
        <f t="shared" si="17"/>
        <v/>
      </c>
      <c r="L164" s="47">
        <f t="shared" si="18"/>
        <v>0</v>
      </c>
      <c r="M164" s="47">
        <f t="shared" si="19"/>
        <v>0</v>
      </c>
      <c r="N164" t="str">
        <f>IF(A164="","",IF(D164="Category Pending","Needs categorization",IF(COUNTIFS($A$2:A164,A164,$B$2:B164,B164,$E$2:E164,E164)&gt;1,"Possible duplicate","")))</f>
        <v/>
      </c>
    </row>
    <row r="165" spans="3:14" x14ac:dyDescent="0.3">
      <c r="C165" s="16"/>
      <c r="G165" s="5" t="str">
        <f t="shared" si="15"/>
        <v/>
      </c>
      <c r="H165" t="str">
        <f>IF(A165="","",IFERROR(_xlfn.XLOOKUP(D165,Setup!$E$15:$E$79,Setup!$F$15:$F$79),"Miscellaneous"))</f>
        <v/>
      </c>
      <c r="I165" t="str">
        <f>IF(A165="","",IFERROR(_xlfn.XLOOKUP(D165,Setup!$E$15:$E$79,Setup!$G$15:$G$79),"Uncategorized"))</f>
        <v/>
      </c>
      <c r="J165" t="str">
        <f t="shared" si="16"/>
        <v/>
      </c>
      <c r="K165" s="4" t="str">
        <f t="shared" si="17"/>
        <v/>
      </c>
      <c r="L165" s="47">
        <f t="shared" si="18"/>
        <v>0</v>
      </c>
      <c r="M165" s="47">
        <f t="shared" si="19"/>
        <v>0</v>
      </c>
      <c r="N165" t="str">
        <f>IF(A165="","",IF(D165="Category Pending","Needs categorization",IF(COUNTIFS($A$2:A165,A165,$B$2:B165,B165,$E$2:E165,E165)&gt;1,"Possible duplicate","")))</f>
        <v/>
      </c>
    </row>
    <row r="166" spans="3:14" x14ac:dyDescent="0.3">
      <c r="C166" s="16"/>
      <c r="G166" s="5" t="str">
        <f t="shared" si="15"/>
        <v/>
      </c>
      <c r="H166" t="str">
        <f>IF(A166="","",IFERROR(_xlfn.XLOOKUP(D166,Setup!$E$15:$E$79,Setup!$F$15:$F$79),"Miscellaneous"))</f>
        <v/>
      </c>
      <c r="I166" t="str">
        <f>IF(A166="","",IFERROR(_xlfn.XLOOKUP(D166,Setup!$E$15:$E$79,Setup!$G$15:$G$79),"Uncategorized"))</f>
        <v/>
      </c>
      <c r="J166" t="str">
        <f t="shared" si="16"/>
        <v/>
      </c>
      <c r="K166" s="4" t="str">
        <f t="shared" si="17"/>
        <v/>
      </c>
      <c r="L166" s="47">
        <f t="shared" si="18"/>
        <v>0</v>
      </c>
      <c r="M166" s="47">
        <f t="shared" si="19"/>
        <v>0</v>
      </c>
      <c r="N166" t="str">
        <f>IF(A166="","",IF(D166="Category Pending","Needs categorization",IF(COUNTIFS($A$2:A166,A166,$B$2:B166,B166,$E$2:E166,E166)&gt;1,"Possible duplicate","")))</f>
        <v/>
      </c>
    </row>
    <row r="167" spans="3:14" x14ac:dyDescent="0.3">
      <c r="C167" s="16"/>
      <c r="G167" s="5" t="str">
        <f t="shared" si="15"/>
        <v/>
      </c>
      <c r="H167" t="str">
        <f>IF(A167="","",IFERROR(_xlfn.XLOOKUP(D167,Setup!$E$15:$E$79,Setup!$F$15:$F$79),"Miscellaneous"))</f>
        <v/>
      </c>
      <c r="I167" t="str">
        <f>IF(A167="","",IFERROR(_xlfn.XLOOKUP(D167,Setup!$E$15:$E$79,Setup!$G$15:$G$79),"Uncategorized"))</f>
        <v/>
      </c>
      <c r="J167" t="str">
        <f t="shared" si="16"/>
        <v/>
      </c>
      <c r="K167" s="4" t="str">
        <f t="shared" si="17"/>
        <v/>
      </c>
      <c r="L167" s="47">
        <f t="shared" si="18"/>
        <v>0</v>
      </c>
      <c r="M167" s="47">
        <f t="shared" si="19"/>
        <v>0</v>
      </c>
      <c r="N167" t="str">
        <f>IF(A167="","",IF(D167="Category Pending","Needs categorization",IF(COUNTIFS($A$2:A167,A167,$B$2:B167,B167,$E$2:E167,E167)&gt;1,"Possible duplicate","")))</f>
        <v/>
      </c>
    </row>
    <row r="168" spans="3:14" x14ac:dyDescent="0.3">
      <c r="C168" s="16"/>
      <c r="G168" s="5" t="str">
        <f t="shared" si="15"/>
        <v/>
      </c>
      <c r="H168" t="str">
        <f>IF(A168="","",IFERROR(_xlfn.XLOOKUP(D168,Setup!$E$15:$E$79,Setup!$F$15:$F$79),"Miscellaneous"))</f>
        <v/>
      </c>
      <c r="I168" t="str">
        <f>IF(A168="","",IFERROR(_xlfn.XLOOKUP(D168,Setup!$E$15:$E$79,Setup!$G$15:$G$79),"Uncategorized"))</f>
        <v/>
      </c>
      <c r="J168" t="str">
        <f t="shared" si="16"/>
        <v/>
      </c>
      <c r="K168" s="4" t="str">
        <f t="shared" si="17"/>
        <v/>
      </c>
      <c r="L168" s="47">
        <f t="shared" si="18"/>
        <v>0</v>
      </c>
      <c r="M168" s="47">
        <f t="shared" si="19"/>
        <v>0</v>
      </c>
      <c r="N168" t="str">
        <f>IF(A168="","",IF(D168="Category Pending","Needs categorization",IF(COUNTIFS($A$2:A168,A168,$B$2:B168,B168,$E$2:E168,E168)&gt;1,"Possible duplicate","")))</f>
        <v/>
      </c>
    </row>
    <row r="169" spans="3:14" x14ac:dyDescent="0.3">
      <c r="C169" s="16"/>
      <c r="G169" s="5" t="str">
        <f t="shared" si="15"/>
        <v/>
      </c>
      <c r="H169" t="str">
        <f>IF(A169="","",IFERROR(_xlfn.XLOOKUP(D169,Setup!$E$15:$E$79,Setup!$F$15:$F$79),"Miscellaneous"))</f>
        <v/>
      </c>
      <c r="I169" t="str">
        <f>IF(A169="","",IFERROR(_xlfn.XLOOKUP(D169,Setup!$E$15:$E$79,Setup!$G$15:$G$79),"Uncategorized"))</f>
        <v/>
      </c>
      <c r="J169" t="str">
        <f t="shared" si="16"/>
        <v/>
      </c>
      <c r="K169" s="4" t="str">
        <f t="shared" si="17"/>
        <v/>
      </c>
      <c r="L169" s="47">
        <f t="shared" si="18"/>
        <v>0</v>
      </c>
      <c r="M169" s="47">
        <f t="shared" si="19"/>
        <v>0</v>
      </c>
      <c r="N169" t="str">
        <f>IF(A169="","",IF(D169="Category Pending","Needs categorization",IF(COUNTIFS($A$2:A169,A169,$B$2:B169,B169,$E$2:E169,E169)&gt;1,"Possible duplicate","")))</f>
        <v/>
      </c>
    </row>
    <row r="170" spans="3:14" x14ac:dyDescent="0.3">
      <c r="C170" s="16"/>
      <c r="G170" s="5" t="str">
        <f t="shared" si="15"/>
        <v/>
      </c>
      <c r="H170" t="str">
        <f>IF(A170="","",IFERROR(_xlfn.XLOOKUP(D170,Setup!$E$15:$E$79,Setup!$F$15:$F$79),"Miscellaneous"))</f>
        <v/>
      </c>
      <c r="I170" t="str">
        <f>IF(A170="","",IFERROR(_xlfn.XLOOKUP(D170,Setup!$E$15:$E$79,Setup!$G$15:$G$79),"Uncategorized"))</f>
        <v/>
      </c>
      <c r="J170" t="str">
        <f t="shared" si="16"/>
        <v/>
      </c>
      <c r="K170" s="4" t="str">
        <f t="shared" si="17"/>
        <v/>
      </c>
      <c r="L170" s="47">
        <f t="shared" si="18"/>
        <v>0</v>
      </c>
      <c r="M170" s="47">
        <f t="shared" si="19"/>
        <v>0</v>
      </c>
      <c r="N170" t="str">
        <f>IF(A170="","",IF(D170="Category Pending","Needs categorization",IF(COUNTIFS($A$2:A170,A170,$B$2:B170,B170,$E$2:E170,E170)&gt;1,"Possible duplicate","")))</f>
        <v/>
      </c>
    </row>
    <row r="171" spans="3:14" x14ac:dyDescent="0.3">
      <c r="C171" s="16"/>
      <c r="G171" s="5" t="str">
        <f t="shared" si="15"/>
        <v/>
      </c>
      <c r="H171" t="str">
        <f>IF(A171="","",IFERROR(_xlfn.XLOOKUP(D171,Setup!$E$15:$E$79,Setup!$F$15:$F$79),"Miscellaneous"))</f>
        <v/>
      </c>
      <c r="I171" t="str">
        <f>IF(A171="","",IFERROR(_xlfn.XLOOKUP(D171,Setup!$E$15:$E$79,Setup!$G$15:$G$79),"Uncategorized"))</f>
        <v/>
      </c>
      <c r="J171" t="str">
        <f t="shared" si="16"/>
        <v/>
      </c>
      <c r="K171" s="4" t="str">
        <f t="shared" si="17"/>
        <v/>
      </c>
      <c r="L171" s="47">
        <f t="shared" si="18"/>
        <v>0</v>
      </c>
      <c r="M171" s="47">
        <f t="shared" si="19"/>
        <v>0</v>
      </c>
      <c r="N171" t="str">
        <f>IF(A171="","",IF(D171="Category Pending","Needs categorization",IF(COUNTIFS($A$2:A171,A171,$B$2:B171,B171,$E$2:E171,E171)&gt;1,"Possible duplicate","")))</f>
        <v/>
      </c>
    </row>
    <row r="172" spans="3:14" x14ac:dyDescent="0.3">
      <c r="C172" s="16"/>
      <c r="G172" s="5" t="str">
        <f t="shared" si="15"/>
        <v/>
      </c>
      <c r="H172" t="str">
        <f>IF(A172="","",IFERROR(_xlfn.XLOOKUP(D172,Setup!$E$15:$E$79,Setup!$F$15:$F$79),"Miscellaneous"))</f>
        <v/>
      </c>
      <c r="I172" t="str">
        <f>IF(A172="","",IFERROR(_xlfn.XLOOKUP(D172,Setup!$E$15:$E$79,Setup!$G$15:$G$79),"Uncategorized"))</f>
        <v/>
      </c>
      <c r="J172" t="str">
        <f t="shared" si="16"/>
        <v/>
      </c>
      <c r="K172" s="4" t="str">
        <f t="shared" si="17"/>
        <v/>
      </c>
      <c r="L172" s="47">
        <f t="shared" si="18"/>
        <v>0</v>
      </c>
      <c r="M172" s="47">
        <f t="shared" si="19"/>
        <v>0</v>
      </c>
      <c r="N172" t="str">
        <f>IF(A172="","",IF(D172="Category Pending","Needs categorization",IF(COUNTIFS($A$2:A172,A172,$B$2:B172,B172,$E$2:E172,E172)&gt;1,"Possible duplicate","")))</f>
        <v/>
      </c>
    </row>
    <row r="173" spans="3:14" x14ac:dyDescent="0.3">
      <c r="C173" s="16"/>
      <c r="G173" s="5" t="str">
        <f t="shared" si="15"/>
        <v/>
      </c>
      <c r="H173" t="str">
        <f>IF(A173="","",IFERROR(_xlfn.XLOOKUP(D173,Setup!$E$15:$E$79,Setup!$F$15:$F$79),"Miscellaneous"))</f>
        <v/>
      </c>
      <c r="I173" t="str">
        <f>IF(A173="","",IFERROR(_xlfn.XLOOKUP(D173,Setup!$E$15:$E$79,Setup!$G$15:$G$79),"Uncategorized"))</f>
        <v/>
      </c>
      <c r="J173" t="str">
        <f t="shared" si="16"/>
        <v/>
      </c>
      <c r="K173" s="4" t="str">
        <f t="shared" si="17"/>
        <v/>
      </c>
      <c r="L173" s="47">
        <f t="shared" si="18"/>
        <v>0</v>
      </c>
      <c r="M173" s="47">
        <f t="shared" si="19"/>
        <v>0</v>
      </c>
      <c r="N173" t="str">
        <f>IF(A173="","",IF(D173="Category Pending","Needs categorization",IF(COUNTIFS($A$2:A173,A173,$B$2:B173,B173,$E$2:E173,E173)&gt;1,"Possible duplicate","")))</f>
        <v/>
      </c>
    </row>
    <row r="174" spans="3:14" x14ac:dyDescent="0.3">
      <c r="C174" s="16"/>
      <c r="G174" s="5" t="str">
        <f t="shared" si="15"/>
        <v/>
      </c>
      <c r="H174" t="str">
        <f>IF(A174="","",IFERROR(_xlfn.XLOOKUP(D174,Setup!$E$15:$E$79,Setup!$F$15:$F$79),"Miscellaneous"))</f>
        <v/>
      </c>
      <c r="I174" t="str">
        <f>IF(A174="","",IFERROR(_xlfn.XLOOKUP(D174,Setup!$E$15:$E$79,Setup!$G$15:$G$79),"Uncategorized"))</f>
        <v/>
      </c>
      <c r="J174" t="str">
        <f t="shared" si="16"/>
        <v/>
      </c>
      <c r="K174" s="4" t="str">
        <f t="shared" si="17"/>
        <v/>
      </c>
      <c r="L174" s="47">
        <f t="shared" si="18"/>
        <v>0</v>
      </c>
      <c r="M174" s="47">
        <f t="shared" si="19"/>
        <v>0</v>
      </c>
      <c r="N174" t="str">
        <f>IF(A174="","",IF(D174="Category Pending","Needs categorization",IF(COUNTIFS($A$2:A174,A174,$B$2:B174,B174,$E$2:E174,E174)&gt;1,"Possible duplicate","")))</f>
        <v/>
      </c>
    </row>
    <row r="175" spans="3:14" x14ac:dyDescent="0.3">
      <c r="C175" s="16"/>
      <c r="G175" s="5" t="str">
        <f t="shared" si="15"/>
        <v/>
      </c>
      <c r="H175" t="str">
        <f>IF(A175="","",IFERROR(_xlfn.XLOOKUP(D175,Setup!$E$15:$E$79,Setup!$F$15:$F$79),"Miscellaneous"))</f>
        <v/>
      </c>
      <c r="I175" t="str">
        <f>IF(A175="","",IFERROR(_xlfn.XLOOKUP(D175,Setup!$E$15:$E$79,Setup!$G$15:$G$79),"Uncategorized"))</f>
        <v/>
      </c>
      <c r="J175" t="str">
        <f t="shared" si="16"/>
        <v/>
      </c>
      <c r="K175" s="4" t="str">
        <f t="shared" si="17"/>
        <v/>
      </c>
      <c r="L175" s="47">
        <f t="shared" si="18"/>
        <v>0</v>
      </c>
      <c r="M175" s="47">
        <f t="shared" si="19"/>
        <v>0</v>
      </c>
      <c r="N175" t="str">
        <f>IF(A175="","",IF(D175="Category Pending","Needs categorization",IF(COUNTIFS($A$2:A175,A175,$B$2:B175,B175,$E$2:E175,E175)&gt;1,"Possible duplicate","")))</f>
        <v/>
      </c>
    </row>
    <row r="176" spans="3:14" x14ac:dyDescent="0.3">
      <c r="C176" s="16"/>
      <c r="G176" s="5" t="str">
        <f t="shared" si="15"/>
        <v/>
      </c>
      <c r="H176" t="str">
        <f>IF(A176="","",IFERROR(_xlfn.XLOOKUP(D176,Setup!$E$15:$E$79,Setup!$F$15:$F$79),"Miscellaneous"))</f>
        <v/>
      </c>
      <c r="I176" t="str">
        <f>IF(A176="","",IFERROR(_xlfn.XLOOKUP(D176,Setup!$E$15:$E$79,Setup!$G$15:$G$79),"Uncategorized"))</f>
        <v/>
      </c>
      <c r="J176" t="str">
        <f t="shared" si="16"/>
        <v/>
      </c>
      <c r="K176" s="4" t="str">
        <f t="shared" si="17"/>
        <v/>
      </c>
      <c r="L176" s="47">
        <f t="shared" si="18"/>
        <v>0</v>
      </c>
      <c r="M176" s="47">
        <f t="shared" si="19"/>
        <v>0</v>
      </c>
      <c r="N176" t="str">
        <f>IF(A176="","",IF(D176="Category Pending","Needs categorization",IF(COUNTIFS($A$2:A176,A176,$B$2:B176,B176,$E$2:E176,E176)&gt;1,"Possible duplicate","")))</f>
        <v/>
      </c>
    </row>
    <row r="177" spans="3:14" x14ac:dyDescent="0.3">
      <c r="C177" s="16"/>
      <c r="G177" s="5" t="str">
        <f t="shared" si="15"/>
        <v/>
      </c>
      <c r="H177" t="str">
        <f>IF(A177="","",IFERROR(_xlfn.XLOOKUP(D177,Setup!$E$15:$E$79,Setup!$F$15:$F$79),"Miscellaneous"))</f>
        <v/>
      </c>
      <c r="I177" t="str">
        <f>IF(A177="","",IFERROR(_xlfn.XLOOKUP(D177,Setup!$E$15:$E$79,Setup!$G$15:$G$79),"Uncategorized"))</f>
        <v/>
      </c>
      <c r="J177" t="str">
        <f t="shared" si="16"/>
        <v/>
      </c>
      <c r="K177" s="4" t="str">
        <f t="shared" si="17"/>
        <v/>
      </c>
      <c r="L177" s="47">
        <f t="shared" si="18"/>
        <v>0</v>
      </c>
      <c r="M177" s="47">
        <f t="shared" si="19"/>
        <v>0</v>
      </c>
      <c r="N177" t="str">
        <f>IF(A177="","",IF(D177="Category Pending","Needs categorization",IF(COUNTIFS($A$2:A177,A177,$B$2:B177,B177,$E$2:E177,E177)&gt;1,"Possible duplicate","")))</f>
        <v/>
      </c>
    </row>
    <row r="178" spans="3:14" x14ac:dyDescent="0.3">
      <c r="C178" s="16"/>
      <c r="G178" s="5" t="str">
        <f t="shared" si="15"/>
        <v/>
      </c>
      <c r="H178" t="str">
        <f>IF(A178="","",IFERROR(_xlfn.XLOOKUP(D178,Setup!$E$15:$E$79,Setup!$F$15:$F$79),"Miscellaneous"))</f>
        <v/>
      </c>
      <c r="I178" t="str">
        <f>IF(A178="","",IFERROR(_xlfn.XLOOKUP(D178,Setup!$E$15:$E$79,Setup!$G$15:$G$79),"Uncategorized"))</f>
        <v/>
      </c>
      <c r="J178" t="str">
        <f t="shared" si="16"/>
        <v/>
      </c>
      <c r="K178" s="4" t="str">
        <f t="shared" si="17"/>
        <v/>
      </c>
      <c r="L178" s="47">
        <f t="shared" si="18"/>
        <v>0</v>
      </c>
      <c r="M178" s="47">
        <f t="shared" si="19"/>
        <v>0</v>
      </c>
      <c r="N178" t="str">
        <f>IF(A178="","",IF(D178="Category Pending","Needs categorization",IF(COUNTIFS($A$2:A178,A178,$B$2:B178,B178,$E$2:E178,E178)&gt;1,"Possible duplicate","")))</f>
        <v/>
      </c>
    </row>
    <row r="179" spans="3:14" x14ac:dyDescent="0.3">
      <c r="C179" s="16"/>
      <c r="G179" s="5" t="str">
        <f t="shared" si="15"/>
        <v/>
      </c>
      <c r="H179" t="str">
        <f>IF(A179="","",IFERROR(_xlfn.XLOOKUP(D179,Setup!$E$15:$E$79,Setup!$F$15:$F$79),"Miscellaneous"))</f>
        <v/>
      </c>
      <c r="I179" t="str">
        <f>IF(A179="","",IFERROR(_xlfn.XLOOKUP(D179,Setup!$E$15:$E$79,Setup!$G$15:$G$79),"Uncategorized"))</f>
        <v/>
      </c>
      <c r="J179" t="str">
        <f t="shared" si="16"/>
        <v/>
      </c>
      <c r="K179" s="4" t="str">
        <f t="shared" si="17"/>
        <v/>
      </c>
      <c r="L179" s="47">
        <f t="shared" si="18"/>
        <v>0</v>
      </c>
      <c r="M179" s="47">
        <f t="shared" si="19"/>
        <v>0</v>
      </c>
      <c r="N179" t="str">
        <f>IF(A179="","",IF(D179="Category Pending","Needs categorization",IF(COUNTIFS($A$2:A179,A179,$B$2:B179,B179,$E$2:E179,E179)&gt;1,"Possible duplicate","")))</f>
        <v/>
      </c>
    </row>
    <row r="180" spans="3:14" x14ac:dyDescent="0.3">
      <c r="C180" s="16"/>
      <c r="G180" s="5" t="str">
        <f t="shared" si="15"/>
        <v/>
      </c>
      <c r="H180" t="str">
        <f>IF(A180="","",IFERROR(_xlfn.XLOOKUP(D180,Setup!$E$15:$E$79,Setup!$F$15:$F$79),"Miscellaneous"))</f>
        <v/>
      </c>
      <c r="I180" t="str">
        <f>IF(A180="","",IFERROR(_xlfn.XLOOKUP(D180,Setup!$E$15:$E$79,Setup!$G$15:$G$79),"Uncategorized"))</f>
        <v/>
      </c>
      <c r="J180" t="str">
        <f t="shared" si="16"/>
        <v/>
      </c>
      <c r="K180" s="4" t="str">
        <f t="shared" si="17"/>
        <v/>
      </c>
      <c r="L180" s="47">
        <f t="shared" si="18"/>
        <v>0</v>
      </c>
      <c r="M180" s="47">
        <f t="shared" si="19"/>
        <v>0</v>
      </c>
      <c r="N180" t="str">
        <f>IF(A180="","",IF(D180="Category Pending","Needs categorization",IF(COUNTIFS($A$2:A180,A180,$B$2:B180,B180,$E$2:E180,E180)&gt;1,"Possible duplicate","")))</f>
        <v/>
      </c>
    </row>
    <row r="181" spans="3:14" x14ac:dyDescent="0.3">
      <c r="C181" s="16"/>
      <c r="G181" s="5" t="str">
        <f t="shared" si="15"/>
        <v/>
      </c>
      <c r="H181" t="str">
        <f>IF(A181="","",IFERROR(_xlfn.XLOOKUP(D181,Setup!$E$15:$E$79,Setup!$F$15:$F$79),"Miscellaneous"))</f>
        <v/>
      </c>
      <c r="I181" t="str">
        <f>IF(A181="","",IFERROR(_xlfn.XLOOKUP(D181,Setup!$E$15:$E$79,Setup!$G$15:$G$79),"Uncategorized"))</f>
        <v/>
      </c>
      <c r="J181" t="str">
        <f t="shared" si="16"/>
        <v/>
      </c>
      <c r="K181" s="4" t="str">
        <f t="shared" si="17"/>
        <v/>
      </c>
      <c r="L181" s="47">
        <f t="shared" si="18"/>
        <v>0</v>
      </c>
      <c r="M181" s="47">
        <f t="shared" si="19"/>
        <v>0</v>
      </c>
      <c r="N181" t="str">
        <f>IF(A181="","",IF(D181="Category Pending","Needs categorization",IF(COUNTIFS($A$2:A181,A181,$B$2:B181,B181,$E$2:E181,E181)&gt;1,"Possible duplicate","")))</f>
        <v/>
      </c>
    </row>
    <row r="182" spans="3:14" x14ac:dyDescent="0.3">
      <c r="C182" s="16"/>
      <c r="G182" s="5" t="str">
        <f t="shared" si="15"/>
        <v/>
      </c>
      <c r="H182" t="str">
        <f>IF(A182="","",IFERROR(_xlfn.XLOOKUP(D182,Setup!$E$15:$E$79,Setup!$F$15:$F$79),"Miscellaneous"))</f>
        <v/>
      </c>
      <c r="I182" t="str">
        <f>IF(A182="","",IFERROR(_xlfn.XLOOKUP(D182,Setup!$E$15:$E$79,Setup!$G$15:$G$79),"Uncategorized"))</f>
        <v/>
      </c>
      <c r="J182" t="str">
        <f t="shared" si="16"/>
        <v/>
      </c>
      <c r="K182" s="4" t="str">
        <f t="shared" si="17"/>
        <v/>
      </c>
      <c r="L182" s="47">
        <f t="shared" si="18"/>
        <v>0</v>
      </c>
      <c r="M182" s="47">
        <f t="shared" si="19"/>
        <v>0</v>
      </c>
      <c r="N182" t="str">
        <f>IF(A182="","",IF(D182="Category Pending","Needs categorization",IF(COUNTIFS($A$2:A182,A182,$B$2:B182,B182,$E$2:E182,E182)&gt;1,"Possible duplicate","")))</f>
        <v/>
      </c>
    </row>
    <row r="183" spans="3:14" x14ac:dyDescent="0.3">
      <c r="C183" s="16"/>
      <c r="G183" s="5" t="str">
        <f t="shared" si="15"/>
        <v/>
      </c>
      <c r="H183" t="str">
        <f>IF(A183="","",IFERROR(_xlfn.XLOOKUP(D183,Setup!$E$15:$E$79,Setup!$F$15:$F$79),"Miscellaneous"))</f>
        <v/>
      </c>
      <c r="I183" t="str">
        <f>IF(A183="","",IFERROR(_xlfn.XLOOKUP(D183,Setup!$E$15:$E$79,Setup!$G$15:$G$79),"Uncategorized"))</f>
        <v/>
      </c>
      <c r="J183" t="str">
        <f t="shared" si="16"/>
        <v/>
      </c>
      <c r="K183" s="4" t="str">
        <f t="shared" si="17"/>
        <v/>
      </c>
      <c r="L183" s="47">
        <f t="shared" si="18"/>
        <v>0</v>
      </c>
      <c r="M183" s="47">
        <f t="shared" si="19"/>
        <v>0</v>
      </c>
      <c r="N183" t="str">
        <f>IF(A183="","",IF(D183="Category Pending","Needs categorization",IF(COUNTIFS($A$2:A183,A183,$B$2:B183,B183,$E$2:E183,E183)&gt;1,"Possible duplicate","")))</f>
        <v/>
      </c>
    </row>
    <row r="184" spans="3:14" x14ac:dyDescent="0.3">
      <c r="C184" s="16"/>
      <c r="G184" s="5" t="str">
        <f t="shared" si="15"/>
        <v/>
      </c>
      <c r="H184" t="str">
        <f>IF(A184="","",IFERROR(_xlfn.XLOOKUP(D184,Setup!$E$15:$E$79,Setup!$F$15:$F$79),"Miscellaneous"))</f>
        <v/>
      </c>
      <c r="I184" t="str">
        <f>IF(A184="","",IFERROR(_xlfn.XLOOKUP(D184,Setup!$E$15:$E$79,Setup!$G$15:$G$79),"Uncategorized"))</f>
        <v/>
      </c>
      <c r="J184" t="str">
        <f t="shared" si="16"/>
        <v/>
      </c>
      <c r="K184" s="4" t="str">
        <f t="shared" si="17"/>
        <v/>
      </c>
      <c r="L184" s="47">
        <f t="shared" si="18"/>
        <v>0</v>
      </c>
      <c r="M184" s="47">
        <f t="shared" si="19"/>
        <v>0</v>
      </c>
      <c r="N184" t="str">
        <f>IF(A184="","",IF(D184="Category Pending","Needs categorization",IF(COUNTIFS($A$2:A184,A184,$B$2:B184,B184,$E$2:E184,E184)&gt;1,"Possible duplicate","")))</f>
        <v/>
      </c>
    </row>
    <row r="185" spans="3:14" x14ac:dyDescent="0.3">
      <c r="C185" s="16"/>
      <c r="G185" s="5" t="str">
        <f t="shared" si="15"/>
        <v/>
      </c>
      <c r="H185" t="str">
        <f>IF(A185="","",IFERROR(_xlfn.XLOOKUP(D185,Setup!$E$15:$E$79,Setup!$F$15:$F$79),"Miscellaneous"))</f>
        <v/>
      </c>
      <c r="I185" t="str">
        <f>IF(A185="","",IFERROR(_xlfn.XLOOKUP(D185,Setup!$E$15:$E$79,Setup!$G$15:$G$79),"Uncategorized"))</f>
        <v/>
      </c>
      <c r="J185" t="str">
        <f t="shared" si="16"/>
        <v/>
      </c>
      <c r="K185" s="4" t="str">
        <f t="shared" si="17"/>
        <v/>
      </c>
      <c r="L185" s="47">
        <f t="shared" si="18"/>
        <v>0</v>
      </c>
      <c r="M185" s="47">
        <f t="shared" si="19"/>
        <v>0</v>
      </c>
      <c r="N185" t="str">
        <f>IF(A185="","",IF(D185="Category Pending","Needs categorization",IF(COUNTIFS($A$2:A185,A185,$B$2:B185,B185,$E$2:E185,E185)&gt;1,"Possible duplicate","")))</f>
        <v/>
      </c>
    </row>
    <row r="186" spans="3:14" x14ac:dyDescent="0.3">
      <c r="C186" s="16"/>
      <c r="G186" s="5" t="str">
        <f t="shared" si="15"/>
        <v/>
      </c>
      <c r="H186" t="str">
        <f>IF(A186="","",IFERROR(_xlfn.XLOOKUP(D186,Setup!$E$15:$E$79,Setup!$F$15:$F$79),"Miscellaneous"))</f>
        <v/>
      </c>
      <c r="I186" t="str">
        <f>IF(A186="","",IFERROR(_xlfn.XLOOKUP(D186,Setup!$E$15:$E$79,Setup!$G$15:$G$79),"Uncategorized"))</f>
        <v/>
      </c>
      <c r="J186" t="str">
        <f t="shared" si="16"/>
        <v/>
      </c>
      <c r="K186" s="4" t="str">
        <f t="shared" si="17"/>
        <v/>
      </c>
      <c r="L186" s="47">
        <f t="shared" si="18"/>
        <v>0</v>
      </c>
      <c r="M186" s="47">
        <f t="shared" si="19"/>
        <v>0</v>
      </c>
      <c r="N186" t="str">
        <f>IF(A186="","",IF(D186="Category Pending","Needs categorization",IF(COUNTIFS($A$2:A186,A186,$B$2:B186,B186,$E$2:E186,E186)&gt;1,"Possible duplicate","")))</f>
        <v/>
      </c>
    </row>
    <row r="187" spans="3:14" x14ac:dyDescent="0.3">
      <c r="C187" s="16"/>
      <c r="G187" s="5" t="str">
        <f t="shared" si="15"/>
        <v/>
      </c>
      <c r="H187" t="str">
        <f>IF(A187="","",IFERROR(_xlfn.XLOOKUP(D187,Setup!$E$15:$E$79,Setup!$F$15:$F$79),"Miscellaneous"))</f>
        <v/>
      </c>
      <c r="I187" t="str">
        <f>IF(A187="","",IFERROR(_xlfn.XLOOKUP(D187,Setup!$E$15:$E$79,Setup!$G$15:$G$79),"Uncategorized"))</f>
        <v/>
      </c>
      <c r="J187" t="str">
        <f t="shared" si="16"/>
        <v/>
      </c>
      <c r="K187" s="4" t="str">
        <f t="shared" si="17"/>
        <v/>
      </c>
      <c r="L187" s="47">
        <f t="shared" si="18"/>
        <v>0</v>
      </c>
      <c r="M187" s="47">
        <f t="shared" si="19"/>
        <v>0</v>
      </c>
      <c r="N187" t="str">
        <f>IF(A187="","",IF(D187="Category Pending","Needs categorization",IF(COUNTIFS($A$2:A187,A187,$B$2:B187,B187,$E$2:E187,E187)&gt;1,"Possible duplicate","")))</f>
        <v/>
      </c>
    </row>
    <row r="188" spans="3:14" x14ac:dyDescent="0.3">
      <c r="C188" s="16"/>
      <c r="G188" s="5" t="str">
        <f t="shared" si="15"/>
        <v/>
      </c>
      <c r="H188" t="str">
        <f>IF(A188="","",IFERROR(_xlfn.XLOOKUP(D188,Setup!$E$15:$E$79,Setup!$F$15:$F$79),"Miscellaneous"))</f>
        <v/>
      </c>
      <c r="I188" t="str">
        <f>IF(A188="","",IFERROR(_xlfn.XLOOKUP(D188,Setup!$E$15:$E$79,Setup!$G$15:$G$79),"Uncategorized"))</f>
        <v/>
      </c>
      <c r="J188" t="str">
        <f t="shared" si="16"/>
        <v/>
      </c>
      <c r="K188" s="4" t="str">
        <f t="shared" si="17"/>
        <v/>
      </c>
      <c r="L188" s="47">
        <f t="shared" si="18"/>
        <v>0</v>
      </c>
      <c r="M188" s="47">
        <f t="shared" si="19"/>
        <v>0</v>
      </c>
      <c r="N188" t="str">
        <f>IF(A188="","",IF(D188="Category Pending","Needs categorization",IF(COUNTIFS($A$2:A188,A188,$B$2:B188,B188,$E$2:E188,E188)&gt;1,"Possible duplicate","")))</f>
        <v/>
      </c>
    </row>
    <row r="189" spans="3:14" x14ac:dyDescent="0.3">
      <c r="C189" s="16"/>
      <c r="G189" s="5" t="str">
        <f t="shared" si="15"/>
        <v/>
      </c>
      <c r="H189" t="str">
        <f>IF(A189="","",IFERROR(_xlfn.XLOOKUP(D189,Setup!$E$15:$E$79,Setup!$F$15:$F$79),"Miscellaneous"))</f>
        <v/>
      </c>
      <c r="I189" t="str">
        <f>IF(A189="","",IFERROR(_xlfn.XLOOKUP(D189,Setup!$E$15:$E$79,Setup!$G$15:$G$79),"Uncategorized"))</f>
        <v/>
      </c>
      <c r="J189" t="str">
        <f t="shared" si="16"/>
        <v/>
      </c>
      <c r="K189" s="4" t="str">
        <f t="shared" si="17"/>
        <v/>
      </c>
      <c r="L189" s="47">
        <f t="shared" si="18"/>
        <v>0</v>
      </c>
      <c r="M189" s="47">
        <f t="shared" si="19"/>
        <v>0</v>
      </c>
      <c r="N189" t="str">
        <f>IF(A189="","",IF(D189="Category Pending","Needs categorization",IF(COUNTIFS($A$2:A189,A189,$B$2:B189,B189,$E$2:E189,E189)&gt;1,"Possible duplicate","")))</f>
        <v/>
      </c>
    </row>
    <row r="190" spans="3:14" x14ac:dyDescent="0.3">
      <c r="C190" s="16"/>
      <c r="G190" s="5" t="str">
        <f t="shared" si="15"/>
        <v/>
      </c>
      <c r="H190" t="str">
        <f>IF(A190="","",IFERROR(_xlfn.XLOOKUP(D190,Setup!$E$15:$E$79,Setup!$F$15:$F$79),"Miscellaneous"))</f>
        <v/>
      </c>
      <c r="I190" t="str">
        <f>IF(A190="","",IFERROR(_xlfn.XLOOKUP(D190,Setup!$E$15:$E$79,Setup!$G$15:$G$79),"Uncategorized"))</f>
        <v/>
      </c>
      <c r="J190" t="str">
        <f t="shared" si="16"/>
        <v/>
      </c>
      <c r="K190" s="4" t="str">
        <f t="shared" si="17"/>
        <v/>
      </c>
      <c r="L190" s="47">
        <f t="shared" si="18"/>
        <v>0</v>
      </c>
      <c r="M190" s="47">
        <f t="shared" si="19"/>
        <v>0</v>
      </c>
      <c r="N190" t="str">
        <f>IF(A190="","",IF(D190="Category Pending","Needs categorization",IF(COUNTIFS($A$2:A190,A190,$B$2:B190,B190,$E$2:E190,E190)&gt;1,"Possible duplicate","")))</f>
        <v/>
      </c>
    </row>
    <row r="191" spans="3:14" x14ac:dyDescent="0.3">
      <c r="C191" s="16"/>
      <c r="G191" s="5" t="str">
        <f t="shared" si="15"/>
        <v/>
      </c>
      <c r="H191" t="str">
        <f>IF(A191="","",IFERROR(_xlfn.XLOOKUP(D191,Setup!$E$15:$E$79,Setup!$F$15:$F$79),"Miscellaneous"))</f>
        <v/>
      </c>
      <c r="I191" t="str">
        <f>IF(A191="","",IFERROR(_xlfn.XLOOKUP(D191,Setup!$E$15:$E$79,Setup!$G$15:$G$79),"Uncategorized"))</f>
        <v/>
      </c>
      <c r="J191" t="str">
        <f t="shared" si="16"/>
        <v/>
      </c>
      <c r="K191" s="4" t="str">
        <f t="shared" si="17"/>
        <v/>
      </c>
      <c r="L191" s="47">
        <f t="shared" si="18"/>
        <v>0</v>
      </c>
      <c r="M191" s="47">
        <f t="shared" si="19"/>
        <v>0</v>
      </c>
      <c r="N191" t="str">
        <f>IF(A191="","",IF(D191="Category Pending","Needs categorization",IF(COUNTIFS($A$2:A191,A191,$B$2:B191,B191,$E$2:E191,E191)&gt;1,"Possible duplicate","")))</f>
        <v/>
      </c>
    </row>
    <row r="192" spans="3:14" x14ac:dyDescent="0.3">
      <c r="C192" s="16"/>
      <c r="G192" s="5" t="str">
        <f t="shared" si="15"/>
        <v/>
      </c>
      <c r="H192" t="str">
        <f>IF(A192="","",IFERROR(_xlfn.XLOOKUP(D192,Setup!$E$15:$E$79,Setup!$F$15:$F$79),"Miscellaneous"))</f>
        <v/>
      </c>
      <c r="I192" t="str">
        <f>IF(A192="","",IFERROR(_xlfn.XLOOKUP(D192,Setup!$E$15:$E$79,Setup!$G$15:$G$79),"Uncategorized"))</f>
        <v/>
      </c>
      <c r="J192" t="str">
        <f t="shared" si="16"/>
        <v/>
      </c>
      <c r="K192" s="4" t="str">
        <f t="shared" si="17"/>
        <v/>
      </c>
      <c r="L192" s="47">
        <f t="shared" si="18"/>
        <v>0</v>
      </c>
      <c r="M192" s="47">
        <f t="shared" si="19"/>
        <v>0</v>
      </c>
      <c r="N192" t="str">
        <f>IF(A192="","",IF(D192="Category Pending","Needs categorization",IF(COUNTIFS($A$2:A192,A192,$B$2:B192,B192,$E$2:E192,E192)&gt;1,"Possible duplicate","")))</f>
        <v/>
      </c>
    </row>
    <row r="193" spans="3:14" x14ac:dyDescent="0.3">
      <c r="C193" s="16"/>
      <c r="G193" s="5" t="str">
        <f t="shared" si="15"/>
        <v/>
      </c>
      <c r="H193" t="str">
        <f>IF(A193="","",IFERROR(_xlfn.XLOOKUP(D193,Setup!$E$15:$E$79,Setup!$F$15:$F$79),"Miscellaneous"))</f>
        <v/>
      </c>
      <c r="I193" t="str">
        <f>IF(A193="","",IFERROR(_xlfn.XLOOKUP(D193,Setup!$E$15:$E$79,Setup!$G$15:$G$79),"Uncategorized"))</f>
        <v/>
      </c>
      <c r="J193" t="str">
        <f t="shared" si="16"/>
        <v/>
      </c>
      <c r="K193" s="4" t="str">
        <f t="shared" si="17"/>
        <v/>
      </c>
      <c r="L193" s="47">
        <f t="shared" si="18"/>
        <v>0</v>
      </c>
      <c r="M193" s="47">
        <f t="shared" si="19"/>
        <v>0</v>
      </c>
      <c r="N193" t="str">
        <f>IF(A193="","",IF(D193="Category Pending","Needs categorization",IF(COUNTIFS($A$2:A193,A193,$B$2:B193,B193,$E$2:E193,E193)&gt;1,"Possible duplicate","")))</f>
        <v/>
      </c>
    </row>
    <row r="194" spans="3:14" x14ac:dyDescent="0.3">
      <c r="C194" s="16"/>
      <c r="G194" s="5" t="str">
        <f t="shared" si="15"/>
        <v/>
      </c>
      <c r="H194" t="str">
        <f>IF(A194="","",IFERROR(_xlfn.XLOOKUP(D194,Setup!$E$15:$E$79,Setup!$F$15:$F$79),"Miscellaneous"))</f>
        <v/>
      </c>
      <c r="I194" t="str">
        <f>IF(A194="","",IFERROR(_xlfn.XLOOKUP(D194,Setup!$E$15:$E$79,Setup!$G$15:$G$79),"Uncategorized"))</f>
        <v/>
      </c>
      <c r="J194" t="str">
        <f t="shared" si="16"/>
        <v/>
      </c>
      <c r="K194" s="4" t="str">
        <f t="shared" si="17"/>
        <v/>
      </c>
      <c r="L194" s="47">
        <f t="shared" si="18"/>
        <v>0</v>
      </c>
      <c r="M194" s="47">
        <f t="shared" si="19"/>
        <v>0</v>
      </c>
      <c r="N194" t="str">
        <f>IF(A194="","",IF(D194="Category Pending","Needs categorization",IF(COUNTIFS($A$2:A194,A194,$B$2:B194,B194,$E$2:E194,E194)&gt;1,"Possible duplicate","")))</f>
        <v/>
      </c>
    </row>
    <row r="195" spans="3:14" x14ac:dyDescent="0.3">
      <c r="C195" s="16"/>
      <c r="G195" s="5" t="str">
        <f t="shared" si="15"/>
        <v/>
      </c>
      <c r="H195" t="str">
        <f>IF(A195="","",IFERROR(_xlfn.XLOOKUP(D195,Setup!$E$15:$E$79,Setup!$F$15:$F$79),"Miscellaneous"))</f>
        <v/>
      </c>
      <c r="I195" t="str">
        <f>IF(A195="","",IFERROR(_xlfn.XLOOKUP(D195,Setup!$E$15:$E$79,Setup!$G$15:$G$79),"Uncategorized"))</f>
        <v/>
      </c>
      <c r="J195" t="str">
        <f t="shared" si="16"/>
        <v/>
      </c>
      <c r="K195" s="4" t="str">
        <f t="shared" si="17"/>
        <v/>
      </c>
      <c r="L195" s="47">
        <f t="shared" si="18"/>
        <v>0</v>
      </c>
      <c r="M195" s="47">
        <f t="shared" si="19"/>
        <v>0</v>
      </c>
      <c r="N195" t="str">
        <f>IF(A195="","",IF(D195="Category Pending","Needs categorization",IF(COUNTIFS($A$2:A195,A195,$B$2:B195,B195,$E$2:E195,E195)&gt;1,"Possible duplicate","")))</f>
        <v/>
      </c>
    </row>
    <row r="196" spans="3:14" x14ac:dyDescent="0.3">
      <c r="C196" s="16"/>
      <c r="G196" s="5" t="str">
        <f t="shared" si="15"/>
        <v/>
      </c>
      <c r="H196" t="str">
        <f>IF(A196="","",IFERROR(_xlfn.XLOOKUP(D196,Setup!$E$15:$E$79,Setup!$F$15:$F$79),"Miscellaneous"))</f>
        <v/>
      </c>
      <c r="I196" t="str">
        <f>IF(A196="","",IFERROR(_xlfn.XLOOKUP(D196,Setup!$E$15:$E$79,Setup!$G$15:$G$79),"Uncategorized"))</f>
        <v/>
      </c>
      <c r="J196" t="str">
        <f t="shared" si="16"/>
        <v/>
      </c>
      <c r="K196" s="4" t="str">
        <f t="shared" si="17"/>
        <v/>
      </c>
      <c r="L196" s="47">
        <f t="shared" si="18"/>
        <v>0</v>
      </c>
      <c r="M196" s="47">
        <f t="shared" si="19"/>
        <v>0</v>
      </c>
      <c r="N196" t="str">
        <f>IF(A196="","",IF(D196="Category Pending","Needs categorization",IF(COUNTIFS($A$2:A196,A196,$B$2:B196,B196,$E$2:E196,E196)&gt;1,"Possible duplicate","")))</f>
        <v/>
      </c>
    </row>
    <row r="197" spans="3:14" x14ac:dyDescent="0.3">
      <c r="C197" s="16"/>
      <c r="G197" s="5" t="str">
        <f t="shared" si="15"/>
        <v/>
      </c>
      <c r="H197" t="str">
        <f>IF(A197="","",IFERROR(_xlfn.XLOOKUP(D197,Setup!$E$15:$E$79,Setup!$F$15:$F$79),"Miscellaneous"))</f>
        <v/>
      </c>
      <c r="I197" t="str">
        <f>IF(A197="","",IFERROR(_xlfn.XLOOKUP(D197,Setup!$E$15:$E$79,Setup!$G$15:$G$79),"Uncategorized"))</f>
        <v/>
      </c>
      <c r="J197" t="str">
        <f t="shared" si="16"/>
        <v/>
      </c>
      <c r="K197" s="4" t="str">
        <f t="shared" si="17"/>
        <v/>
      </c>
      <c r="L197" s="47">
        <f t="shared" si="18"/>
        <v>0</v>
      </c>
      <c r="M197" s="47">
        <f t="shared" si="19"/>
        <v>0</v>
      </c>
      <c r="N197" t="str">
        <f>IF(A197="","",IF(D197="Category Pending","Needs categorization",IF(COUNTIFS($A$2:A197,A197,$B$2:B197,B197,$E$2:E197,E197)&gt;1,"Possible duplicate","")))</f>
        <v/>
      </c>
    </row>
    <row r="198" spans="3:14" x14ac:dyDescent="0.3">
      <c r="C198" s="16"/>
      <c r="G198" s="5" t="str">
        <f t="shared" si="15"/>
        <v/>
      </c>
      <c r="H198" t="str">
        <f>IF(A198="","",IFERROR(_xlfn.XLOOKUP(D198,Setup!$E$15:$E$79,Setup!$F$15:$F$79),"Miscellaneous"))</f>
        <v/>
      </c>
      <c r="I198" t="str">
        <f>IF(A198="","",IFERROR(_xlfn.XLOOKUP(D198,Setup!$E$15:$E$79,Setup!$G$15:$G$79),"Uncategorized"))</f>
        <v/>
      </c>
      <c r="J198" t="str">
        <f t="shared" si="16"/>
        <v/>
      </c>
      <c r="K198" s="4" t="str">
        <f t="shared" si="17"/>
        <v/>
      </c>
      <c r="L198" s="47">
        <f t="shared" si="18"/>
        <v>0</v>
      </c>
      <c r="M198" s="47">
        <f t="shared" si="19"/>
        <v>0</v>
      </c>
      <c r="N198" t="str">
        <f>IF(A198="","",IF(D198="Category Pending","Needs categorization",IF(COUNTIFS($A$2:A198,A198,$B$2:B198,B198,$E$2:E198,E198)&gt;1,"Possible duplicate","")))</f>
        <v/>
      </c>
    </row>
    <row r="199" spans="3:14" x14ac:dyDescent="0.3">
      <c r="C199" s="16"/>
      <c r="G199" s="5" t="str">
        <f t="shared" si="15"/>
        <v/>
      </c>
      <c r="H199" t="str">
        <f>IF(A199="","",IFERROR(_xlfn.XLOOKUP(D199,Setup!$E$15:$E$79,Setup!$F$15:$F$79),"Miscellaneous"))</f>
        <v/>
      </c>
      <c r="I199" t="str">
        <f>IF(A199="","",IFERROR(_xlfn.XLOOKUP(D199,Setup!$E$15:$E$79,Setup!$G$15:$G$79),"Uncategorized"))</f>
        <v/>
      </c>
      <c r="J199" t="str">
        <f t="shared" si="16"/>
        <v/>
      </c>
      <c r="K199" s="4" t="str">
        <f t="shared" si="17"/>
        <v/>
      </c>
      <c r="L199" s="47">
        <f t="shared" si="18"/>
        <v>0</v>
      </c>
      <c r="M199" s="47">
        <f t="shared" si="19"/>
        <v>0</v>
      </c>
      <c r="N199" t="str">
        <f>IF(A199="","",IF(D199="Category Pending","Needs categorization",IF(COUNTIFS($A$2:A199,A199,$B$2:B199,B199,$E$2:E199,E199)&gt;1,"Possible duplicate","")))</f>
        <v/>
      </c>
    </row>
    <row r="200" spans="3:14" x14ac:dyDescent="0.3">
      <c r="C200" s="16"/>
      <c r="G200" s="5" t="str">
        <f t="shared" si="15"/>
        <v/>
      </c>
      <c r="H200" t="str">
        <f>IF(A200="","",IFERROR(_xlfn.XLOOKUP(D200,Setup!$E$15:$E$79,Setup!$F$15:$F$79),"Miscellaneous"))</f>
        <v/>
      </c>
      <c r="I200" t="str">
        <f>IF(A200="","",IFERROR(_xlfn.XLOOKUP(D200,Setup!$E$15:$E$79,Setup!$G$15:$G$79),"Uncategorized"))</f>
        <v/>
      </c>
      <c r="J200" t="str">
        <f t="shared" si="16"/>
        <v/>
      </c>
      <c r="K200" s="4" t="str">
        <f t="shared" si="17"/>
        <v/>
      </c>
      <c r="L200" s="47">
        <f t="shared" si="18"/>
        <v>0</v>
      </c>
      <c r="M200" s="47">
        <f t="shared" si="19"/>
        <v>0</v>
      </c>
      <c r="N200" t="str">
        <f>IF(A200="","",IF(D200="Category Pending","Needs categorization",IF(COUNTIFS($A$2:A200,A200,$B$2:B200,B200,$E$2:E200,E200)&gt;1,"Possible duplicate","")))</f>
        <v/>
      </c>
    </row>
    <row r="201" spans="3:14" x14ac:dyDescent="0.3">
      <c r="C201" s="16"/>
      <c r="G201" s="5" t="str">
        <f t="shared" si="15"/>
        <v/>
      </c>
      <c r="H201" t="str">
        <f>IF(A201="","",IFERROR(_xlfn.XLOOKUP(D201,Setup!$E$15:$E$79,Setup!$F$15:$F$79),"Miscellaneous"))</f>
        <v/>
      </c>
      <c r="I201" t="str">
        <f>IF(A201="","",IFERROR(_xlfn.XLOOKUP(D201,Setup!$E$15:$E$79,Setup!$G$15:$G$79),"Uncategorized"))</f>
        <v/>
      </c>
      <c r="J201" t="str">
        <f t="shared" si="16"/>
        <v/>
      </c>
      <c r="K201" s="4" t="str">
        <f t="shared" si="17"/>
        <v/>
      </c>
      <c r="L201" s="47">
        <f t="shared" si="18"/>
        <v>0</v>
      </c>
      <c r="M201" s="47">
        <f t="shared" si="19"/>
        <v>0</v>
      </c>
      <c r="N201" t="str">
        <f>IF(A201="","",IF(D201="Category Pending","Needs categorization",IF(COUNTIFS($A$2:A201,A201,$B$2:B201,B201,$E$2:E201,E201)&gt;1,"Possible duplicate","")))</f>
        <v/>
      </c>
    </row>
    <row r="202" spans="3:14" x14ac:dyDescent="0.3">
      <c r="C202" s="16"/>
      <c r="G202" s="5" t="str">
        <f t="shared" si="15"/>
        <v/>
      </c>
      <c r="H202" t="str">
        <f>IF(A202="","",IFERROR(_xlfn.XLOOKUP(D202,Setup!$E$15:$E$79,Setup!$F$15:$F$79),"Miscellaneous"))</f>
        <v/>
      </c>
      <c r="I202" t="str">
        <f>IF(A202="","",IFERROR(_xlfn.XLOOKUP(D202,Setup!$E$15:$E$79,Setup!$G$15:$G$79),"Uncategorized"))</f>
        <v/>
      </c>
      <c r="J202" t="str">
        <f t="shared" si="16"/>
        <v/>
      </c>
      <c r="K202" s="4" t="str">
        <f t="shared" si="17"/>
        <v/>
      </c>
      <c r="L202" s="47">
        <f t="shared" si="18"/>
        <v>0</v>
      </c>
      <c r="M202" s="47">
        <f t="shared" si="19"/>
        <v>0</v>
      </c>
      <c r="N202" t="str">
        <f>IF(A202="","",IF(D202="Category Pending","Needs categorization",IF(COUNTIFS($A$2:A202,A202,$B$2:B202,B202,$E$2:E202,E202)&gt;1,"Possible duplicate","")))</f>
        <v/>
      </c>
    </row>
    <row r="203" spans="3:14" x14ac:dyDescent="0.3">
      <c r="C203" s="16"/>
      <c r="G203" s="5" t="str">
        <f t="shared" si="15"/>
        <v/>
      </c>
      <c r="H203" t="str">
        <f>IF(A203="","",IFERROR(_xlfn.XLOOKUP(D203,Setup!$E$15:$E$79,Setup!$F$15:$F$79),"Miscellaneous"))</f>
        <v/>
      </c>
      <c r="I203" t="str">
        <f>IF(A203="","",IFERROR(_xlfn.XLOOKUP(D203,Setup!$E$15:$E$79,Setup!$G$15:$G$79),"Uncategorized"))</f>
        <v/>
      </c>
      <c r="J203" t="str">
        <f t="shared" si="16"/>
        <v/>
      </c>
      <c r="K203" s="4" t="str">
        <f t="shared" si="17"/>
        <v/>
      </c>
      <c r="L203" s="47">
        <f t="shared" si="18"/>
        <v>0</v>
      </c>
      <c r="M203" s="47">
        <f t="shared" si="19"/>
        <v>0</v>
      </c>
      <c r="N203" t="str">
        <f>IF(A203="","",IF(D203="Category Pending","Needs categorization",IF(COUNTIFS($A$2:A203,A203,$B$2:B203,B203,$E$2:E203,E203)&gt;1,"Possible duplicate","")))</f>
        <v/>
      </c>
    </row>
    <row r="204" spans="3:14" x14ac:dyDescent="0.3">
      <c r="C204" s="16"/>
      <c r="G204" s="5" t="str">
        <f t="shared" si="15"/>
        <v/>
      </c>
      <c r="H204" t="str">
        <f>IF(A204="","",IFERROR(_xlfn.XLOOKUP(D204,Setup!$E$15:$E$79,Setup!$F$15:$F$79),"Miscellaneous"))</f>
        <v/>
      </c>
      <c r="I204" t="str">
        <f>IF(A204="","",IFERROR(_xlfn.XLOOKUP(D204,Setup!$E$15:$E$79,Setup!$G$15:$G$79),"Uncategorized"))</f>
        <v/>
      </c>
      <c r="J204" t="str">
        <f t="shared" si="16"/>
        <v/>
      </c>
      <c r="K204" s="4" t="str">
        <f t="shared" si="17"/>
        <v/>
      </c>
      <c r="L204" s="47">
        <f t="shared" si="18"/>
        <v>0</v>
      </c>
      <c r="M204" s="47">
        <f t="shared" si="19"/>
        <v>0</v>
      </c>
      <c r="N204" t="str">
        <f>IF(A204="","",IF(D204="Category Pending","Needs categorization",IF(COUNTIFS($A$2:A204,A204,$B$2:B204,B204,$E$2:E204,E204)&gt;1,"Possible duplicate","")))</f>
        <v/>
      </c>
    </row>
    <row r="205" spans="3:14" x14ac:dyDescent="0.3">
      <c r="C205" s="16"/>
      <c r="G205" s="5" t="str">
        <f t="shared" si="15"/>
        <v/>
      </c>
      <c r="H205" t="str">
        <f>IF(A205="","",IFERROR(_xlfn.XLOOKUP(D205,Setup!$E$15:$E$79,Setup!$F$15:$F$79),"Miscellaneous"))</f>
        <v/>
      </c>
      <c r="I205" t="str">
        <f>IF(A205="","",IFERROR(_xlfn.XLOOKUP(D205,Setup!$E$15:$E$79,Setup!$G$15:$G$79),"Uncategorized"))</f>
        <v/>
      </c>
      <c r="J205" t="str">
        <f t="shared" si="16"/>
        <v/>
      </c>
      <c r="K205" s="4" t="str">
        <f t="shared" si="17"/>
        <v/>
      </c>
      <c r="L205" s="47">
        <f t="shared" si="18"/>
        <v>0</v>
      </c>
      <c r="M205" s="47">
        <f t="shared" si="19"/>
        <v>0</v>
      </c>
      <c r="N205" t="str">
        <f>IF(A205="","",IF(D205="Category Pending","Needs categorization",IF(COUNTIFS($A$2:A205,A205,$B$2:B205,B205,$E$2:E205,E205)&gt;1,"Possible duplicate","")))</f>
        <v/>
      </c>
    </row>
    <row r="206" spans="3:14" x14ac:dyDescent="0.3">
      <c r="C206" s="16"/>
      <c r="G206" s="5" t="str">
        <f t="shared" si="15"/>
        <v/>
      </c>
      <c r="H206" t="str">
        <f>IF(A206="","",IFERROR(_xlfn.XLOOKUP(D206,Setup!$E$15:$E$79,Setup!$F$15:$F$79),"Miscellaneous"))</f>
        <v/>
      </c>
      <c r="I206" t="str">
        <f>IF(A206="","",IFERROR(_xlfn.XLOOKUP(D206,Setup!$E$15:$E$79,Setup!$G$15:$G$79),"Uncategorized"))</f>
        <v/>
      </c>
      <c r="J206" t="str">
        <f t="shared" si="16"/>
        <v/>
      </c>
      <c r="K206" s="4" t="str">
        <f t="shared" si="17"/>
        <v/>
      </c>
      <c r="L206" s="47">
        <f t="shared" si="18"/>
        <v>0</v>
      </c>
      <c r="M206" s="47">
        <f t="shared" si="19"/>
        <v>0</v>
      </c>
      <c r="N206" t="str">
        <f>IF(A206="","",IF(D206="Category Pending","Needs categorization",IF(COUNTIFS($A$2:A206,A206,$B$2:B206,B206,$E$2:E206,E206)&gt;1,"Possible duplicate","")))</f>
        <v/>
      </c>
    </row>
    <row r="207" spans="3:14" x14ac:dyDescent="0.3">
      <c r="C207" s="16"/>
      <c r="G207" s="5" t="str">
        <f t="shared" si="15"/>
        <v/>
      </c>
      <c r="H207" t="str">
        <f>IF(A207="","",IFERROR(_xlfn.XLOOKUP(D207,Setup!$E$15:$E$79,Setup!$F$15:$F$79),"Miscellaneous"))</f>
        <v/>
      </c>
      <c r="I207" t="str">
        <f>IF(A207="","",IFERROR(_xlfn.XLOOKUP(D207,Setup!$E$15:$E$79,Setup!$G$15:$G$79),"Uncategorized"))</f>
        <v/>
      </c>
      <c r="J207" t="str">
        <f t="shared" si="16"/>
        <v/>
      </c>
      <c r="K207" s="4" t="str">
        <f t="shared" si="17"/>
        <v/>
      </c>
      <c r="L207" s="47">
        <f t="shared" si="18"/>
        <v>0</v>
      </c>
      <c r="M207" s="47">
        <f t="shared" si="19"/>
        <v>0</v>
      </c>
      <c r="N207" t="str">
        <f>IF(A207="","",IF(D207="Category Pending","Needs categorization",IF(COUNTIFS($A$2:A207,A207,$B$2:B207,B207,$E$2:E207,E207)&gt;1,"Possible duplicate","")))</f>
        <v/>
      </c>
    </row>
    <row r="208" spans="3:14" x14ac:dyDescent="0.3">
      <c r="C208" s="16"/>
      <c r="G208" s="5" t="str">
        <f t="shared" si="15"/>
        <v/>
      </c>
      <c r="H208" t="str">
        <f>IF(A208="","",IFERROR(_xlfn.XLOOKUP(D208,Setup!$E$15:$E$79,Setup!$F$15:$F$79),"Miscellaneous"))</f>
        <v/>
      </c>
      <c r="I208" t="str">
        <f>IF(A208="","",IFERROR(_xlfn.XLOOKUP(D208,Setup!$E$15:$E$79,Setup!$G$15:$G$79),"Uncategorized"))</f>
        <v/>
      </c>
      <c r="J208" t="str">
        <f t="shared" si="16"/>
        <v/>
      </c>
      <c r="K208" s="4" t="str">
        <f t="shared" si="17"/>
        <v/>
      </c>
      <c r="L208" s="47">
        <f t="shared" si="18"/>
        <v>0</v>
      </c>
      <c r="M208" s="47">
        <f t="shared" si="19"/>
        <v>0</v>
      </c>
      <c r="N208" t="str">
        <f>IF(A208="","",IF(D208="Category Pending","Needs categorization",IF(COUNTIFS($A$2:A208,A208,$B$2:B208,B208,$E$2:E208,E208)&gt;1,"Possible duplicate","")))</f>
        <v/>
      </c>
    </row>
    <row r="209" spans="3:14" x14ac:dyDescent="0.3">
      <c r="C209" s="16"/>
      <c r="G209" s="5" t="str">
        <f t="shared" si="15"/>
        <v/>
      </c>
      <c r="H209" t="str">
        <f>IF(A209="","",IFERROR(_xlfn.XLOOKUP(D209,Setup!$E$15:$E$79,Setup!$F$15:$F$79),"Miscellaneous"))</f>
        <v/>
      </c>
      <c r="I209" t="str">
        <f>IF(A209="","",IFERROR(_xlfn.XLOOKUP(D209,Setup!$E$15:$E$79,Setup!$G$15:$G$79),"Uncategorized"))</f>
        <v/>
      </c>
      <c r="J209" t="str">
        <f t="shared" si="16"/>
        <v/>
      </c>
      <c r="K209" s="4" t="str">
        <f t="shared" si="17"/>
        <v/>
      </c>
      <c r="L209" s="47">
        <f t="shared" si="18"/>
        <v>0</v>
      </c>
      <c r="M209" s="47">
        <f t="shared" si="19"/>
        <v>0</v>
      </c>
      <c r="N209" t="str">
        <f>IF(A209="","",IF(D209="Category Pending","Needs categorization",IF(COUNTIFS($A$2:A209,A209,$B$2:B209,B209,$E$2:E209,E209)&gt;1,"Possible duplicate","")))</f>
        <v/>
      </c>
    </row>
    <row r="210" spans="3:14" x14ac:dyDescent="0.3">
      <c r="C210" s="16"/>
      <c r="G210" s="5" t="str">
        <f t="shared" si="15"/>
        <v/>
      </c>
      <c r="H210" t="str">
        <f>IF(A210="","",IFERROR(_xlfn.XLOOKUP(D210,Setup!$E$15:$E$79,Setup!$F$15:$F$79),"Miscellaneous"))</f>
        <v/>
      </c>
      <c r="I210" t="str">
        <f>IF(A210="","",IFERROR(_xlfn.XLOOKUP(D210,Setup!$E$15:$E$79,Setup!$G$15:$G$79),"Uncategorized"))</f>
        <v/>
      </c>
      <c r="J210" t="str">
        <f t="shared" si="16"/>
        <v/>
      </c>
      <c r="K210" s="4" t="str">
        <f t="shared" si="17"/>
        <v/>
      </c>
      <c r="L210" s="47">
        <f t="shared" si="18"/>
        <v>0</v>
      </c>
      <c r="M210" s="47">
        <f t="shared" si="19"/>
        <v>0</v>
      </c>
      <c r="N210" t="str">
        <f>IF(A210="","",IF(D210="Category Pending","Needs categorization",IF(COUNTIFS($A$2:A210,A210,$B$2:B210,B210,$E$2:E210,E210)&gt;1,"Possible duplicate","")))</f>
        <v/>
      </c>
    </row>
    <row r="211" spans="3:14" x14ac:dyDescent="0.3">
      <c r="C211" s="16"/>
      <c r="G211" s="5" t="str">
        <f t="shared" si="15"/>
        <v/>
      </c>
      <c r="H211" t="str">
        <f>IF(A211="","",IFERROR(_xlfn.XLOOKUP(D211,Setup!$E$15:$E$79,Setup!$F$15:$F$79),"Miscellaneous"))</f>
        <v/>
      </c>
      <c r="I211" t="str">
        <f>IF(A211="","",IFERROR(_xlfn.XLOOKUP(D211,Setup!$E$15:$E$79,Setup!$G$15:$G$79),"Uncategorized"))</f>
        <v/>
      </c>
      <c r="J211" t="str">
        <f t="shared" si="16"/>
        <v/>
      </c>
      <c r="K211" s="4" t="str">
        <f t="shared" si="17"/>
        <v/>
      </c>
      <c r="L211" s="47">
        <f t="shared" si="18"/>
        <v>0</v>
      </c>
      <c r="M211" s="47">
        <f t="shared" si="19"/>
        <v>0</v>
      </c>
      <c r="N211" t="str">
        <f>IF(A211="","",IF(D211="Category Pending","Needs categorization",IF(COUNTIFS($A$2:A211,A211,$B$2:B211,B211,$E$2:E211,E211)&gt;1,"Possible duplicate","")))</f>
        <v/>
      </c>
    </row>
    <row r="212" spans="3:14" x14ac:dyDescent="0.3">
      <c r="C212" s="16"/>
      <c r="G212" s="5" t="str">
        <f t="shared" si="15"/>
        <v/>
      </c>
      <c r="H212" t="str">
        <f>IF(A212="","",IFERROR(_xlfn.XLOOKUP(D212,Setup!$E$15:$E$79,Setup!$F$15:$F$79),"Miscellaneous"))</f>
        <v/>
      </c>
      <c r="I212" t="str">
        <f>IF(A212="","",IFERROR(_xlfn.XLOOKUP(D212,Setup!$E$15:$E$79,Setup!$G$15:$G$79),"Uncategorized"))</f>
        <v/>
      </c>
      <c r="J212" t="str">
        <f t="shared" si="16"/>
        <v/>
      </c>
      <c r="K212" s="4" t="str">
        <f t="shared" si="17"/>
        <v/>
      </c>
      <c r="L212" s="47">
        <f t="shared" si="18"/>
        <v>0</v>
      </c>
      <c r="M212" s="47">
        <f t="shared" si="19"/>
        <v>0</v>
      </c>
      <c r="N212" t="str">
        <f>IF(A212="","",IF(D212="Category Pending","Needs categorization",IF(COUNTIFS($A$2:A212,A212,$B$2:B212,B212,$E$2:E212,E212)&gt;1,"Possible duplicate","")))</f>
        <v/>
      </c>
    </row>
    <row r="213" spans="3:14" x14ac:dyDescent="0.3">
      <c r="C213" s="16"/>
      <c r="G213" s="5" t="str">
        <f t="shared" si="15"/>
        <v/>
      </c>
      <c r="H213" t="str">
        <f>IF(A213="","",IFERROR(_xlfn.XLOOKUP(D213,Setup!$E$15:$E$79,Setup!$F$15:$F$79),"Miscellaneous"))</f>
        <v/>
      </c>
      <c r="I213" t="str">
        <f>IF(A213="","",IFERROR(_xlfn.XLOOKUP(D213,Setup!$E$15:$E$79,Setup!$G$15:$G$79),"Uncategorized"))</f>
        <v/>
      </c>
      <c r="J213" t="str">
        <f t="shared" si="16"/>
        <v/>
      </c>
      <c r="K213" s="4" t="str">
        <f t="shared" si="17"/>
        <v/>
      </c>
      <c r="L213" s="47">
        <f t="shared" si="18"/>
        <v>0</v>
      </c>
      <c r="M213" s="47">
        <f t="shared" si="19"/>
        <v>0</v>
      </c>
      <c r="N213" t="str">
        <f>IF(A213="","",IF(D213="Category Pending","Needs categorization",IF(COUNTIFS($A$2:A213,A213,$B$2:B213,B213,$E$2:E213,E213)&gt;1,"Possible duplicate","")))</f>
        <v/>
      </c>
    </row>
    <row r="214" spans="3:14" x14ac:dyDescent="0.3">
      <c r="C214" s="16"/>
      <c r="G214" s="5" t="str">
        <f t="shared" si="15"/>
        <v/>
      </c>
      <c r="H214" t="str">
        <f>IF(A214="","",IFERROR(_xlfn.XLOOKUP(D214,Setup!$E$15:$E$79,Setup!$F$15:$F$79),"Miscellaneous"))</f>
        <v/>
      </c>
      <c r="I214" t="str">
        <f>IF(A214="","",IFERROR(_xlfn.XLOOKUP(D214,Setup!$E$15:$E$79,Setup!$G$15:$G$79),"Uncategorized"))</f>
        <v/>
      </c>
      <c r="J214" t="str">
        <f t="shared" si="16"/>
        <v/>
      </c>
      <c r="K214" s="4" t="str">
        <f t="shared" si="17"/>
        <v/>
      </c>
      <c r="L214" s="47">
        <f t="shared" si="18"/>
        <v>0</v>
      </c>
      <c r="M214" s="47">
        <f t="shared" si="19"/>
        <v>0</v>
      </c>
      <c r="N214" t="str">
        <f>IF(A214="","",IF(D214="Category Pending","Needs categorization",IF(COUNTIFS($A$2:A214,A214,$B$2:B214,B214,$E$2:E214,E214)&gt;1,"Possible duplicate","")))</f>
        <v/>
      </c>
    </row>
    <row r="215" spans="3:14" x14ac:dyDescent="0.3">
      <c r="C215" s="16"/>
      <c r="G215" s="5" t="str">
        <f t="shared" si="15"/>
        <v/>
      </c>
      <c r="H215" t="str">
        <f>IF(A215="","",IFERROR(_xlfn.XLOOKUP(D215,Setup!$E$15:$E$79,Setup!$F$15:$F$79),"Miscellaneous"))</f>
        <v/>
      </c>
      <c r="I215" t="str">
        <f>IF(A215="","",IFERROR(_xlfn.XLOOKUP(D215,Setup!$E$15:$E$79,Setup!$G$15:$G$79),"Uncategorized"))</f>
        <v/>
      </c>
      <c r="J215" t="str">
        <f t="shared" si="16"/>
        <v/>
      </c>
      <c r="K215" s="4" t="str">
        <f t="shared" si="17"/>
        <v/>
      </c>
      <c r="L215" s="47">
        <f t="shared" si="18"/>
        <v>0</v>
      </c>
      <c r="M215" s="47">
        <f t="shared" si="19"/>
        <v>0</v>
      </c>
      <c r="N215" t="str">
        <f>IF(A215="","",IF(D215="Category Pending","Needs categorization",IF(COUNTIFS($A$2:A215,A215,$B$2:B215,B215,$E$2:E215,E215)&gt;1,"Possible duplicate","")))</f>
        <v/>
      </c>
    </row>
    <row r="216" spans="3:14" x14ac:dyDescent="0.3">
      <c r="C216" s="16"/>
      <c r="G216" s="5" t="str">
        <f t="shared" si="15"/>
        <v/>
      </c>
      <c r="H216" t="str">
        <f>IF(A216="","",IFERROR(_xlfn.XLOOKUP(D216,Setup!$E$15:$E$79,Setup!$F$15:$F$79),"Miscellaneous"))</f>
        <v/>
      </c>
      <c r="I216" t="str">
        <f>IF(A216="","",IFERROR(_xlfn.XLOOKUP(D216,Setup!$E$15:$E$79,Setup!$G$15:$G$79),"Uncategorized"))</f>
        <v/>
      </c>
      <c r="J216" t="str">
        <f t="shared" si="16"/>
        <v/>
      </c>
      <c r="K216" s="4" t="str">
        <f t="shared" si="17"/>
        <v/>
      </c>
      <c r="L216" s="47">
        <f t="shared" si="18"/>
        <v>0</v>
      </c>
      <c r="M216" s="47">
        <f t="shared" si="19"/>
        <v>0</v>
      </c>
      <c r="N216" t="str">
        <f>IF(A216="","",IF(D216="Category Pending","Needs categorization",IF(COUNTIFS($A$2:A216,A216,$B$2:B216,B216,$E$2:E216,E216)&gt;1,"Possible duplicate","")))</f>
        <v/>
      </c>
    </row>
    <row r="217" spans="3:14" x14ac:dyDescent="0.3">
      <c r="C217" s="16"/>
      <c r="G217" s="5" t="str">
        <f t="shared" si="15"/>
        <v/>
      </c>
      <c r="H217" t="str">
        <f>IF(A217="","",IFERROR(_xlfn.XLOOKUP(D217,Setup!$E$15:$E$79,Setup!$F$15:$F$79),"Miscellaneous"))</f>
        <v/>
      </c>
      <c r="I217" t="str">
        <f>IF(A217="","",IFERROR(_xlfn.XLOOKUP(D217,Setup!$E$15:$E$79,Setup!$G$15:$G$79),"Uncategorized"))</f>
        <v/>
      </c>
      <c r="J217" t="str">
        <f t="shared" si="16"/>
        <v/>
      </c>
      <c r="K217" s="4" t="str">
        <f t="shared" si="17"/>
        <v/>
      </c>
      <c r="L217" s="47">
        <f t="shared" si="18"/>
        <v>0</v>
      </c>
      <c r="M217" s="47">
        <f t="shared" si="19"/>
        <v>0</v>
      </c>
      <c r="N217" t="str">
        <f>IF(A217="","",IF(D217="Category Pending","Needs categorization",IF(COUNTIFS($A$2:A217,A217,$B$2:B217,B217,$E$2:E217,E217)&gt;1,"Possible duplicate","")))</f>
        <v/>
      </c>
    </row>
    <row r="218" spans="3:14" x14ac:dyDescent="0.3">
      <c r="C218" s="16"/>
      <c r="G218" s="5" t="str">
        <f t="shared" si="15"/>
        <v/>
      </c>
      <c r="H218" t="str">
        <f>IF(A218="","",IFERROR(_xlfn.XLOOKUP(D218,Setup!$E$15:$E$79,Setup!$F$15:$F$79),"Miscellaneous"))</f>
        <v/>
      </c>
      <c r="I218" t="str">
        <f>IF(A218="","",IFERROR(_xlfn.XLOOKUP(D218,Setup!$E$15:$E$79,Setup!$G$15:$G$79),"Uncategorized"))</f>
        <v/>
      </c>
      <c r="J218" t="str">
        <f t="shared" si="16"/>
        <v/>
      </c>
      <c r="K218" s="4" t="str">
        <f t="shared" si="17"/>
        <v/>
      </c>
      <c r="L218" s="47">
        <f t="shared" si="18"/>
        <v>0</v>
      </c>
      <c r="M218" s="47">
        <f t="shared" si="19"/>
        <v>0</v>
      </c>
      <c r="N218" t="str">
        <f>IF(A218="","",IF(D218="Category Pending","Needs categorization",IF(COUNTIFS($A$2:A218,A218,$B$2:B218,B218,$E$2:E218,E218)&gt;1,"Possible duplicate","")))</f>
        <v/>
      </c>
    </row>
    <row r="219" spans="3:14" x14ac:dyDescent="0.3">
      <c r="C219" s="16"/>
      <c r="G219" s="5" t="str">
        <f t="shared" si="15"/>
        <v/>
      </c>
      <c r="H219" t="str">
        <f>IF(A219="","",IFERROR(_xlfn.XLOOKUP(D219,Setup!$E$15:$E$79,Setup!$F$15:$F$79),"Miscellaneous"))</f>
        <v/>
      </c>
      <c r="I219" t="str">
        <f>IF(A219="","",IFERROR(_xlfn.XLOOKUP(D219,Setup!$E$15:$E$79,Setup!$G$15:$G$79),"Uncategorized"))</f>
        <v/>
      </c>
      <c r="J219" t="str">
        <f t="shared" si="16"/>
        <v/>
      </c>
      <c r="K219" s="4" t="str">
        <f t="shared" si="17"/>
        <v/>
      </c>
      <c r="L219" s="47">
        <f t="shared" si="18"/>
        <v>0</v>
      </c>
      <c r="M219" s="47">
        <f t="shared" si="19"/>
        <v>0</v>
      </c>
      <c r="N219" t="str">
        <f>IF(A219="","",IF(D219="Category Pending","Needs categorization",IF(COUNTIFS($A$2:A219,A219,$B$2:B219,B219,$E$2:E219,E219)&gt;1,"Possible duplicate","")))</f>
        <v/>
      </c>
    </row>
    <row r="220" spans="3:14" x14ac:dyDescent="0.3">
      <c r="C220" s="16"/>
      <c r="G220" s="5" t="str">
        <f t="shared" si="15"/>
        <v/>
      </c>
      <c r="H220" t="str">
        <f>IF(A220="","",IFERROR(_xlfn.XLOOKUP(D220,Setup!$E$15:$E$79,Setup!$F$15:$F$79),"Miscellaneous"))</f>
        <v/>
      </c>
      <c r="I220" t="str">
        <f>IF(A220="","",IFERROR(_xlfn.XLOOKUP(D220,Setup!$E$15:$E$79,Setup!$G$15:$G$79),"Uncategorized"))</f>
        <v/>
      </c>
      <c r="J220" t="str">
        <f t="shared" si="16"/>
        <v/>
      </c>
      <c r="K220" s="4" t="str">
        <f t="shared" si="17"/>
        <v/>
      </c>
      <c r="L220" s="47">
        <f t="shared" si="18"/>
        <v>0</v>
      </c>
      <c r="M220" s="47">
        <f t="shared" si="19"/>
        <v>0</v>
      </c>
      <c r="N220" t="str">
        <f>IF(A220="","",IF(D220="Category Pending","Needs categorization",IF(COUNTIFS($A$2:A220,A220,$B$2:B220,B220,$E$2:E220,E220)&gt;1,"Possible duplicate","")))</f>
        <v/>
      </c>
    </row>
    <row r="221" spans="3:14" x14ac:dyDescent="0.3">
      <c r="C221" s="16"/>
      <c r="G221" s="5" t="str">
        <f t="shared" si="15"/>
        <v/>
      </c>
      <c r="H221" t="str">
        <f>IF(A221="","",IFERROR(_xlfn.XLOOKUP(D221,Setup!$E$15:$E$79,Setup!$F$15:$F$79),"Miscellaneous"))</f>
        <v/>
      </c>
      <c r="I221" t="str">
        <f>IF(A221="","",IFERROR(_xlfn.XLOOKUP(D221,Setup!$E$15:$E$79,Setup!$G$15:$G$79),"Uncategorized"))</f>
        <v/>
      </c>
      <c r="J221" t="str">
        <f t="shared" si="16"/>
        <v/>
      </c>
      <c r="K221" s="4" t="str">
        <f t="shared" si="17"/>
        <v/>
      </c>
      <c r="L221" s="47">
        <f t="shared" si="18"/>
        <v>0</v>
      </c>
      <c r="M221" s="47">
        <f t="shared" si="19"/>
        <v>0</v>
      </c>
      <c r="N221" t="str">
        <f>IF(A221="","",IF(D221="Category Pending","Needs categorization",IF(COUNTIFS($A$2:A221,A221,$B$2:B221,B221,$E$2:E221,E221)&gt;1,"Possible duplicate","")))</f>
        <v/>
      </c>
    </row>
    <row r="222" spans="3:14" x14ac:dyDescent="0.3">
      <c r="C222" s="16"/>
      <c r="G222" s="5" t="str">
        <f t="shared" si="15"/>
        <v/>
      </c>
      <c r="H222" t="str">
        <f>IF(A222="","",IFERROR(_xlfn.XLOOKUP(D222,Setup!$E$15:$E$79,Setup!$F$15:$F$79),"Miscellaneous"))</f>
        <v/>
      </c>
      <c r="I222" t="str">
        <f>IF(A222="","",IFERROR(_xlfn.XLOOKUP(D222,Setup!$E$15:$E$79,Setup!$G$15:$G$79),"Uncategorized"))</f>
        <v/>
      </c>
      <c r="J222" t="str">
        <f t="shared" si="16"/>
        <v/>
      </c>
      <c r="K222" s="4" t="str">
        <f t="shared" si="17"/>
        <v/>
      </c>
      <c r="L222" s="47">
        <f t="shared" si="18"/>
        <v>0</v>
      </c>
      <c r="M222" s="47">
        <f t="shared" si="19"/>
        <v>0</v>
      </c>
      <c r="N222" t="str">
        <f>IF(A222="","",IF(D222="Category Pending","Needs categorization",IF(COUNTIFS($A$2:A222,A222,$B$2:B222,B222,$E$2:E222,E222)&gt;1,"Possible duplicate","")))</f>
        <v/>
      </c>
    </row>
    <row r="223" spans="3:14" x14ac:dyDescent="0.3">
      <c r="C223" s="16"/>
      <c r="G223" s="5" t="str">
        <f t="shared" si="15"/>
        <v/>
      </c>
      <c r="H223" t="str">
        <f>IF(A223="","",IFERROR(_xlfn.XLOOKUP(D223,Setup!$E$15:$E$79,Setup!$F$15:$F$79),"Miscellaneous"))</f>
        <v/>
      </c>
      <c r="I223" t="str">
        <f>IF(A223="","",IFERROR(_xlfn.XLOOKUP(D223,Setup!$E$15:$E$79,Setup!$G$15:$G$79),"Uncategorized"))</f>
        <v/>
      </c>
      <c r="J223" t="str">
        <f t="shared" si="16"/>
        <v/>
      </c>
      <c r="K223" s="4" t="str">
        <f t="shared" si="17"/>
        <v/>
      </c>
      <c r="L223" s="47">
        <f t="shared" si="18"/>
        <v>0</v>
      </c>
      <c r="M223" s="47">
        <f t="shared" si="19"/>
        <v>0</v>
      </c>
      <c r="N223" t="str">
        <f>IF(A223="","",IF(D223="Category Pending","Needs categorization",IF(COUNTIFS($A$2:A223,A223,$B$2:B223,B223,$E$2:E223,E223)&gt;1,"Possible duplicate","")))</f>
        <v/>
      </c>
    </row>
    <row r="224" spans="3:14" x14ac:dyDescent="0.3">
      <c r="C224" s="16"/>
      <c r="G224" s="5" t="str">
        <f t="shared" si="15"/>
        <v/>
      </c>
      <c r="H224" t="str">
        <f>IF(A224="","",IFERROR(_xlfn.XLOOKUP(D224,Setup!$E$15:$E$79,Setup!$F$15:$F$79),"Miscellaneous"))</f>
        <v/>
      </c>
      <c r="I224" t="str">
        <f>IF(A224="","",IFERROR(_xlfn.XLOOKUP(D224,Setup!$E$15:$E$79,Setup!$G$15:$G$79),"Uncategorized"))</f>
        <v/>
      </c>
      <c r="J224" t="str">
        <f t="shared" si="16"/>
        <v/>
      </c>
      <c r="K224" s="4" t="str">
        <f t="shared" si="17"/>
        <v/>
      </c>
      <c r="L224" s="47">
        <f t="shared" si="18"/>
        <v>0</v>
      </c>
      <c r="M224" s="47">
        <f t="shared" si="19"/>
        <v>0</v>
      </c>
      <c r="N224" t="str">
        <f>IF(A224="","",IF(D224="Category Pending","Needs categorization",IF(COUNTIFS($A$2:A224,A224,$B$2:B224,B224,$E$2:E224,E224)&gt;1,"Possible duplicate","")))</f>
        <v/>
      </c>
    </row>
    <row r="225" spans="3:14" x14ac:dyDescent="0.3">
      <c r="C225" s="16"/>
      <c r="G225" s="5" t="str">
        <f t="shared" ref="G225:G288" si="20">IF(A225="","","Checking")</f>
        <v/>
      </c>
      <c r="H225" t="str">
        <f>IF(A225="","",IFERROR(_xlfn.XLOOKUP(D225,Setup!$E$15:$E$79,Setup!$F$15:$F$79),"Miscellaneous"))</f>
        <v/>
      </c>
      <c r="I225" t="str">
        <f>IF(A225="","",IFERROR(_xlfn.XLOOKUP(D225,Setup!$E$15:$E$79,Setup!$G$15:$G$79),"Uncategorized"))</f>
        <v/>
      </c>
      <c r="J225" t="str">
        <f t="shared" ref="J225:J288" si="21">IF(A225="","",IF(OR(H225="Transfers",H225="Income",D225="Transfer",D225="Category Pending"),"No","Yes"))</f>
        <v/>
      </c>
      <c r="K225" s="4" t="str">
        <f t="shared" ref="K225:K288" si="22">IF(A225="","",IF(A225&gt;=46232,TEXT(DATE(YEAR(A225),MONTH(A225)+1,1),"mmmm yyyy"),TEXT(DATE(YEAR(A225),MONTH(A225),1),"mmmm yyyy")))</f>
        <v/>
      </c>
      <c r="L225" s="47">
        <f t="shared" ref="L225:L288" si="23">IF(AND(J225="Yes",E225&lt;0),-E225,0)</f>
        <v>0</v>
      </c>
      <c r="M225" s="47">
        <f t="shared" ref="M225:M288" si="24">IF(AND(J225="Yes",E225&gt;0),E225,0)</f>
        <v>0</v>
      </c>
      <c r="N225" t="str">
        <f>IF(A225="","",IF(D225="Category Pending","Needs categorization",IF(COUNTIFS($A$2:A225,A225,$B$2:B225,B225,$E$2:E225,E225)&gt;1,"Possible duplicate","")))</f>
        <v/>
      </c>
    </row>
    <row r="226" spans="3:14" x14ac:dyDescent="0.3">
      <c r="C226" s="16"/>
      <c r="G226" s="5" t="str">
        <f t="shared" si="20"/>
        <v/>
      </c>
      <c r="H226" t="str">
        <f>IF(A226="","",IFERROR(_xlfn.XLOOKUP(D226,Setup!$E$15:$E$79,Setup!$F$15:$F$79),"Miscellaneous"))</f>
        <v/>
      </c>
      <c r="I226" t="str">
        <f>IF(A226="","",IFERROR(_xlfn.XLOOKUP(D226,Setup!$E$15:$E$79,Setup!$G$15:$G$79),"Uncategorized"))</f>
        <v/>
      </c>
      <c r="J226" t="str">
        <f t="shared" si="21"/>
        <v/>
      </c>
      <c r="K226" s="4" t="str">
        <f t="shared" si="22"/>
        <v/>
      </c>
      <c r="L226" s="47">
        <f t="shared" si="23"/>
        <v>0</v>
      </c>
      <c r="M226" s="47">
        <f t="shared" si="24"/>
        <v>0</v>
      </c>
      <c r="N226" t="str">
        <f>IF(A226="","",IF(D226="Category Pending","Needs categorization",IF(COUNTIFS($A$2:A226,A226,$B$2:B226,B226,$E$2:E226,E226)&gt;1,"Possible duplicate","")))</f>
        <v/>
      </c>
    </row>
    <row r="227" spans="3:14" x14ac:dyDescent="0.3">
      <c r="C227" s="16"/>
      <c r="G227" s="5" t="str">
        <f t="shared" si="20"/>
        <v/>
      </c>
      <c r="H227" t="str">
        <f>IF(A227="","",IFERROR(_xlfn.XLOOKUP(D227,Setup!$E$15:$E$79,Setup!$F$15:$F$79),"Miscellaneous"))</f>
        <v/>
      </c>
      <c r="I227" t="str">
        <f>IF(A227="","",IFERROR(_xlfn.XLOOKUP(D227,Setup!$E$15:$E$79,Setup!$G$15:$G$79),"Uncategorized"))</f>
        <v/>
      </c>
      <c r="J227" t="str">
        <f t="shared" si="21"/>
        <v/>
      </c>
      <c r="K227" s="4" t="str">
        <f t="shared" si="22"/>
        <v/>
      </c>
      <c r="L227" s="47">
        <f t="shared" si="23"/>
        <v>0</v>
      </c>
      <c r="M227" s="47">
        <f t="shared" si="24"/>
        <v>0</v>
      </c>
      <c r="N227" t="str">
        <f>IF(A227="","",IF(D227="Category Pending","Needs categorization",IF(COUNTIFS($A$2:A227,A227,$B$2:B227,B227,$E$2:E227,E227)&gt;1,"Possible duplicate","")))</f>
        <v/>
      </c>
    </row>
    <row r="228" spans="3:14" x14ac:dyDescent="0.3">
      <c r="C228" s="16"/>
      <c r="G228" s="5" t="str">
        <f t="shared" si="20"/>
        <v/>
      </c>
      <c r="H228" t="str">
        <f>IF(A228="","",IFERROR(_xlfn.XLOOKUP(D228,Setup!$E$15:$E$79,Setup!$F$15:$F$79),"Miscellaneous"))</f>
        <v/>
      </c>
      <c r="I228" t="str">
        <f>IF(A228="","",IFERROR(_xlfn.XLOOKUP(D228,Setup!$E$15:$E$79,Setup!$G$15:$G$79),"Uncategorized"))</f>
        <v/>
      </c>
      <c r="J228" t="str">
        <f t="shared" si="21"/>
        <v/>
      </c>
      <c r="K228" s="4" t="str">
        <f t="shared" si="22"/>
        <v/>
      </c>
      <c r="L228" s="47">
        <f t="shared" si="23"/>
        <v>0</v>
      </c>
      <c r="M228" s="47">
        <f t="shared" si="24"/>
        <v>0</v>
      </c>
      <c r="N228" t="str">
        <f>IF(A228="","",IF(D228="Category Pending","Needs categorization",IF(COUNTIFS($A$2:A228,A228,$B$2:B228,B228,$E$2:E228,E228)&gt;1,"Possible duplicate","")))</f>
        <v/>
      </c>
    </row>
    <row r="229" spans="3:14" x14ac:dyDescent="0.3">
      <c r="C229" s="16"/>
      <c r="G229" s="5" t="str">
        <f t="shared" si="20"/>
        <v/>
      </c>
      <c r="H229" t="str">
        <f>IF(A229="","",IFERROR(_xlfn.XLOOKUP(D229,Setup!$E$15:$E$79,Setup!$F$15:$F$79),"Miscellaneous"))</f>
        <v/>
      </c>
      <c r="I229" t="str">
        <f>IF(A229="","",IFERROR(_xlfn.XLOOKUP(D229,Setup!$E$15:$E$79,Setup!$G$15:$G$79),"Uncategorized"))</f>
        <v/>
      </c>
      <c r="J229" t="str">
        <f t="shared" si="21"/>
        <v/>
      </c>
      <c r="K229" s="4" t="str">
        <f t="shared" si="22"/>
        <v/>
      </c>
      <c r="L229" s="47">
        <f t="shared" si="23"/>
        <v>0</v>
      </c>
      <c r="M229" s="47">
        <f t="shared" si="24"/>
        <v>0</v>
      </c>
      <c r="N229" t="str">
        <f>IF(A229="","",IF(D229="Category Pending","Needs categorization",IF(COUNTIFS($A$2:A229,A229,$B$2:B229,B229,$E$2:E229,E229)&gt;1,"Possible duplicate","")))</f>
        <v/>
      </c>
    </row>
    <row r="230" spans="3:14" x14ac:dyDescent="0.3">
      <c r="C230" s="16"/>
      <c r="G230" s="5" t="str">
        <f t="shared" si="20"/>
        <v/>
      </c>
      <c r="H230" t="str">
        <f>IF(A230="","",IFERROR(_xlfn.XLOOKUP(D230,Setup!$E$15:$E$79,Setup!$F$15:$F$79),"Miscellaneous"))</f>
        <v/>
      </c>
      <c r="I230" t="str">
        <f>IF(A230="","",IFERROR(_xlfn.XLOOKUP(D230,Setup!$E$15:$E$79,Setup!$G$15:$G$79),"Uncategorized"))</f>
        <v/>
      </c>
      <c r="J230" t="str">
        <f t="shared" si="21"/>
        <v/>
      </c>
      <c r="K230" s="4" t="str">
        <f t="shared" si="22"/>
        <v/>
      </c>
      <c r="L230" s="47">
        <f t="shared" si="23"/>
        <v>0</v>
      </c>
      <c r="M230" s="47">
        <f t="shared" si="24"/>
        <v>0</v>
      </c>
      <c r="N230" t="str">
        <f>IF(A230="","",IF(D230="Category Pending","Needs categorization",IF(COUNTIFS($A$2:A230,A230,$B$2:B230,B230,$E$2:E230,E230)&gt;1,"Possible duplicate","")))</f>
        <v/>
      </c>
    </row>
    <row r="231" spans="3:14" x14ac:dyDescent="0.3">
      <c r="C231" s="16"/>
      <c r="G231" s="5" t="str">
        <f t="shared" si="20"/>
        <v/>
      </c>
      <c r="H231" t="str">
        <f>IF(A231="","",IFERROR(_xlfn.XLOOKUP(D231,Setup!$E$15:$E$79,Setup!$F$15:$F$79),"Miscellaneous"))</f>
        <v/>
      </c>
      <c r="I231" t="str">
        <f>IF(A231="","",IFERROR(_xlfn.XLOOKUP(D231,Setup!$E$15:$E$79,Setup!$G$15:$G$79),"Uncategorized"))</f>
        <v/>
      </c>
      <c r="J231" t="str">
        <f t="shared" si="21"/>
        <v/>
      </c>
      <c r="K231" s="4" t="str">
        <f t="shared" si="22"/>
        <v/>
      </c>
      <c r="L231" s="47">
        <f t="shared" si="23"/>
        <v>0</v>
      </c>
      <c r="M231" s="47">
        <f t="shared" si="24"/>
        <v>0</v>
      </c>
      <c r="N231" t="str">
        <f>IF(A231="","",IF(D231="Category Pending","Needs categorization",IF(COUNTIFS($A$2:A231,A231,$B$2:B231,B231,$E$2:E231,E231)&gt;1,"Possible duplicate","")))</f>
        <v/>
      </c>
    </row>
    <row r="232" spans="3:14" x14ac:dyDescent="0.3">
      <c r="C232" s="16"/>
      <c r="G232" s="5" t="str">
        <f t="shared" si="20"/>
        <v/>
      </c>
      <c r="H232" t="str">
        <f>IF(A232="","",IFERROR(_xlfn.XLOOKUP(D232,Setup!$E$15:$E$79,Setup!$F$15:$F$79),"Miscellaneous"))</f>
        <v/>
      </c>
      <c r="I232" t="str">
        <f>IF(A232="","",IFERROR(_xlfn.XLOOKUP(D232,Setup!$E$15:$E$79,Setup!$G$15:$G$79),"Uncategorized"))</f>
        <v/>
      </c>
      <c r="J232" t="str">
        <f t="shared" si="21"/>
        <v/>
      </c>
      <c r="K232" s="4" t="str">
        <f t="shared" si="22"/>
        <v/>
      </c>
      <c r="L232" s="47">
        <f t="shared" si="23"/>
        <v>0</v>
      </c>
      <c r="M232" s="47">
        <f t="shared" si="24"/>
        <v>0</v>
      </c>
      <c r="N232" t="str">
        <f>IF(A232="","",IF(D232="Category Pending","Needs categorization",IF(COUNTIFS($A$2:A232,A232,$B$2:B232,B232,$E$2:E232,E232)&gt;1,"Possible duplicate","")))</f>
        <v/>
      </c>
    </row>
    <row r="233" spans="3:14" x14ac:dyDescent="0.3">
      <c r="C233" s="16"/>
      <c r="G233" s="5" t="str">
        <f t="shared" si="20"/>
        <v/>
      </c>
      <c r="H233" t="str">
        <f>IF(A233="","",IFERROR(_xlfn.XLOOKUP(D233,Setup!$E$15:$E$79,Setup!$F$15:$F$79),"Miscellaneous"))</f>
        <v/>
      </c>
      <c r="I233" t="str">
        <f>IF(A233="","",IFERROR(_xlfn.XLOOKUP(D233,Setup!$E$15:$E$79,Setup!$G$15:$G$79),"Uncategorized"))</f>
        <v/>
      </c>
      <c r="J233" t="str">
        <f t="shared" si="21"/>
        <v/>
      </c>
      <c r="K233" s="4" t="str">
        <f t="shared" si="22"/>
        <v/>
      </c>
      <c r="L233" s="47">
        <f t="shared" si="23"/>
        <v>0</v>
      </c>
      <c r="M233" s="47">
        <f t="shared" si="24"/>
        <v>0</v>
      </c>
      <c r="N233" t="str">
        <f>IF(A233="","",IF(D233="Category Pending","Needs categorization",IF(COUNTIFS($A$2:A233,A233,$B$2:B233,B233,$E$2:E233,E233)&gt;1,"Possible duplicate","")))</f>
        <v/>
      </c>
    </row>
    <row r="234" spans="3:14" x14ac:dyDescent="0.3">
      <c r="C234" s="16"/>
      <c r="G234" s="5" t="str">
        <f t="shared" si="20"/>
        <v/>
      </c>
      <c r="H234" t="str">
        <f>IF(A234="","",IFERROR(_xlfn.XLOOKUP(D234,Setup!$E$15:$E$79,Setup!$F$15:$F$79),"Miscellaneous"))</f>
        <v/>
      </c>
      <c r="I234" t="str">
        <f>IF(A234="","",IFERROR(_xlfn.XLOOKUP(D234,Setup!$E$15:$E$79,Setup!$G$15:$G$79),"Uncategorized"))</f>
        <v/>
      </c>
      <c r="J234" t="str">
        <f t="shared" si="21"/>
        <v/>
      </c>
      <c r="K234" s="4" t="str">
        <f t="shared" si="22"/>
        <v/>
      </c>
      <c r="L234" s="47">
        <f t="shared" si="23"/>
        <v>0</v>
      </c>
      <c r="M234" s="47">
        <f t="shared" si="24"/>
        <v>0</v>
      </c>
      <c r="N234" t="str">
        <f>IF(A234="","",IF(D234="Category Pending","Needs categorization",IF(COUNTIFS($A$2:A234,A234,$B$2:B234,B234,$E$2:E234,E234)&gt;1,"Possible duplicate","")))</f>
        <v/>
      </c>
    </row>
    <row r="235" spans="3:14" x14ac:dyDescent="0.3">
      <c r="C235" s="16"/>
      <c r="G235" s="5" t="str">
        <f t="shared" si="20"/>
        <v/>
      </c>
      <c r="H235" t="str">
        <f>IF(A235="","",IFERROR(_xlfn.XLOOKUP(D235,Setup!$E$15:$E$79,Setup!$F$15:$F$79),"Miscellaneous"))</f>
        <v/>
      </c>
      <c r="I235" t="str">
        <f>IF(A235="","",IFERROR(_xlfn.XLOOKUP(D235,Setup!$E$15:$E$79,Setup!$G$15:$G$79),"Uncategorized"))</f>
        <v/>
      </c>
      <c r="J235" t="str">
        <f t="shared" si="21"/>
        <v/>
      </c>
      <c r="K235" s="4" t="str">
        <f t="shared" si="22"/>
        <v/>
      </c>
      <c r="L235" s="47">
        <f t="shared" si="23"/>
        <v>0</v>
      </c>
      <c r="M235" s="47">
        <f t="shared" si="24"/>
        <v>0</v>
      </c>
      <c r="N235" t="str">
        <f>IF(A235="","",IF(D235="Category Pending","Needs categorization",IF(COUNTIFS($A$2:A235,A235,$B$2:B235,B235,$E$2:E235,E235)&gt;1,"Possible duplicate","")))</f>
        <v/>
      </c>
    </row>
    <row r="236" spans="3:14" x14ac:dyDescent="0.3">
      <c r="C236" s="16"/>
      <c r="G236" s="5" t="str">
        <f t="shared" si="20"/>
        <v/>
      </c>
      <c r="H236" t="str">
        <f>IF(A236="","",IFERROR(_xlfn.XLOOKUP(D236,Setup!$E$15:$E$79,Setup!$F$15:$F$79),"Miscellaneous"))</f>
        <v/>
      </c>
      <c r="I236" t="str">
        <f>IF(A236="","",IFERROR(_xlfn.XLOOKUP(D236,Setup!$E$15:$E$79,Setup!$G$15:$G$79),"Uncategorized"))</f>
        <v/>
      </c>
      <c r="J236" t="str">
        <f t="shared" si="21"/>
        <v/>
      </c>
      <c r="K236" s="4" t="str">
        <f t="shared" si="22"/>
        <v/>
      </c>
      <c r="L236" s="47">
        <f t="shared" si="23"/>
        <v>0</v>
      </c>
      <c r="M236" s="47">
        <f t="shared" si="24"/>
        <v>0</v>
      </c>
      <c r="N236" t="str">
        <f>IF(A236="","",IF(D236="Category Pending","Needs categorization",IF(COUNTIFS($A$2:A236,A236,$B$2:B236,B236,$E$2:E236,E236)&gt;1,"Possible duplicate","")))</f>
        <v/>
      </c>
    </row>
    <row r="237" spans="3:14" x14ac:dyDescent="0.3">
      <c r="C237" s="16"/>
      <c r="G237" s="5" t="str">
        <f t="shared" si="20"/>
        <v/>
      </c>
      <c r="H237" t="str">
        <f>IF(A237="","",IFERROR(_xlfn.XLOOKUP(D237,Setup!$E$15:$E$79,Setup!$F$15:$F$79),"Miscellaneous"))</f>
        <v/>
      </c>
      <c r="I237" t="str">
        <f>IF(A237="","",IFERROR(_xlfn.XLOOKUP(D237,Setup!$E$15:$E$79,Setup!$G$15:$G$79),"Uncategorized"))</f>
        <v/>
      </c>
      <c r="J237" t="str">
        <f t="shared" si="21"/>
        <v/>
      </c>
      <c r="K237" s="4" t="str">
        <f t="shared" si="22"/>
        <v/>
      </c>
      <c r="L237" s="47">
        <f t="shared" si="23"/>
        <v>0</v>
      </c>
      <c r="M237" s="47">
        <f t="shared" si="24"/>
        <v>0</v>
      </c>
      <c r="N237" t="str">
        <f>IF(A237="","",IF(D237="Category Pending","Needs categorization",IF(COUNTIFS($A$2:A237,A237,$B$2:B237,B237,$E$2:E237,E237)&gt;1,"Possible duplicate","")))</f>
        <v/>
      </c>
    </row>
    <row r="238" spans="3:14" x14ac:dyDescent="0.3">
      <c r="C238" s="16"/>
      <c r="G238" s="5" t="str">
        <f t="shared" si="20"/>
        <v/>
      </c>
      <c r="H238" t="str">
        <f>IF(A238="","",IFERROR(_xlfn.XLOOKUP(D238,Setup!$E$15:$E$79,Setup!$F$15:$F$79),"Miscellaneous"))</f>
        <v/>
      </c>
      <c r="I238" t="str">
        <f>IF(A238="","",IFERROR(_xlfn.XLOOKUP(D238,Setup!$E$15:$E$79,Setup!$G$15:$G$79),"Uncategorized"))</f>
        <v/>
      </c>
      <c r="J238" t="str">
        <f t="shared" si="21"/>
        <v/>
      </c>
      <c r="K238" s="4" t="str">
        <f t="shared" si="22"/>
        <v/>
      </c>
      <c r="L238" s="47">
        <f t="shared" si="23"/>
        <v>0</v>
      </c>
      <c r="M238" s="47">
        <f t="shared" si="24"/>
        <v>0</v>
      </c>
      <c r="N238" t="str">
        <f>IF(A238="","",IF(D238="Category Pending","Needs categorization",IF(COUNTIFS($A$2:A238,A238,$B$2:B238,B238,$E$2:E238,E238)&gt;1,"Possible duplicate","")))</f>
        <v/>
      </c>
    </row>
    <row r="239" spans="3:14" x14ac:dyDescent="0.3">
      <c r="C239" s="16"/>
      <c r="G239" s="5" t="str">
        <f t="shared" si="20"/>
        <v/>
      </c>
      <c r="H239" t="str">
        <f>IF(A239="","",IFERROR(_xlfn.XLOOKUP(D239,Setup!$E$15:$E$79,Setup!$F$15:$F$79),"Miscellaneous"))</f>
        <v/>
      </c>
      <c r="I239" t="str">
        <f>IF(A239="","",IFERROR(_xlfn.XLOOKUP(D239,Setup!$E$15:$E$79,Setup!$G$15:$G$79),"Uncategorized"))</f>
        <v/>
      </c>
      <c r="J239" t="str">
        <f t="shared" si="21"/>
        <v/>
      </c>
      <c r="K239" s="4" t="str">
        <f t="shared" si="22"/>
        <v/>
      </c>
      <c r="L239" s="47">
        <f t="shared" si="23"/>
        <v>0</v>
      </c>
      <c r="M239" s="47">
        <f t="shared" si="24"/>
        <v>0</v>
      </c>
      <c r="N239" t="str">
        <f>IF(A239="","",IF(D239="Category Pending","Needs categorization",IF(COUNTIFS($A$2:A239,A239,$B$2:B239,B239,$E$2:E239,E239)&gt;1,"Possible duplicate","")))</f>
        <v/>
      </c>
    </row>
    <row r="240" spans="3:14" x14ac:dyDescent="0.3">
      <c r="C240" s="16"/>
      <c r="G240" s="5" t="str">
        <f t="shared" si="20"/>
        <v/>
      </c>
      <c r="H240" t="str">
        <f>IF(A240="","",IFERROR(_xlfn.XLOOKUP(D240,Setup!$E$15:$E$79,Setup!$F$15:$F$79),"Miscellaneous"))</f>
        <v/>
      </c>
      <c r="I240" t="str">
        <f>IF(A240="","",IFERROR(_xlfn.XLOOKUP(D240,Setup!$E$15:$E$79,Setup!$G$15:$G$79),"Uncategorized"))</f>
        <v/>
      </c>
      <c r="J240" t="str">
        <f t="shared" si="21"/>
        <v/>
      </c>
      <c r="K240" s="4" t="str">
        <f t="shared" si="22"/>
        <v/>
      </c>
      <c r="L240" s="47">
        <f t="shared" si="23"/>
        <v>0</v>
      </c>
      <c r="M240" s="47">
        <f t="shared" si="24"/>
        <v>0</v>
      </c>
      <c r="N240" t="str">
        <f>IF(A240="","",IF(D240="Category Pending","Needs categorization",IF(COUNTIFS($A$2:A240,A240,$B$2:B240,B240,$E$2:E240,E240)&gt;1,"Possible duplicate","")))</f>
        <v/>
      </c>
    </row>
    <row r="241" spans="3:14" x14ac:dyDescent="0.3">
      <c r="C241" s="16"/>
      <c r="G241" s="5" t="str">
        <f t="shared" si="20"/>
        <v/>
      </c>
      <c r="H241" t="str">
        <f>IF(A241="","",IFERROR(_xlfn.XLOOKUP(D241,Setup!$E$15:$E$79,Setup!$F$15:$F$79),"Miscellaneous"))</f>
        <v/>
      </c>
      <c r="I241" t="str">
        <f>IF(A241="","",IFERROR(_xlfn.XLOOKUP(D241,Setup!$E$15:$E$79,Setup!$G$15:$G$79),"Uncategorized"))</f>
        <v/>
      </c>
      <c r="J241" t="str">
        <f t="shared" si="21"/>
        <v/>
      </c>
      <c r="K241" s="4" t="str">
        <f t="shared" si="22"/>
        <v/>
      </c>
      <c r="L241" s="47">
        <f t="shared" si="23"/>
        <v>0</v>
      </c>
      <c r="M241" s="47">
        <f t="shared" si="24"/>
        <v>0</v>
      </c>
      <c r="N241" t="str">
        <f>IF(A241="","",IF(D241="Category Pending","Needs categorization",IF(COUNTIFS($A$2:A241,A241,$B$2:B241,B241,$E$2:E241,E241)&gt;1,"Possible duplicate","")))</f>
        <v/>
      </c>
    </row>
    <row r="242" spans="3:14" x14ac:dyDescent="0.3">
      <c r="C242" s="16"/>
      <c r="G242" s="5" t="str">
        <f t="shared" si="20"/>
        <v/>
      </c>
      <c r="H242" t="str">
        <f>IF(A242="","",IFERROR(_xlfn.XLOOKUP(D242,Setup!$E$15:$E$79,Setup!$F$15:$F$79),"Miscellaneous"))</f>
        <v/>
      </c>
      <c r="I242" t="str">
        <f>IF(A242="","",IFERROR(_xlfn.XLOOKUP(D242,Setup!$E$15:$E$79,Setup!$G$15:$G$79),"Uncategorized"))</f>
        <v/>
      </c>
      <c r="J242" t="str">
        <f t="shared" si="21"/>
        <v/>
      </c>
      <c r="K242" s="4" t="str">
        <f t="shared" si="22"/>
        <v/>
      </c>
      <c r="L242" s="47">
        <f t="shared" si="23"/>
        <v>0</v>
      </c>
      <c r="M242" s="47">
        <f t="shared" si="24"/>
        <v>0</v>
      </c>
      <c r="N242" t="str">
        <f>IF(A242="","",IF(D242="Category Pending","Needs categorization",IF(COUNTIFS($A$2:A242,A242,$B$2:B242,B242,$E$2:E242,E242)&gt;1,"Possible duplicate","")))</f>
        <v/>
      </c>
    </row>
    <row r="243" spans="3:14" x14ac:dyDescent="0.3">
      <c r="C243" s="16"/>
      <c r="G243" s="5" t="str">
        <f t="shared" si="20"/>
        <v/>
      </c>
      <c r="H243" t="str">
        <f>IF(A243="","",IFERROR(_xlfn.XLOOKUP(D243,Setup!$E$15:$E$79,Setup!$F$15:$F$79),"Miscellaneous"))</f>
        <v/>
      </c>
      <c r="I243" t="str">
        <f>IF(A243="","",IFERROR(_xlfn.XLOOKUP(D243,Setup!$E$15:$E$79,Setup!$G$15:$G$79),"Uncategorized"))</f>
        <v/>
      </c>
      <c r="J243" t="str">
        <f t="shared" si="21"/>
        <v/>
      </c>
      <c r="K243" s="4" t="str">
        <f t="shared" si="22"/>
        <v/>
      </c>
      <c r="L243" s="47">
        <f t="shared" si="23"/>
        <v>0</v>
      </c>
      <c r="M243" s="47">
        <f t="shared" si="24"/>
        <v>0</v>
      </c>
      <c r="N243" t="str">
        <f>IF(A243="","",IF(D243="Category Pending","Needs categorization",IF(COUNTIFS($A$2:A243,A243,$B$2:B243,B243,$E$2:E243,E243)&gt;1,"Possible duplicate","")))</f>
        <v/>
      </c>
    </row>
    <row r="244" spans="3:14" x14ac:dyDescent="0.3">
      <c r="C244" s="16"/>
      <c r="G244" s="5" t="str">
        <f t="shared" si="20"/>
        <v/>
      </c>
      <c r="H244" t="str">
        <f>IF(A244="","",IFERROR(_xlfn.XLOOKUP(D244,Setup!$E$15:$E$79,Setup!$F$15:$F$79),"Miscellaneous"))</f>
        <v/>
      </c>
      <c r="I244" t="str">
        <f>IF(A244="","",IFERROR(_xlfn.XLOOKUP(D244,Setup!$E$15:$E$79,Setup!$G$15:$G$79),"Uncategorized"))</f>
        <v/>
      </c>
      <c r="J244" t="str">
        <f t="shared" si="21"/>
        <v/>
      </c>
      <c r="K244" s="4" t="str">
        <f t="shared" si="22"/>
        <v/>
      </c>
      <c r="L244" s="47">
        <f t="shared" si="23"/>
        <v>0</v>
      </c>
      <c r="M244" s="47">
        <f t="shared" si="24"/>
        <v>0</v>
      </c>
      <c r="N244" t="str">
        <f>IF(A244="","",IF(D244="Category Pending","Needs categorization",IF(COUNTIFS($A$2:A244,A244,$B$2:B244,B244,$E$2:E244,E244)&gt;1,"Possible duplicate","")))</f>
        <v/>
      </c>
    </row>
    <row r="245" spans="3:14" x14ac:dyDescent="0.3">
      <c r="C245" s="16"/>
      <c r="G245" s="5" t="str">
        <f t="shared" si="20"/>
        <v/>
      </c>
      <c r="H245" t="str">
        <f>IF(A245="","",IFERROR(_xlfn.XLOOKUP(D245,Setup!$E$15:$E$79,Setup!$F$15:$F$79),"Miscellaneous"))</f>
        <v/>
      </c>
      <c r="I245" t="str">
        <f>IF(A245="","",IFERROR(_xlfn.XLOOKUP(D245,Setup!$E$15:$E$79,Setup!$G$15:$G$79),"Uncategorized"))</f>
        <v/>
      </c>
      <c r="J245" t="str">
        <f t="shared" si="21"/>
        <v/>
      </c>
      <c r="K245" s="4" t="str">
        <f t="shared" si="22"/>
        <v/>
      </c>
      <c r="L245" s="47">
        <f t="shared" si="23"/>
        <v>0</v>
      </c>
      <c r="M245" s="47">
        <f t="shared" si="24"/>
        <v>0</v>
      </c>
      <c r="N245" t="str">
        <f>IF(A245="","",IF(D245="Category Pending","Needs categorization",IF(COUNTIFS($A$2:A245,A245,$B$2:B245,B245,$E$2:E245,E245)&gt;1,"Possible duplicate","")))</f>
        <v/>
      </c>
    </row>
    <row r="246" spans="3:14" x14ac:dyDescent="0.3">
      <c r="C246" s="16"/>
      <c r="G246" s="5" t="str">
        <f t="shared" si="20"/>
        <v/>
      </c>
      <c r="H246" t="str">
        <f>IF(A246="","",IFERROR(_xlfn.XLOOKUP(D246,Setup!$E$15:$E$79,Setup!$F$15:$F$79),"Miscellaneous"))</f>
        <v/>
      </c>
      <c r="I246" t="str">
        <f>IF(A246="","",IFERROR(_xlfn.XLOOKUP(D246,Setup!$E$15:$E$79,Setup!$G$15:$G$79),"Uncategorized"))</f>
        <v/>
      </c>
      <c r="J246" t="str">
        <f t="shared" si="21"/>
        <v/>
      </c>
      <c r="K246" s="4" t="str">
        <f t="shared" si="22"/>
        <v/>
      </c>
      <c r="L246" s="47">
        <f t="shared" si="23"/>
        <v>0</v>
      </c>
      <c r="M246" s="47">
        <f t="shared" si="24"/>
        <v>0</v>
      </c>
      <c r="N246" t="str">
        <f>IF(A246="","",IF(D246="Category Pending","Needs categorization",IF(COUNTIFS($A$2:A246,A246,$B$2:B246,B246,$E$2:E246,E246)&gt;1,"Possible duplicate","")))</f>
        <v/>
      </c>
    </row>
    <row r="247" spans="3:14" x14ac:dyDescent="0.3">
      <c r="C247" s="16"/>
      <c r="G247" s="5" t="str">
        <f t="shared" si="20"/>
        <v/>
      </c>
      <c r="H247" t="str">
        <f>IF(A247="","",IFERROR(_xlfn.XLOOKUP(D247,Setup!$E$15:$E$79,Setup!$F$15:$F$79),"Miscellaneous"))</f>
        <v/>
      </c>
      <c r="I247" t="str">
        <f>IF(A247="","",IFERROR(_xlfn.XLOOKUP(D247,Setup!$E$15:$E$79,Setup!$G$15:$G$79),"Uncategorized"))</f>
        <v/>
      </c>
      <c r="J247" t="str">
        <f t="shared" si="21"/>
        <v/>
      </c>
      <c r="K247" s="4" t="str">
        <f t="shared" si="22"/>
        <v/>
      </c>
      <c r="L247" s="47">
        <f t="shared" si="23"/>
        <v>0</v>
      </c>
      <c r="M247" s="47">
        <f t="shared" si="24"/>
        <v>0</v>
      </c>
      <c r="N247" t="str">
        <f>IF(A247="","",IF(D247="Category Pending","Needs categorization",IF(COUNTIFS($A$2:A247,A247,$B$2:B247,B247,$E$2:E247,E247)&gt;1,"Possible duplicate","")))</f>
        <v/>
      </c>
    </row>
    <row r="248" spans="3:14" x14ac:dyDescent="0.3">
      <c r="C248" s="16"/>
      <c r="G248" s="5" t="str">
        <f t="shared" si="20"/>
        <v/>
      </c>
      <c r="H248" t="str">
        <f>IF(A248="","",IFERROR(_xlfn.XLOOKUP(D248,Setup!$E$15:$E$79,Setup!$F$15:$F$79),"Miscellaneous"))</f>
        <v/>
      </c>
      <c r="I248" t="str">
        <f>IF(A248="","",IFERROR(_xlfn.XLOOKUP(D248,Setup!$E$15:$E$79,Setup!$G$15:$G$79),"Uncategorized"))</f>
        <v/>
      </c>
      <c r="J248" t="str">
        <f t="shared" si="21"/>
        <v/>
      </c>
      <c r="K248" s="4" t="str">
        <f t="shared" si="22"/>
        <v/>
      </c>
      <c r="L248" s="47">
        <f t="shared" si="23"/>
        <v>0</v>
      </c>
      <c r="M248" s="47">
        <f t="shared" si="24"/>
        <v>0</v>
      </c>
      <c r="N248" t="str">
        <f>IF(A248="","",IF(D248="Category Pending","Needs categorization",IF(COUNTIFS($A$2:A248,A248,$B$2:B248,B248,$E$2:E248,E248)&gt;1,"Possible duplicate","")))</f>
        <v/>
      </c>
    </row>
    <row r="249" spans="3:14" x14ac:dyDescent="0.3">
      <c r="C249" s="16"/>
      <c r="G249" s="5" t="str">
        <f t="shared" si="20"/>
        <v/>
      </c>
      <c r="H249" t="str">
        <f>IF(A249="","",IFERROR(_xlfn.XLOOKUP(D249,Setup!$E$15:$E$79,Setup!$F$15:$F$79),"Miscellaneous"))</f>
        <v/>
      </c>
      <c r="I249" t="str">
        <f>IF(A249="","",IFERROR(_xlfn.XLOOKUP(D249,Setup!$E$15:$E$79,Setup!$G$15:$G$79),"Uncategorized"))</f>
        <v/>
      </c>
      <c r="J249" t="str">
        <f t="shared" si="21"/>
        <v/>
      </c>
      <c r="K249" s="4" t="str">
        <f t="shared" si="22"/>
        <v/>
      </c>
      <c r="L249" s="47">
        <f t="shared" si="23"/>
        <v>0</v>
      </c>
      <c r="M249" s="47">
        <f t="shared" si="24"/>
        <v>0</v>
      </c>
      <c r="N249" t="str">
        <f>IF(A249="","",IF(D249="Category Pending","Needs categorization",IF(COUNTIFS($A$2:A249,A249,$B$2:B249,B249,$E$2:E249,E249)&gt;1,"Possible duplicate","")))</f>
        <v/>
      </c>
    </row>
    <row r="250" spans="3:14" x14ac:dyDescent="0.3">
      <c r="C250" s="16"/>
      <c r="G250" s="5" t="str">
        <f t="shared" si="20"/>
        <v/>
      </c>
      <c r="H250" t="str">
        <f>IF(A250="","",IFERROR(_xlfn.XLOOKUP(D250,Setup!$E$15:$E$79,Setup!$F$15:$F$79),"Miscellaneous"))</f>
        <v/>
      </c>
      <c r="I250" t="str">
        <f>IF(A250="","",IFERROR(_xlfn.XLOOKUP(D250,Setup!$E$15:$E$79,Setup!$G$15:$G$79),"Uncategorized"))</f>
        <v/>
      </c>
      <c r="J250" t="str">
        <f t="shared" si="21"/>
        <v/>
      </c>
      <c r="K250" s="4" t="str">
        <f t="shared" si="22"/>
        <v/>
      </c>
      <c r="L250" s="47">
        <f t="shared" si="23"/>
        <v>0</v>
      </c>
      <c r="M250" s="47">
        <f t="shared" si="24"/>
        <v>0</v>
      </c>
      <c r="N250" t="str">
        <f>IF(A250="","",IF(D250="Category Pending","Needs categorization",IF(COUNTIFS($A$2:A250,A250,$B$2:B250,B250,$E$2:E250,E250)&gt;1,"Possible duplicate","")))</f>
        <v/>
      </c>
    </row>
    <row r="251" spans="3:14" x14ac:dyDescent="0.3">
      <c r="C251" s="16"/>
      <c r="G251" s="5" t="str">
        <f t="shared" si="20"/>
        <v/>
      </c>
      <c r="H251" t="str">
        <f>IF(A251="","",IFERROR(_xlfn.XLOOKUP(D251,Setup!$E$15:$E$79,Setup!$F$15:$F$79),"Miscellaneous"))</f>
        <v/>
      </c>
      <c r="I251" t="str">
        <f>IF(A251="","",IFERROR(_xlfn.XLOOKUP(D251,Setup!$E$15:$E$79,Setup!$G$15:$G$79),"Uncategorized"))</f>
        <v/>
      </c>
      <c r="J251" t="str">
        <f t="shared" si="21"/>
        <v/>
      </c>
      <c r="K251" s="4" t="str">
        <f t="shared" si="22"/>
        <v/>
      </c>
      <c r="L251" s="47">
        <f t="shared" si="23"/>
        <v>0</v>
      </c>
      <c r="M251" s="47">
        <f t="shared" si="24"/>
        <v>0</v>
      </c>
      <c r="N251" t="str">
        <f>IF(A251="","",IF(D251="Category Pending","Needs categorization",IF(COUNTIFS($A$2:A251,A251,$B$2:B251,B251,$E$2:E251,E251)&gt;1,"Possible duplicate","")))</f>
        <v/>
      </c>
    </row>
    <row r="252" spans="3:14" x14ac:dyDescent="0.3">
      <c r="C252" s="16"/>
      <c r="G252" s="5" t="str">
        <f t="shared" si="20"/>
        <v/>
      </c>
      <c r="H252" t="str">
        <f>IF(A252="","",IFERROR(_xlfn.XLOOKUP(D252,Setup!$E$15:$E$79,Setup!$F$15:$F$79),"Miscellaneous"))</f>
        <v/>
      </c>
      <c r="I252" t="str">
        <f>IF(A252="","",IFERROR(_xlfn.XLOOKUP(D252,Setup!$E$15:$E$79,Setup!$G$15:$G$79),"Uncategorized"))</f>
        <v/>
      </c>
      <c r="J252" t="str">
        <f t="shared" si="21"/>
        <v/>
      </c>
      <c r="K252" s="4" t="str">
        <f t="shared" si="22"/>
        <v/>
      </c>
      <c r="L252" s="47">
        <f t="shared" si="23"/>
        <v>0</v>
      </c>
      <c r="M252" s="47">
        <f t="shared" si="24"/>
        <v>0</v>
      </c>
      <c r="N252" t="str">
        <f>IF(A252="","",IF(D252="Category Pending","Needs categorization",IF(COUNTIFS($A$2:A252,A252,$B$2:B252,B252,$E$2:E252,E252)&gt;1,"Possible duplicate","")))</f>
        <v/>
      </c>
    </row>
    <row r="253" spans="3:14" x14ac:dyDescent="0.3">
      <c r="C253" s="16"/>
      <c r="G253" s="5" t="str">
        <f t="shared" si="20"/>
        <v/>
      </c>
      <c r="H253" t="str">
        <f>IF(A253="","",IFERROR(_xlfn.XLOOKUP(D253,Setup!$E$15:$E$79,Setup!$F$15:$F$79),"Miscellaneous"))</f>
        <v/>
      </c>
      <c r="I253" t="str">
        <f>IF(A253="","",IFERROR(_xlfn.XLOOKUP(D253,Setup!$E$15:$E$79,Setup!$G$15:$G$79),"Uncategorized"))</f>
        <v/>
      </c>
      <c r="J253" t="str">
        <f t="shared" si="21"/>
        <v/>
      </c>
      <c r="K253" s="4" t="str">
        <f t="shared" si="22"/>
        <v/>
      </c>
      <c r="L253" s="47">
        <f t="shared" si="23"/>
        <v>0</v>
      </c>
      <c r="M253" s="47">
        <f t="shared" si="24"/>
        <v>0</v>
      </c>
      <c r="N253" t="str">
        <f>IF(A253="","",IF(D253="Category Pending","Needs categorization",IF(COUNTIFS($A$2:A253,A253,$B$2:B253,B253,$E$2:E253,E253)&gt;1,"Possible duplicate","")))</f>
        <v/>
      </c>
    </row>
    <row r="254" spans="3:14" x14ac:dyDescent="0.3">
      <c r="C254" s="16"/>
      <c r="G254" s="5" t="str">
        <f t="shared" si="20"/>
        <v/>
      </c>
      <c r="H254" t="str">
        <f>IF(A254="","",IFERROR(_xlfn.XLOOKUP(D254,Setup!$E$15:$E$79,Setup!$F$15:$F$79),"Miscellaneous"))</f>
        <v/>
      </c>
      <c r="I254" t="str">
        <f>IF(A254="","",IFERROR(_xlfn.XLOOKUP(D254,Setup!$E$15:$E$79,Setup!$G$15:$G$79),"Uncategorized"))</f>
        <v/>
      </c>
      <c r="J254" t="str">
        <f t="shared" si="21"/>
        <v/>
      </c>
      <c r="K254" s="4" t="str">
        <f t="shared" si="22"/>
        <v/>
      </c>
      <c r="L254" s="47">
        <f t="shared" si="23"/>
        <v>0</v>
      </c>
      <c r="M254" s="47">
        <f t="shared" si="24"/>
        <v>0</v>
      </c>
      <c r="N254" t="str">
        <f>IF(A254="","",IF(D254="Category Pending","Needs categorization",IF(COUNTIFS($A$2:A254,A254,$B$2:B254,B254,$E$2:E254,E254)&gt;1,"Possible duplicate","")))</f>
        <v/>
      </c>
    </row>
    <row r="255" spans="3:14" x14ac:dyDescent="0.3">
      <c r="C255" s="16"/>
      <c r="G255" s="5" t="str">
        <f t="shared" si="20"/>
        <v/>
      </c>
      <c r="H255" t="str">
        <f>IF(A255="","",IFERROR(_xlfn.XLOOKUP(D255,Setup!$E$15:$E$79,Setup!$F$15:$F$79),"Miscellaneous"))</f>
        <v/>
      </c>
      <c r="I255" t="str">
        <f>IF(A255="","",IFERROR(_xlfn.XLOOKUP(D255,Setup!$E$15:$E$79,Setup!$G$15:$G$79),"Uncategorized"))</f>
        <v/>
      </c>
      <c r="J255" t="str">
        <f t="shared" si="21"/>
        <v/>
      </c>
      <c r="K255" s="4" t="str">
        <f t="shared" si="22"/>
        <v/>
      </c>
      <c r="L255" s="47">
        <f t="shared" si="23"/>
        <v>0</v>
      </c>
      <c r="M255" s="47">
        <f t="shared" si="24"/>
        <v>0</v>
      </c>
      <c r="N255" t="str">
        <f>IF(A255="","",IF(D255="Category Pending","Needs categorization",IF(COUNTIFS($A$2:A255,A255,$B$2:B255,B255,$E$2:E255,E255)&gt;1,"Possible duplicate","")))</f>
        <v/>
      </c>
    </row>
    <row r="256" spans="3:14" x14ac:dyDescent="0.3">
      <c r="C256" s="16"/>
      <c r="G256" s="5" t="str">
        <f t="shared" si="20"/>
        <v/>
      </c>
      <c r="H256" t="str">
        <f>IF(A256="","",IFERROR(_xlfn.XLOOKUP(D256,Setup!$E$15:$E$79,Setup!$F$15:$F$79),"Miscellaneous"))</f>
        <v/>
      </c>
      <c r="I256" t="str">
        <f>IF(A256="","",IFERROR(_xlfn.XLOOKUP(D256,Setup!$E$15:$E$79,Setup!$G$15:$G$79),"Uncategorized"))</f>
        <v/>
      </c>
      <c r="J256" t="str">
        <f t="shared" si="21"/>
        <v/>
      </c>
      <c r="K256" s="4" t="str">
        <f t="shared" si="22"/>
        <v/>
      </c>
      <c r="L256" s="47">
        <f t="shared" si="23"/>
        <v>0</v>
      </c>
      <c r="M256" s="47">
        <f t="shared" si="24"/>
        <v>0</v>
      </c>
      <c r="N256" t="str">
        <f>IF(A256="","",IF(D256="Category Pending","Needs categorization",IF(COUNTIFS($A$2:A256,A256,$B$2:B256,B256,$E$2:E256,E256)&gt;1,"Possible duplicate","")))</f>
        <v/>
      </c>
    </row>
    <row r="257" spans="3:14" x14ac:dyDescent="0.3">
      <c r="C257" s="16"/>
      <c r="G257" s="5" t="str">
        <f t="shared" si="20"/>
        <v/>
      </c>
      <c r="H257" t="str">
        <f>IF(A257="","",IFERROR(_xlfn.XLOOKUP(D257,Setup!$E$15:$E$79,Setup!$F$15:$F$79),"Miscellaneous"))</f>
        <v/>
      </c>
      <c r="I257" t="str">
        <f>IF(A257="","",IFERROR(_xlfn.XLOOKUP(D257,Setup!$E$15:$E$79,Setup!$G$15:$G$79),"Uncategorized"))</f>
        <v/>
      </c>
      <c r="J257" t="str">
        <f t="shared" si="21"/>
        <v/>
      </c>
      <c r="K257" s="4" t="str">
        <f t="shared" si="22"/>
        <v/>
      </c>
      <c r="L257" s="47">
        <f t="shared" si="23"/>
        <v>0</v>
      </c>
      <c r="M257" s="47">
        <f t="shared" si="24"/>
        <v>0</v>
      </c>
      <c r="N257" t="str">
        <f>IF(A257="","",IF(D257="Category Pending","Needs categorization",IF(COUNTIFS($A$2:A257,A257,$B$2:B257,B257,$E$2:E257,E257)&gt;1,"Possible duplicate","")))</f>
        <v/>
      </c>
    </row>
    <row r="258" spans="3:14" x14ac:dyDescent="0.3">
      <c r="C258" s="16"/>
      <c r="G258" s="5" t="str">
        <f t="shared" si="20"/>
        <v/>
      </c>
      <c r="H258" t="str">
        <f>IF(A258="","",IFERROR(_xlfn.XLOOKUP(D258,Setup!$E$15:$E$79,Setup!$F$15:$F$79),"Miscellaneous"))</f>
        <v/>
      </c>
      <c r="I258" t="str">
        <f>IF(A258="","",IFERROR(_xlfn.XLOOKUP(D258,Setup!$E$15:$E$79,Setup!$G$15:$G$79),"Uncategorized"))</f>
        <v/>
      </c>
      <c r="J258" t="str">
        <f t="shared" si="21"/>
        <v/>
      </c>
      <c r="K258" s="4" t="str">
        <f t="shared" si="22"/>
        <v/>
      </c>
      <c r="L258" s="47">
        <f t="shared" si="23"/>
        <v>0</v>
      </c>
      <c r="M258" s="47">
        <f t="shared" si="24"/>
        <v>0</v>
      </c>
      <c r="N258" t="str">
        <f>IF(A258="","",IF(D258="Category Pending","Needs categorization",IF(COUNTIFS($A$2:A258,A258,$B$2:B258,B258,$E$2:E258,E258)&gt;1,"Possible duplicate","")))</f>
        <v/>
      </c>
    </row>
    <row r="259" spans="3:14" x14ac:dyDescent="0.3">
      <c r="C259" s="16"/>
      <c r="G259" s="5" t="str">
        <f t="shared" si="20"/>
        <v/>
      </c>
      <c r="H259" t="str">
        <f>IF(A259="","",IFERROR(_xlfn.XLOOKUP(D259,Setup!$E$15:$E$79,Setup!$F$15:$F$79),"Miscellaneous"))</f>
        <v/>
      </c>
      <c r="I259" t="str">
        <f>IF(A259="","",IFERROR(_xlfn.XLOOKUP(D259,Setup!$E$15:$E$79,Setup!$G$15:$G$79),"Uncategorized"))</f>
        <v/>
      </c>
      <c r="J259" t="str">
        <f t="shared" si="21"/>
        <v/>
      </c>
      <c r="K259" s="4" t="str">
        <f t="shared" si="22"/>
        <v/>
      </c>
      <c r="L259" s="47">
        <f t="shared" si="23"/>
        <v>0</v>
      </c>
      <c r="M259" s="47">
        <f t="shared" si="24"/>
        <v>0</v>
      </c>
      <c r="N259" t="str">
        <f>IF(A259="","",IF(D259="Category Pending","Needs categorization",IF(COUNTIFS($A$2:A259,A259,$B$2:B259,B259,$E$2:E259,E259)&gt;1,"Possible duplicate","")))</f>
        <v/>
      </c>
    </row>
    <row r="260" spans="3:14" x14ac:dyDescent="0.3">
      <c r="C260" s="16"/>
      <c r="G260" s="5" t="str">
        <f t="shared" si="20"/>
        <v/>
      </c>
      <c r="H260" t="str">
        <f>IF(A260="","",IFERROR(_xlfn.XLOOKUP(D260,Setup!$E$15:$E$79,Setup!$F$15:$F$79),"Miscellaneous"))</f>
        <v/>
      </c>
      <c r="I260" t="str">
        <f>IF(A260="","",IFERROR(_xlfn.XLOOKUP(D260,Setup!$E$15:$E$79,Setup!$G$15:$G$79),"Uncategorized"))</f>
        <v/>
      </c>
      <c r="J260" t="str">
        <f t="shared" si="21"/>
        <v/>
      </c>
      <c r="K260" s="4" t="str">
        <f t="shared" si="22"/>
        <v/>
      </c>
      <c r="L260" s="47">
        <f t="shared" si="23"/>
        <v>0</v>
      </c>
      <c r="M260" s="47">
        <f t="shared" si="24"/>
        <v>0</v>
      </c>
      <c r="N260" t="str">
        <f>IF(A260="","",IF(D260="Category Pending","Needs categorization",IF(COUNTIFS($A$2:A260,A260,$B$2:B260,B260,$E$2:E260,E260)&gt;1,"Possible duplicate","")))</f>
        <v/>
      </c>
    </row>
    <row r="261" spans="3:14" x14ac:dyDescent="0.3">
      <c r="C261" s="16"/>
      <c r="G261" s="5" t="str">
        <f t="shared" si="20"/>
        <v/>
      </c>
      <c r="H261" t="str">
        <f>IF(A261="","",IFERROR(_xlfn.XLOOKUP(D261,Setup!$E$15:$E$79,Setup!$F$15:$F$79),"Miscellaneous"))</f>
        <v/>
      </c>
      <c r="I261" t="str">
        <f>IF(A261="","",IFERROR(_xlfn.XLOOKUP(D261,Setup!$E$15:$E$79,Setup!$G$15:$G$79),"Uncategorized"))</f>
        <v/>
      </c>
      <c r="J261" t="str">
        <f t="shared" si="21"/>
        <v/>
      </c>
      <c r="K261" s="4" t="str">
        <f t="shared" si="22"/>
        <v/>
      </c>
      <c r="L261" s="47">
        <f t="shared" si="23"/>
        <v>0</v>
      </c>
      <c r="M261" s="47">
        <f t="shared" si="24"/>
        <v>0</v>
      </c>
      <c r="N261" t="str">
        <f>IF(A261="","",IF(D261="Category Pending","Needs categorization",IF(COUNTIFS($A$2:A261,A261,$B$2:B261,B261,$E$2:E261,E261)&gt;1,"Possible duplicate","")))</f>
        <v/>
      </c>
    </row>
    <row r="262" spans="3:14" x14ac:dyDescent="0.3">
      <c r="C262" s="16"/>
      <c r="G262" s="5" t="str">
        <f t="shared" si="20"/>
        <v/>
      </c>
      <c r="H262" t="str">
        <f>IF(A262="","",IFERROR(_xlfn.XLOOKUP(D262,Setup!$E$15:$E$79,Setup!$F$15:$F$79),"Miscellaneous"))</f>
        <v/>
      </c>
      <c r="I262" t="str">
        <f>IF(A262="","",IFERROR(_xlfn.XLOOKUP(D262,Setup!$E$15:$E$79,Setup!$G$15:$G$79),"Uncategorized"))</f>
        <v/>
      </c>
      <c r="J262" t="str">
        <f t="shared" si="21"/>
        <v/>
      </c>
      <c r="K262" s="4" t="str">
        <f t="shared" si="22"/>
        <v/>
      </c>
      <c r="L262" s="47">
        <f t="shared" si="23"/>
        <v>0</v>
      </c>
      <c r="M262" s="47">
        <f t="shared" si="24"/>
        <v>0</v>
      </c>
      <c r="N262" t="str">
        <f>IF(A262="","",IF(D262="Category Pending","Needs categorization",IF(COUNTIFS($A$2:A262,A262,$B$2:B262,B262,$E$2:E262,E262)&gt;1,"Possible duplicate","")))</f>
        <v/>
      </c>
    </row>
    <row r="263" spans="3:14" x14ac:dyDescent="0.3">
      <c r="C263" s="16"/>
      <c r="G263" s="5" t="str">
        <f t="shared" si="20"/>
        <v/>
      </c>
      <c r="H263" t="str">
        <f>IF(A263="","",IFERROR(_xlfn.XLOOKUP(D263,Setup!$E$15:$E$79,Setup!$F$15:$F$79),"Miscellaneous"))</f>
        <v/>
      </c>
      <c r="I263" t="str">
        <f>IF(A263="","",IFERROR(_xlfn.XLOOKUP(D263,Setup!$E$15:$E$79,Setup!$G$15:$G$79),"Uncategorized"))</f>
        <v/>
      </c>
      <c r="J263" t="str">
        <f t="shared" si="21"/>
        <v/>
      </c>
      <c r="K263" s="4" t="str">
        <f t="shared" si="22"/>
        <v/>
      </c>
      <c r="L263" s="47">
        <f t="shared" si="23"/>
        <v>0</v>
      </c>
      <c r="M263" s="47">
        <f t="shared" si="24"/>
        <v>0</v>
      </c>
      <c r="N263" t="str">
        <f>IF(A263="","",IF(D263="Category Pending","Needs categorization",IF(COUNTIFS($A$2:A263,A263,$B$2:B263,B263,$E$2:E263,E263)&gt;1,"Possible duplicate","")))</f>
        <v/>
      </c>
    </row>
    <row r="264" spans="3:14" x14ac:dyDescent="0.3">
      <c r="C264" s="16"/>
      <c r="G264" s="5" t="str">
        <f t="shared" si="20"/>
        <v/>
      </c>
      <c r="H264" t="str">
        <f>IF(A264="","",IFERROR(_xlfn.XLOOKUP(D264,Setup!$E$15:$E$79,Setup!$F$15:$F$79),"Miscellaneous"))</f>
        <v/>
      </c>
      <c r="I264" t="str">
        <f>IF(A264="","",IFERROR(_xlfn.XLOOKUP(D264,Setup!$E$15:$E$79,Setup!$G$15:$G$79),"Uncategorized"))</f>
        <v/>
      </c>
      <c r="J264" t="str">
        <f t="shared" si="21"/>
        <v/>
      </c>
      <c r="K264" s="4" t="str">
        <f t="shared" si="22"/>
        <v/>
      </c>
      <c r="L264" s="47">
        <f t="shared" si="23"/>
        <v>0</v>
      </c>
      <c r="M264" s="47">
        <f t="shared" si="24"/>
        <v>0</v>
      </c>
      <c r="N264" t="str">
        <f>IF(A264="","",IF(D264="Category Pending","Needs categorization",IF(COUNTIFS($A$2:A264,A264,$B$2:B264,B264,$E$2:E264,E264)&gt;1,"Possible duplicate","")))</f>
        <v/>
      </c>
    </row>
    <row r="265" spans="3:14" x14ac:dyDescent="0.3">
      <c r="C265" s="16"/>
      <c r="G265" s="5" t="str">
        <f t="shared" si="20"/>
        <v/>
      </c>
      <c r="H265" t="str">
        <f>IF(A265="","",IFERROR(_xlfn.XLOOKUP(D265,Setup!$E$15:$E$79,Setup!$F$15:$F$79),"Miscellaneous"))</f>
        <v/>
      </c>
      <c r="I265" t="str">
        <f>IF(A265="","",IFERROR(_xlfn.XLOOKUP(D265,Setup!$E$15:$E$79,Setup!$G$15:$G$79),"Uncategorized"))</f>
        <v/>
      </c>
      <c r="J265" t="str">
        <f t="shared" si="21"/>
        <v/>
      </c>
      <c r="K265" s="4" t="str">
        <f t="shared" si="22"/>
        <v/>
      </c>
      <c r="L265" s="47">
        <f t="shared" si="23"/>
        <v>0</v>
      </c>
      <c r="M265" s="47">
        <f t="shared" si="24"/>
        <v>0</v>
      </c>
      <c r="N265" t="str">
        <f>IF(A265="","",IF(D265="Category Pending","Needs categorization",IF(COUNTIFS($A$2:A265,A265,$B$2:B265,B265,$E$2:E265,E265)&gt;1,"Possible duplicate","")))</f>
        <v/>
      </c>
    </row>
    <row r="266" spans="3:14" x14ac:dyDescent="0.3">
      <c r="C266" s="16"/>
      <c r="G266" s="5" t="str">
        <f t="shared" si="20"/>
        <v/>
      </c>
      <c r="H266" t="str">
        <f>IF(A266="","",IFERROR(_xlfn.XLOOKUP(D266,Setup!$E$15:$E$79,Setup!$F$15:$F$79),"Miscellaneous"))</f>
        <v/>
      </c>
      <c r="I266" t="str">
        <f>IF(A266="","",IFERROR(_xlfn.XLOOKUP(D266,Setup!$E$15:$E$79,Setup!$G$15:$G$79),"Uncategorized"))</f>
        <v/>
      </c>
      <c r="J266" t="str">
        <f t="shared" si="21"/>
        <v/>
      </c>
      <c r="K266" s="4" t="str">
        <f t="shared" si="22"/>
        <v/>
      </c>
      <c r="L266" s="47">
        <f t="shared" si="23"/>
        <v>0</v>
      </c>
      <c r="M266" s="47">
        <f t="shared" si="24"/>
        <v>0</v>
      </c>
      <c r="N266" t="str">
        <f>IF(A266="","",IF(D266="Category Pending","Needs categorization",IF(COUNTIFS($A$2:A266,A266,$B$2:B266,B266,$E$2:E266,E266)&gt;1,"Possible duplicate","")))</f>
        <v/>
      </c>
    </row>
    <row r="267" spans="3:14" x14ac:dyDescent="0.3">
      <c r="C267" s="16"/>
      <c r="G267" s="5" t="str">
        <f t="shared" si="20"/>
        <v/>
      </c>
      <c r="H267" t="str">
        <f>IF(A267="","",IFERROR(_xlfn.XLOOKUP(D267,Setup!$E$15:$E$79,Setup!$F$15:$F$79),"Miscellaneous"))</f>
        <v/>
      </c>
      <c r="I267" t="str">
        <f>IF(A267="","",IFERROR(_xlfn.XLOOKUP(D267,Setup!$E$15:$E$79,Setup!$G$15:$G$79),"Uncategorized"))</f>
        <v/>
      </c>
      <c r="J267" t="str">
        <f t="shared" si="21"/>
        <v/>
      </c>
      <c r="K267" s="4" t="str">
        <f t="shared" si="22"/>
        <v/>
      </c>
      <c r="L267" s="47">
        <f t="shared" si="23"/>
        <v>0</v>
      </c>
      <c r="M267" s="47">
        <f t="shared" si="24"/>
        <v>0</v>
      </c>
      <c r="N267" t="str">
        <f>IF(A267="","",IF(D267="Category Pending","Needs categorization",IF(COUNTIFS($A$2:A267,A267,$B$2:B267,B267,$E$2:E267,E267)&gt;1,"Possible duplicate","")))</f>
        <v/>
      </c>
    </row>
    <row r="268" spans="3:14" x14ac:dyDescent="0.3">
      <c r="C268" s="16"/>
      <c r="G268" s="5" t="str">
        <f t="shared" si="20"/>
        <v/>
      </c>
      <c r="H268" t="str">
        <f>IF(A268="","",IFERROR(_xlfn.XLOOKUP(D268,Setup!$E$15:$E$79,Setup!$F$15:$F$79),"Miscellaneous"))</f>
        <v/>
      </c>
      <c r="I268" t="str">
        <f>IF(A268="","",IFERROR(_xlfn.XLOOKUP(D268,Setup!$E$15:$E$79,Setup!$G$15:$G$79),"Uncategorized"))</f>
        <v/>
      </c>
      <c r="J268" t="str">
        <f t="shared" si="21"/>
        <v/>
      </c>
      <c r="K268" s="4" t="str">
        <f t="shared" si="22"/>
        <v/>
      </c>
      <c r="L268" s="47">
        <f t="shared" si="23"/>
        <v>0</v>
      </c>
      <c r="M268" s="47">
        <f t="shared" si="24"/>
        <v>0</v>
      </c>
      <c r="N268" t="str">
        <f>IF(A268="","",IF(D268="Category Pending","Needs categorization",IF(COUNTIFS($A$2:A268,A268,$B$2:B268,B268,$E$2:E268,E268)&gt;1,"Possible duplicate","")))</f>
        <v/>
      </c>
    </row>
    <row r="269" spans="3:14" x14ac:dyDescent="0.3">
      <c r="C269" s="16"/>
      <c r="G269" s="5" t="str">
        <f t="shared" si="20"/>
        <v/>
      </c>
      <c r="H269" t="str">
        <f>IF(A269="","",IFERROR(_xlfn.XLOOKUP(D269,Setup!$E$15:$E$79,Setup!$F$15:$F$79),"Miscellaneous"))</f>
        <v/>
      </c>
      <c r="I269" t="str">
        <f>IF(A269="","",IFERROR(_xlfn.XLOOKUP(D269,Setup!$E$15:$E$79,Setup!$G$15:$G$79),"Uncategorized"))</f>
        <v/>
      </c>
      <c r="J269" t="str">
        <f t="shared" si="21"/>
        <v/>
      </c>
      <c r="K269" s="4" t="str">
        <f t="shared" si="22"/>
        <v/>
      </c>
      <c r="L269" s="47">
        <f t="shared" si="23"/>
        <v>0</v>
      </c>
      <c r="M269" s="47">
        <f t="shared" si="24"/>
        <v>0</v>
      </c>
      <c r="N269" t="str">
        <f>IF(A269="","",IF(D269="Category Pending","Needs categorization",IF(COUNTIFS($A$2:A269,A269,$B$2:B269,B269,$E$2:E269,E269)&gt;1,"Possible duplicate","")))</f>
        <v/>
      </c>
    </row>
    <row r="270" spans="3:14" x14ac:dyDescent="0.3">
      <c r="C270" s="16"/>
      <c r="G270" s="5" t="str">
        <f t="shared" si="20"/>
        <v/>
      </c>
      <c r="H270" t="str">
        <f>IF(A270="","",IFERROR(_xlfn.XLOOKUP(D270,Setup!$E$15:$E$79,Setup!$F$15:$F$79),"Miscellaneous"))</f>
        <v/>
      </c>
      <c r="I270" t="str">
        <f>IF(A270="","",IFERROR(_xlfn.XLOOKUP(D270,Setup!$E$15:$E$79,Setup!$G$15:$G$79),"Uncategorized"))</f>
        <v/>
      </c>
      <c r="J270" t="str">
        <f t="shared" si="21"/>
        <v/>
      </c>
      <c r="K270" s="4" t="str">
        <f t="shared" si="22"/>
        <v/>
      </c>
      <c r="L270" s="47">
        <f t="shared" si="23"/>
        <v>0</v>
      </c>
      <c r="M270" s="47">
        <f t="shared" si="24"/>
        <v>0</v>
      </c>
      <c r="N270" t="str">
        <f>IF(A270="","",IF(D270="Category Pending","Needs categorization",IF(COUNTIFS($A$2:A270,A270,$B$2:B270,B270,$E$2:E270,E270)&gt;1,"Possible duplicate","")))</f>
        <v/>
      </c>
    </row>
    <row r="271" spans="3:14" x14ac:dyDescent="0.3">
      <c r="C271" s="16"/>
      <c r="G271" s="5" t="str">
        <f t="shared" si="20"/>
        <v/>
      </c>
      <c r="H271" t="str">
        <f>IF(A271="","",IFERROR(_xlfn.XLOOKUP(D271,Setup!$E$15:$E$79,Setup!$F$15:$F$79),"Miscellaneous"))</f>
        <v/>
      </c>
      <c r="I271" t="str">
        <f>IF(A271="","",IFERROR(_xlfn.XLOOKUP(D271,Setup!$E$15:$E$79,Setup!$G$15:$G$79),"Uncategorized"))</f>
        <v/>
      </c>
      <c r="J271" t="str">
        <f t="shared" si="21"/>
        <v/>
      </c>
      <c r="K271" s="4" t="str">
        <f t="shared" si="22"/>
        <v/>
      </c>
      <c r="L271" s="47">
        <f t="shared" si="23"/>
        <v>0</v>
      </c>
      <c r="M271" s="47">
        <f t="shared" si="24"/>
        <v>0</v>
      </c>
      <c r="N271" t="str">
        <f>IF(A271="","",IF(D271="Category Pending","Needs categorization",IF(COUNTIFS($A$2:A271,A271,$B$2:B271,B271,$E$2:E271,E271)&gt;1,"Possible duplicate","")))</f>
        <v/>
      </c>
    </row>
    <row r="272" spans="3:14" x14ac:dyDescent="0.3">
      <c r="C272" s="16"/>
      <c r="G272" s="5" t="str">
        <f t="shared" si="20"/>
        <v/>
      </c>
      <c r="H272" t="str">
        <f>IF(A272="","",IFERROR(_xlfn.XLOOKUP(D272,Setup!$E$15:$E$79,Setup!$F$15:$F$79),"Miscellaneous"))</f>
        <v/>
      </c>
      <c r="I272" t="str">
        <f>IF(A272="","",IFERROR(_xlfn.XLOOKUP(D272,Setup!$E$15:$E$79,Setup!$G$15:$G$79),"Uncategorized"))</f>
        <v/>
      </c>
      <c r="J272" t="str">
        <f t="shared" si="21"/>
        <v/>
      </c>
      <c r="K272" s="4" t="str">
        <f t="shared" si="22"/>
        <v/>
      </c>
      <c r="L272" s="47">
        <f t="shared" si="23"/>
        <v>0</v>
      </c>
      <c r="M272" s="47">
        <f t="shared" si="24"/>
        <v>0</v>
      </c>
      <c r="N272" t="str">
        <f>IF(A272="","",IF(D272="Category Pending","Needs categorization",IF(COUNTIFS($A$2:A272,A272,$B$2:B272,B272,$E$2:E272,E272)&gt;1,"Possible duplicate","")))</f>
        <v/>
      </c>
    </row>
    <row r="273" spans="3:14" x14ac:dyDescent="0.3">
      <c r="C273" s="16"/>
      <c r="G273" s="5" t="str">
        <f t="shared" si="20"/>
        <v/>
      </c>
      <c r="H273" t="str">
        <f>IF(A273="","",IFERROR(_xlfn.XLOOKUP(D273,Setup!$E$15:$E$79,Setup!$F$15:$F$79),"Miscellaneous"))</f>
        <v/>
      </c>
      <c r="I273" t="str">
        <f>IF(A273="","",IFERROR(_xlfn.XLOOKUP(D273,Setup!$E$15:$E$79,Setup!$G$15:$G$79),"Uncategorized"))</f>
        <v/>
      </c>
      <c r="J273" t="str">
        <f t="shared" si="21"/>
        <v/>
      </c>
      <c r="K273" s="4" t="str">
        <f t="shared" si="22"/>
        <v/>
      </c>
      <c r="L273" s="47">
        <f t="shared" si="23"/>
        <v>0</v>
      </c>
      <c r="M273" s="47">
        <f t="shared" si="24"/>
        <v>0</v>
      </c>
      <c r="N273" t="str">
        <f>IF(A273="","",IF(D273="Category Pending","Needs categorization",IF(COUNTIFS($A$2:A273,A273,$B$2:B273,B273,$E$2:E273,E273)&gt;1,"Possible duplicate","")))</f>
        <v/>
      </c>
    </row>
    <row r="274" spans="3:14" x14ac:dyDescent="0.3">
      <c r="C274" s="16"/>
      <c r="G274" s="5" t="str">
        <f t="shared" si="20"/>
        <v/>
      </c>
      <c r="H274" t="str">
        <f>IF(A274="","",IFERROR(_xlfn.XLOOKUP(D274,Setup!$E$15:$E$79,Setup!$F$15:$F$79),"Miscellaneous"))</f>
        <v/>
      </c>
      <c r="I274" t="str">
        <f>IF(A274="","",IFERROR(_xlfn.XLOOKUP(D274,Setup!$E$15:$E$79,Setup!$G$15:$G$79),"Uncategorized"))</f>
        <v/>
      </c>
      <c r="J274" t="str">
        <f t="shared" si="21"/>
        <v/>
      </c>
      <c r="K274" s="4" t="str">
        <f t="shared" si="22"/>
        <v/>
      </c>
      <c r="L274" s="47">
        <f t="shared" si="23"/>
        <v>0</v>
      </c>
      <c r="M274" s="47">
        <f t="shared" si="24"/>
        <v>0</v>
      </c>
      <c r="N274" t="str">
        <f>IF(A274="","",IF(D274="Category Pending","Needs categorization",IF(COUNTIFS($A$2:A274,A274,$B$2:B274,B274,$E$2:E274,E274)&gt;1,"Possible duplicate","")))</f>
        <v/>
      </c>
    </row>
    <row r="275" spans="3:14" x14ac:dyDescent="0.3">
      <c r="C275" s="16"/>
      <c r="G275" s="5" t="str">
        <f t="shared" si="20"/>
        <v/>
      </c>
      <c r="H275" t="str">
        <f>IF(A275="","",IFERROR(_xlfn.XLOOKUP(D275,Setup!$E$15:$E$79,Setup!$F$15:$F$79),"Miscellaneous"))</f>
        <v/>
      </c>
      <c r="I275" t="str">
        <f>IF(A275="","",IFERROR(_xlfn.XLOOKUP(D275,Setup!$E$15:$E$79,Setup!$G$15:$G$79),"Uncategorized"))</f>
        <v/>
      </c>
      <c r="J275" t="str">
        <f t="shared" si="21"/>
        <v/>
      </c>
      <c r="K275" s="4" t="str">
        <f t="shared" si="22"/>
        <v/>
      </c>
      <c r="L275" s="47">
        <f t="shared" si="23"/>
        <v>0</v>
      </c>
      <c r="M275" s="47">
        <f t="shared" si="24"/>
        <v>0</v>
      </c>
      <c r="N275" t="str">
        <f>IF(A275="","",IF(D275="Category Pending","Needs categorization",IF(COUNTIFS($A$2:A275,A275,$B$2:B275,B275,$E$2:E275,E275)&gt;1,"Possible duplicate","")))</f>
        <v/>
      </c>
    </row>
    <row r="276" spans="3:14" x14ac:dyDescent="0.3">
      <c r="C276" s="16"/>
      <c r="G276" s="5" t="str">
        <f t="shared" si="20"/>
        <v/>
      </c>
      <c r="H276" t="str">
        <f>IF(A276="","",IFERROR(_xlfn.XLOOKUP(D276,Setup!$E$15:$E$79,Setup!$F$15:$F$79),"Miscellaneous"))</f>
        <v/>
      </c>
      <c r="I276" t="str">
        <f>IF(A276="","",IFERROR(_xlfn.XLOOKUP(D276,Setup!$E$15:$E$79,Setup!$G$15:$G$79),"Uncategorized"))</f>
        <v/>
      </c>
      <c r="J276" t="str">
        <f t="shared" si="21"/>
        <v/>
      </c>
      <c r="K276" s="4" t="str">
        <f t="shared" si="22"/>
        <v/>
      </c>
      <c r="L276" s="47">
        <f t="shared" si="23"/>
        <v>0</v>
      </c>
      <c r="M276" s="47">
        <f t="shared" si="24"/>
        <v>0</v>
      </c>
      <c r="N276" t="str">
        <f>IF(A276="","",IF(D276="Category Pending","Needs categorization",IF(COUNTIFS($A$2:A276,A276,$B$2:B276,B276,$E$2:E276,E276)&gt;1,"Possible duplicate","")))</f>
        <v/>
      </c>
    </row>
    <row r="277" spans="3:14" x14ac:dyDescent="0.3">
      <c r="C277" s="16"/>
      <c r="G277" s="5" t="str">
        <f t="shared" si="20"/>
        <v/>
      </c>
      <c r="H277" t="str">
        <f>IF(A277="","",IFERROR(_xlfn.XLOOKUP(D277,Setup!$E$15:$E$79,Setup!$F$15:$F$79),"Miscellaneous"))</f>
        <v/>
      </c>
      <c r="I277" t="str">
        <f>IF(A277="","",IFERROR(_xlfn.XLOOKUP(D277,Setup!$E$15:$E$79,Setup!$G$15:$G$79),"Uncategorized"))</f>
        <v/>
      </c>
      <c r="J277" t="str">
        <f t="shared" si="21"/>
        <v/>
      </c>
      <c r="K277" s="4" t="str">
        <f t="shared" si="22"/>
        <v/>
      </c>
      <c r="L277" s="47">
        <f t="shared" si="23"/>
        <v>0</v>
      </c>
      <c r="M277" s="47">
        <f t="shared" si="24"/>
        <v>0</v>
      </c>
      <c r="N277" t="str">
        <f>IF(A277="","",IF(D277="Category Pending","Needs categorization",IF(COUNTIFS($A$2:A277,A277,$B$2:B277,B277,$E$2:E277,E277)&gt;1,"Possible duplicate","")))</f>
        <v/>
      </c>
    </row>
    <row r="278" spans="3:14" x14ac:dyDescent="0.3">
      <c r="C278" s="16"/>
      <c r="G278" s="5" t="str">
        <f t="shared" si="20"/>
        <v/>
      </c>
      <c r="H278" t="str">
        <f>IF(A278="","",IFERROR(_xlfn.XLOOKUP(D278,Setup!$E$15:$E$79,Setup!$F$15:$F$79),"Miscellaneous"))</f>
        <v/>
      </c>
      <c r="I278" t="str">
        <f>IF(A278="","",IFERROR(_xlfn.XLOOKUP(D278,Setup!$E$15:$E$79,Setup!$G$15:$G$79),"Uncategorized"))</f>
        <v/>
      </c>
      <c r="J278" t="str">
        <f t="shared" si="21"/>
        <v/>
      </c>
      <c r="K278" s="4" t="str">
        <f t="shared" si="22"/>
        <v/>
      </c>
      <c r="L278" s="47">
        <f t="shared" si="23"/>
        <v>0</v>
      </c>
      <c r="M278" s="47">
        <f t="shared" si="24"/>
        <v>0</v>
      </c>
      <c r="N278" t="str">
        <f>IF(A278="","",IF(D278="Category Pending","Needs categorization",IF(COUNTIFS($A$2:A278,A278,$B$2:B278,B278,$E$2:E278,E278)&gt;1,"Possible duplicate","")))</f>
        <v/>
      </c>
    </row>
    <row r="279" spans="3:14" x14ac:dyDescent="0.3">
      <c r="C279" s="16"/>
      <c r="G279" s="5" t="str">
        <f t="shared" si="20"/>
        <v/>
      </c>
      <c r="H279" t="str">
        <f>IF(A279="","",IFERROR(_xlfn.XLOOKUP(D279,Setup!$E$15:$E$79,Setup!$F$15:$F$79),"Miscellaneous"))</f>
        <v/>
      </c>
      <c r="I279" t="str">
        <f>IF(A279="","",IFERROR(_xlfn.XLOOKUP(D279,Setup!$E$15:$E$79,Setup!$G$15:$G$79),"Uncategorized"))</f>
        <v/>
      </c>
      <c r="J279" t="str">
        <f t="shared" si="21"/>
        <v/>
      </c>
      <c r="K279" s="4" t="str">
        <f t="shared" si="22"/>
        <v/>
      </c>
      <c r="L279" s="47">
        <f t="shared" si="23"/>
        <v>0</v>
      </c>
      <c r="M279" s="47">
        <f t="shared" si="24"/>
        <v>0</v>
      </c>
      <c r="N279" t="str">
        <f>IF(A279="","",IF(D279="Category Pending","Needs categorization",IF(COUNTIFS($A$2:A279,A279,$B$2:B279,B279,$E$2:E279,E279)&gt;1,"Possible duplicate","")))</f>
        <v/>
      </c>
    </row>
    <row r="280" spans="3:14" x14ac:dyDescent="0.3">
      <c r="C280" s="16"/>
      <c r="G280" s="5" t="str">
        <f t="shared" si="20"/>
        <v/>
      </c>
      <c r="H280" t="str">
        <f>IF(A280="","",IFERROR(_xlfn.XLOOKUP(D280,Setup!$E$15:$E$79,Setup!$F$15:$F$79),"Miscellaneous"))</f>
        <v/>
      </c>
      <c r="I280" t="str">
        <f>IF(A280="","",IFERROR(_xlfn.XLOOKUP(D280,Setup!$E$15:$E$79,Setup!$G$15:$G$79),"Uncategorized"))</f>
        <v/>
      </c>
      <c r="J280" t="str">
        <f t="shared" si="21"/>
        <v/>
      </c>
      <c r="K280" s="4" t="str">
        <f t="shared" si="22"/>
        <v/>
      </c>
      <c r="L280" s="47">
        <f t="shared" si="23"/>
        <v>0</v>
      </c>
      <c r="M280" s="47">
        <f t="shared" si="24"/>
        <v>0</v>
      </c>
      <c r="N280" t="str">
        <f>IF(A280="","",IF(D280="Category Pending","Needs categorization",IF(COUNTIFS($A$2:A280,A280,$B$2:B280,B280,$E$2:E280,E280)&gt;1,"Possible duplicate","")))</f>
        <v/>
      </c>
    </row>
    <row r="281" spans="3:14" x14ac:dyDescent="0.3">
      <c r="C281" s="16"/>
      <c r="G281" s="5" t="str">
        <f t="shared" si="20"/>
        <v/>
      </c>
      <c r="H281" t="str">
        <f>IF(A281="","",IFERROR(_xlfn.XLOOKUP(D281,Setup!$E$15:$E$79,Setup!$F$15:$F$79),"Miscellaneous"))</f>
        <v/>
      </c>
      <c r="I281" t="str">
        <f>IF(A281="","",IFERROR(_xlfn.XLOOKUP(D281,Setup!$E$15:$E$79,Setup!$G$15:$G$79),"Uncategorized"))</f>
        <v/>
      </c>
      <c r="J281" t="str">
        <f t="shared" si="21"/>
        <v/>
      </c>
      <c r="K281" s="4" t="str">
        <f t="shared" si="22"/>
        <v/>
      </c>
      <c r="L281" s="47">
        <f t="shared" si="23"/>
        <v>0</v>
      </c>
      <c r="M281" s="47">
        <f t="shared" si="24"/>
        <v>0</v>
      </c>
      <c r="N281" t="str">
        <f>IF(A281="","",IF(D281="Category Pending","Needs categorization",IF(COUNTIFS($A$2:A281,A281,$B$2:B281,B281,$E$2:E281,E281)&gt;1,"Possible duplicate","")))</f>
        <v/>
      </c>
    </row>
    <row r="282" spans="3:14" x14ac:dyDescent="0.3">
      <c r="C282" s="16"/>
      <c r="G282" s="5" t="str">
        <f t="shared" si="20"/>
        <v/>
      </c>
      <c r="H282" t="str">
        <f>IF(A282="","",IFERROR(_xlfn.XLOOKUP(D282,Setup!$E$15:$E$79,Setup!$F$15:$F$79),"Miscellaneous"))</f>
        <v/>
      </c>
      <c r="I282" t="str">
        <f>IF(A282="","",IFERROR(_xlfn.XLOOKUP(D282,Setup!$E$15:$E$79,Setup!$G$15:$G$79),"Uncategorized"))</f>
        <v/>
      </c>
      <c r="J282" t="str">
        <f t="shared" si="21"/>
        <v/>
      </c>
      <c r="K282" s="4" t="str">
        <f t="shared" si="22"/>
        <v/>
      </c>
      <c r="L282" s="47">
        <f t="shared" si="23"/>
        <v>0</v>
      </c>
      <c r="M282" s="47">
        <f t="shared" si="24"/>
        <v>0</v>
      </c>
      <c r="N282" t="str">
        <f>IF(A282="","",IF(D282="Category Pending","Needs categorization",IF(COUNTIFS($A$2:A282,A282,$B$2:B282,B282,$E$2:E282,E282)&gt;1,"Possible duplicate","")))</f>
        <v/>
      </c>
    </row>
    <row r="283" spans="3:14" x14ac:dyDescent="0.3">
      <c r="C283" s="16"/>
      <c r="G283" s="5" t="str">
        <f t="shared" si="20"/>
        <v/>
      </c>
      <c r="H283" t="str">
        <f>IF(A283="","",IFERROR(_xlfn.XLOOKUP(D283,Setup!$E$15:$E$79,Setup!$F$15:$F$79),"Miscellaneous"))</f>
        <v/>
      </c>
      <c r="I283" t="str">
        <f>IF(A283="","",IFERROR(_xlfn.XLOOKUP(D283,Setup!$E$15:$E$79,Setup!$G$15:$G$79),"Uncategorized"))</f>
        <v/>
      </c>
      <c r="J283" t="str">
        <f t="shared" si="21"/>
        <v/>
      </c>
      <c r="K283" s="4" t="str">
        <f t="shared" si="22"/>
        <v/>
      </c>
      <c r="L283" s="47">
        <f t="shared" si="23"/>
        <v>0</v>
      </c>
      <c r="M283" s="47">
        <f t="shared" si="24"/>
        <v>0</v>
      </c>
      <c r="N283" t="str">
        <f>IF(A283="","",IF(D283="Category Pending","Needs categorization",IF(COUNTIFS($A$2:A283,A283,$B$2:B283,B283,$E$2:E283,E283)&gt;1,"Possible duplicate","")))</f>
        <v/>
      </c>
    </row>
    <row r="284" spans="3:14" x14ac:dyDescent="0.3">
      <c r="C284" s="16"/>
      <c r="G284" s="5" t="str">
        <f t="shared" si="20"/>
        <v/>
      </c>
      <c r="H284" t="str">
        <f>IF(A284="","",IFERROR(_xlfn.XLOOKUP(D284,Setup!$E$15:$E$79,Setup!$F$15:$F$79),"Miscellaneous"))</f>
        <v/>
      </c>
      <c r="I284" t="str">
        <f>IF(A284="","",IFERROR(_xlfn.XLOOKUP(D284,Setup!$E$15:$E$79,Setup!$G$15:$G$79),"Uncategorized"))</f>
        <v/>
      </c>
      <c r="J284" t="str">
        <f t="shared" si="21"/>
        <v/>
      </c>
      <c r="K284" s="4" t="str">
        <f t="shared" si="22"/>
        <v/>
      </c>
      <c r="L284" s="47">
        <f t="shared" si="23"/>
        <v>0</v>
      </c>
      <c r="M284" s="47">
        <f t="shared" si="24"/>
        <v>0</v>
      </c>
      <c r="N284" t="str">
        <f>IF(A284="","",IF(D284="Category Pending","Needs categorization",IF(COUNTIFS($A$2:A284,A284,$B$2:B284,B284,$E$2:E284,E284)&gt;1,"Possible duplicate","")))</f>
        <v/>
      </c>
    </row>
    <row r="285" spans="3:14" x14ac:dyDescent="0.3">
      <c r="C285" s="16"/>
      <c r="G285" s="5" t="str">
        <f t="shared" si="20"/>
        <v/>
      </c>
      <c r="H285" t="str">
        <f>IF(A285="","",IFERROR(_xlfn.XLOOKUP(D285,Setup!$E$15:$E$79,Setup!$F$15:$F$79),"Miscellaneous"))</f>
        <v/>
      </c>
      <c r="I285" t="str">
        <f>IF(A285="","",IFERROR(_xlfn.XLOOKUP(D285,Setup!$E$15:$E$79,Setup!$G$15:$G$79),"Uncategorized"))</f>
        <v/>
      </c>
      <c r="J285" t="str">
        <f t="shared" si="21"/>
        <v/>
      </c>
      <c r="K285" s="4" t="str">
        <f t="shared" si="22"/>
        <v/>
      </c>
      <c r="L285" s="47">
        <f t="shared" si="23"/>
        <v>0</v>
      </c>
      <c r="M285" s="47">
        <f t="shared" si="24"/>
        <v>0</v>
      </c>
      <c r="N285" t="str">
        <f>IF(A285="","",IF(D285="Category Pending","Needs categorization",IF(COUNTIFS($A$2:A285,A285,$B$2:B285,B285,$E$2:E285,E285)&gt;1,"Possible duplicate","")))</f>
        <v/>
      </c>
    </row>
    <row r="286" spans="3:14" x14ac:dyDescent="0.3">
      <c r="C286" s="16"/>
      <c r="G286" s="5" t="str">
        <f t="shared" si="20"/>
        <v/>
      </c>
      <c r="H286" t="str">
        <f>IF(A286="","",IFERROR(_xlfn.XLOOKUP(D286,Setup!$E$15:$E$79,Setup!$F$15:$F$79),"Miscellaneous"))</f>
        <v/>
      </c>
      <c r="I286" t="str">
        <f>IF(A286="","",IFERROR(_xlfn.XLOOKUP(D286,Setup!$E$15:$E$79,Setup!$G$15:$G$79),"Uncategorized"))</f>
        <v/>
      </c>
      <c r="J286" t="str">
        <f t="shared" si="21"/>
        <v/>
      </c>
      <c r="K286" s="4" t="str">
        <f t="shared" si="22"/>
        <v/>
      </c>
      <c r="L286" s="47">
        <f t="shared" si="23"/>
        <v>0</v>
      </c>
      <c r="M286" s="47">
        <f t="shared" si="24"/>
        <v>0</v>
      </c>
      <c r="N286" t="str">
        <f>IF(A286="","",IF(D286="Category Pending","Needs categorization",IF(COUNTIFS($A$2:A286,A286,$B$2:B286,B286,$E$2:E286,E286)&gt;1,"Possible duplicate","")))</f>
        <v/>
      </c>
    </row>
    <row r="287" spans="3:14" x14ac:dyDescent="0.3">
      <c r="C287" s="16"/>
      <c r="G287" s="5" t="str">
        <f t="shared" si="20"/>
        <v/>
      </c>
      <c r="H287" t="str">
        <f>IF(A287="","",IFERROR(_xlfn.XLOOKUP(D287,Setup!$E$15:$E$79,Setup!$F$15:$F$79),"Miscellaneous"))</f>
        <v/>
      </c>
      <c r="I287" t="str">
        <f>IF(A287="","",IFERROR(_xlfn.XLOOKUP(D287,Setup!$E$15:$E$79,Setup!$G$15:$G$79),"Uncategorized"))</f>
        <v/>
      </c>
      <c r="J287" t="str">
        <f t="shared" si="21"/>
        <v/>
      </c>
      <c r="K287" s="4" t="str">
        <f t="shared" si="22"/>
        <v/>
      </c>
      <c r="L287" s="47">
        <f t="shared" si="23"/>
        <v>0</v>
      </c>
      <c r="M287" s="47">
        <f t="shared" si="24"/>
        <v>0</v>
      </c>
      <c r="N287" t="str">
        <f>IF(A287="","",IF(D287="Category Pending","Needs categorization",IF(COUNTIFS($A$2:A287,A287,$B$2:B287,B287,$E$2:E287,E287)&gt;1,"Possible duplicate","")))</f>
        <v/>
      </c>
    </row>
    <row r="288" spans="3:14" x14ac:dyDescent="0.3">
      <c r="C288" s="16"/>
      <c r="G288" s="5" t="str">
        <f t="shared" si="20"/>
        <v/>
      </c>
      <c r="H288" t="str">
        <f>IF(A288="","",IFERROR(_xlfn.XLOOKUP(D288,Setup!$E$15:$E$79,Setup!$F$15:$F$79),"Miscellaneous"))</f>
        <v/>
      </c>
      <c r="I288" t="str">
        <f>IF(A288="","",IFERROR(_xlfn.XLOOKUP(D288,Setup!$E$15:$E$79,Setup!$G$15:$G$79),"Uncategorized"))</f>
        <v/>
      </c>
      <c r="J288" t="str">
        <f t="shared" si="21"/>
        <v/>
      </c>
      <c r="K288" s="4" t="str">
        <f t="shared" si="22"/>
        <v/>
      </c>
      <c r="L288" s="47">
        <f t="shared" si="23"/>
        <v>0</v>
      </c>
      <c r="M288" s="47">
        <f t="shared" si="24"/>
        <v>0</v>
      </c>
      <c r="N288" t="str">
        <f>IF(A288="","",IF(D288="Category Pending","Needs categorization",IF(COUNTIFS($A$2:A288,A288,$B$2:B288,B288,$E$2:E288,E288)&gt;1,"Possible duplicate","")))</f>
        <v/>
      </c>
    </row>
    <row r="289" spans="3:14" x14ac:dyDescent="0.3">
      <c r="C289" s="16"/>
      <c r="G289" s="5" t="str">
        <f t="shared" ref="G289:G352" si="25">IF(A289="","","Checking")</f>
        <v/>
      </c>
      <c r="H289" t="str">
        <f>IF(A289="","",IFERROR(_xlfn.XLOOKUP(D289,Setup!$E$15:$E$79,Setup!$F$15:$F$79),"Miscellaneous"))</f>
        <v/>
      </c>
      <c r="I289" t="str">
        <f>IF(A289="","",IFERROR(_xlfn.XLOOKUP(D289,Setup!$E$15:$E$79,Setup!$G$15:$G$79),"Uncategorized"))</f>
        <v/>
      </c>
      <c r="J289" t="str">
        <f t="shared" ref="J289:J352" si="26">IF(A289="","",IF(OR(H289="Transfers",H289="Income",D289="Transfer",D289="Category Pending"),"No","Yes"))</f>
        <v/>
      </c>
      <c r="K289" s="4" t="str">
        <f t="shared" ref="K289:K352" si="27">IF(A289="","",IF(A289&gt;=46232,TEXT(DATE(YEAR(A289),MONTH(A289)+1,1),"mmmm yyyy"),TEXT(DATE(YEAR(A289),MONTH(A289),1),"mmmm yyyy")))</f>
        <v/>
      </c>
      <c r="L289" s="47">
        <f t="shared" ref="L289:L352" si="28">IF(AND(J289="Yes",E289&lt;0),-E289,0)</f>
        <v>0</v>
      </c>
      <c r="M289" s="47">
        <f t="shared" ref="M289:M352" si="29">IF(AND(J289="Yes",E289&gt;0),E289,0)</f>
        <v>0</v>
      </c>
      <c r="N289" t="str">
        <f>IF(A289="","",IF(D289="Category Pending","Needs categorization",IF(COUNTIFS($A$2:A289,A289,$B$2:B289,B289,$E$2:E289,E289)&gt;1,"Possible duplicate","")))</f>
        <v/>
      </c>
    </row>
    <row r="290" spans="3:14" x14ac:dyDescent="0.3">
      <c r="C290" s="16"/>
      <c r="G290" s="5" t="str">
        <f t="shared" si="25"/>
        <v/>
      </c>
      <c r="H290" t="str">
        <f>IF(A290="","",IFERROR(_xlfn.XLOOKUP(D290,Setup!$E$15:$E$79,Setup!$F$15:$F$79),"Miscellaneous"))</f>
        <v/>
      </c>
      <c r="I290" t="str">
        <f>IF(A290="","",IFERROR(_xlfn.XLOOKUP(D290,Setup!$E$15:$E$79,Setup!$G$15:$G$79),"Uncategorized"))</f>
        <v/>
      </c>
      <c r="J290" t="str">
        <f t="shared" si="26"/>
        <v/>
      </c>
      <c r="K290" s="4" t="str">
        <f t="shared" si="27"/>
        <v/>
      </c>
      <c r="L290" s="47">
        <f t="shared" si="28"/>
        <v>0</v>
      </c>
      <c r="M290" s="47">
        <f t="shared" si="29"/>
        <v>0</v>
      </c>
      <c r="N290" t="str">
        <f>IF(A290="","",IF(D290="Category Pending","Needs categorization",IF(COUNTIFS($A$2:A290,A290,$B$2:B290,B290,$E$2:E290,E290)&gt;1,"Possible duplicate","")))</f>
        <v/>
      </c>
    </row>
    <row r="291" spans="3:14" x14ac:dyDescent="0.3">
      <c r="C291" s="16"/>
      <c r="G291" s="5" t="str">
        <f t="shared" si="25"/>
        <v/>
      </c>
      <c r="H291" t="str">
        <f>IF(A291="","",IFERROR(_xlfn.XLOOKUP(D291,Setup!$E$15:$E$79,Setup!$F$15:$F$79),"Miscellaneous"))</f>
        <v/>
      </c>
      <c r="I291" t="str">
        <f>IF(A291="","",IFERROR(_xlfn.XLOOKUP(D291,Setup!$E$15:$E$79,Setup!$G$15:$G$79),"Uncategorized"))</f>
        <v/>
      </c>
      <c r="J291" t="str">
        <f t="shared" si="26"/>
        <v/>
      </c>
      <c r="K291" s="4" t="str">
        <f t="shared" si="27"/>
        <v/>
      </c>
      <c r="L291" s="47">
        <f t="shared" si="28"/>
        <v>0</v>
      </c>
      <c r="M291" s="47">
        <f t="shared" si="29"/>
        <v>0</v>
      </c>
      <c r="N291" t="str">
        <f>IF(A291="","",IF(D291="Category Pending","Needs categorization",IF(COUNTIFS($A$2:A291,A291,$B$2:B291,B291,$E$2:E291,E291)&gt;1,"Possible duplicate","")))</f>
        <v/>
      </c>
    </row>
    <row r="292" spans="3:14" x14ac:dyDescent="0.3">
      <c r="C292" s="16"/>
      <c r="G292" s="5" t="str">
        <f t="shared" si="25"/>
        <v/>
      </c>
      <c r="H292" t="str">
        <f>IF(A292="","",IFERROR(_xlfn.XLOOKUP(D292,Setup!$E$15:$E$79,Setup!$F$15:$F$79),"Miscellaneous"))</f>
        <v/>
      </c>
      <c r="I292" t="str">
        <f>IF(A292="","",IFERROR(_xlfn.XLOOKUP(D292,Setup!$E$15:$E$79,Setup!$G$15:$G$79),"Uncategorized"))</f>
        <v/>
      </c>
      <c r="J292" t="str">
        <f t="shared" si="26"/>
        <v/>
      </c>
      <c r="K292" s="4" t="str">
        <f t="shared" si="27"/>
        <v/>
      </c>
      <c r="L292" s="47">
        <f t="shared" si="28"/>
        <v>0</v>
      </c>
      <c r="M292" s="47">
        <f t="shared" si="29"/>
        <v>0</v>
      </c>
      <c r="N292" t="str">
        <f>IF(A292="","",IF(D292="Category Pending","Needs categorization",IF(COUNTIFS($A$2:A292,A292,$B$2:B292,B292,$E$2:E292,E292)&gt;1,"Possible duplicate","")))</f>
        <v/>
      </c>
    </row>
    <row r="293" spans="3:14" x14ac:dyDescent="0.3">
      <c r="C293" s="16"/>
      <c r="G293" s="5" t="str">
        <f t="shared" si="25"/>
        <v/>
      </c>
      <c r="H293" t="str">
        <f>IF(A293="","",IFERROR(_xlfn.XLOOKUP(D293,Setup!$E$15:$E$79,Setup!$F$15:$F$79),"Miscellaneous"))</f>
        <v/>
      </c>
      <c r="I293" t="str">
        <f>IF(A293="","",IFERROR(_xlfn.XLOOKUP(D293,Setup!$E$15:$E$79,Setup!$G$15:$G$79),"Uncategorized"))</f>
        <v/>
      </c>
      <c r="J293" t="str">
        <f t="shared" si="26"/>
        <v/>
      </c>
      <c r="K293" s="4" t="str">
        <f t="shared" si="27"/>
        <v/>
      </c>
      <c r="L293" s="47">
        <f t="shared" si="28"/>
        <v>0</v>
      </c>
      <c r="M293" s="47">
        <f t="shared" si="29"/>
        <v>0</v>
      </c>
      <c r="N293" t="str">
        <f>IF(A293="","",IF(D293="Category Pending","Needs categorization",IF(COUNTIFS($A$2:A293,A293,$B$2:B293,B293,$E$2:E293,E293)&gt;1,"Possible duplicate","")))</f>
        <v/>
      </c>
    </row>
    <row r="294" spans="3:14" x14ac:dyDescent="0.3">
      <c r="C294" s="16"/>
      <c r="G294" s="5" t="str">
        <f t="shared" si="25"/>
        <v/>
      </c>
      <c r="H294" t="str">
        <f>IF(A294="","",IFERROR(_xlfn.XLOOKUP(D294,Setup!$E$15:$E$79,Setup!$F$15:$F$79),"Miscellaneous"))</f>
        <v/>
      </c>
      <c r="I294" t="str">
        <f>IF(A294="","",IFERROR(_xlfn.XLOOKUP(D294,Setup!$E$15:$E$79,Setup!$G$15:$G$79),"Uncategorized"))</f>
        <v/>
      </c>
      <c r="J294" t="str">
        <f t="shared" si="26"/>
        <v/>
      </c>
      <c r="K294" s="4" t="str">
        <f t="shared" si="27"/>
        <v/>
      </c>
      <c r="L294" s="47">
        <f t="shared" si="28"/>
        <v>0</v>
      </c>
      <c r="M294" s="47">
        <f t="shared" si="29"/>
        <v>0</v>
      </c>
      <c r="N294" t="str">
        <f>IF(A294="","",IF(D294="Category Pending","Needs categorization",IF(COUNTIFS($A$2:A294,A294,$B$2:B294,B294,$E$2:E294,E294)&gt;1,"Possible duplicate","")))</f>
        <v/>
      </c>
    </row>
    <row r="295" spans="3:14" x14ac:dyDescent="0.3">
      <c r="C295" s="16"/>
      <c r="G295" s="5" t="str">
        <f t="shared" si="25"/>
        <v/>
      </c>
      <c r="H295" t="str">
        <f>IF(A295="","",IFERROR(_xlfn.XLOOKUP(D295,Setup!$E$15:$E$79,Setup!$F$15:$F$79),"Miscellaneous"))</f>
        <v/>
      </c>
      <c r="I295" t="str">
        <f>IF(A295="","",IFERROR(_xlfn.XLOOKUP(D295,Setup!$E$15:$E$79,Setup!$G$15:$G$79),"Uncategorized"))</f>
        <v/>
      </c>
      <c r="J295" t="str">
        <f t="shared" si="26"/>
        <v/>
      </c>
      <c r="K295" s="4" t="str">
        <f t="shared" si="27"/>
        <v/>
      </c>
      <c r="L295" s="47">
        <f t="shared" si="28"/>
        <v>0</v>
      </c>
      <c r="M295" s="47">
        <f t="shared" si="29"/>
        <v>0</v>
      </c>
      <c r="N295" t="str">
        <f>IF(A295="","",IF(D295="Category Pending","Needs categorization",IF(COUNTIFS($A$2:A295,A295,$B$2:B295,B295,$E$2:E295,E295)&gt;1,"Possible duplicate","")))</f>
        <v/>
      </c>
    </row>
    <row r="296" spans="3:14" x14ac:dyDescent="0.3">
      <c r="C296" s="16"/>
      <c r="G296" s="5" t="str">
        <f t="shared" si="25"/>
        <v/>
      </c>
      <c r="H296" t="str">
        <f>IF(A296="","",IFERROR(_xlfn.XLOOKUP(D296,Setup!$E$15:$E$79,Setup!$F$15:$F$79),"Miscellaneous"))</f>
        <v/>
      </c>
      <c r="I296" t="str">
        <f>IF(A296="","",IFERROR(_xlfn.XLOOKUP(D296,Setup!$E$15:$E$79,Setup!$G$15:$G$79),"Uncategorized"))</f>
        <v/>
      </c>
      <c r="J296" t="str">
        <f t="shared" si="26"/>
        <v/>
      </c>
      <c r="K296" s="4" t="str">
        <f t="shared" si="27"/>
        <v/>
      </c>
      <c r="L296" s="47">
        <f t="shared" si="28"/>
        <v>0</v>
      </c>
      <c r="M296" s="47">
        <f t="shared" si="29"/>
        <v>0</v>
      </c>
      <c r="N296" t="str">
        <f>IF(A296="","",IF(D296="Category Pending","Needs categorization",IF(COUNTIFS($A$2:A296,A296,$B$2:B296,B296,$E$2:E296,E296)&gt;1,"Possible duplicate","")))</f>
        <v/>
      </c>
    </row>
    <row r="297" spans="3:14" x14ac:dyDescent="0.3">
      <c r="C297" s="16"/>
      <c r="G297" s="5" t="str">
        <f t="shared" si="25"/>
        <v/>
      </c>
      <c r="H297" t="str">
        <f>IF(A297="","",IFERROR(_xlfn.XLOOKUP(D297,Setup!$E$15:$E$79,Setup!$F$15:$F$79),"Miscellaneous"))</f>
        <v/>
      </c>
      <c r="I297" t="str">
        <f>IF(A297="","",IFERROR(_xlfn.XLOOKUP(D297,Setup!$E$15:$E$79,Setup!$G$15:$G$79),"Uncategorized"))</f>
        <v/>
      </c>
      <c r="J297" t="str">
        <f t="shared" si="26"/>
        <v/>
      </c>
      <c r="K297" s="4" t="str">
        <f t="shared" si="27"/>
        <v/>
      </c>
      <c r="L297" s="47">
        <f t="shared" si="28"/>
        <v>0</v>
      </c>
      <c r="M297" s="47">
        <f t="shared" si="29"/>
        <v>0</v>
      </c>
      <c r="N297" t="str">
        <f>IF(A297="","",IF(D297="Category Pending","Needs categorization",IF(COUNTIFS($A$2:A297,A297,$B$2:B297,B297,$E$2:E297,E297)&gt;1,"Possible duplicate","")))</f>
        <v/>
      </c>
    </row>
    <row r="298" spans="3:14" x14ac:dyDescent="0.3">
      <c r="C298" s="16"/>
      <c r="G298" s="5" t="str">
        <f t="shared" si="25"/>
        <v/>
      </c>
      <c r="H298" t="str">
        <f>IF(A298="","",IFERROR(_xlfn.XLOOKUP(D298,Setup!$E$15:$E$79,Setup!$F$15:$F$79),"Miscellaneous"))</f>
        <v/>
      </c>
      <c r="I298" t="str">
        <f>IF(A298="","",IFERROR(_xlfn.XLOOKUP(D298,Setup!$E$15:$E$79,Setup!$G$15:$G$79),"Uncategorized"))</f>
        <v/>
      </c>
      <c r="J298" t="str">
        <f t="shared" si="26"/>
        <v/>
      </c>
      <c r="K298" s="4" t="str">
        <f t="shared" si="27"/>
        <v/>
      </c>
      <c r="L298" s="47">
        <f t="shared" si="28"/>
        <v>0</v>
      </c>
      <c r="M298" s="47">
        <f t="shared" si="29"/>
        <v>0</v>
      </c>
      <c r="N298" t="str">
        <f>IF(A298="","",IF(D298="Category Pending","Needs categorization",IF(COUNTIFS($A$2:A298,A298,$B$2:B298,B298,$E$2:E298,E298)&gt;1,"Possible duplicate","")))</f>
        <v/>
      </c>
    </row>
    <row r="299" spans="3:14" x14ac:dyDescent="0.3">
      <c r="C299" s="16"/>
      <c r="G299" s="5" t="str">
        <f t="shared" si="25"/>
        <v/>
      </c>
      <c r="H299" t="str">
        <f>IF(A299="","",IFERROR(_xlfn.XLOOKUP(D299,Setup!$E$15:$E$79,Setup!$F$15:$F$79),"Miscellaneous"))</f>
        <v/>
      </c>
      <c r="I299" t="str">
        <f>IF(A299="","",IFERROR(_xlfn.XLOOKUP(D299,Setup!$E$15:$E$79,Setup!$G$15:$G$79),"Uncategorized"))</f>
        <v/>
      </c>
      <c r="J299" t="str">
        <f t="shared" si="26"/>
        <v/>
      </c>
      <c r="K299" s="4" t="str">
        <f t="shared" si="27"/>
        <v/>
      </c>
      <c r="L299" s="47">
        <f t="shared" si="28"/>
        <v>0</v>
      </c>
      <c r="M299" s="47">
        <f t="shared" si="29"/>
        <v>0</v>
      </c>
      <c r="N299" t="str">
        <f>IF(A299="","",IF(D299="Category Pending","Needs categorization",IF(COUNTIFS($A$2:A299,A299,$B$2:B299,B299,$E$2:E299,E299)&gt;1,"Possible duplicate","")))</f>
        <v/>
      </c>
    </row>
    <row r="300" spans="3:14" x14ac:dyDescent="0.3">
      <c r="C300" s="16"/>
      <c r="G300" s="5" t="str">
        <f t="shared" si="25"/>
        <v/>
      </c>
      <c r="H300" t="str">
        <f>IF(A300="","",IFERROR(_xlfn.XLOOKUP(D300,Setup!$E$15:$E$79,Setup!$F$15:$F$79),"Miscellaneous"))</f>
        <v/>
      </c>
      <c r="I300" t="str">
        <f>IF(A300="","",IFERROR(_xlfn.XLOOKUP(D300,Setup!$E$15:$E$79,Setup!$G$15:$G$79),"Uncategorized"))</f>
        <v/>
      </c>
      <c r="J300" t="str">
        <f t="shared" si="26"/>
        <v/>
      </c>
      <c r="K300" s="4" t="str">
        <f t="shared" si="27"/>
        <v/>
      </c>
      <c r="L300" s="47">
        <f t="shared" si="28"/>
        <v>0</v>
      </c>
      <c r="M300" s="47">
        <f t="shared" si="29"/>
        <v>0</v>
      </c>
      <c r="N300" t="str">
        <f>IF(A300="","",IF(D300="Category Pending","Needs categorization",IF(COUNTIFS($A$2:A300,A300,$B$2:B300,B300,$E$2:E300,E300)&gt;1,"Possible duplicate","")))</f>
        <v/>
      </c>
    </row>
    <row r="301" spans="3:14" x14ac:dyDescent="0.3">
      <c r="C301" s="16"/>
      <c r="G301" s="5" t="str">
        <f t="shared" si="25"/>
        <v/>
      </c>
      <c r="H301" t="str">
        <f>IF(A301="","",IFERROR(_xlfn.XLOOKUP(D301,Setup!$E$15:$E$79,Setup!$F$15:$F$79),"Miscellaneous"))</f>
        <v/>
      </c>
      <c r="I301" t="str">
        <f>IF(A301="","",IFERROR(_xlfn.XLOOKUP(D301,Setup!$E$15:$E$79,Setup!$G$15:$G$79),"Uncategorized"))</f>
        <v/>
      </c>
      <c r="J301" t="str">
        <f t="shared" si="26"/>
        <v/>
      </c>
      <c r="K301" s="4" t="str">
        <f t="shared" si="27"/>
        <v/>
      </c>
      <c r="L301" s="47">
        <f t="shared" si="28"/>
        <v>0</v>
      </c>
      <c r="M301" s="47">
        <f t="shared" si="29"/>
        <v>0</v>
      </c>
      <c r="N301" t="str">
        <f>IF(A301="","",IF(D301="Category Pending","Needs categorization",IF(COUNTIFS($A$2:A301,A301,$B$2:B301,B301,$E$2:E301,E301)&gt;1,"Possible duplicate","")))</f>
        <v/>
      </c>
    </row>
    <row r="302" spans="3:14" x14ac:dyDescent="0.3">
      <c r="C302" s="16"/>
      <c r="G302" s="5" t="str">
        <f t="shared" si="25"/>
        <v/>
      </c>
      <c r="H302" t="str">
        <f>IF(A302="","",IFERROR(_xlfn.XLOOKUP(D302,Setup!$E$15:$E$79,Setup!$F$15:$F$79),"Miscellaneous"))</f>
        <v/>
      </c>
      <c r="I302" t="str">
        <f>IF(A302="","",IFERROR(_xlfn.XLOOKUP(D302,Setup!$E$15:$E$79,Setup!$G$15:$G$79),"Uncategorized"))</f>
        <v/>
      </c>
      <c r="J302" t="str">
        <f t="shared" si="26"/>
        <v/>
      </c>
      <c r="K302" s="4" t="str">
        <f t="shared" si="27"/>
        <v/>
      </c>
      <c r="L302" s="47">
        <f t="shared" si="28"/>
        <v>0</v>
      </c>
      <c r="M302" s="47">
        <f t="shared" si="29"/>
        <v>0</v>
      </c>
      <c r="N302" t="str">
        <f>IF(A302="","",IF(D302="Category Pending","Needs categorization",IF(COUNTIFS($A$2:A302,A302,$B$2:B302,B302,$E$2:E302,E302)&gt;1,"Possible duplicate","")))</f>
        <v/>
      </c>
    </row>
    <row r="303" spans="3:14" x14ac:dyDescent="0.3">
      <c r="C303" s="16"/>
      <c r="G303" s="5" t="str">
        <f t="shared" si="25"/>
        <v/>
      </c>
      <c r="H303" t="str">
        <f>IF(A303="","",IFERROR(_xlfn.XLOOKUP(D303,Setup!$E$15:$E$79,Setup!$F$15:$F$79),"Miscellaneous"))</f>
        <v/>
      </c>
      <c r="I303" t="str">
        <f>IF(A303="","",IFERROR(_xlfn.XLOOKUP(D303,Setup!$E$15:$E$79,Setup!$G$15:$G$79),"Uncategorized"))</f>
        <v/>
      </c>
      <c r="J303" t="str">
        <f t="shared" si="26"/>
        <v/>
      </c>
      <c r="K303" s="4" t="str">
        <f t="shared" si="27"/>
        <v/>
      </c>
      <c r="L303" s="47">
        <f t="shared" si="28"/>
        <v>0</v>
      </c>
      <c r="M303" s="47">
        <f t="shared" si="29"/>
        <v>0</v>
      </c>
      <c r="N303" t="str">
        <f>IF(A303="","",IF(D303="Category Pending","Needs categorization",IF(COUNTIFS($A$2:A303,A303,$B$2:B303,B303,$E$2:E303,E303)&gt;1,"Possible duplicate","")))</f>
        <v/>
      </c>
    </row>
    <row r="304" spans="3:14" x14ac:dyDescent="0.3">
      <c r="C304" s="16"/>
      <c r="G304" s="5" t="str">
        <f t="shared" si="25"/>
        <v/>
      </c>
      <c r="H304" t="str">
        <f>IF(A304="","",IFERROR(_xlfn.XLOOKUP(D304,Setup!$E$15:$E$79,Setup!$F$15:$F$79),"Miscellaneous"))</f>
        <v/>
      </c>
      <c r="I304" t="str">
        <f>IF(A304="","",IFERROR(_xlfn.XLOOKUP(D304,Setup!$E$15:$E$79,Setup!$G$15:$G$79),"Uncategorized"))</f>
        <v/>
      </c>
      <c r="J304" t="str">
        <f t="shared" si="26"/>
        <v/>
      </c>
      <c r="K304" s="4" t="str">
        <f t="shared" si="27"/>
        <v/>
      </c>
      <c r="L304" s="47">
        <f t="shared" si="28"/>
        <v>0</v>
      </c>
      <c r="M304" s="47">
        <f t="shared" si="29"/>
        <v>0</v>
      </c>
      <c r="N304" t="str">
        <f>IF(A304="","",IF(D304="Category Pending","Needs categorization",IF(COUNTIFS($A$2:A304,A304,$B$2:B304,B304,$E$2:E304,E304)&gt;1,"Possible duplicate","")))</f>
        <v/>
      </c>
    </row>
    <row r="305" spans="3:14" x14ac:dyDescent="0.3">
      <c r="C305" s="16"/>
      <c r="G305" s="5" t="str">
        <f t="shared" si="25"/>
        <v/>
      </c>
      <c r="H305" t="str">
        <f>IF(A305="","",IFERROR(_xlfn.XLOOKUP(D305,Setup!$E$15:$E$79,Setup!$F$15:$F$79),"Miscellaneous"))</f>
        <v/>
      </c>
      <c r="I305" t="str">
        <f>IF(A305="","",IFERROR(_xlfn.XLOOKUP(D305,Setup!$E$15:$E$79,Setup!$G$15:$G$79),"Uncategorized"))</f>
        <v/>
      </c>
      <c r="J305" t="str">
        <f t="shared" si="26"/>
        <v/>
      </c>
      <c r="K305" s="4" t="str">
        <f t="shared" si="27"/>
        <v/>
      </c>
      <c r="L305" s="47">
        <f t="shared" si="28"/>
        <v>0</v>
      </c>
      <c r="M305" s="47">
        <f t="shared" si="29"/>
        <v>0</v>
      </c>
      <c r="N305" t="str">
        <f>IF(A305="","",IF(D305="Category Pending","Needs categorization",IF(COUNTIFS($A$2:A305,A305,$B$2:B305,B305,$E$2:E305,E305)&gt;1,"Possible duplicate","")))</f>
        <v/>
      </c>
    </row>
    <row r="306" spans="3:14" x14ac:dyDescent="0.3">
      <c r="C306" s="16"/>
      <c r="G306" s="5" t="str">
        <f t="shared" si="25"/>
        <v/>
      </c>
      <c r="H306" t="str">
        <f>IF(A306="","",IFERROR(_xlfn.XLOOKUP(D306,Setup!$E$15:$E$79,Setup!$F$15:$F$79),"Miscellaneous"))</f>
        <v/>
      </c>
      <c r="I306" t="str">
        <f>IF(A306="","",IFERROR(_xlfn.XLOOKUP(D306,Setup!$E$15:$E$79,Setup!$G$15:$G$79),"Uncategorized"))</f>
        <v/>
      </c>
      <c r="J306" t="str">
        <f t="shared" si="26"/>
        <v/>
      </c>
      <c r="K306" s="4" t="str">
        <f t="shared" si="27"/>
        <v/>
      </c>
      <c r="L306" s="47">
        <f t="shared" si="28"/>
        <v>0</v>
      </c>
      <c r="M306" s="47">
        <f t="shared" si="29"/>
        <v>0</v>
      </c>
      <c r="N306" t="str">
        <f>IF(A306="","",IF(D306="Category Pending","Needs categorization",IF(COUNTIFS($A$2:A306,A306,$B$2:B306,B306,$E$2:E306,E306)&gt;1,"Possible duplicate","")))</f>
        <v/>
      </c>
    </row>
    <row r="307" spans="3:14" x14ac:dyDescent="0.3">
      <c r="C307" s="16"/>
      <c r="G307" s="5" t="str">
        <f t="shared" si="25"/>
        <v/>
      </c>
      <c r="H307" t="str">
        <f>IF(A307="","",IFERROR(_xlfn.XLOOKUP(D307,Setup!$E$15:$E$79,Setup!$F$15:$F$79),"Miscellaneous"))</f>
        <v/>
      </c>
      <c r="I307" t="str">
        <f>IF(A307="","",IFERROR(_xlfn.XLOOKUP(D307,Setup!$E$15:$E$79,Setup!$G$15:$G$79),"Uncategorized"))</f>
        <v/>
      </c>
      <c r="J307" t="str">
        <f t="shared" si="26"/>
        <v/>
      </c>
      <c r="K307" s="4" t="str">
        <f t="shared" si="27"/>
        <v/>
      </c>
      <c r="L307" s="47">
        <f t="shared" si="28"/>
        <v>0</v>
      </c>
      <c r="M307" s="47">
        <f t="shared" si="29"/>
        <v>0</v>
      </c>
      <c r="N307" t="str">
        <f>IF(A307="","",IF(D307="Category Pending","Needs categorization",IF(COUNTIFS($A$2:A307,A307,$B$2:B307,B307,$E$2:E307,E307)&gt;1,"Possible duplicate","")))</f>
        <v/>
      </c>
    </row>
    <row r="308" spans="3:14" x14ac:dyDescent="0.3">
      <c r="C308" s="16"/>
      <c r="G308" s="5" t="str">
        <f t="shared" si="25"/>
        <v/>
      </c>
      <c r="H308" t="str">
        <f>IF(A308="","",IFERROR(_xlfn.XLOOKUP(D308,Setup!$E$15:$E$79,Setup!$F$15:$F$79),"Miscellaneous"))</f>
        <v/>
      </c>
      <c r="I308" t="str">
        <f>IF(A308="","",IFERROR(_xlfn.XLOOKUP(D308,Setup!$E$15:$E$79,Setup!$G$15:$G$79),"Uncategorized"))</f>
        <v/>
      </c>
      <c r="J308" t="str">
        <f t="shared" si="26"/>
        <v/>
      </c>
      <c r="K308" s="4" t="str">
        <f t="shared" si="27"/>
        <v/>
      </c>
      <c r="L308" s="47">
        <f t="shared" si="28"/>
        <v>0</v>
      </c>
      <c r="M308" s="47">
        <f t="shared" si="29"/>
        <v>0</v>
      </c>
      <c r="N308" t="str">
        <f>IF(A308="","",IF(D308="Category Pending","Needs categorization",IF(COUNTIFS($A$2:A308,A308,$B$2:B308,B308,$E$2:E308,E308)&gt;1,"Possible duplicate","")))</f>
        <v/>
      </c>
    </row>
    <row r="309" spans="3:14" x14ac:dyDescent="0.3">
      <c r="C309" s="16"/>
      <c r="G309" s="5" t="str">
        <f t="shared" si="25"/>
        <v/>
      </c>
      <c r="H309" t="str">
        <f>IF(A309="","",IFERROR(_xlfn.XLOOKUP(D309,Setup!$E$15:$E$79,Setup!$F$15:$F$79),"Miscellaneous"))</f>
        <v/>
      </c>
      <c r="I309" t="str">
        <f>IF(A309="","",IFERROR(_xlfn.XLOOKUP(D309,Setup!$E$15:$E$79,Setup!$G$15:$G$79),"Uncategorized"))</f>
        <v/>
      </c>
      <c r="J309" t="str">
        <f t="shared" si="26"/>
        <v/>
      </c>
      <c r="K309" s="4" t="str">
        <f t="shared" si="27"/>
        <v/>
      </c>
      <c r="L309" s="47">
        <f t="shared" si="28"/>
        <v>0</v>
      </c>
      <c r="M309" s="47">
        <f t="shared" si="29"/>
        <v>0</v>
      </c>
      <c r="N309" t="str">
        <f>IF(A309="","",IF(D309="Category Pending","Needs categorization",IF(COUNTIFS($A$2:A309,A309,$B$2:B309,B309,$E$2:E309,E309)&gt;1,"Possible duplicate","")))</f>
        <v/>
      </c>
    </row>
    <row r="310" spans="3:14" x14ac:dyDescent="0.3">
      <c r="C310" s="16"/>
      <c r="G310" s="5" t="str">
        <f t="shared" si="25"/>
        <v/>
      </c>
      <c r="H310" t="str">
        <f>IF(A310="","",IFERROR(_xlfn.XLOOKUP(D310,Setup!$E$15:$E$79,Setup!$F$15:$F$79),"Miscellaneous"))</f>
        <v/>
      </c>
      <c r="I310" t="str">
        <f>IF(A310="","",IFERROR(_xlfn.XLOOKUP(D310,Setup!$E$15:$E$79,Setup!$G$15:$G$79),"Uncategorized"))</f>
        <v/>
      </c>
      <c r="J310" t="str">
        <f t="shared" si="26"/>
        <v/>
      </c>
      <c r="K310" s="4" t="str">
        <f t="shared" si="27"/>
        <v/>
      </c>
      <c r="L310" s="47">
        <f t="shared" si="28"/>
        <v>0</v>
      </c>
      <c r="M310" s="47">
        <f t="shared" si="29"/>
        <v>0</v>
      </c>
      <c r="N310" t="str">
        <f>IF(A310="","",IF(D310="Category Pending","Needs categorization",IF(COUNTIFS($A$2:A310,A310,$B$2:B310,B310,$E$2:E310,E310)&gt;1,"Possible duplicate","")))</f>
        <v/>
      </c>
    </row>
    <row r="311" spans="3:14" x14ac:dyDescent="0.3">
      <c r="C311" s="16"/>
      <c r="G311" s="5" t="str">
        <f t="shared" si="25"/>
        <v/>
      </c>
      <c r="H311" t="str">
        <f>IF(A311="","",IFERROR(_xlfn.XLOOKUP(D311,Setup!$E$15:$E$79,Setup!$F$15:$F$79),"Miscellaneous"))</f>
        <v/>
      </c>
      <c r="I311" t="str">
        <f>IF(A311="","",IFERROR(_xlfn.XLOOKUP(D311,Setup!$E$15:$E$79,Setup!$G$15:$G$79),"Uncategorized"))</f>
        <v/>
      </c>
      <c r="J311" t="str">
        <f t="shared" si="26"/>
        <v/>
      </c>
      <c r="K311" s="4" t="str">
        <f t="shared" si="27"/>
        <v/>
      </c>
      <c r="L311" s="47">
        <f t="shared" si="28"/>
        <v>0</v>
      </c>
      <c r="M311" s="47">
        <f t="shared" si="29"/>
        <v>0</v>
      </c>
      <c r="N311" t="str">
        <f>IF(A311="","",IF(D311="Category Pending","Needs categorization",IF(COUNTIFS($A$2:A311,A311,$B$2:B311,B311,$E$2:E311,E311)&gt;1,"Possible duplicate","")))</f>
        <v/>
      </c>
    </row>
    <row r="312" spans="3:14" x14ac:dyDescent="0.3">
      <c r="C312" s="16"/>
      <c r="G312" s="5" t="str">
        <f t="shared" si="25"/>
        <v/>
      </c>
      <c r="H312" t="str">
        <f>IF(A312="","",IFERROR(_xlfn.XLOOKUP(D312,Setup!$E$15:$E$79,Setup!$F$15:$F$79),"Miscellaneous"))</f>
        <v/>
      </c>
      <c r="I312" t="str">
        <f>IF(A312="","",IFERROR(_xlfn.XLOOKUP(D312,Setup!$E$15:$E$79,Setup!$G$15:$G$79),"Uncategorized"))</f>
        <v/>
      </c>
      <c r="J312" t="str">
        <f t="shared" si="26"/>
        <v/>
      </c>
      <c r="K312" s="4" t="str">
        <f t="shared" si="27"/>
        <v/>
      </c>
      <c r="L312" s="47">
        <f t="shared" si="28"/>
        <v>0</v>
      </c>
      <c r="M312" s="47">
        <f t="shared" si="29"/>
        <v>0</v>
      </c>
      <c r="N312" t="str">
        <f>IF(A312="","",IF(D312="Category Pending","Needs categorization",IF(COUNTIFS($A$2:A312,A312,$B$2:B312,B312,$E$2:E312,E312)&gt;1,"Possible duplicate","")))</f>
        <v/>
      </c>
    </row>
    <row r="313" spans="3:14" x14ac:dyDescent="0.3">
      <c r="C313" s="16"/>
      <c r="G313" s="5" t="str">
        <f t="shared" si="25"/>
        <v/>
      </c>
      <c r="H313" t="str">
        <f>IF(A313="","",IFERROR(_xlfn.XLOOKUP(D313,Setup!$E$15:$E$79,Setup!$F$15:$F$79),"Miscellaneous"))</f>
        <v/>
      </c>
      <c r="I313" t="str">
        <f>IF(A313="","",IFERROR(_xlfn.XLOOKUP(D313,Setup!$E$15:$E$79,Setup!$G$15:$G$79),"Uncategorized"))</f>
        <v/>
      </c>
      <c r="J313" t="str">
        <f t="shared" si="26"/>
        <v/>
      </c>
      <c r="K313" s="4" t="str">
        <f t="shared" si="27"/>
        <v/>
      </c>
      <c r="L313" s="47">
        <f t="shared" si="28"/>
        <v>0</v>
      </c>
      <c r="M313" s="47">
        <f t="shared" si="29"/>
        <v>0</v>
      </c>
      <c r="N313" t="str">
        <f>IF(A313="","",IF(D313="Category Pending","Needs categorization",IF(COUNTIFS($A$2:A313,A313,$B$2:B313,B313,$E$2:E313,E313)&gt;1,"Possible duplicate","")))</f>
        <v/>
      </c>
    </row>
    <row r="314" spans="3:14" x14ac:dyDescent="0.3">
      <c r="C314" s="16"/>
      <c r="G314" s="5" t="str">
        <f t="shared" si="25"/>
        <v/>
      </c>
      <c r="H314" t="str">
        <f>IF(A314="","",IFERROR(_xlfn.XLOOKUP(D314,Setup!$E$15:$E$79,Setup!$F$15:$F$79),"Miscellaneous"))</f>
        <v/>
      </c>
      <c r="I314" t="str">
        <f>IF(A314="","",IFERROR(_xlfn.XLOOKUP(D314,Setup!$E$15:$E$79,Setup!$G$15:$G$79),"Uncategorized"))</f>
        <v/>
      </c>
      <c r="J314" t="str">
        <f t="shared" si="26"/>
        <v/>
      </c>
      <c r="K314" s="4" t="str">
        <f t="shared" si="27"/>
        <v/>
      </c>
      <c r="L314" s="47">
        <f t="shared" si="28"/>
        <v>0</v>
      </c>
      <c r="M314" s="47">
        <f t="shared" si="29"/>
        <v>0</v>
      </c>
      <c r="N314" t="str">
        <f>IF(A314="","",IF(D314="Category Pending","Needs categorization",IF(COUNTIFS($A$2:A314,A314,$B$2:B314,B314,$E$2:E314,E314)&gt;1,"Possible duplicate","")))</f>
        <v/>
      </c>
    </row>
    <row r="315" spans="3:14" x14ac:dyDescent="0.3">
      <c r="C315" s="16"/>
      <c r="G315" s="5" t="str">
        <f t="shared" si="25"/>
        <v/>
      </c>
      <c r="H315" t="str">
        <f>IF(A315="","",IFERROR(_xlfn.XLOOKUP(D315,Setup!$E$15:$E$79,Setup!$F$15:$F$79),"Miscellaneous"))</f>
        <v/>
      </c>
      <c r="I315" t="str">
        <f>IF(A315="","",IFERROR(_xlfn.XLOOKUP(D315,Setup!$E$15:$E$79,Setup!$G$15:$G$79),"Uncategorized"))</f>
        <v/>
      </c>
      <c r="J315" t="str">
        <f t="shared" si="26"/>
        <v/>
      </c>
      <c r="K315" s="4" t="str">
        <f t="shared" si="27"/>
        <v/>
      </c>
      <c r="L315" s="47">
        <f t="shared" si="28"/>
        <v>0</v>
      </c>
      <c r="M315" s="47">
        <f t="shared" si="29"/>
        <v>0</v>
      </c>
      <c r="N315" t="str">
        <f>IF(A315="","",IF(D315="Category Pending","Needs categorization",IF(COUNTIFS($A$2:A315,A315,$B$2:B315,B315,$E$2:E315,E315)&gt;1,"Possible duplicate","")))</f>
        <v/>
      </c>
    </row>
    <row r="316" spans="3:14" x14ac:dyDescent="0.3">
      <c r="C316" s="16"/>
      <c r="G316" s="5" t="str">
        <f t="shared" si="25"/>
        <v/>
      </c>
      <c r="H316" t="str">
        <f>IF(A316="","",IFERROR(_xlfn.XLOOKUP(D316,Setup!$E$15:$E$79,Setup!$F$15:$F$79),"Miscellaneous"))</f>
        <v/>
      </c>
      <c r="I316" t="str">
        <f>IF(A316="","",IFERROR(_xlfn.XLOOKUP(D316,Setup!$E$15:$E$79,Setup!$G$15:$G$79),"Uncategorized"))</f>
        <v/>
      </c>
      <c r="J316" t="str">
        <f t="shared" si="26"/>
        <v/>
      </c>
      <c r="K316" s="4" t="str">
        <f t="shared" si="27"/>
        <v/>
      </c>
      <c r="L316" s="47">
        <f t="shared" si="28"/>
        <v>0</v>
      </c>
      <c r="M316" s="47">
        <f t="shared" si="29"/>
        <v>0</v>
      </c>
      <c r="N316" t="str">
        <f>IF(A316="","",IF(D316="Category Pending","Needs categorization",IF(COUNTIFS($A$2:A316,A316,$B$2:B316,B316,$E$2:E316,E316)&gt;1,"Possible duplicate","")))</f>
        <v/>
      </c>
    </row>
    <row r="317" spans="3:14" x14ac:dyDescent="0.3">
      <c r="C317" s="16"/>
      <c r="G317" s="5" t="str">
        <f t="shared" si="25"/>
        <v/>
      </c>
      <c r="H317" t="str">
        <f>IF(A317="","",IFERROR(_xlfn.XLOOKUP(D317,Setup!$E$15:$E$79,Setup!$F$15:$F$79),"Miscellaneous"))</f>
        <v/>
      </c>
      <c r="I317" t="str">
        <f>IF(A317="","",IFERROR(_xlfn.XLOOKUP(D317,Setup!$E$15:$E$79,Setup!$G$15:$G$79),"Uncategorized"))</f>
        <v/>
      </c>
      <c r="J317" t="str">
        <f t="shared" si="26"/>
        <v/>
      </c>
      <c r="K317" s="4" t="str">
        <f t="shared" si="27"/>
        <v/>
      </c>
      <c r="L317" s="47">
        <f t="shared" si="28"/>
        <v>0</v>
      </c>
      <c r="M317" s="47">
        <f t="shared" si="29"/>
        <v>0</v>
      </c>
      <c r="N317" t="str">
        <f>IF(A317="","",IF(D317="Category Pending","Needs categorization",IF(COUNTIFS($A$2:A317,A317,$B$2:B317,B317,$E$2:E317,E317)&gt;1,"Possible duplicate","")))</f>
        <v/>
      </c>
    </row>
    <row r="318" spans="3:14" x14ac:dyDescent="0.3">
      <c r="C318" s="16"/>
      <c r="G318" s="5" t="str">
        <f t="shared" si="25"/>
        <v/>
      </c>
      <c r="H318" t="str">
        <f>IF(A318="","",IFERROR(_xlfn.XLOOKUP(D318,Setup!$E$15:$E$79,Setup!$F$15:$F$79),"Miscellaneous"))</f>
        <v/>
      </c>
      <c r="I318" t="str">
        <f>IF(A318="","",IFERROR(_xlfn.XLOOKUP(D318,Setup!$E$15:$E$79,Setup!$G$15:$G$79),"Uncategorized"))</f>
        <v/>
      </c>
      <c r="J318" t="str">
        <f t="shared" si="26"/>
        <v/>
      </c>
      <c r="K318" s="4" t="str">
        <f t="shared" si="27"/>
        <v/>
      </c>
      <c r="L318" s="47">
        <f t="shared" si="28"/>
        <v>0</v>
      </c>
      <c r="M318" s="47">
        <f t="shared" si="29"/>
        <v>0</v>
      </c>
      <c r="N318" t="str">
        <f>IF(A318="","",IF(D318="Category Pending","Needs categorization",IF(COUNTIFS($A$2:A318,A318,$B$2:B318,B318,$E$2:E318,E318)&gt;1,"Possible duplicate","")))</f>
        <v/>
      </c>
    </row>
    <row r="319" spans="3:14" x14ac:dyDescent="0.3">
      <c r="C319" s="16"/>
      <c r="G319" s="5" t="str">
        <f t="shared" si="25"/>
        <v/>
      </c>
      <c r="H319" t="str">
        <f>IF(A319="","",IFERROR(_xlfn.XLOOKUP(D319,Setup!$E$15:$E$79,Setup!$F$15:$F$79),"Miscellaneous"))</f>
        <v/>
      </c>
      <c r="I319" t="str">
        <f>IF(A319="","",IFERROR(_xlfn.XLOOKUP(D319,Setup!$E$15:$E$79,Setup!$G$15:$G$79),"Uncategorized"))</f>
        <v/>
      </c>
      <c r="J319" t="str">
        <f t="shared" si="26"/>
        <v/>
      </c>
      <c r="K319" s="4" t="str">
        <f t="shared" si="27"/>
        <v/>
      </c>
      <c r="L319" s="47">
        <f t="shared" si="28"/>
        <v>0</v>
      </c>
      <c r="M319" s="47">
        <f t="shared" si="29"/>
        <v>0</v>
      </c>
      <c r="N319" t="str">
        <f>IF(A319="","",IF(D319="Category Pending","Needs categorization",IF(COUNTIFS($A$2:A319,A319,$B$2:B319,B319,$E$2:E319,E319)&gt;1,"Possible duplicate","")))</f>
        <v/>
      </c>
    </row>
    <row r="320" spans="3:14" x14ac:dyDescent="0.3">
      <c r="C320" s="16"/>
      <c r="G320" s="5" t="str">
        <f t="shared" si="25"/>
        <v/>
      </c>
      <c r="H320" t="str">
        <f>IF(A320="","",IFERROR(_xlfn.XLOOKUP(D320,Setup!$E$15:$E$79,Setup!$F$15:$F$79),"Miscellaneous"))</f>
        <v/>
      </c>
      <c r="I320" t="str">
        <f>IF(A320="","",IFERROR(_xlfn.XLOOKUP(D320,Setup!$E$15:$E$79,Setup!$G$15:$G$79),"Uncategorized"))</f>
        <v/>
      </c>
      <c r="J320" t="str">
        <f t="shared" si="26"/>
        <v/>
      </c>
      <c r="K320" s="4" t="str">
        <f t="shared" si="27"/>
        <v/>
      </c>
      <c r="L320" s="47">
        <f t="shared" si="28"/>
        <v>0</v>
      </c>
      <c r="M320" s="47">
        <f t="shared" si="29"/>
        <v>0</v>
      </c>
      <c r="N320" t="str">
        <f>IF(A320="","",IF(D320="Category Pending","Needs categorization",IF(COUNTIFS($A$2:A320,A320,$B$2:B320,B320,$E$2:E320,E320)&gt;1,"Possible duplicate","")))</f>
        <v/>
      </c>
    </row>
    <row r="321" spans="3:14" x14ac:dyDescent="0.3">
      <c r="C321" s="16"/>
      <c r="G321" s="5" t="str">
        <f t="shared" si="25"/>
        <v/>
      </c>
      <c r="H321" t="str">
        <f>IF(A321="","",IFERROR(_xlfn.XLOOKUP(D321,Setup!$E$15:$E$79,Setup!$F$15:$F$79),"Miscellaneous"))</f>
        <v/>
      </c>
      <c r="I321" t="str">
        <f>IF(A321="","",IFERROR(_xlfn.XLOOKUP(D321,Setup!$E$15:$E$79,Setup!$G$15:$G$79),"Uncategorized"))</f>
        <v/>
      </c>
      <c r="J321" t="str">
        <f t="shared" si="26"/>
        <v/>
      </c>
      <c r="K321" s="4" t="str">
        <f t="shared" si="27"/>
        <v/>
      </c>
      <c r="L321" s="47">
        <f t="shared" si="28"/>
        <v>0</v>
      </c>
      <c r="M321" s="47">
        <f t="shared" si="29"/>
        <v>0</v>
      </c>
      <c r="N321" t="str">
        <f>IF(A321="","",IF(D321="Category Pending","Needs categorization",IF(COUNTIFS($A$2:A321,A321,$B$2:B321,B321,$E$2:E321,E321)&gt;1,"Possible duplicate","")))</f>
        <v/>
      </c>
    </row>
    <row r="322" spans="3:14" x14ac:dyDescent="0.3">
      <c r="C322" s="16"/>
      <c r="G322" s="5" t="str">
        <f t="shared" si="25"/>
        <v/>
      </c>
      <c r="H322" t="str">
        <f>IF(A322="","",IFERROR(_xlfn.XLOOKUP(D322,Setup!$E$15:$E$79,Setup!$F$15:$F$79),"Miscellaneous"))</f>
        <v/>
      </c>
      <c r="I322" t="str">
        <f>IF(A322="","",IFERROR(_xlfn.XLOOKUP(D322,Setup!$E$15:$E$79,Setup!$G$15:$G$79),"Uncategorized"))</f>
        <v/>
      </c>
      <c r="J322" t="str">
        <f t="shared" si="26"/>
        <v/>
      </c>
      <c r="K322" s="4" t="str">
        <f t="shared" si="27"/>
        <v/>
      </c>
      <c r="L322" s="47">
        <f t="shared" si="28"/>
        <v>0</v>
      </c>
      <c r="M322" s="47">
        <f t="shared" si="29"/>
        <v>0</v>
      </c>
      <c r="N322" t="str">
        <f>IF(A322="","",IF(D322="Category Pending","Needs categorization",IF(COUNTIFS($A$2:A322,A322,$B$2:B322,B322,$E$2:E322,E322)&gt;1,"Possible duplicate","")))</f>
        <v/>
      </c>
    </row>
    <row r="323" spans="3:14" x14ac:dyDescent="0.3">
      <c r="C323" s="16"/>
      <c r="G323" s="5" t="str">
        <f t="shared" si="25"/>
        <v/>
      </c>
      <c r="H323" t="str">
        <f>IF(A323="","",IFERROR(_xlfn.XLOOKUP(D323,Setup!$E$15:$E$79,Setup!$F$15:$F$79),"Miscellaneous"))</f>
        <v/>
      </c>
      <c r="I323" t="str">
        <f>IF(A323="","",IFERROR(_xlfn.XLOOKUP(D323,Setup!$E$15:$E$79,Setup!$G$15:$G$79),"Uncategorized"))</f>
        <v/>
      </c>
      <c r="J323" t="str">
        <f t="shared" si="26"/>
        <v/>
      </c>
      <c r="K323" s="4" t="str">
        <f t="shared" si="27"/>
        <v/>
      </c>
      <c r="L323" s="47">
        <f t="shared" si="28"/>
        <v>0</v>
      </c>
      <c r="M323" s="47">
        <f t="shared" si="29"/>
        <v>0</v>
      </c>
      <c r="N323" t="str">
        <f>IF(A323="","",IF(D323="Category Pending","Needs categorization",IF(COUNTIFS($A$2:A323,A323,$B$2:B323,B323,$E$2:E323,E323)&gt;1,"Possible duplicate","")))</f>
        <v/>
      </c>
    </row>
    <row r="324" spans="3:14" x14ac:dyDescent="0.3">
      <c r="C324" s="16"/>
      <c r="G324" s="5" t="str">
        <f t="shared" si="25"/>
        <v/>
      </c>
      <c r="H324" t="str">
        <f>IF(A324="","",IFERROR(_xlfn.XLOOKUP(D324,Setup!$E$15:$E$79,Setup!$F$15:$F$79),"Miscellaneous"))</f>
        <v/>
      </c>
      <c r="I324" t="str">
        <f>IF(A324="","",IFERROR(_xlfn.XLOOKUP(D324,Setup!$E$15:$E$79,Setup!$G$15:$G$79),"Uncategorized"))</f>
        <v/>
      </c>
      <c r="J324" t="str">
        <f t="shared" si="26"/>
        <v/>
      </c>
      <c r="K324" s="4" t="str">
        <f t="shared" si="27"/>
        <v/>
      </c>
      <c r="L324" s="47">
        <f t="shared" si="28"/>
        <v>0</v>
      </c>
      <c r="M324" s="47">
        <f t="shared" si="29"/>
        <v>0</v>
      </c>
      <c r="N324" t="str">
        <f>IF(A324="","",IF(D324="Category Pending","Needs categorization",IF(COUNTIFS($A$2:A324,A324,$B$2:B324,B324,$E$2:E324,E324)&gt;1,"Possible duplicate","")))</f>
        <v/>
      </c>
    </row>
    <row r="325" spans="3:14" x14ac:dyDescent="0.3">
      <c r="C325" s="16"/>
      <c r="G325" s="5" t="str">
        <f t="shared" si="25"/>
        <v/>
      </c>
      <c r="H325" t="str">
        <f>IF(A325="","",IFERROR(_xlfn.XLOOKUP(D325,Setup!$E$15:$E$79,Setup!$F$15:$F$79),"Miscellaneous"))</f>
        <v/>
      </c>
      <c r="I325" t="str">
        <f>IF(A325="","",IFERROR(_xlfn.XLOOKUP(D325,Setup!$E$15:$E$79,Setup!$G$15:$G$79),"Uncategorized"))</f>
        <v/>
      </c>
      <c r="J325" t="str">
        <f t="shared" si="26"/>
        <v/>
      </c>
      <c r="K325" s="4" t="str">
        <f t="shared" si="27"/>
        <v/>
      </c>
      <c r="L325" s="47">
        <f t="shared" si="28"/>
        <v>0</v>
      </c>
      <c r="M325" s="47">
        <f t="shared" si="29"/>
        <v>0</v>
      </c>
      <c r="N325" t="str">
        <f>IF(A325="","",IF(D325="Category Pending","Needs categorization",IF(COUNTIFS($A$2:A325,A325,$B$2:B325,B325,$E$2:E325,E325)&gt;1,"Possible duplicate","")))</f>
        <v/>
      </c>
    </row>
    <row r="326" spans="3:14" x14ac:dyDescent="0.3">
      <c r="C326" s="16"/>
      <c r="G326" s="5" t="str">
        <f t="shared" si="25"/>
        <v/>
      </c>
      <c r="H326" t="str">
        <f>IF(A326="","",IFERROR(_xlfn.XLOOKUP(D326,Setup!$E$15:$E$79,Setup!$F$15:$F$79),"Miscellaneous"))</f>
        <v/>
      </c>
      <c r="I326" t="str">
        <f>IF(A326="","",IFERROR(_xlfn.XLOOKUP(D326,Setup!$E$15:$E$79,Setup!$G$15:$G$79),"Uncategorized"))</f>
        <v/>
      </c>
      <c r="J326" t="str">
        <f t="shared" si="26"/>
        <v/>
      </c>
      <c r="K326" s="4" t="str">
        <f t="shared" si="27"/>
        <v/>
      </c>
      <c r="L326" s="47">
        <f t="shared" si="28"/>
        <v>0</v>
      </c>
      <c r="M326" s="47">
        <f t="shared" si="29"/>
        <v>0</v>
      </c>
      <c r="N326" t="str">
        <f>IF(A326="","",IF(D326="Category Pending","Needs categorization",IF(COUNTIFS($A$2:A326,A326,$B$2:B326,B326,$E$2:E326,E326)&gt;1,"Possible duplicate","")))</f>
        <v/>
      </c>
    </row>
    <row r="327" spans="3:14" x14ac:dyDescent="0.3">
      <c r="C327" s="16"/>
      <c r="G327" s="5" t="str">
        <f t="shared" si="25"/>
        <v/>
      </c>
      <c r="H327" t="str">
        <f>IF(A327="","",IFERROR(_xlfn.XLOOKUP(D327,Setup!$E$15:$E$79,Setup!$F$15:$F$79),"Miscellaneous"))</f>
        <v/>
      </c>
      <c r="I327" t="str">
        <f>IF(A327="","",IFERROR(_xlfn.XLOOKUP(D327,Setup!$E$15:$E$79,Setup!$G$15:$G$79),"Uncategorized"))</f>
        <v/>
      </c>
      <c r="J327" t="str">
        <f t="shared" si="26"/>
        <v/>
      </c>
      <c r="K327" s="4" t="str">
        <f t="shared" si="27"/>
        <v/>
      </c>
      <c r="L327" s="47">
        <f t="shared" si="28"/>
        <v>0</v>
      </c>
      <c r="M327" s="47">
        <f t="shared" si="29"/>
        <v>0</v>
      </c>
      <c r="N327" t="str">
        <f>IF(A327="","",IF(D327="Category Pending","Needs categorization",IF(COUNTIFS($A$2:A327,A327,$B$2:B327,B327,$E$2:E327,E327)&gt;1,"Possible duplicate","")))</f>
        <v/>
      </c>
    </row>
    <row r="328" spans="3:14" x14ac:dyDescent="0.3">
      <c r="C328" s="16"/>
      <c r="G328" s="5" t="str">
        <f t="shared" si="25"/>
        <v/>
      </c>
      <c r="H328" t="str">
        <f>IF(A328="","",IFERROR(_xlfn.XLOOKUP(D328,Setup!$E$15:$E$79,Setup!$F$15:$F$79),"Miscellaneous"))</f>
        <v/>
      </c>
      <c r="I328" t="str">
        <f>IF(A328="","",IFERROR(_xlfn.XLOOKUP(D328,Setup!$E$15:$E$79,Setup!$G$15:$G$79),"Uncategorized"))</f>
        <v/>
      </c>
      <c r="J328" t="str">
        <f t="shared" si="26"/>
        <v/>
      </c>
      <c r="K328" s="4" t="str">
        <f t="shared" si="27"/>
        <v/>
      </c>
      <c r="L328" s="47">
        <f t="shared" si="28"/>
        <v>0</v>
      </c>
      <c r="M328" s="47">
        <f t="shared" si="29"/>
        <v>0</v>
      </c>
      <c r="N328" t="str">
        <f>IF(A328="","",IF(D328="Category Pending","Needs categorization",IF(COUNTIFS($A$2:A328,A328,$B$2:B328,B328,$E$2:E328,E328)&gt;1,"Possible duplicate","")))</f>
        <v/>
      </c>
    </row>
    <row r="329" spans="3:14" x14ac:dyDescent="0.3">
      <c r="C329" s="16"/>
      <c r="G329" s="5" t="str">
        <f t="shared" si="25"/>
        <v/>
      </c>
      <c r="H329" t="str">
        <f>IF(A329="","",IFERROR(_xlfn.XLOOKUP(D329,Setup!$E$15:$E$79,Setup!$F$15:$F$79),"Miscellaneous"))</f>
        <v/>
      </c>
      <c r="I329" t="str">
        <f>IF(A329="","",IFERROR(_xlfn.XLOOKUP(D329,Setup!$E$15:$E$79,Setup!$G$15:$G$79),"Uncategorized"))</f>
        <v/>
      </c>
      <c r="J329" t="str">
        <f t="shared" si="26"/>
        <v/>
      </c>
      <c r="K329" s="4" t="str">
        <f t="shared" si="27"/>
        <v/>
      </c>
      <c r="L329" s="47">
        <f t="shared" si="28"/>
        <v>0</v>
      </c>
      <c r="M329" s="47">
        <f t="shared" si="29"/>
        <v>0</v>
      </c>
      <c r="N329" t="str">
        <f>IF(A329="","",IF(D329="Category Pending","Needs categorization",IF(COUNTIFS($A$2:A329,A329,$B$2:B329,B329,$E$2:E329,E329)&gt;1,"Possible duplicate","")))</f>
        <v/>
      </c>
    </row>
    <row r="330" spans="3:14" x14ac:dyDescent="0.3">
      <c r="C330" s="16"/>
      <c r="G330" s="5" t="str">
        <f t="shared" si="25"/>
        <v/>
      </c>
      <c r="H330" t="str">
        <f>IF(A330="","",IFERROR(_xlfn.XLOOKUP(D330,Setup!$E$15:$E$79,Setup!$F$15:$F$79),"Miscellaneous"))</f>
        <v/>
      </c>
      <c r="I330" t="str">
        <f>IF(A330="","",IFERROR(_xlfn.XLOOKUP(D330,Setup!$E$15:$E$79,Setup!$G$15:$G$79),"Uncategorized"))</f>
        <v/>
      </c>
      <c r="J330" t="str">
        <f t="shared" si="26"/>
        <v/>
      </c>
      <c r="K330" s="4" t="str">
        <f t="shared" si="27"/>
        <v/>
      </c>
      <c r="L330" s="47">
        <f t="shared" si="28"/>
        <v>0</v>
      </c>
      <c r="M330" s="47">
        <f t="shared" si="29"/>
        <v>0</v>
      </c>
      <c r="N330" t="str">
        <f>IF(A330="","",IF(D330="Category Pending","Needs categorization",IF(COUNTIFS($A$2:A330,A330,$B$2:B330,B330,$E$2:E330,E330)&gt;1,"Possible duplicate","")))</f>
        <v/>
      </c>
    </row>
    <row r="331" spans="3:14" x14ac:dyDescent="0.3">
      <c r="C331" s="16"/>
      <c r="G331" s="5" t="str">
        <f t="shared" si="25"/>
        <v/>
      </c>
      <c r="H331" t="str">
        <f>IF(A331="","",IFERROR(_xlfn.XLOOKUP(D331,Setup!$E$15:$E$79,Setup!$F$15:$F$79),"Miscellaneous"))</f>
        <v/>
      </c>
      <c r="I331" t="str">
        <f>IF(A331="","",IFERROR(_xlfn.XLOOKUP(D331,Setup!$E$15:$E$79,Setup!$G$15:$G$79),"Uncategorized"))</f>
        <v/>
      </c>
      <c r="J331" t="str">
        <f t="shared" si="26"/>
        <v/>
      </c>
      <c r="K331" s="4" t="str">
        <f t="shared" si="27"/>
        <v/>
      </c>
      <c r="L331" s="47">
        <f t="shared" si="28"/>
        <v>0</v>
      </c>
      <c r="M331" s="47">
        <f t="shared" si="29"/>
        <v>0</v>
      </c>
      <c r="N331" t="str">
        <f>IF(A331="","",IF(D331="Category Pending","Needs categorization",IF(COUNTIFS($A$2:A331,A331,$B$2:B331,B331,$E$2:E331,E331)&gt;1,"Possible duplicate","")))</f>
        <v/>
      </c>
    </row>
    <row r="332" spans="3:14" x14ac:dyDescent="0.3">
      <c r="C332" s="16"/>
      <c r="G332" s="5" t="str">
        <f t="shared" si="25"/>
        <v/>
      </c>
      <c r="H332" t="str">
        <f>IF(A332="","",IFERROR(_xlfn.XLOOKUP(D332,Setup!$E$15:$E$79,Setup!$F$15:$F$79),"Miscellaneous"))</f>
        <v/>
      </c>
      <c r="I332" t="str">
        <f>IF(A332="","",IFERROR(_xlfn.XLOOKUP(D332,Setup!$E$15:$E$79,Setup!$G$15:$G$79),"Uncategorized"))</f>
        <v/>
      </c>
      <c r="J332" t="str">
        <f t="shared" si="26"/>
        <v/>
      </c>
      <c r="K332" s="4" t="str">
        <f t="shared" si="27"/>
        <v/>
      </c>
      <c r="L332" s="47">
        <f t="shared" si="28"/>
        <v>0</v>
      </c>
      <c r="M332" s="47">
        <f t="shared" si="29"/>
        <v>0</v>
      </c>
      <c r="N332" t="str">
        <f>IF(A332="","",IF(D332="Category Pending","Needs categorization",IF(COUNTIFS($A$2:A332,A332,$B$2:B332,B332,$E$2:E332,E332)&gt;1,"Possible duplicate","")))</f>
        <v/>
      </c>
    </row>
    <row r="333" spans="3:14" x14ac:dyDescent="0.3">
      <c r="C333" s="16"/>
      <c r="G333" s="5" t="str">
        <f t="shared" si="25"/>
        <v/>
      </c>
      <c r="H333" t="str">
        <f>IF(A333="","",IFERROR(_xlfn.XLOOKUP(D333,Setup!$E$15:$E$79,Setup!$F$15:$F$79),"Miscellaneous"))</f>
        <v/>
      </c>
      <c r="I333" t="str">
        <f>IF(A333="","",IFERROR(_xlfn.XLOOKUP(D333,Setup!$E$15:$E$79,Setup!$G$15:$G$79),"Uncategorized"))</f>
        <v/>
      </c>
      <c r="J333" t="str">
        <f t="shared" si="26"/>
        <v/>
      </c>
      <c r="K333" s="4" t="str">
        <f t="shared" si="27"/>
        <v/>
      </c>
      <c r="L333" s="47">
        <f t="shared" si="28"/>
        <v>0</v>
      </c>
      <c r="M333" s="47">
        <f t="shared" si="29"/>
        <v>0</v>
      </c>
      <c r="N333" t="str">
        <f>IF(A333="","",IF(D333="Category Pending","Needs categorization",IF(COUNTIFS($A$2:A333,A333,$B$2:B333,B333,$E$2:E333,E333)&gt;1,"Possible duplicate","")))</f>
        <v/>
      </c>
    </row>
    <row r="334" spans="3:14" x14ac:dyDescent="0.3">
      <c r="C334" s="16"/>
      <c r="G334" s="5" t="str">
        <f t="shared" si="25"/>
        <v/>
      </c>
      <c r="H334" t="str">
        <f>IF(A334="","",IFERROR(_xlfn.XLOOKUP(D334,Setup!$E$15:$E$79,Setup!$F$15:$F$79),"Miscellaneous"))</f>
        <v/>
      </c>
      <c r="I334" t="str">
        <f>IF(A334="","",IFERROR(_xlfn.XLOOKUP(D334,Setup!$E$15:$E$79,Setup!$G$15:$G$79),"Uncategorized"))</f>
        <v/>
      </c>
      <c r="J334" t="str">
        <f t="shared" si="26"/>
        <v/>
      </c>
      <c r="K334" s="4" t="str">
        <f t="shared" si="27"/>
        <v/>
      </c>
      <c r="L334" s="47">
        <f t="shared" si="28"/>
        <v>0</v>
      </c>
      <c r="M334" s="47">
        <f t="shared" si="29"/>
        <v>0</v>
      </c>
      <c r="N334" t="str">
        <f>IF(A334="","",IF(D334="Category Pending","Needs categorization",IF(COUNTIFS($A$2:A334,A334,$B$2:B334,B334,$E$2:E334,E334)&gt;1,"Possible duplicate","")))</f>
        <v/>
      </c>
    </row>
    <row r="335" spans="3:14" x14ac:dyDescent="0.3">
      <c r="C335" s="16"/>
      <c r="G335" s="5" t="str">
        <f t="shared" si="25"/>
        <v/>
      </c>
      <c r="H335" t="str">
        <f>IF(A335="","",IFERROR(_xlfn.XLOOKUP(D335,Setup!$E$15:$E$79,Setup!$F$15:$F$79),"Miscellaneous"))</f>
        <v/>
      </c>
      <c r="I335" t="str">
        <f>IF(A335="","",IFERROR(_xlfn.XLOOKUP(D335,Setup!$E$15:$E$79,Setup!$G$15:$G$79),"Uncategorized"))</f>
        <v/>
      </c>
      <c r="J335" t="str">
        <f t="shared" si="26"/>
        <v/>
      </c>
      <c r="K335" s="4" t="str">
        <f t="shared" si="27"/>
        <v/>
      </c>
      <c r="L335" s="47">
        <f t="shared" si="28"/>
        <v>0</v>
      </c>
      <c r="M335" s="47">
        <f t="shared" si="29"/>
        <v>0</v>
      </c>
      <c r="N335" t="str">
        <f>IF(A335="","",IF(D335="Category Pending","Needs categorization",IF(COUNTIFS($A$2:A335,A335,$B$2:B335,B335,$E$2:E335,E335)&gt;1,"Possible duplicate","")))</f>
        <v/>
      </c>
    </row>
    <row r="336" spans="3:14" x14ac:dyDescent="0.3">
      <c r="C336" s="16"/>
      <c r="G336" s="5" t="str">
        <f t="shared" si="25"/>
        <v/>
      </c>
      <c r="H336" t="str">
        <f>IF(A336="","",IFERROR(_xlfn.XLOOKUP(D336,Setup!$E$15:$E$79,Setup!$F$15:$F$79),"Miscellaneous"))</f>
        <v/>
      </c>
      <c r="I336" t="str">
        <f>IF(A336="","",IFERROR(_xlfn.XLOOKUP(D336,Setup!$E$15:$E$79,Setup!$G$15:$G$79),"Uncategorized"))</f>
        <v/>
      </c>
      <c r="J336" t="str">
        <f t="shared" si="26"/>
        <v/>
      </c>
      <c r="K336" s="4" t="str">
        <f t="shared" si="27"/>
        <v/>
      </c>
      <c r="L336" s="47">
        <f t="shared" si="28"/>
        <v>0</v>
      </c>
      <c r="M336" s="47">
        <f t="shared" si="29"/>
        <v>0</v>
      </c>
      <c r="N336" t="str">
        <f>IF(A336="","",IF(D336="Category Pending","Needs categorization",IF(COUNTIFS($A$2:A336,A336,$B$2:B336,B336,$E$2:E336,E336)&gt;1,"Possible duplicate","")))</f>
        <v/>
      </c>
    </row>
    <row r="337" spans="3:14" x14ac:dyDescent="0.3">
      <c r="C337" s="16"/>
      <c r="G337" s="5" t="str">
        <f t="shared" si="25"/>
        <v/>
      </c>
      <c r="H337" t="str">
        <f>IF(A337="","",IFERROR(_xlfn.XLOOKUP(D337,Setup!$E$15:$E$79,Setup!$F$15:$F$79),"Miscellaneous"))</f>
        <v/>
      </c>
      <c r="I337" t="str">
        <f>IF(A337="","",IFERROR(_xlfn.XLOOKUP(D337,Setup!$E$15:$E$79,Setup!$G$15:$G$79),"Uncategorized"))</f>
        <v/>
      </c>
      <c r="J337" t="str">
        <f t="shared" si="26"/>
        <v/>
      </c>
      <c r="K337" s="4" t="str">
        <f t="shared" si="27"/>
        <v/>
      </c>
      <c r="L337" s="47">
        <f t="shared" si="28"/>
        <v>0</v>
      </c>
      <c r="M337" s="47">
        <f t="shared" si="29"/>
        <v>0</v>
      </c>
      <c r="N337" t="str">
        <f>IF(A337="","",IF(D337="Category Pending","Needs categorization",IF(COUNTIFS($A$2:A337,A337,$B$2:B337,B337,$E$2:E337,E337)&gt;1,"Possible duplicate","")))</f>
        <v/>
      </c>
    </row>
    <row r="338" spans="3:14" x14ac:dyDescent="0.3">
      <c r="C338" s="16"/>
      <c r="G338" s="5" t="str">
        <f t="shared" si="25"/>
        <v/>
      </c>
      <c r="H338" t="str">
        <f>IF(A338="","",IFERROR(_xlfn.XLOOKUP(D338,Setup!$E$15:$E$79,Setup!$F$15:$F$79),"Miscellaneous"))</f>
        <v/>
      </c>
      <c r="I338" t="str">
        <f>IF(A338="","",IFERROR(_xlfn.XLOOKUP(D338,Setup!$E$15:$E$79,Setup!$G$15:$G$79),"Uncategorized"))</f>
        <v/>
      </c>
      <c r="J338" t="str">
        <f t="shared" si="26"/>
        <v/>
      </c>
      <c r="K338" s="4" t="str">
        <f t="shared" si="27"/>
        <v/>
      </c>
      <c r="L338" s="47">
        <f t="shared" si="28"/>
        <v>0</v>
      </c>
      <c r="M338" s="47">
        <f t="shared" si="29"/>
        <v>0</v>
      </c>
      <c r="N338" t="str">
        <f>IF(A338="","",IF(D338="Category Pending","Needs categorization",IF(COUNTIFS($A$2:A338,A338,$B$2:B338,B338,$E$2:E338,E338)&gt;1,"Possible duplicate","")))</f>
        <v/>
      </c>
    </row>
    <row r="339" spans="3:14" x14ac:dyDescent="0.3">
      <c r="C339" s="16"/>
      <c r="G339" s="5" t="str">
        <f t="shared" si="25"/>
        <v/>
      </c>
      <c r="H339" t="str">
        <f>IF(A339="","",IFERROR(_xlfn.XLOOKUP(D339,Setup!$E$15:$E$79,Setup!$F$15:$F$79),"Miscellaneous"))</f>
        <v/>
      </c>
      <c r="I339" t="str">
        <f>IF(A339="","",IFERROR(_xlfn.XLOOKUP(D339,Setup!$E$15:$E$79,Setup!$G$15:$G$79),"Uncategorized"))</f>
        <v/>
      </c>
      <c r="J339" t="str">
        <f t="shared" si="26"/>
        <v/>
      </c>
      <c r="K339" s="4" t="str">
        <f t="shared" si="27"/>
        <v/>
      </c>
      <c r="L339" s="47">
        <f t="shared" si="28"/>
        <v>0</v>
      </c>
      <c r="M339" s="47">
        <f t="shared" si="29"/>
        <v>0</v>
      </c>
      <c r="N339" t="str">
        <f>IF(A339="","",IF(D339="Category Pending","Needs categorization",IF(COUNTIFS($A$2:A339,A339,$B$2:B339,B339,$E$2:E339,E339)&gt;1,"Possible duplicate","")))</f>
        <v/>
      </c>
    </row>
    <row r="340" spans="3:14" x14ac:dyDescent="0.3">
      <c r="C340" s="16"/>
      <c r="G340" s="5" t="str">
        <f t="shared" si="25"/>
        <v/>
      </c>
      <c r="H340" t="str">
        <f>IF(A340="","",IFERROR(_xlfn.XLOOKUP(D340,Setup!$E$15:$E$79,Setup!$F$15:$F$79),"Miscellaneous"))</f>
        <v/>
      </c>
      <c r="I340" t="str">
        <f>IF(A340="","",IFERROR(_xlfn.XLOOKUP(D340,Setup!$E$15:$E$79,Setup!$G$15:$G$79),"Uncategorized"))</f>
        <v/>
      </c>
      <c r="J340" t="str">
        <f t="shared" si="26"/>
        <v/>
      </c>
      <c r="K340" s="4" t="str">
        <f t="shared" si="27"/>
        <v/>
      </c>
      <c r="L340" s="47">
        <f t="shared" si="28"/>
        <v>0</v>
      </c>
      <c r="M340" s="47">
        <f t="shared" si="29"/>
        <v>0</v>
      </c>
      <c r="N340" t="str">
        <f>IF(A340="","",IF(D340="Category Pending","Needs categorization",IF(COUNTIFS($A$2:A340,A340,$B$2:B340,B340,$E$2:E340,E340)&gt;1,"Possible duplicate","")))</f>
        <v/>
      </c>
    </row>
    <row r="341" spans="3:14" x14ac:dyDescent="0.3">
      <c r="C341" s="16"/>
      <c r="G341" s="5" t="str">
        <f t="shared" si="25"/>
        <v/>
      </c>
      <c r="H341" t="str">
        <f>IF(A341="","",IFERROR(_xlfn.XLOOKUP(D341,Setup!$E$15:$E$79,Setup!$F$15:$F$79),"Miscellaneous"))</f>
        <v/>
      </c>
      <c r="I341" t="str">
        <f>IF(A341="","",IFERROR(_xlfn.XLOOKUP(D341,Setup!$E$15:$E$79,Setup!$G$15:$G$79),"Uncategorized"))</f>
        <v/>
      </c>
      <c r="J341" t="str">
        <f t="shared" si="26"/>
        <v/>
      </c>
      <c r="K341" s="4" t="str">
        <f t="shared" si="27"/>
        <v/>
      </c>
      <c r="L341" s="47">
        <f t="shared" si="28"/>
        <v>0</v>
      </c>
      <c r="M341" s="47">
        <f t="shared" si="29"/>
        <v>0</v>
      </c>
      <c r="N341" t="str">
        <f>IF(A341="","",IF(D341="Category Pending","Needs categorization",IF(COUNTIFS($A$2:A341,A341,$B$2:B341,B341,$E$2:E341,E341)&gt;1,"Possible duplicate","")))</f>
        <v/>
      </c>
    </row>
    <row r="342" spans="3:14" x14ac:dyDescent="0.3">
      <c r="C342" s="16"/>
      <c r="G342" s="5" t="str">
        <f t="shared" si="25"/>
        <v/>
      </c>
      <c r="H342" t="str">
        <f>IF(A342="","",IFERROR(_xlfn.XLOOKUP(D342,Setup!$E$15:$E$79,Setup!$F$15:$F$79),"Miscellaneous"))</f>
        <v/>
      </c>
      <c r="I342" t="str">
        <f>IF(A342="","",IFERROR(_xlfn.XLOOKUP(D342,Setup!$E$15:$E$79,Setup!$G$15:$G$79),"Uncategorized"))</f>
        <v/>
      </c>
      <c r="J342" t="str">
        <f t="shared" si="26"/>
        <v/>
      </c>
      <c r="K342" s="4" t="str">
        <f t="shared" si="27"/>
        <v/>
      </c>
      <c r="L342" s="47">
        <f t="shared" si="28"/>
        <v>0</v>
      </c>
      <c r="M342" s="47">
        <f t="shared" si="29"/>
        <v>0</v>
      </c>
      <c r="N342" t="str">
        <f>IF(A342="","",IF(D342="Category Pending","Needs categorization",IF(COUNTIFS($A$2:A342,A342,$B$2:B342,B342,$E$2:E342,E342)&gt;1,"Possible duplicate","")))</f>
        <v/>
      </c>
    </row>
    <row r="343" spans="3:14" x14ac:dyDescent="0.3">
      <c r="C343" s="16"/>
      <c r="G343" s="5" t="str">
        <f t="shared" si="25"/>
        <v/>
      </c>
      <c r="H343" t="str">
        <f>IF(A343="","",IFERROR(_xlfn.XLOOKUP(D343,Setup!$E$15:$E$79,Setup!$F$15:$F$79),"Miscellaneous"))</f>
        <v/>
      </c>
      <c r="I343" t="str">
        <f>IF(A343="","",IFERROR(_xlfn.XLOOKUP(D343,Setup!$E$15:$E$79,Setup!$G$15:$G$79),"Uncategorized"))</f>
        <v/>
      </c>
      <c r="J343" t="str">
        <f t="shared" si="26"/>
        <v/>
      </c>
      <c r="K343" s="4" t="str">
        <f t="shared" si="27"/>
        <v/>
      </c>
      <c r="L343" s="47">
        <f t="shared" si="28"/>
        <v>0</v>
      </c>
      <c r="M343" s="47">
        <f t="shared" si="29"/>
        <v>0</v>
      </c>
      <c r="N343" t="str">
        <f>IF(A343="","",IF(D343="Category Pending","Needs categorization",IF(COUNTIFS($A$2:A343,A343,$B$2:B343,B343,$E$2:E343,E343)&gt;1,"Possible duplicate","")))</f>
        <v/>
      </c>
    </row>
    <row r="344" spans="3:14" x14ac:dyDescent="0.3">
      <c r="C344" s="16"/>
      <c r="G344" s="5" t="str">
        <f t="shared" si="25"/>
        <v/>
      </c>
      <c r="H344" t="str">
        <f>IF(A344="","",IFERROR(_xlfn.XLOOKUP(D344,Setup!$E$15:$E$79,Setup!$F$15:$F$79),"Miscellaneous"))</f>
        <v/>
      </c>
      <c r="I344" t="str">
        <f>IF(A344="","",IFERROR(_xlfn.XLOOKUP(D344,Setup!$E$15:$E$79,Setup!$G$15:$G$79),"Uncategorized"))</f>
        <v/>
      </c>
      <c r="J344" t="str">
        <f t="shared" si="26"/>
        <v/>
      </c>
      <c r="K344" s="4" t="str">
        <f t="shared" si="27"/>
        <v/>
      </c>
      <c r="L344" s="47">
        <f t="shared" si="28"/>
        <v>0</v>
      </c>
      <c r="M344" s="47">
        <f t="shared" si="29"/>
        <v>0</v>
      </c>
      <c r="N344" t="str">
        <f>IF(A344="","",IF(D344="Category Pending","Needs categorization",IF(COUNTIFS($A$2:A344,A344,$B$2:B344,B344,$E$2:E344,E344)&gt;1,"Possible duplicate","")))</f>
        <v/>
      </c>
    </row>
    <row r="345" spans="3:14" x14ac:dyDescent="0.3">
      <c r="C345" s="16"/>
      <c r="G345" s="5" t="str">
        <f t="shared" si="25"/>
        <v/>
      </c>
      <c r="H345" t="str">
        <f>IF(A345="","",IFERROR(_xlfn.XLOOKUP(D345,Setup!$E$15:$E$79,Setup!$F$15:$F$79),"Miscellaneous"))</f>
        <v/>
      </c>
      <c r="I345" t="str">
        <f>IF(A345="","",IFERROR(_xlfn.XLOOKUP(D345,Setup!$E$15:$E$79,Setup!$G$15:$G$79),"Uncategorized"))</f>
        <v/>
      </c>
      <c r="J345" t="str">
        <f t="shared" si="26"/>
        <v/>
      </c>
      <c r="K345" s="4" t="str">
        <f t="shared" si="27"/>
        <v/>
      </c>
      <c r="L345" s="47">
        <f t="shared" si="28"/>
        <v>0</v>
      </c>
      <c r="M345" s="47">
        <f t="shared" si="29"/>
        <v>0</v>
      </c>
      <c r="N345" t="str">
        <f>IF(A345="","",IF(D345="Category Pending","Needs categorization",IF(COUNTIFS($A$2:A345,A345,$B$2:B345,B345,$E$2:E345,E345)&gt;1,"Possible duplicate","")))</f>
        <v/>
      </c>
    </row>
    <row r="346" spans="3:14" x14ac:dyDescent="0.3">
      <c r="C346" s="16"/>
      <c r="G346" s="5" t="str">
        <f t="shared" si="25"/>
        <v/>
      </c>
      <c r="H346" t="str">
        <f>IF(A346="","",IFERROR(_xlfn.XLOOKUP(D346,Setup!$E$15:$E$79,Setup!$F$15:$F$79),"Miscellaneous"))</f>
        <v/>
      </c>
      <c r="I346" t="str">
        <f>IF(A346="","",IFERROR(_xlfn.XLOOKUP(D346,Setup!$E$15:$E$79,Setup!$G$15:$G$79),"Uncategorized"))</f>
        <v/>
      </c>
      <c r="J346" t="str">
        <f t="shared" si="26"/>
        <v/>
      </c>
      <c r="K346" s="4" t="str">
        <f t="shared" si="27"/>
        <v/>
      </c>
      <c r="L346" s="47">
        <f t="shared" si="28"/>
        <v>0</v>
      </c>
      <c r="M346" s="47">
        <f t="shared" si="29"/>
        <v>0</v>
      </c>
      <c r="N346" t="str">
        <f>IF(A346="","",IF(D346="Category Pending","Needs categorization",IF(COUNTIFS($A$2:A346,A346,$B$2:B346,B346,$E$2:E346,E346)&gt;1,"Possible duplicate","")))</f>
        <v/>
      </c>
    </row>
    <row r="347" spans="3:14" x14ac:dyDescent="0.3">
      <c r="C347" s="16"/>
      <c r="G347" s="5" t="str">
        <f t="shared" si="25"/>
        <v/>
      </c>
      <c r="H347" t="str">
        <f>IF(A347="","",IFERROR(_xlfn.XLOOKUP(D347,Setup!$E$15:$E$79,Setup!$F$15:$F$79),"Miscellaneous"))</f>
        <v/>
      </c>
      <c r="I347" t="str">
        <f>IF(A347="","",IFERROR(_xlfn.XLOOKUP(D347,Setup!$E$15:$E$79,Setup!$G$15:$G$79),"Uncategorized"))</f>
        <v/>
      </c>
      <c r="J347" t="str">
        <f t="shared" si="26"/>
        <v/>
      </c>
      <c r="K347" s="4" t="str">
        <f t="shared" si="27"/>
        <v/>
      </c>
      <c r="L347" s="47">
        <f t="shared" si="28"/>
        <v>0</v>
      </c>
      <c r="M347" s="47">
        <f t="shared" si="29"/>
        <v>0</v>
      </c>
      <c r="N347" t="str">
        <f>IF(A347="","",IF(D347="Category Pending","Needs categorization",IF(COUNTIFS($A$2:A347,A347,$B$2:B347,B347,$E$2:E347,E347)&gt;1,"Possible duplicate","")))</f>
        <v/>
      </c>
    </row>
    <row r="348" spans="3:14" x14ac:dyDescent="0.3">
      <c r="C348" s="16"/>
      <c r="G348" s="5" t="str">
        <f t="shared" si="25"/>
        <v/>
      </c>
      <c r="H348" t="str">
        <f>IF(A348="","",IFERROR(_xlfn.XLOOKUP(D348,Setup!$E$15:$E$79,Setup!$F$15:$F$79),"Miscellaneous"))</f>
        <v/>
      </c>
      <c r="I348" t="str">
        <f>IF(A348="","",IFERROR(_xlfn.XLOOKUP(D348,Setup!$E$15:$E$79,Setup!$G$15:$G$79),"Uncategorized"))</f>
        <v/>
      </c>
      <c r="J348" t="str">
        <f t="shared" si="26"/>
        <v/>
      </c>
      <c r="K348" s="4" t="str">
        <f t="shared" si="27"/>
        <v/>
      </c>
      <c r="L348" s="47">
        <f t="shared" si="28"/>
        <v>0</v>
      </c>
      <c r="M348" s="47">
        <f t="shared" si="29"/>
        <v>0</v>
      </c>
      <c r="N348" t="str">
        <f>IF(A348="","",IF(D348="Category Pending","Needs categorization",IF(COUNTIFS($A$2:A348,A348,$B$2:B348,B348,$E$2:E348,E348)&gt;1,"Possible duplicate","")))</f>
        <v/>
      </c>
    </row>
    <row r="349" spans="3:14" x14ac:dyDescent="0.3">
      <c r="C349" s="16"/>
      <c r="G349" s="5" t="str">
        <f t="shared" si="25"/>
        <v/>
      </c>
      <c r="H349" t="str">
        <f>IF(A349="","",IFERROR(_xlfn.XLOOKUP(D349,Setup!$E$15:$E$79,Setup!$F$15:$F$79),"Miscellaneous"))</f>
        <v/>
      </c>
      <c r="I349" t="str">
        <f>IF(A349="","",IFERROR(_xlfn.XLOOKUP(D349,Setup!$E$15:$E$79,Setup!$G$15:$G$79),"Uncategorized"))</f>
        <v/>
      </c>
      <c r="J349" t="str">
        <f t="shared" si="26"/>
        <v/>
      </c>
      <c r="K349" s="4" t="str">
        <f t="shared" si="27"/>
        <v/>
      </c>
      <c r="L349" s="47">
        <f t="shared" si="28"/>
        <v>0</v>
      </c>
      <c r="M349" s="47">
        <f t="shared" si="29"/>
        <v>0</v>
      </c>
      <c r="N349" t="str">
        <f>IF(A349="","",IF(D349="Category Pending","Needs categorization",IF(COUNTIFS($A$2:A349,A349,$B$2:B349,B349,$E$2:E349,E349)&gt;1,"Possible duplicate","")))</f>
        <v/>
      </c>
    </row>
    <row r="350" spans="3:14" x14ac:dyDescent="0.3">
      <c r="C350" s="16"/>
      <c r="G350" s="5" t="str">
        <f t="shared" si="25"/>
        <v/>
      </c>
      <c r="H350" t="str">
        <f>IF(A350="","",IFERROR(_xlfn.XLOOKUP(D350,Setup!$E$15:$E$79,Setup!$F$15:$F$79),"Miscellaneous"))</f>
        <v/>
      </c>
      <c r="I350" t="str">
        <f>IF(A350="","",IFERROR(_xlfn.XLOOKUP(D350,Setup!$E$15:$E$79,Setup!$G$15:$G$79),"Uncategorized"))</f>
        <v/>
      </c>
      <c r="J350" t="str">
        <f t="shared" si="26"/>
        <v/>
      </c>
      <c r="K350" s="4" t="str">
        <f t="shared" si="27"/>
        <v/>
      </c>
      <c r="L350" s="47">
        <f t="shared" si="28"/>
        <v>0</v>
      </c>
      <c r="M350" s="47">
        <f t="shared" si="29"/>
        <v>0</v>
      </c>
      <c r="N350" t="str">
        <f>IF(A350="","",IF(D350="Category Pending","Needs categorization",IF(COUNTIFS($A$2:A350,A350,$B$2:B350,B350,$E$2:E350,E350)&gt;1,"Possible duplicate","")))</f>
        <v/>
      </c>
    </row>
    <row r="351" spans="3:14" x14ac:dyDescent="0.3">
      <c r="C351" s="16"/>
      <c r="G351" s="5" t="str">
        <f t="shared" si="25"/>
        <v/>
      </c>
      <c r="H351" t="str">
        <f>IF(A351="","",IFERROR(_xlfn.XLOOKUP(D351,Setup!$E$15:$E$79,Setup!$F$15:$F$79),"Miscellaneous"))</f>
        <v/>
      </c>
      <c r="I351" t="str">
        <f>IF(A351="","",IFERROR(_xlfn.XLOOKUP(D351,Setup!$E$15:$E$79,Setup!$G$15:$G$79),"Uncategorized"))</f>
        <v/>
      </c>
      <c r="J351" t="str">
        <f t="shared" si="26"/>
        <v/>
      </c>
      <c r="K351" s="4" t="str">
        <f t="shared" si="27"/>
        <v/>
      </c>
      <c r="L351" s="47">
        <f t="shared" si="28"/>
        <v>0</v>
      </c>
      <c r="M351" s="47">
        <f t="shared" si="29"/>
        <v>0</v>
      </c>
      <c r="N351" t="str">
        <f>IF(A351="","",IF(D351="Category Pending","Needs categorization",IF(COUNTIFS($A$2:A351,A351,$B$2:B351,B351,$E$2:E351,E351)&gt;1,"Possible duplicate","")))</f>
        <v/>
      </c>
    </row>
    <row r="352" spans="3:14" x14ac:dyDescent="0.3">
      <c r="C352" s="16"/>
      <c r="G352" s="5" t="str">
        <f t="shared" si="25"/>
        <v/>
      </c>
      <c r="H352" t="str">
        <f>IF(A352="","",IFERROR(_xlfn.XLOOKUP(D352,Setup!$E$15:$E$79,Setup!$F$15:$F$79),"Miscellaneous"))</f>
        <v/>
      </c>
      <c r="I352" t="str">
        <f>IF(A352="","",IFERROR(_xlfn.XLOOKUP(D352,Setup!$E$15:$E$79,Setup!$G$15:$G$79),"Uncategorized"))</f>
        <v/>
      </c>
      <c r="J352" t="str">
        <f t="shared" si="26"/>
        <v/>
      </c>
      <c r="K352" s="4" t="str">
        <f t="shared" si="27"/>
        <v/>
      </c>
      <c r="L352" s="47">
        <f t="shared" si="28"/>
        <v>0</v>
      </c>
      <c r="M352" s="47">
        <f t="shared" si="29"/>
        <v>0</v>
      </c>
      <c r="N352" t="str">
        <f>IF(A352="","",IF(D352="Category Pending","Needs categorization",IF(COUNTIFS($A$2:A352,A352,$B$2:B352,B352,$E$2:E352,E352)&gt;1,"Possible duplicate","")))</f>
        <v/>
      </c>
    </row>
    <row r="353" spans="3:14" x14ac:dyDescent="0.3">
      <c r="C353" s="16"/>
      <c r="G353" s="5" t="str">
        <f t="shared" ref="G353:G416" si="30">IF(A353="","","Checking")</f>
        <v/>
      </c>
      <c r="H353" t="str">
        <f>IF(A353="","",IFERROR(_xlfn.XLOOKUP(D353,Setup!$E$15:$E$79,Setup!$F$15:$F$79),"Miscellaneous"))</f>
        <v/>
      </c>
      <c r="I353" t="str">
        <f>IF(A353="","",IFERROR(_xlfn.XLOOKUP(D353,Setup!$E$15:$E$79,Setup!$G$15:$G$79),"Uncategorized"))</f>
        <v/>
      </c>
      <c r="J353" t="str">
        <f t="shared" ref="J353:J416" si="31">IF(A353="","",IF(OR(H353="Transfers",H353="Income",D353="Transfer",D353="Category Pending"),"No","Yes"))</f>
        <v/>
      </c>
      <c r="K353" s="4" t="str">
        <f t="shared" ref="K353:K416" si="32">IF(A353="","",IF(A353&gt;=46232,TEXT(DATE(YEAR(A353),MONTH(A353)+1,1),"mmmm yyyy"),TEXT(DATE(YEAR(A353),MONTH(A353),1),"mmmm yyyy")))</f>
        <v/>
      </c>
      <c r="L353" s="47">
        <f t="shared" ref="L353:L416" si="33">IF(AND(J353="Yes",E353&lt;0),-E353,0)</f>
        <v>0</v>
      </c>
      <c r="M353" s="47">
        <f t="shared" ref="M353:M416" si="34">IF(AND(J353="Yes",E353&gt;0),E353,0)</f>
        <v>0</v>
      </c>
      <c r="N353" t="str">
        <f>IF(A353="","",IF(D353="Category Pending","Needs categorization",IF(COUNTIFS($A$2:A353,A353,$B$2:B353,B353,$E$2:E353,E353)&gt;1,"Possible duplicate","")))</f>
        <v/>
      </c>
    </row>
    <row r="354" spans="3:14" x14ac:dyDescent="0.3">
      <c r="C354" s="16"/>
      <c r="G354" s="5" t="str">
        <f t="shared" si="30"/>
        <v/>
      </c>
      <c r="H354" t="str">
        <f>IF(A354="","",IFERROR(_xlfn.XLOOKUP(D354,Setup!$E$15:$E$79,Setup!$F$15:$F$79),"Miscellaneous"))</f>
        <v/>
      </c>
      <c r="I354" t="str">
        <f>IF(A354="","",IFERROR(_xlfn.XLOOKUP(D354,Setup!$E$15:$E$79,Setup!$G$15:$G$79),"Uncategorized"))</f>
        <v/>
      </c>
      <c r="J354" t="str">
        <f t="shared" si="31"/>
        <v/>
      </c>
      <c r="K354" s="4" t="str">
        <f t="shared" si="32"/>
        <v/>
      </c>
      <c r="L354" s="47">
        <f t="shared" si="33"/>
        <v>0</v>
      </c>
      <c r="M354" s="47">
        <f t="shared" si="34"/>
        <v>0</v>
      </c>
      <c r="N354" t="str">
        <f>IF(A354="","",IF(D354="Category Pending","Needs categorization",IF(COUNTIFS($A$2:A354,A354,$B$2:B354,B354,$E$2:E354,E354)&gt;1,"Possible duplicate","")))</f>
        <v/>
      </c>
    </row>
    <row r="355" spans="3:14" x14ac:dyDescent="0.3">
      <c r="C355" s="16"/>
      <c r="G355" s="5" t="str">
        <f t="shared" si="30"/>
        <v/>
      </c>
      <c r="H355" t="str">
        <f>IF(A355="","",IFERROR(_xlfn.XLOOKUP(D355,Setup!$E$15:$E$79,Setup!$F$15:$F$79),"Miscellaneous"))</f>
        <v/>
      </c>
      <c r="I355" t="str">
        <f>IF(A355="","",IFERROR(_xlfn.XLOOKUP(D355,Setup!$E$15:$E$79,Setup!$G$15:$G$79),"Uncategorized"))</f>
        <v/>
      </c>
      <c r="J355" t="str">
        <f t="shared" si="31"/>
        <v/>
      </c>
      <c r="K355" s="4" t="str">
        <f t="shared" si="32"/>
        <v/>
      </c>
      <c r="L355" s="47">
        <f t="shared" si="33"/>
        <v>0</v>
      </c>
      <c r="M355" s="47">
        <f t="shared" si="34"/>
        <v>0</v>
      </c>
      <c r="N355" t="str">
        <f>IF(A355="","",IF(D355="Category Pending","Needs categorization",IF(COUNTIFS($A$2:A355,A355,$B$2:B355,B355,$E$2:E355,E355)&gt;1,"Possible duplicate","")))</f>
        <v/>
      </c>
    </row>
    <row r="356" spans="3:14" x14ac:dyDescent="0.3">
      <c r="C356" s="16"/>
      <c r="G356" s="5" t="str">
        <f t="shared" si="30"/>
        <v/>
      </c>
      <c r="H356" t="str">
        <f>IF(A356="","",IFERROR(_xlfn.XLOOKUP(D356,Setup!$E$15:$E$79,Setup!$F$15:$F$79),"Miscellaneous"))</f>
        <v/>
      </c>
      <c r="I356" t="str">
        <f>IF(A356="","",IFERROR(_xlfn.XLOOKUP(D356,Setup!$E$15:$E$79,Setup!$G$15:$G$79),"Uncategorized"))</f>
        <v/>
      </c>
      <c r="J356" t="str">
        <f t="shared" si="31"/>
        <v/>
      </c>
      <c r="K356" s="4" t="str">
        <f t="shared" si="32"/>
        <v/>
      </c>
      <c r="L356" s="47">
        <f t="shared" si="33"/>
        <v>0</v>
      </c>
      <c r="M356" s="47">
        <f t="shared" si="34"/>
        <v>0</v>
      </c>
      <c r="N356" t="str">
        <f>IF(A356="","",IF(D356="Category Pending","Needs categorization",IF(COUNTIFS($A$2:A356,A356,$B$2:B356,B356,$E$2:E356,E356)&gt;1,"Possible duplicate","")))</f>
        <v/>
      </c>
    </row>
    <row r="357" spans="3:14" x14ac:dyDescent="0.3">
      <c r="C357" s="16"/>
      <c r="G357" s="5" t="str">
        <f t="shared" si="30"/>
        <v/>
      </c>
      <c r="H357" t="str">
        <f>IF(A357="","",IFERROR(_xlfn.XLOOKUP(D357,Setup!$E$15:$E$79,Setup!$F$15:$F$79),"Miscellaneous"))</f>
        <v/>
      </c>
      <c r="I357" t="str">
        <f>IF(A357="","",IFERROR(_xlfn.XLOOKUP(D357,Setup!$E$15:$E$79,Setup!$G$15:$G$79),"Uncategorized"))</f>
        <v/>
      </c>
      <c r="J357" t="str">
        <f t="shared" si="31"/>
        <v/>
      </c>
      <c r="K357" s="4" t="str">
        <f t="shared" si="32"/>
        <v/>
      </c>
      <c r="L357" s="47">
        <f t="shared" si="33"/>
        <v>0</v>
      </c>
      <c r="M357" s="47">
        <f t="shared" si="34"/>
        <v>0</v>
      </c>
      <c r="N357" t="str">
        <f>IF(A357="","",IF(D357="Category Pending","Needs categorization",IF(COUNTIFS($A$2:A357,A357,$B$2:B357,B357,$E$2:E357,E357)&gt;1,"Possible duplicate","")))</f>
        <v/>
      </c>
    </row>
    <row r="358" spans="3:14" x14ac:dyDescent="0.3">
      <c r="C358" s="16"/>
      <c r="G358" s="5" t="str">
        <f t="shared" si="30"/>
        <v/>
      </c>
      <c r="H358" t="str">
        <f>IF(A358="","",IFERROR(_xlfn.XLOOKUP(D358,Setup!$E$15:$E$79,Setup!$F$15:$F$79),"Miscellaneous"))</f>
        <v/>
      </c>
      <c r="I358" t="str">
        <f>IF(A358="","",IFERROR(_xlfn.XLOOKUP(D358,Setup!$E$15:$E$79,Setup!$G$15:$G$79),"Uncategorized"))</f>
        <v/>
      </c>
      <c r="J358" t="str">
        <f t="shared" si="31"/>
        <v/>
      </c>
      <c r="K358" s="4" t="str">
        <f t="shared" si="32"/>
        <v/>
      </c>
      <c r="L358" s="47">
        <f t="shared" si="33"/>
        <v>0</v>
      </c>
      <c r="M358" s="47">
        <f t="shared" si="34"/>
        <v>0</v>
      </c>
      <c r="N358" t="str">
        <f>IF(A358="","",IF(D358="Category Pending","Needs categorization",IF(COUNTIFS($A$2:A358,A358,$B$2:B358,B358,$E$2:E358,E358)&gt;1,"Possible duplicate","")))</f>
        <v/>
      </c>
    </row>
    <row r="359" spans="3:14" x14ac:dyDescent="0.3">
      <c r="C359" s="16"/>
      <c r="G359" s="5" t="str">
        <f t="shared" si="30"/>
        <v/>
      </c>
      <c r="H359" t="str">
        <f>IF(A359="","",IFERROR(_xlfn.XLOOKUP(D359,Setup!$E$15:$E$79,Setup!$F$15:$F$79),"Miscellaneous"))</f>
        <v/>
      </c>
      <c r="I359" t="str">
        <f>IF(A359="","",IFERROR(_xlfn.XLOOKUP(D359,Setup!$E$15:$E$79,Setup!$G$15:$G$79),"Uncategorized"))</f>
        <v/>
      </c>
      <c r="J359" t="str">
        <f t="shared" si="31"/>
        <v/>
      </c>
      <c r="K359" s="4" t="str">
        <f t="shared" si="32"/>
        <v/>
      </c>
      <c r="L359" s="47">
        <f t="shared" si="33"/>
        <v>0</v>
      </c>
      <c r="M359" s="47">
        <f t="shared" si="34"/>
        <v>0</v>
      </c>
      <c r="N359" t="str">
        <f>IF(A359="","",IF(D359="Category Pending","Needs categorization",IF(COUNTIFS($A$2:A359,A359,$B$2:B359,B359,$E$2:E359,E359)&gt;1,"Possible duplicate","")))</f>
        <v/>
      </c>
    </row>
    <row r="360" spans="3:14" x14ac:dyDescent="0.3">
      <c r="C360" s="16"/>
      <c r="G360" s="5" t="str">
        <f t="shared" si="30"/>
        <v/>
      </c>
      <c r="H360" t="str">
        <f>IF(A360="","",IFERROR(_xlfn.XLOOKUP(D360,Setup!$E$15:$E$79,Setup!$F$15:$F$79),"Miscellaneous"))</f>
        <v/>
      </c>
      <c r="I360" t="str">
        <f>IF(A360="","",IFERROR(_xlfn.XLOOKUP(D360,Setup!$E$15:$E$79,Setup!$G$15:$G$79),"Uncategorized"))</f>
        <v/>
      </c>
      <c r="J360" t="str">
        <f t="shared" si="31"/>
        <v/>
      </c>
      <c r="K360" s="4" t="str">
        <f t="shared" si="32"/>
        <v/>
      </c>
      <c r="L360" s="47">
        <f t="shared" si="33"/>
        <v>0</v>
      </c>
      <c r="M360" s="47">
        <f t="shared" si="34"/>
        <v>0</v>
      </c>
      <c r="N360" t="str">
        <f>IF(A360="","",IF(D360="Category Pending","Needs categorization",IF(COUNTIFS($A$2:A360,A360,$B$2:B360,B360,$E$2:E360,E360)&gt;1,"Possible duplicate","")))</f>
        <v/>
      </c>
    </row>
    <row r="361" spans="3:14" x14ac:dyDescent="0.3">
      <c r="C361" s="16"/>
      <c r="G361" s="5" t="str">
        <f t="shared" si="30"/>
        <v/>
      </c>
      <c r="H361" t="str">
        <f>IF(A361="","",IFERROR(_xlfn.XLOOKUP(D361,Setup!$E$15:$E$79,Setup!$F$15:$F$79),"Miscellaneous"))</f>
        <v/>
      </c>
      <c r="I361" t="str">
        <f>IF(A361="","",IFERROR(_xlfn.XLOOKUP(D361,Setup!$E$15:$E$79,Setup!$G$15:$G$79),"Uncategorized"))</f>
        <v/>
      </c>
      <c r="J361" t="str">
        <f t="shared" si="31"/>
        <v/>
      </c>
      <c r="K361" s="4" t="str">
        <f t="shared" si="32"/>
        <v/>
      </c>
      <c r="L361" s="47">
        <f t="shared" si="33"/>
        <v>0</v>
      </c>
      <c r="M361" s="47">
        <f t="shared" si="34"/>
        <v>0</v>
      </c>
      <c r="N361" t="str">
        <f>IF(A361="","",IF(D361="Category Pending","Needs categorization",IF(COUNTIFS($A$2:A361,A361,$B$2:B361,B361,$E$2:E361,E361)&gt;1,"Possible duplicate","")))</f>
        <v/>
      </c>
    </row>
    <row r="362" spans="3:14" x14ac:dyDescent="0.3">
      <c r="C362" s="16"/>
      <c r="G362" s="5" t="str">
        <f t="shared" si="30"/>
        <v/>
      </c>
      <c r="H362" t="str">
        <f>IF(A362="","",IFERROR(_xlfn.XLOOKUP(D362,Setup!$E$15:$E$79,Setup!$F$15:$F$79),"Miscellaneous"))</f>
        <v/>
      </c>
      <c r="I362" t="str">
        <f>IF(A362="","",IFERROR(_xlfn.XLOOKUP(D362,Setup!$E$15:$E$79,Setup!$G$15:$G$79),"Uncategorized"))</f>
        <v/>
      </c>
      <c r="J362" t="str">
        <f t="shared" si="31"/>
        <v/>
      </c>
      <c r="K362" s="4" t="str">
        <f t="shared" si="32"/>
        <v/>
      </c>
      <c r="L362" s="47">
        <f t="shared" si="33"/>
        <v>0</v>
      </c>
      <c r="M362" s="47">
        <f t="shared" si="34"/>
        <v>0</v>
      </c>
      <c r="N362" t="str">
        <f>IF(A362="","",IF(D362="Category Pending","Needs categorization",IF(COUNTIFS($A$2:A362,A362,$B$2:B362,B362,$E$2:E362,E362)&gt;1,"Possible duplicate","")))</f>
        <v/>
      </c>
    </row>
    <row r="363" spans="3:14" x14ac:dyDescent="0.3">
      <c r="C363" s="16"/>
      <c r="G363" s="5" t="str">
        <f t="shared" si="30"/>
        <v/>
      </c>
      <c r="H363" t="str">
        <f>IF(A363="","",IFERROR(_xlfn.XLOOKUP(D363,Setup!$E$15:$E$79,Setup!$F$15:$F$79),"Miscellaneous"))</f>
        <v/>
      </c>
      <c r="I363" t="str">
        <f>IF(A363="","",IFERROR(_xlfn.XLOOKUP(D363,Setup!$E$15:$E$79,Setup!$G$15:$G$79),"Uncategorized"))</f>
        <v/>
      </c>
      <c r="J363" t="str">
        <f t="shared" si="31"/>
        <v/>
      </c>
      <c r="K363" s="4" t="str">
        <f t="shared" si="32"/>
        <v/>
      </c>
      <c r="L363" s="47">
        <f t="shared" si="33"/>
        <v>0</v>
      </c>
      <c r="M363" s="47">
        <f t="shared" si="34"/>
        <v>0</v>
      </c>
      <c r="N363" t="str">
        <f>IF(A363="","",IF(D363="Category Pending","Needs categorization",IF(COUNTIFS($A$2:A363,A363,$B$2:B363,B363,$E$2:E363,E363)&gt;1,"Possible duplicate","")))</f>
        <v/>
      </c>
    </row>
    <row r="364" spans="3:14" x14ac:dyDescent="0.3">
      <c r="C364" s="16"/>
      <c r="G364" s="5" t="str">
        <f t="shared" si="30"/>
        <v/>
      </c>
      <c r="H364" t="str">
        <f>IF(A364="","",IFERROR(_xlfn.XLOOKUP(D364,Setup!$E$15:$E$79,Setup!$F$15:$F$79),"Miscellaneous"))</f>
        <v/>
      </c>
      <c r="I364" t="str">
        <f>IF(A364="","",IFERROR(_xlfn.XLOOKUP(D364,Setup!$E$15:$E$79,Setup!$G$15:$G$79),"Uncategorized"))</f>
        <v/>
      </c>
      <c r="J364" t="str">
        <f t="shared" si="31"/>
        <v/>
      </c>
      <c r="K364" s="4" t="str">
        <f t="shared" si="32"/>
        <v/>
      </c>
      <c r="L364" s="47">
        <f t="shared" si="33"/>
        <v>0</v>
      </c>
      <c r="M364" s="47">
        <f t="shared" si="34"/>
        <v>0</v>
      </c>
      <c r="N364" t="str">
        <f>IF(A364="","",IF(D364="Category Pending","Needs categorization",IF(COUNTIFS($A$2:A364,A364,$B$2:B364,B364,$E$2:E364,E364)&gt;1,"Possible duplicate","")))</f>
        <v/>
      </c>
    </row>
    <row r="365" spans="3:14" x14ac:dyDescent="0.3">
      <c r="C365" s="16"/>
      <c r="G365" s="5" t="str">
        <f t="shared" si="30"/>
        <v/>
      </c>
      <c r="H365" t="str">
        <f>IF(A365="","",IFERROR(_xlfn.XLOOKUP(D365,Setup!$E$15:$E$79,Setup!$F$15:$F$79),"Miscellaneous"))</f>
        <v/>
      </c>
      <c r="I365" t="str">
        <f>IF(A365="","",IFERROR(_xlfn.XLOOKUP(D365,Setup!$E$15:$E$79,Setup!$G$15:$G$79),"Uncategorized"))</f>
        <v/>
      </c>
      <c r="J365" t="str">
        <f t="shared" si="31"/>
        <v/>
      </c>
      <c r="K365" s="4" t="str">
        <f t="shared" si="32"/>
        <v/>
      </c>
      <c r="L365" s="47">
        <f t="shared" si="33"/>
        <v>0</v>
      </c>
      <c r="M365" s="47">
        <f t="shared" si="34"/>
        <v>0</v>
      </c>
      <c r="N365" t="str">
        <f>IF(A365="","",IF(D365="Category Pending","Needs categorization",IF(COUNTIFS($A$2:A365,A365,$B$2:B365,B365,$E$2:E365,E365)&gt;1,"Possible duplicate","")))</f>
        <v/>
      </c>
    </row>
    <row r="366" spans="3:14" x14ac:dyDescent="0.3">
      <c r="C366" s="16"/>
      <c r="G366" s="5" t="str">
        <f t="shared" si="30"/>
        <v/>
      </c>
      <c r="H366" t="str">
        <f>IF(A366="","",IFERROR(_xlfn.XLOOKUP(D366,Setup!$E$15:$E$79,Setup!$F$15:$F$79),"Miscellaneous"))</f>
        <v/>
      </c>
      <c r="I366" t="str">
        <f>IF(A366="","",IFERROR(_xlfn.XLOOKUP(D366,Setup!$E$15:$E$79,Setup!$G$15:$G$79),"Uncategorized"))</f>
        <v/>
      </c>
      <c r="J366" t="str">
        <f t="shared" si="31"/>
        <v/>
      </c>
      <c r="K366" s="4" t="str">
        <f t="shared" si="32"/>
        <v/>
      </c>
      <c r="L366" s="47">
        <f t="shared" si="33"/>
        <v>0</v>
      </c>
      <c r="M366" s="47">
        <f t="shared" si="34"/>
        <v>0</v>
      </c>
      <c r="N366" t="str">
        <f>IF(A366="","",IF(D366="Category Pending","Needs categorization",IF(COUNTIFS($A$2:A366,A366,$B$2:B366,B366,$E$2:E366,E366)&gt;1,"Possible duplicate","")))</f>
        <v/>
      </c>
    </row>
    <row r="367" spans="3:14" x14ac:dyDescent="0.3">
      <c r="C367" s="16"/>
      <c r="G367" s="5" t="str">
        <f t="shared" si="30"/>
        <v/>
      </c>
      <c r="H367" t="str">
        <f>IF(A367="","",IFERROR(_xlfn.XLOOKUP(D367,Setup!$E$15:$E$79,Setup!$F$15:$F$79),"Miscellaneous"))</f>
        <v/>
      </c>
      <c r="I367" t="str">
        <f>IF(A367="","",IFERROR(_xlfn.XLOOKUP(D367,Setup!$E$15:$E$79,Setup!$G$15:$G$79),"Uncategorized"))</f>
        <v/>
      </c>
      <c r="J367" t="str">
        <f t="shared" si="31"/>
        <v/>
      </c>
      <c r="K367" s="4" t="str">
        <f t="shared" si="32"/>
        <v/>
      </c>
      <c r="L367" s="47">
        <f t="shared" si="33"/>
        <v>0</v>
      </c>
      <c r="M367" s="47">
        <f t="shared" si="34"/>
        <v>0</v>
      </c>
      <c r="N367" t="str">
        <f>IF(A367="","",IF(D367="Category Pending","Needs categorization",IF(COUNTIFS($A$2:A367,A367,$B$2:B367,B367,$E$2:E367,E367)&gt;1,"Possible duplicate","")))</f>
        <v/>
      </c>
    </row>
    <row r="368" spans="3:14" x14ac:dyDescent="0.3">
      <c r="C368" s="16"/>
      <c r="G368" s="5" t="str">
        <f t="shared" si="30"/>
        <v/>
      </c>
      <c r="H368" t="str">
        <f>IF(A368="","",IFERROR(_xlfn.XLOOKUP(D368,Setup!$E$15:$E$79,Setup!$F$15:$F$79),"Miscellaneous"))</f>
        <v/>
      </c>
      <c r="I368" t="str">
        <f>IF(A368="","",IFERROR(_xlfn.XLOOKUP(D368,Setup!$E$15:$E$79,Setup!$G$15:$G$79),"Uncategorized"))</f>
        <v/>
      </c>
      <c r="J368" t="str">
        <f t="shared" si="31"/>
        <v/>
      </c>
      <c r="K368" s="4" t="str">
        <f t="shared" si="32"/>
        <v/>
      </c>
      <c r="L368" s="47">
        <f t="shared" si="33"/>
        <v>0</v>
      </c>
      <c r="M368" s="47">
        <f t="shared" si="34"/>
        <v>0</v>
      </c>
      <c r="N368" t="str">
        <f>IF(A368="","",IF(D368="Category Pending","Needs categorization",IF(COUNTIFS($A$2:A368,A368,$B$2:B368,B368,$E$2:E368,E368)&gt;1,"Possible duplicate","")))</f>
        <v/>
      </c>
    </row>
    <row r="369" spans="3:14" x14ac:dyDescent="0.3">
      <c r="C369" s="16"/>
      <c r="G369" s="5" t="str">
        <f t="shared" si="30"/>
        <v/>
      </c>
      <c r="H369" t="str">
        <f>IF(A369="","",IFERROR(_xlfn.XLOOKUP(D369,Setup!$E$15:$E$79,Setup!$F$15:$F$79),"Miscellaneous"))</f>
        <v/>
      </c>
      <c r="I369" t="str">
        <f>IF(A369="","",IFERROR(_xlfn.XLOOKUP(D369,Setup!$E$15:$E$79,Setup!$G$15:$G$79),"Uncategorized"))</f>
        <v/>
      </c>
      <c r="J369" t="str">
        <f t="shared" si="31"/>
        <v/>
      </c>
      <c r="K369" s="4" t="str">
        <f t="shared" si="32"/>
        <v/>
      </c>
      <c r="L369" s="47">
        <f t="shared" si="33"/>
        <v>0</v>
      </c>
      <c r="M369" s="47">
        <f t="shared" si="34"/>
        <v>0</v>
      </c>
      <c r="N369" t="str">
        <f>IF(A369="","",IF(D369="Category Pending","Needs categorization",IF(COUNTIFS($A$2:A369,A369,$B$2:B369,B369,$E$2:E369,E369)&gt;1,"Possible duplicate","")))</f>
        <v/>
      </c>
    </row>
    <row r="370" spans="3:14" x14ac:dyDescent="0.3">
      <c r="C370" s="16"/>
      <c r="G370" s="5" t="str">
        <f t="shared" si="30"/>
        <v/>
      </c>
      <c r="H370" t="str">
        <f>IF(A370="","",IFERROR(_xlfn.XLOOKUP(D370,Setup!$E$15:$E$79,Setup!$F$15:$F$79),"Miscellaneous"))</f>
        <v/>
      </c>
      <c r="I370" t="str">
        <f>IF(A370="","",IFERROR(_xlfn.XLOOKUP(D370,Setup!$E$15:$E$79,Setup!$G$15:$G$79),"Uncategorized"))</f>
        <v/>
      </c>
      <c r="J370" t="str">
        <f t="shared" si="31"/>
        <v/>
      </c>
      <c r="K370" s="4" t="str">
        <f t="shared" si="32"/>
        <v/>
      </c>
      <c r="L370" s="47">
        <f t="shared" si="33"/>
        <v>0</v>
      </c>
      <c r="M370" s="47">
        <f t="shared" si="34"/>
        <v>0</v>
      </c>
      <c r="N370" t="str">
        <f>IF(A370="","",IF(D370="Category Pending","Needs categorization",IF(COUNTIFS($A$2:A370,A370,$B$2:B370,B370,$E$2:E370,E370)&gt;1,"Possible duplicate","")))</f>
        <v/>
      </c>
    </row>
    <row r="371" spans="3:14" x14ac:dyDescent="0.3">
      <c r="C371" s="16"/>
      <c r="G371" s="5" t="str">
        <f t="shared" si="30"/>
        <v/>
      </c>
      <c r="H371" t="str">
        <f>IF(A371="","",IFERROR(_xlfn.XLOOKUP(D371,Setup!$E$15:$E$79,Setup!$F$15:$F$79),"Miscellaneous"))</f>
        <v/>
      </c>
      <c r="I371" t="str">
        <f>IF(A371="","",IFERROR(_xlfn.XLOOKUP(D371,Setup!$E$15:$E$79,Setup!$G$15:$G$79),"Uncategorized"))</f>
        <v/>
      </c>
      <c r="J371" t="str">
        <f t="shared" si="31"/>
        <v/>
      </c>
      <c r="K371" s="4" t="str">
        <f t="shared" si="32"/>
        <v/>
      </c>
      <c r="L371" s="47">
        <f t="shared" si="33"/>
        <v>0</v>
      </c>
      <c r="M371" s="47">
        <f t="shared" si="34"/>
        <v>0</v>
      </c>
      <c r="N371" t="str">
        <f>IF(A371="","",IF(D371="Category Pending","Needs categorization",IF(COUNTIFS($A$2:A371,A371,$B$2:B371,B371,$E$2:E371,E371)&gt;1,"Possible duplicate","")))</f>
        <v/>
      </c>
    </row>
    <row r="372" spans="3:14" x14ac:dyDescent="0.3">
      <c r="C372" s="16"/>
      <c r="G372" s="5" t="str">
        <f t="shared" si="30"/>
        <v/>
      </c>
      <c r="H372" t="str">
        <f>IF(A372="","",IFERROR(_xlfn.XLOOKUP(D372,Setup!$E$15:$E$79,Setup!$F$15:$F$79),"Miscellaneous"))</f>
        <v/>
      </c>
      <c r="I372" t="str">
        <f>IF(A372="","",IFERROR(_xlfn.XLOOKUP(D372,Setup!$E$15:$E$79,Setup!$G$15:$G$79),"Uncategorized"))</f>
        <v/>
      </c>
      <c r="J372" t="str">
        <f t="shared" si="31"/>
        <v/>
      </c>
      <c r="K372" s="4" t="str">
        <f t="shared" si="32"/>
        <v/>
      </c>
      <c r="L372" s="47">
        <f t="shared" si="33"/>
        <v>0</v>
      </c>
      <c r="M372" s="47">
        <f t="shared" si="34"/>
        <v>0</v>
      </c>
      <c r="N372" t="str">
        <f>IF(A372="","",IF(D372="Category Pending","Needs categorization",IF(COUNTIFS($A$2:A372,A372,$B$2:B372,B372,$E$2:E372,E372)&gt;1,"Possible duplicate","")))</f>
        <v/>
      </c>
    </row>
    <row r="373" spans="3:14" x14ac:dyDescent="0.3">
      <c r="C373" s="16"/>
      <c r="G373" s="5" t="str">
        <f t="shared" si="30"/>
        <v/>
      </c>
      <c r="H373" t="str">
        <f>IF(A373="","",IFERROR(_xlfn.XLOOKUP(D373,Setup!$E$15:$E$79,Setup!$F$15:$F$79),"Miscellaneous"))</f>
        <v/>
      </c>
      <c r="I373" t="str">
        <f>IF(A373="","",IFERROR(_xlfn.XLOOKUP(D373,Setup!$E$15:$E$79,Setup!$G$15:$G$79),"Uncategorized"))</f>
        <v/>
      </c>
      <c r="J373" t="str">
        <f t="shared" si="31"/>
        <v/>
      </c>
      <c r="K373" s="4" t="str">
        <f t="shared" si="32"/>
        <v/>
      </c>
      <c r="L373" s="47">
        <f t="shared" si="33"/>
        <v>0</v>
      </c>
      <c r="M373" s="47">
        <f t="shared" si="34"/>
        <v>0</v>
      </c>
      <c r="N373" t="str">
        <f>IF(A373="","",IF(D373="Category Pending","Needs categorization",IF(COUNTIFS($A$2:A373,A373,$B$2:B373,B373,$E$2:E373,E373)&gt;1,"Possible duplicate","")))</f>
        <v/>
      </c>
    </row>
    <row r="374" spans="3:14" x14ac:dyDescent="0.3">
      <c r="C374" s="16"/>
      <c r="G374" s="5" t="str">
        <f t="shared" si="30"/>
        <v/>
      </c>
      <c r="H374" t="str">
        <f>IF(A374="","",IFERROR(_xlfn.XLOOKUP(D374,Setup!$E$15:$E$79,Setup!$F$15:$F$79),"Miscellaneous"))</f>
        <v/>
      </c>
      <c r="I374" t="str">
        <f>IF(A374="","",IFERROR(_xlfn.XLOOKUP(D374,Setup!$E$15:$E$79,Setup!$G$15:$G$79),"Uncategorized"))</f>
        <v/>
      </c>
      <c r="J374" t="str">
        <f t="shared" si="31"/>
        <v/>
      </c>
      <c r="K374" s="4" t="str">
        <f t="shared" si="32"/>
        <v/>
      </c>
      <c r="L374" s="47">
        <f t="shared" si="33"/>
        <v>0</v>
      </c>
      <c r="M374" s="47">
        <f t="shared" si="34"/>
        <v>0</v>
      </c>
      <c r="N374" t="str">
        <f>IF(A374="","",IF(D374="Category Pending","Needs categorization",IF(COUNTIFS($A$2:A374,A374,$B$2:B374,B374,$E$2:E374,E374)&gt;1,"Possible duplicate","")))</f>
        <v/>
      </c>
    </row>
    <row r="375" spans="3:14" x14ac:dyDescent="0.3">
      <c r="C375" s="16"/>
      <c r="G375" s="5" t="str">
        <f t="shared" si="30"/>
        <v/>
      </c>
      <c r="H375" t="str">
        <f>IF(A375="","",IFERROR(_xlfn.XLOOKUP(D375,Setup!$E$15:$E$79,Setup!$F$15:$F$79),"Miscellaneous"))</f>
        <v/>
      </c>
      <c r="I375" t="str">
        <f>IF(A375="","",IFERROR(_xlfn.XLOOKUP(D375,Setup!$E$15:$E$79,Setup!$G$15:$G$79),"Uncategorized"))</f>
        <v/>
      </c>
      <c r="J375" t="str">
        <f t="shared" si="31"/>
        <v/>
      </c>
      <c r="K375" s="4" t="str">
        <f t="shared" si="32"/>
        <v/>
      </c>
      <c r="L375" s="47">
        <f t="shared" si="33"/>
        <v>0</v>
      </c>
      <c r="M375" s="47">
        <f t="shared" si="34"/>
        <v>0</v>
      </c>
      <c r="N375" t="str">
        <f>IF(A375="","",IF(D375="Category Pending","Needs categorization",IF(COUNTIFS($A$2:A375,A375,$B$2:B375,B375,$E$2:E375,E375)&gt;1,"Possible duplicate","")))</f>
        <v/>
      </c>
    </row>
    <row r="376" spans="3:14" x14ac:dyDescent="0.3">
      <c r="C376" s="16"/>
      <c r="G376" s="5" t="str">
        <f t="shared" si="30"/>
        <v/>
      </c>
      <c r="H376" t="str">
        <f>IF(A376="","",IFERROR(_xlfn.XLOOKUP(D376,Setup!$E$15:$E$79,Setup!$F$15:$F$79),"Miscellaneous"))</f>
        <v/>
      </c>
      <c r="I376" t="str">
        <f>IF(A376="","",IFERROR(_xlfn.XLOOKUP(D376,Setup!$E$15:$E$79,Setup!$G$15:$G$79),"Uncategorized"))</f>
        <v/>
      </c>
      <c r="J376" t="str">
        <f t="shared" si="31"/>
        <v/>
      </c>
      <c r="K376" s="4" t="str">
        <f t="shared" si="32"/>
        <v/>
      </c>
      <c r="L376" s="47">
        <f t="shared" si="33"/>
        <v>0</v>
      </c>
      <c r="M376" s="47">
        <f t="shared" si="34"/>
        <v>0</v>
      </c>
      <c r="N376" t="str">
        <f>IF(A376="","",IF(D376="Category Pending","Needs categorization",IF(COUNTIFS($A$2:A376,A376,$B$2:B376,B376,$E$2:E376,E376)&gt;1,"Possible duplicate","")))</f>
        <v/>
      </c>
    </row>
    <row r="377" spans="3:14" x14ac:dyDescent="0.3">
      <c r="C377" s="16"/>
      <c r="G377" s="5" t="str">
        <f t="shared" si="30"/>
        <v/>
      </c>
      <c r="H377" t="str">
        <f>IF(A377="","",IFERROR(_xlfn.XLOOKUP(D377,Setup!$E$15:$E$79,Setup!$F$15:$F$79),"Miscellaneous"))</f>
        <v/>
      </c>
      <c r="I377" t="str">
        <f>IF(A377="","",IFERROR(_xlfn.XLOOKUP(D377,Setup!$E$15:$E$79,Setup!$G$15:$G$79),"Uncategorized"))</f>
        <v/>
      </c>
      <c r="J377" t="str">
        <f t="shared" si="31"/>
        <v/>
      </c>
      <c r="K377" s="4" t="str">
        <f t="shared" si="32"/>
        <v/>
      </c>
      <c r="L377" s="47">
        <f t="shared" si="33"/>
        <v>0</v>
      </c>
      <c r="M377" s="47">
        <f t="shared" si="34"/>
        <v>0</v>
      </c>
      <c r="N377" t="str">
        <f>IF(A377="","",IF(D377="Category Pending","Needs categorization",IF(COUNTIFS($A$2:A377,A377,$B$2:B377,B377,$E$2:E377,E377)&gt;1,"Possible duplicate","")))</f>
        <v/>
      </c>
    </row>
    <row r="378" spans="3:14" x14ac:dyDescent="0.3">
      <c r="C378" s="16"/>
      <c r="G378" s="5" t="str">
        <f t="shared" si="30"/>
        <v/>
      </c>
      <c r="H378" t="str">
        <f>IF(A378="","",IFERROR(_xlfn.XLOOKUP(D378,Setup!$E$15:$E$79,Setup!$F$15:$F$79),"Miscellaneous"))</f>
        <v/>
      </c>
      <c r="I378" t="str">
        <f>IF(A378="","",IFERROR(_xlfn.XLOOKUP(D378,Setup!$E$15:$E$79,Setup!$G$15:$G$79),"Uncategorized"))</f>
        <v/>
      </c>
      <c r="J378" t="str">
        <f t="shared" si="31"/>
        <v/>
      </c>
      <c r="K378" s="4" t="str">
        <f t="shared" si="32"/>
        <v/>
      </c>
      <c r="L378" s="47">
        <f t="shared" si="33"/>
        <v>0</v>
      </c>
      <c r="M378" s="47">
        <f t="shared" si="34"/>
        <v>0</v>
      </c>
      <c r="N378" t="str">
        <f>IF(A378="","",IF(D378="Category Pending","Needs categorization",IF(COUNTIFS($A$2:A378,A378,$B$2:B378,B378,$E$2:E378,E378)&gt;1,"Possible duplicate","")))</f>
        <v/>
      </c>
    </row>
    <row r="379" spans="3:14" x14ac:dyDescent="0.3">
      <c r="C379" s="16"/>
      <c r="G379" s="5" t="str">
        <f t="shared" si="30"/>
        <v/>
      </c>
      <c r="H379" t="str">
        <f>IF(A379="","",IFERROR(_xlfn.XLOOKUP(D379,Setup!$E$15:$E$79,Setup!$F$15:$F$79),"Miscellaneous"))</f>
        <v/>
      </c>
      <c r="I379" t="str">
        <f>IF(A379="","",IFERROR(_xlfn.XLOOKUP(D379,Setup!$E$15:$E$79,Setup!$G$15:$G$79),"Uncategorized"))</f>
        <v/>
      </c>
      <c r="J379" t="str">
        <f t="shared" si="31"/>
        <v/>
      </c>
      <c r="K379" s="4" t="str">
        <f t="shared" si="32"/>
        <v/>
      </c>
      <c r="L379" s="47">
        <f t="shared" si="33"/>
        <v>0</v>
      </c>
      <c r="M379" s="47">
        <f t="shared" si="34"/>
        <v>0</v>
      </c>
      <c r="N379" t="str">
        <f>IF(A379="","",IF(D379="Category Pending","Needs categorization",IF(COUNTIFS($A$2:A379,A379,$B$2:B379,B379,$E$2:E379,E379)&gt;1,"Possible duplicate","")))</f>
        <v/>
      </c>
    </row>
    <row r="380" spans="3:14" x14ac:dyDescent="0.3">
      <c r="C380" s="16"/>
      <c r="G380" s="5" t="str">
        <f t="shared" si="30"/>
        <v/>
      </c>
      <c r="H380" t="str">
        <f>IF(A380="","",IFERROR(_xlfn.XLOOKUP(D380,Setup!$E$15:$E$79,Setup!$F$15:$F$79),"Miscellaneous"))</f>
        <v/>
      </c>
      <c r="I380" t="str">
        <f>IF(A380="","",IFERROR(_xlfn.XLOOKUP(D380,Setup!$E$15:$E$79,Setup!$G$15:$G$79),"Uncategorized"))</f>
        <v/>
      </c>
      <c r="J380" t="str">
        <f t="shared" si="31"/>
        <v/>
      </c>
      <c r="K380" s="4" t="str">
        <f t="shared" si="32"/>
        <v/>
      </c>
      <c r="L380" s="47">
        <f t="shared" si="33"/>
        <v>0</v>
      </c>
      <c r="M380" s="47">
        <f t="shared" si="34"/>
        <v>0</v>
      </c>
      <c r="N380" t="str">
        <f>IF(A380="","",IF(D380="Category Pending","Needs categorization",IF(COUNTIFS($A$2:A380,A380,$B$2:B380,B380,$E$2:E380,E380)&gt;1,"Possible duplicate","")))</f>
        <v/>
      </c>
    </row>
    <row r="381" spans="3:14" x14ac:dyDescent="0.3">
      <c r="C381" s="16"/>
      <c r="G381" s="5" t="str">
        <f t="shared" si="30"/>
        <v/>
      </c>
      <c r="H381" t="str">
        <f>IF(A381="","",IFERROR(_xlfn.XLOOKUP(D381,Setup!$E$15:$E$79,Setup!$F$15:$F$79),"Miscellaneous"))</f>
        <v/>
      </c>
      <c r="I381" t="str">
        <f>IF(A381="","",IFERROR(_xlfn.XLOOKUP(D381,Setup!$E$15:$E$79,Setup!$G$15:$G$79),"Uncategorized"))</f>
        <v/>
      </c>
      <c r="J381" t="str">
        <f t="shared" si="31"/>
        <v/>
      </c>
      <c r="K381" s="4" t="str">
        <f t="shared" si="32"/>
        <v/>
      </c>
      <c r="L381" s="47">
        <f t="shared" si="33"/>
        <v>0</v>
      </c>
      <c r="M381" s="47">
        <f t="shared" si="34"/>
        <v>0</v>
      </c>
      <c r="N381" t="str">
        <f>IF(A381="","",IF(D381="Category Pending","Needs categorization",IF(COUNTIFS($A$2:A381,A381,$B$2:B381,B381,$E$2:E381,E381)&gt;1,"Possible duplicate","")))</f>
        <v/>
      </c>
    </row>
    <row r="382" spans="3:14" x14ac:dyDescent="0.3">
      <c r="C382" s="16"/>
      <c r="G382" s="5" t="str">
        <f t="shared" si="30"/>
        <v/>
      </c>
      <c r="H382" t="str">
        <f>IF(A382="","",IFERROR(_xlfn.XLOOKUP(D382,Setup!$E$15:$E$79,Setup!$F$15:$F$79),"Miscellaneous"))</f>
        <v/>
      </c>
      <c r="I382" t="str">
        <f>IF(A382="","",IFERROR(_xlfn.XLOOKUP(D382,Setup!$E$15:$E$79,Setup!$G$15:$G$79),"Uncategorized"))</f>
        <v/>
      </c>
      <c r="J382" t="str">
        <f t="shared" si="31"/>
        <v/>
      </c>
      <c r="K382" s="4" t="str">
        <f t="shared" si="32"/>
        <v/>
      </c>
      <c r="L382" s="47">
        <f t="shared" si="33"/>
        <v>0</v>
      </c>
      <c r="M382" s="47">
        <f t="shared" si="34"/>
        <v>0</v>
      </c>
      <c r="N382" t="str">
        <f>IF(A382="","",IF(D382="Category Pending","Needs categorization",IF(COUNTIFS($A$2:A382,A382,$B$2:B382,B382,$E$2:E382,E382)&gt;1,"Possible duplicate","")))</f>
        <v/>
      </c>
    </row>
    <row r="383" spans="3:14" x14ac:dyDescent="0.3">
      <c r="C383" s="16"/>
      <c r="G383" s="5" t="str">
        <f t="shared" si="30"/>
        <v/>
      </c>
      <c r="H383" t="str">
        <f>IF(A383="","",IFERROR(_xlfn.XLOOKUP(D383,Setup!$E$15:$E$79,Setup!$F$15:$F$79),"Miscellaneous"))</f>
        <v/>
      </c>
      <c r="I383" t="str">
        <f>IF(A383="","",IFERROR(_xlfn.XLOOKUP(D383,Setup!$E$15:$E$79,Setup!$G$15:$G$79),"Uncategorized"))</f>
        <v/>
      </c>
      <c r="J383" t="str">
        <f t="shared" si="31"/>
        <v/>
      </c>
      <c r="K383" s="4" t="str">
        <f t="shared" si="32"/>
        <v/>
      </c>
      <c r="L383" s="47">
        <f t="shared" si="33"/>
        <v>0</v>
      </c>
      <c r="M383" s="47">
        <f t="shared" si="34"/>
        <v>0</v>
      </c>
      <c r="N383" t="str">
        <f>IF(A383="","",IF(D383="Category Pending","Needs categorization",IF(COUNTIFS($A$2:A383,A383,$B$2:B383,B383,$E$2:E383,E383)&gt;1,"Possible duplicate","")))</f>
        <v/>
      </c>
    </row>
    <row r="384" spans="3:14" x14ac:dyDescent="0.3">
      <c r="C384" s="16"/>
      <c r="G384" s="5" t="str">
        <f t="shared" si="30"/>
        <v/>
      </c>
      <c r="H384" t="str">
        <f>IF(A384="","",IFERROR(_xlfn.XLOOKUP(D384,Setup!$E$15:$E$79,Setup!$F$15:$F$79),"Miscellaneous"))</f>
        <v/>
      </c>
      <c r="I384" t="str">
        <f>IF(A384="","",IFERROR(_xlfn.XLOOKUP(D384,Setup!$E$15:$E$79,Setup!$G$15:$G$79),"Uncategorized"))</f>
        <v/>
      </c>
      <c r="J384" t="str">
        <f t="shared" si="31"/>
        <v/>
      </c>
      <c r="K384" s="4" t="str">
        <f t="shared" si="32"/>
        <v/>
      </c>
      <c r="L384" s="47">
        <f t="shared" si="33"/>
        <v>0</v>
      </c>
      <c r="M384" s="47">
        <f t="shared" si="34"/>
        <v>0</v>
      </c>
      <c r="N384" t="str">
        <f>IF(A384="","",IF(D384="Category Pending","Needs categorization",IF(COUNTIFS($A$2:A384,A384,$B$2:B384,B384,$E$2:E384,E384)&gt;1,"Possible duplicate","")))</f>
        <v/>
      </c>
    </row>
    <row r="385" spans="3:14" x14ac:dyDescent="0.3">
      <c r="C385" s="16"/>
      <c r="G385" s="5" t="str">
        <f t="shared" si="30"/>
        <v/>
      </c>
      <c r="H385" t="str">
        <f>IF(A385="","",IFERROR(_xlfn.XLOOKUP(D385,Setup!$E$15:$E$79,Setup!$F$15:$F$79),"Miscellaneous"))</f>
        <v/>
      </c>
      <c r="I385" t="str">
        <f>IF(A385="","",IFERROR(_xlfn.XLOOKUP(D385,Setup!$E$15:$E$79,Setup!$G$15:$G$79),"Uncategorized"))</f>
        <v/>
      </c>
      <c r="J385" t="str">
        <f t="shared" si="31"/>
        <v/>
      </c>
      <c r="K385" s="4" t="str">
        <f t="shared" si="32"/>
        <v/>
      </c>
      <c r="L385" s="47">
        <f t="shared" si="33"/>
        <v>0</v>
      </c>
      <c r="M385" s="47">
        <f t="shared" si="34"/>
        <v>0</v>
      </c>
      <c r="N385" t="str">
        <f>IF(A385="","",IF(D385="Category Pending","Needs categorization",IF(COUNTIFS($A$2:A385,A385,$B$2:B385,B385,$E$2:E385,E385)&gt;1,"Possible duplicate","")))</f>
        <v/>
      </c>
    </row>
    <row r="386" spans="3:14" x14ac:dyDescent="0.3">
      <c r="C386" s="16"/>
      <c r="G386" s="5" t="str">
        <f t="shared" si="30"/>
        <v/>
      </c>
      <c r="H386" t="str">
        <f>IF(A386="","",IFERROR(_xlfn.XLOOKUP(D386,Setup!$E$15:$E$79,Setup!$F$15:$F$79),"Miscellaneous"))</f>
        <v/>
      </c>
      <c r="I386" t="str">
        <f>IF(A386="","",IFERROR(_xlfn.XLOOKUP(D386,Setup!$E$15:$E$79,Setup!$G$15:$G$79),"Uncategorized"))</f>
        <v/>
      </c>
      <c r="J386" t="str">
        <f t="shared" si="31"/>
        <v/>
      </c>
      <c r="K386" s="4" t="str">
        <f t="shared" si="32"/>
        <v/>
      </c>
      <c r="L386" s="47">
        <f t="shared" si="33"/>
        <v>0</v>
      </c>
      <c r="M386" s="47">
        <f t="shared" si="34"/>
        <v>0</v>
      </c>
      <c r="N386" t="str">
        <f>IF(A386="","",IF(D386="Category Pending","Needs categorization",IF(COUNTIFS($A$2:A386,A386,$B$2:B386,B386,$E$2:E386,E386)&gt;1,"Possible duplicate","")))</f>
        <v/>
      </c>
    </row>
    <row r="387" spans="3:14" x14ac:dyDescent="0.3">
      <c r="C387" s="16"/>
      <c r="G387" s="5" t="str">
        <f t="shared" si="30"/>
        <v/>
      </c>
      <c r="H387" t="str">
        <f>IF(A387="","",IFERROR(_xlfn.XLOOKUP(D387,Setup!$E$15:$E$79,Setup!$F$15:$F$79),"Miscellaneous"))</f>
        <v/>
      </c>
      <c r="I387" t="str">
        <f>IF(A387="","",IFERROR(_xlfn.XLOOKUP(D387,Setup!$E$15:$E$79,Setup!$G$15:$G$79),"Uncategorized"))</f>
        <v/>
      </c>
      <c r="J387" t="str">
        <f t="shared" si="31"/>
        <v/>
      </c>
      <c r="K387" s="4" t="str">
        <f t="shared" si="32"/>
        <v/>
      </c>
      <c r="L387" s="47">
        <f t="shared" si="33"/>
        <v>0</v>
      </c>
      <c r="M387" s="47">
        <f t="shared" si="34"/>
        <v>0</v>
      </c>
      <c r="N387" t="str">
        <f>IF(A387="","",IF(D387="Category Pending","Needs categorization",IF(COUNTIFS($A$2:A387,A387,$B$2:B387,B387,$E$2:E387,E387)&gt;1,"Possible duplicate","")))</f>
        <v/>
      </c>
    </row>
    <row r="388" spans="3:14" x14ac:dyDescent="0.3">
      <c r="C388" s="16"/>
      <c r="G388" s="5" t="str">
        <f t="shared" si="30"/>
        <v/>
      </c>
      <c r="H388" t="str">
        <f>IF(A388="","",IFERROR(_xlfn.XLOOKUP(D388,Setup!$E$15:$E$79,Setup!$F$15:$F$79),"Miscellaneous"))</f>
        <v/>
      </c>
      <c r="I388" t="str">
        <f>IF(A388="","",IFERROR(_xlfn.XLOOKUP(D388,Setup!$E$15:$E$79,Setup!$G$15:$G$79),"Uncategorized"))</f>
        <v/>
      </c>
      <c r="J388" t="str">
        <f t="shared" si="31"/>
        <v/>
      </c>
      <c r="K388" s="4" t="str">
        <f t="shared" si="32"/>
        <v/>
      </c>
      <c r="L388" s="47">
        <f t="shared" si="33"/>
        <v>0</v>
      </c>
      <c r="M388" s="47">
        <f t="shared" si="34"/>
        <v>0</v>
      </c>
      <c r="N388" t="str">
        <f>IF(A388="","",IF(D388="Category Pending","Needs categorization",IF(COUNTIFS($A$2:A388,A388,$B$2:B388,B388,$E$2:E388,E388)&gt;1,"Possible duplicate","")))</f>
        <v/>
      </c>
    </row>
    <row r="389" spans="3:14" x14ac:dyDescent="0.3">
      <c r="C389" s="16"/>
      <c r="G389" s="5" t="str">
        <f t="shared" si="30"/>
        <v/>
      </c>
      <c r="H389" t="str">
        <f>IF(A389="","",IFERROR(_xlfn.XLOOKUP(D389,Setup!$E$15:$E$79,Setup!$F$15:$F$79),"Miscellaneous"))</f>
        <v/>
      </c>
      <c r="I389" t="str">
        <f>IF(A389="","",IFERROR(_xlfn.XLOOKUP(D389,Setup!$E$15:$E$79,Setup!$G$15:$G$79),"Uncategorized"))</f>
        <v/>
      </c>
      <c r="J389" t="str">
        <f t="shared" si="31"/>
        <v/>
      </c>
      <c r="K389" s="4" t="str">
        <f t="shared" si="32"/>
        <v/>
      </c>
      <c r="L389" s="47">
        <f t="shared" si="33"/>
        <v>0</v>
      </c>
      <c r="M389" s="47">
        <f t="shared" si="34"/>
        <v>0</v>
      </c>
      <c r="N389" t="str">
        <f>IF(A389="","",IF(D389="Category Pending","Needs categorization",IF(COUNTIFS($A$2:A389,A389,$B$2:B389,B389,$E$2:E389,E389)&gt;1,"Possible duplicate","")))</f>
        <v/>
      </c>
    </row>
    <row r="390" spans="3:14" x14ac:dyDescent="0.3">
      <c r="C390" s="16"/>
      <c r="G390" s="5" t="str">
        <f t="shared" si="30"/>
        <v/>
      </c>
      <c r="H390" t="str">
        <f>IF(A390="","",IFERROR(_xlfn.XLOOKUP(D390,Setup!$E$15:$E$79,Setup!$F$15:$F$79),"Miscellaneous"))</f>
        <v/>
      </c>
      <c r="I390" t="str">
        <f>IF(A390="","",IFERROR(_xlfn.XLOOKUP(D390,Setup!$E$15:$E$79,Setup!$G$15:$G$79),"Uncategorized"))</f>
        <v/>
      </c>
      <c r="J390" t="str">
        <f t="shared" si="31"/>
        <v/>
      </c>
      <c r="K390" s="4" t="str">
        <f t="shared" si="32"/>
        <v/>
      </c>
      <c r="L390" s="47">
        <f t="shared" si="33"/>
        <v>0</v>
      </c>
      <c r="M390" s="47">
        <f t="shared" si="34"/>
        <v>0</v>
      </c>
      <c r="N390" t="str">
        <f>IF(A390="","",IF(D390="Category Pending","Needs categorization",IF(COUNTIFS($A$2:A390,A390,$B$2:B390,B390,$E$2:E390,E390)&gt;1,"Possible duplicate","")))</f>
        <v/>
      </c>
    </row>
    <row r="391" spans="3:14" x14ac:dyDescent="0.3">
      <c r="C391" s="16"/>
      <c r="G391" s="5" t="str">
        <f t="shared" si="30"/>
        <v/>
      </c>
      <c r="H391" t="str">
        <f>IF(A391="","",IFERROR(_xlfn.XLOOKUP(D391,Setup!$E$15:$E$79,Setup!$F$15:$F$79),"Miscellaneous"))</f>
        <v/>
      </c>
      <c r="I391" t="str">
        <f>IF(A391="","",IFERROR(_xlfn.XLOOKUP(D391,Setup!$E$15:$E$79,Setup!$G$15:$G$79),"Uncategorized"))</f>
        <v/>
      </c>
      <c r="J391" t="str">
        <f t="shared" si="31"/>
        <v/>
      </c>
      <c r="K391" s="4" t="str">
        <f t="shared" si="32"/>
        <v/>
      </c>
      <c r="L391" s="47">
        <f t="shared" si="33"/>
        <v>0</v>
      </c>
      <c r="M391" s="47">
        <f t="shared" si="34"/>
        <v>0</v>
      </c>
      <c r="N391" t="str">
        <f>IF(A391="","",IF(D391="Category Pending","Needs categorization",IF(COUNTIFS($A$2:A391,A391,$B$2:B391,B391,$E$2:E391,E391)&gt;1,"Possible duplicate","")))</f>
        <v/>
      </c>
    </row>
    <row r="392" spans="3:14" x14ac:dyDescent="0.3">
      <c r="C392" s="16"/>
      <c r="G392" s="5" t="str">
        <f t="shared" si="30"/>
        <v/>
      </c>
      <c r="H392" t="str">
        <f>IF(A392="","",IFERROR(_xlfn.XLOOKUP(D392,Setup!$E$15:$E$79,Setup!$F$15:$F$79),"Miscellaneous"))</f>
        <v/>
      </c>
      <c r="I392" t="str">
        <f>IF(A392="","",IFERROR(_xlfn.XLOOKUP(D392,Setup!$E$15:$E$79,Setup!$G$15:$G$79),"Uncategorized"))</f>
        <v/>
      </c>
      <c r="J392" t="str">
        <f t="shared" si="31"/>
        <v/>
      </c>
      <c r="K392" s="4" t="str">
        <f t="shared" si="32"/>
        <v/>
      </c>
      <c r="L392" s="47">
        <f t="shared" si="33"/>
        <v>0</v>
      </c>
      <c r="M392" s="47">
        <f t="shared" si="34"/>
        <v>0</v>
      </c>
      <c r="N392" t="str">
        <f>IF(A392="","",IF(D392="Category Pending","Needs categorization",IF(COUNTIFS($A$2:A392,A392,$B$2:B392,B392,$E$2:E392,E392)&gt;1,"Possible duplicate","")))</f>
        <v/>
      </c>
    </row>
    <row r="393" spans="3:14" x14ac:dyDescent="0.3">
      <c r="C393" s="16"/>
      <c r="G393" s="5" t="str">
        <f t="shared" si="30"/>
        <v/>
      </c>
      <c r="H393" t="str">
        <f>IF(A393="","",IFERROR(_xlfn.XLOOKUP(D393,Setup!$E$15:$E$79,Setup!$F$15:$F$79),"Miscellaneous"))</f>
        <v/>
      </c>
      <c r="I393" t="str">
        <f>IF(A393="","",IFERROR(_xlfn.XLOOKUP(D393,Setup!$E$15:$E$79,Setup!$G$15:$G$79),"Uncategorized"))</f>
        <v/>
      </c>
      <c r="J393" t="str">
        <f t="shared" si="31"/>
        <v/>
      </c>
      <c r="K393" s="4" t="str">
        <f t="shared" si="32"/>
        <v/>
      </c>
      <c r="L393" s="47">
        <f t="shared" si="33"/>
        <v>0</v>
      </c>
      <c r="M393" s="47">
        <f t="shared" si="34"/>
        <v>0</v>
      </c>
      <c r="N393" t="str">
        <f>IF(A393="","",IF(D393="Category Pending","Needs categorization",IF(COUNTIFS($A$2:A393,A393,$B$2:B393,B393,$E$2:E393,E393)&gt;1,"Possible duplicate","")))</f>
        <v/>
      </c>
    </row>
    <row r="394" spans="3:14" x14ac:dyDescent="0.3">
      <c r="C394" s="16"/>
      <c r="G394" s="5" t="str">
        <f t="shared" si="30"/>
        <v/>
      </c>
      <c r="H394" t="str">
        <f>IF(A394="","",IFERROR(_xlfn.XLOOKUP(D394,Setup!$E$15:$E$79,Setup!$F$15:$F$79),"Miscellaneous"))</f>
        <v/>
      </c>
      <c r="I394" t="str">
        <f>IF(A394="","",IFERROR(_xlfn.XLOOKUP(D394,Setup!$E$15:$E$79,Setup!$G$15:$G$79),"Uncategorized"))</f>
        <v/>
      </c>
      <c r="J394" t="str">
        <f t="shared" si="31"/>
        <v/>
      </c>
      <c r="K394" s="4" t="str">
        <f t="shared" si="32"/>
        <v/>
      </c>
      <c r="L394" s="47">
        <f t="shared" si="33"/>
        <v>0</v>
      </c>
      <c r="M394" s="47">
        <f t="shared" si="34"/>
        <v>0</v>
      </c>
      <c r="N394" t="str">
        <f>IF(A394="","",IF(D394="Category Pending","Needs categorization",IF(COUNTIFS($A$2:A394,A394,$B$2:B394,B394,$E$2:E394,E394)&gt;1,"Possible duplicate","")))</f>
        <v/>
      </c>
    </row>
    <row r="395" spans="3:14" x14ac:dyDescent="0.3">
      <c r="C395" s="16"/>
      <c r="G395" s="5" t="str">
        <f t="shared" si="30"/>
        <v/>
      </c>
      <c r="H395" t="str">
        <f>IF(A395="","",IFERROR(_xlfn.XLOOKUP(D395,Setup!$E$15:$E$79,Setup!$F$15:$F$79),"Miscellaneous"))</f>
        <v/>
      </c>
      <c r="I395" t="str">
        <f>IF(A395="","",IFERROR(_xlfn.XLOOKUP(D395,Setup!$E$15:$E$79,Setup!$G$15:$G$79),"Uncategorized"))</f>
        <v/>
      </c>
      <c r="J395" t="str">
        <f t="shared" si="31"/>
        <v/>
      </c>
      <c r="K395" s="4" t="str">
        <f t="shared" si="32"/>
        <v/>
      </c>
      <c r="L395" s="47">
        <f t="shared" si="33"/>
        <v>0</v>
      </c>
      <c r="M395" s="47">
        <f t="shared" si="34"/>
        <v>0</v>
      </c>
      <c r="N395" t="str">
        <f>IF(A395="","",IF(D395="Category Pending","Needs categorization",IF(COUNTIFS($A$2:A395,A395,$B$2:B395,B395,$E$2:E395,E395)&gt;1,"Possible duplicate","")))</f>
        <v/>
      </c>
    </row>
    <row r="396" spans="3:14" x14ac:dyDescent="0.3">
      <c r="C396" s="16"/>
      <c r="G396" s="5" t="str">
        <f t="shared" si="30"/>
        <v/>
      </c>
      <c r="H396" t="str">
        <f>IF(A396="","",IFERROR(_xlfn.XLOOKUP(D396,Setup!$E$15:$E$79,Setup!$F$15:$F$79),"Miscellaneous"))</f>
        <v/>
      </c>
      <c r="I396" t="str">
        <f>IF(A396="","",IFERROR(_xlfn.XLOOKUP(D396,Setup!$E$15:$E$79,Setup!$G$15:$G$79),"Uncategorized"))</f>
        <v/>
      </c>
      <c r="J396" t="str">
        <f t="shared" si="31"/>
        <v/>
      </c>
      <c r="K396" s="4" t="str">
        <f t="shared" si="32"/>
        <v/>
      </c>
      <c r="L396" s="47">
        <f t="shared" si="33"/>
        <v>0</v>
      </c>
      <c r="M396" s="47">
        <f t="shared" si="34"/>
        <v>0</v>
      </c>
      <c r="N396" t="str">
        <f>IF(A396="","",IF(D396="Category Pending","Needs categorization",IF(COUNTIFS($A$2:A396,A396,$B$2:B396,B396,$E$2:E396,E396)&gt;1,"Possible duplicate","")))</f>
        <v/>
      </c>
    </row>
    <row r="397" spans="3:14" x14ac:dyDescent="0.3">
      <c r="C397" s="16"/>
      <c r="G397" s="5" t="str">
        <f t="shared" si="30"/>
        <v/>
      </c>
      <c r="H397" t="str">
        <f>IF(A397="","",IFERROR(_xlfn.XLOOKUP(D397,Setup!$E$15:$E$79,Setup!$F$15:$F$79),"Miscellaneous"))</f>
        <v/>
      </c>
      <c r="I397" t="str">
        <f>IF(A397="","",IFERROR(_xlfn.XLOOKUP(D397,Setup!$E$15:$E$79,Setup!$G$15:$G$79),"Uncategorized"))</f>
        <v/>
      </c>
      <c r="J397" t="str">
        <f t="shared" si="31"/>
        <v/>
      </c>
      <c r="K397" s="4" t="str">
        <f t="shared" si="32"/>
        <v/>
      </c>
      <c r="L397" s="47">
        <f t="shared" si="33"/>
        <v>0</v>
      </c>
      <c r="M397" s="47">
        <f t="shared" si="34"/>
        <v>0</v>
      </c>
      <c r="N397" t="str">
        <f>IF(A397="","",IF(D397="Category Pending","Needs categorization",IF(COUNTIFS($A$2:A397,A397,$B$2:B397,B397,$E$2:E397,E397)&gt;1,"Possible duplicate","")))</f>
        <v/>
      </c>
    </row>
    <row r="398" spans="3:14" x14ac:dyDescent="0.3">
      <c r="C398" s="16"/>
      <c r="G398" s="5" t="str">
        <f t="shared" si="30"/>
        <v/>
      </c>
      <c r="H398" t="str">
        <f>IF(A398="","",IFERROR(_xlfn.XLOOKUP(D398,Setup!$E$15:$E$79,Setup!$F$15:$F$79),"Miscellaneous"))</f>
        <v/>
      </c>
      <c r="I398" t="str">
        <f>IF(A398="","",IFERROR(_xlfn.XLOOKUP(D398,Setup!$E$15:$E$79,Setup!$G$15:$G$79),"Uncategorized"))</f>
        <v/>
      </c>
      <c r="J398" t="str">
        <f t="shared" si="31"/>
        <v/>
      </c>
      <c r="K398" s="4" t="str">
        <f t="shared" si="32"/>
        <v/>
      </c>
      <c r="L398" s="47">
        <f t="shared" si="33"/>
        <v>0</v>
      </c>
      <c r="M398" s="47">
        <f t="shared" si="34"/>
        <v>0</v>
      </c>
      <c r="N398" t="str">
        <f>IF(A398="","",IF(D398="Category Pending","Needs categorization",IF(COUNTIFS($A$2:A398,A398,$B$2:B398,B398,$E$2:E398,E398)&gt;1,"Possible duplicate","")))</f>
        <v/>
      </c>
    </row>
    <row r="399" spans="3:14" x14ac:dyDescent="0.3">
      <c r="C399" s="16"/>
      <c r="G399" s="5" t="str">
        <f t="shared" si="30"/>
        <v/>
      </c>
      <c r="H399" t="str">
        <f>IF(A399="","",IFERROR(_xlfn.XLOOKUP(D399,Setup!$E$15:$E$79,Setup!$F$15:$F$79),"Miscellaneous"))</f>
        <v/>
      </c>
      <c r="I399" t="str">
        <f>IF(A399="","",IFERROR(_xlfn.XLOOKUP(D399,Setup!$E$15:$E$79,Setup!$G$15:$G$79),"Uncategorized"))</f>
        <v/>
      </c>
      <c r="J399" t="str">
        <f t="shared" si="31"/>
        <v/>
      </c>
      <c r="K399" s="4" t="str">
        <f t="shared" si="32"/>
        <v/>
      </c>
      <c r="L399" s="47">
        <f t="shared" si="33"/>
        <v>0</v>
      </c>
      <c r="M399" s="47">
        <f t="shared" si="34"/>
        <v>0</v>
      </c>
      <c r="N399" t="str">
        <f>IF(A399="","",IF(D399="Category Pending","Needs categorization",IF(COUNTIFS($A$2:A399,A399,$B$2:B399,B399,$E$2:E399,E399)&gt;1,"Possible duplicate","")))</f>
        <v/>
      </c>
    </row>
    <row r="400" spans="3:14" x14ac:dyDescent="0.3">
      <c r="C400" s="16"/>
      <c r="G400" s="5" t="str">
        <f t="shared" si="30"/>
        <v/>
      </c>
      <c r="H400" t="str">
        <f>IF(A400="","",IFERROR(_xlfn.XLOOKUP(D400,Setup!$E$15:$E$79,Setup!$F$15:$F$79),"Miscellaneous"))</f>
        <v/>
      </c>
      <c r="I400" t="str">
        <f>IF(A400="","",IFERROR(_xlfn.XLOOKUP(D400,Setup!$E$15:$E$79,Setup!$G$15:$G$79),"Uncategorized"))</f>
        <v/>
      </c>
      <c r="J400" t="str">
        <f t="shared" si="31"/>
        <v/>
      </c>
      <c r="K400" s="4" t="str">
        <f t="shared" si="32"/>
        <v/>
      </c>
      <c r="L400" s="47">
        <f t="shared" si="33"/>
        <v>0</v>
      </c>
      <c r="M400" s="47">
        <f t="shared" si="34"/>
        <v>0</v>
      </c>
      <c r="N400" t="str">
        <f>IF(A400="","",IF(D400="Category Pending","Needs categorization",IF(COUNTIFS($A$2:A400,A400,$B$2:B400,B400,$E$2:E400,E400)&gt;1,"Possible duplicate","")))</f>
        <v/>
      </c>
    </row>
    <row r="401" spans="3:14" x14ac:dyDescent="0.3">
      <c r="C401" s="16"/>
      <c r="G401" s="5" t="str">
        <f t="shared" si="30"/>
        <v/>
      </c>
      <c r="H401" t="str">
        <f>IF(A401="","",IFERROR(_xlfn.XLOOKUP(D401,Setup!$E$15:$E$79,Setup!$F$15:$F$79),"Miscellaneous"))</f>
        <v/>
      </c>
      <c r="I401" t="str">
        <f>IF(A401="","",IFERROR(_xlfn.XLOOKUP(D401,Setup!$E$15:$E$79,Setup!$G$15:$G$79),"Uncategorized"))</f>
        <v/>
      </c>
      <c r="J401" t="str">
        <f t="shared" si="31"/>
        <v/>
      </c>
      <c r="K401" s="4" t="str">
        <f t="shared" si="32"/>
        <v/>
      </c>
      <c r="L401" s="47">
        <f t="shared" si="33"/>
        <v>0</v>
      </c>
      <c r="M401" s="47">
        <f t="shared" si="34"/>
        <v>0</v>
      </c>
      <c r="N401" t="str">
        <f>IF(A401="","",IF(D401="Category Pending","Needs categorization",IF(COUNTIFS($A$2:A401,A401,$B$2:B401,B401,$E$2:E401,E401)&gt;1,"Possible duplicate","")))</f>
        <v/>
      </c>
    </row>
    <row r="402" spans="3:14" x14ac:dyDescent="0.3">
      <c r="C402" s="16"/>
      <c r="G402" s="5" t="str">
        <f t="shared" si="30"/>
        <v/>
      </c>
      <c r="H402" t="str">
        <f>IF(A402="","",IFERROR(_xlfn.XLOOKUP(D402,Setup!$E$15:$E$79,Setup!$F$15:$F$79),"Miscellaneous"))</f>
        <v/>
      </c>
      <c r="I402" t="str">
        <f>IF(A402="","",IFERROR(_xlfn.XLOOKUP(D402,Setup!$E$15:$E$79,Setup!$G$15:$G$79),"Uncategorized"))</f>
        <v/>
      </c>
      <c r="J402" t="str">
        <f t="shared" si="31"/>
        <v/>
      </c>
      <c r="K402" s="4" t="str">
        <f t="shared" si="32"/>
        <v/>
      </c>
      <c r="L402" s="47">
        <f t="shared" si="33"/>
        <v>0</v>
      </c>
      <c r="M402" s="47">
        <f t="shared" si="34"/>
        <v>0</v>
      </c>
      <c r="N402" t="str">
        <f>IF(A402="","",IF(D402="Category Pending","Needs categorization",IF(COUNTIFS($A$2:A402,A402,$B$2:B402,B402,$E$2:E402,E402)&gt;1,"Possible duplicate","")))</f>
        <v/>
      </c>
    </row>
    <row r="403" spans="3:14" x14ac:dyDescent="0.3">
      <c r="C403" s="16"/>
      <c r="G403" s="5" t="str">
        <f t="shared" si="30"/>
        <v/>
      </c>
      <c r="H403" t="str">
        <f>IF(A403="","",IFERROR(_xlfn.XLOOKUP(D403,Setup!$E$15:$E$79,Setup!$F$15:$F$79),"Miscellaneous"))</f>
        <v/>
      </c>
      <c r="I403" t="str">
        <f>IF(A403="","",IFERROR(_xlfn.XLOOKUP(D403,Setup!$E$15:$E$79,Setup!$G$15:$G$79),"Uncategorized"))</f>
        <v/>
      </c>
      <c r="J403" t="str">
        <f t="shared" si="31"/>
        <v/>
      </c>
      <c r="K403" s="4" t="str">
        <f t="shared" si="32"/>
        <v/>
      </c>
      <c r="L403" s="47">
        <f t="shared" si="33"/>
        <v>0</v>
      </c>
      <c r="M403" s="47">
        <f t="shared" si="34"/>
        <v>0</v>
      </c>
      <c r="N403" t="str">
        <f>IF(A403="","",IF(D403="Category Pending","Needs categorization",IF(COUNTIFS($A$2:A403,A403,$B$2:B403,B403,$E$2:E403,E403)&gt;1,"Possible duplicate","")))</f>
        <v/>
      </c>
    </row>
    <row r="404" spans="3:14" x14ac:dyDescent="0.3">
      <c r="C404" s="16"/>
      <c r="G404" s="5" t="str">
        <f t="shared" si="30"/>
        <v/>
      </c>
      <c r="H404" t="str">
        <f>IF(A404="","",IFERROR(_xlfn.XLOOKUP(D404,Setup!$E$15:$E$79,Setup!$F$15:$F$79),"Miscellaneous"))</f>
        <v/>
      </c>
      <c r="I404" t="str">
        <f>IF(A404="","",IFERROR(_xlfn.XLOOKUP(D404,Setup!$E$15:$E$79,Setup!$G$15:$G$79),"Uncategorized"))</f>
        <v/>
      </c>
      <c r="J404" t="str">
        <f t="shared" si="31"/>
        <v/>
      </c>
      <c r="K404" s="4" t="str">
        <f t="shared" si="32"/>
        <v/>
      </c>
      <c r="L404" s="47">
        <f t="shared" si="33"/>
        <v>0</v>
      </c>
      <c r="M404" s="47">
        <f t="shared" si="34"/>
        <v>0</v>
      </c>
      <c r="N404" t="str">
        <f>IF(A404="","",IF(D404="Category Pending","Needs categorization",IF(COUNTIFS($A$2:A404,A404,$B$2:B404,B404,$E$2:E404,E404)&gt;1,"Possible duplicate","")))</f>
        <v/>
      </c>
    </row>
    <row r="405" spans="3:14" x14ac:dyDescent="0.3">
      <c r="C405" s="16"/>
      <c r="G405" s="5" t="str">
        <f t="shared" si="30"/>
        <v/>
      </c>
      <c r="H405" t="str">
        <f>IF(A405="","",IFERROR(_xlfn.XLOOKUP(D405,Setup!$E$15:$E$79,Setup!$F$15:$F$79),"Miscellaneous"))</f>
        <v/>
      </c>
      <c r="I405" t="str">
        <f>IF(A405="","",IFERROR(_xlfn.XLOOKUP(D405,Setup!$E$15:$E$79,Setup!$G$15:$G$79),"Uncategorized"))</f>
        <v/>
      </c>
      <c r="J405" t="str">
        <f t="shared" si="31"/>
        <v/>
      </c>
      <c r="K405" s="4" t="str">
        <f t="shared" si="32"/>
        <v/>
      </c>
      <c r="L405" s="47">
        <f t="shared" si="33"/>
        <v>0</v>
      </c>
      <c r="M405" s="47">
        <f t="shared" si="34"/>
        <v>0</v>
      </c>
      <c r="N405" t="str">
        <f>IF(A405="","",IF(D405="Category Pending","Needs categorization",IF(COUNTIFS($A$2:A405,A405,$B$2:B405,B405,$E$2:E405,E405)&gt;1,"Possible duplicate","")))</f>
        <v/>
      </c>
    </row>
    <row r="406" spans="3:14" x14ac:dyDescent="0.3">
      <c r="C406" s="16"/>
      <c r="G406" s="5" t="str">
        <f t="shared" si="30"/>
        <v/>
      </c>
      <c r="H406" t="str">
        <f>IF(A406="","",IFERROR(_xlfn.XLOOKUP(D406,Setup!$E$15:$E$79,Setup!$F$15:$F$79),"Miscellaneous"))</f>
        <v/>
      </c>
      <c r="I406" t="str">
        <f>IF(A406="","",IFERROR(_xlfn.XLOOKUP(D406,Setup!$E$15:$E$79,Setup!$G$15:$G$79),"Uncategorized"))</f>
        <v/>
      </c>
      <c r="J406" t="str">
        <f t="shared" si="31"/>
        <v/>
      </c>
      <c r="K406" s="4" t="str">
        <f t="shared" si="32"/>
        <v/>
      </c>
      <c r="L406" s="47">
        <f t="shared" si="33"/>
        <v>0</v>
      </c>
      <c r="M406" s="47">
        <f t="shared" si="34"/>
        <v>0</v>
      </c>
      <c r="N406" t="str">
        <f>IF(A406="","",IF(D406="Category Pending","Needs categorization",IF(COUNTIFS($A$2:A406,A406,$B$2:B406,B406,$E$2:E406,E406)&gt;1,"Possible duplicate","")))</f>
        <v/>
      </c>
    </row>
    <row r="407" spans="3:14" x14ac:dyDescent="0.3">
      <c r="C407" s="16"/>
      <c r="G407" s="5" t="str">
        <f t="shared" si="30"/>
        <v/>
      </c>
      <c r="H407" t="str">
        <f>IF(A407="","",IFERROR(_xlfn.XLOOKUP(D407,Setup!$E$15:$E$79,Setup!$F$15:$F$79),"Miscellaneous"))</f>
        <v/>
      </c>
      <c r="I407" t="str">
        <f>IF(A407="","",IFERROR(_xlfn.XLOOKUP(D407,Setup!$E$15:$E$79,Setup!$G$15:$G$79),"Uncategorized"))</f>
        <v/>
      </c>
      <c r="J407" t="str">
        <f t="shared" si="31"/>
        <v/>
      </c>
      <c r="K407" s="4" t="str">
        <f t="shared" si="32"/>
        <v/>
      </c>
      <c r="L407" s="47">
        <f t="shared" si="33"/>
        <v>0</v>
      </c>
      <c r="M407" s="47">
        <f t="shared" si="34"/>
        <v>0</v>
      </c>
      <c r="N407" t="str">
        <f>IF(A407="","",IF(D407="Category Pending","Needs categorization",IF(COUNTIFS($A$2:A407,A407,$B$2:B407,B407,$E$2:E407,E407)&gt;1,"Possible duplicate","")))</f>
        <v/>
      </c>
    </row>
    <row r="408" spans="3:14" x14ac:dyDescent="0.3">
      <c r="C408" s="16"/>
      <c r="G408" s="5" t="str">
        <f t="shared" si="30"/>
        <v/>
      </c>
      <c r="H408" t="str">
        <f>IF(A408="","",IFERROR(_xlfn.XLOOKUP(D408,Setup!$E$15:$E$79,Setup!$F$15:$F$79),"Miscellaneous"))</f>
        <v/>
      </c>
      <c r="I408" t="str">
        <f>IF(A408="","",IFERROR(_xlfn.XLOOKUP(D408,Setup!$E$15:$E$79,Setup!$G$15:$G$79),"Uncategorized"))</f>
        <v/>
      </c>
      <c r="J408" t="str">
        <f t="shared" si="31"/>
        <v/>
      </c>
      <c r="K408" s="4" t="str">
        <f t="shared" si="32"/>
        <v/>
      </c>
      <c r="L408" s="47">
        <f t="shared" si="33"/>
        <v>0</v>
      </c>
      <c r="M408" s="47">
        <f t="shared" si="34"/>
        <v>0</v>
      </c>
      <c r="N408" t="str">
        <f>IF(A408="","",IF(D408="Category Pending","Needs categorization",IF(COUNTIFS($A$2:A408,A408,$B$2:B408,B408,$E$2:E408,E408)&gt;1,"Possible duplicate","")))</f>
        <v/>
      </c>
    </row>
    <row r="409" spans="3:14" x14ac:dyDescent="0.3">
      <c r="C409" s="16"/>
      <c r="G409" s="5" t="str">
        <f t="shared" si="30"/>
        <v/>
      </c>
      <c r="H409" t="str">
        <f>IF(A409="","",IFERROR(_xlfn.XLOOKUP(D409,Setup!$E$15:$E$79,Setup!$F$15:$F$79),"Miscellaneous"))</f>
        <v/>
      </c>
      <c r="I409" t="str">
        <f>IF(A409="","",IFERROR(_xlfn.XLOOKUP(D409,Setup!$E$15:$E$79,Setup!$G$15:$G$79),"Uncategorized"))</f>
        <v/>
      </c>
      <c r="J409" t="str">
        <f t="shared" si="31"/>
        <v/>
      </c>
      <c r="K409" s="4" t="str">
        <f t="shared" si="32"/>
        <v/>
      </c>
      <c r="L409" s="47">
        <f t="shared" si="33"/>
        <v>0</v>
      </c>
      <c r="M409" s="47">
        <f t="shared" si="34"/>
        <v>0</v>
      </c>
      <c r="N409" t="str">
        <f>IF(A409="","",IF(D409="Category Pending","Needs categorization",IF(COUNTIFS($A$2:A409,A409,$B$2:B409,B409,$E$2:E409,E409)&gt;1,"Possible duplicate","")))</f>
        <v/>
      </c>
    </row>
    <row r="410" spans="3:14" x14ac:dyDescent="0.3">
      <c r="C410" s="16"/>
      <c r="G410" s="5" t="str">
        <f t="shared" si="30"/>
        <v/>
      </c>
      <c r="H410" t="str">
        <f>IF(A410="","",IFERROR(_xlfn.XLOOKUP(D410,Setup!$E$15:$E$79,Setup!$F$15:$F$79),"Miscellaneous"))</f>
        <v/>
      </c>
      <c r="I410" t="str">
        <f>IF(A410="","",IFERROR(_xlfn.XLOOKUP(D410,Setup!$E$15:$E$79,Setup!$G$15:$G$79),"Uncategorized"))</f>
        <v/>
      </c>
      <c r="J410" t="str">
        <f t="shared" si="31"/>
        <v/>
      </c>
      <c r="K410" s="4" t="str">
        <f t="shared" si="32"/>
        <v/>
      </c>
      <c r="L410" s="47">
        <f t="shared" si="33"/>
        <v>0</v>
      </c>
      <c r="M410" s="47">
        <f t="shared" si="34"/>
        <v>0</v>
      </c>
      <c r="N410" t="str">
        <f>IF(A410="","",IF(D410="Category Pending","Needs categorization",IF(COUNTIFS($A$2:A410,A410,$B$2:B410,B410,$E$2:E410,E410)&gt;1,"Possible duplicate","")))</f>
        <v/>
      </c>
    </row>
    <row r="411" spans="3:14" x14ac:dyDescent="0.3">
      <c r="C411" s="16"/>
      <c r="G411" s="5" t="str">
        <f t="shared" si="30"/>
        <v/>
      </c>
      <c r="H411" t="str">
        <f>IF(A411="","",IFERROR(_xlfn.XLOOKUP(D411,Setup!$E$15:$E$79,Setup!$F$15:$F$79),"Miscellaneous"))</f>
        <v/>
      </c>
      <c r="I411" t="str">
        <f>IF(A411="","",IFERROR(_xlfn.XLOOKUP(D411,Setup!$E$15:$E$79,Setup!$G$15:$G$79),"Uncategorized"))</f>
        <v/>
      </c>
      <c r="J411" t="str">
        <f t="shared" si="31"/>
        <v/>
      </c>
      <c r="K411" s="4" t="str">
        <f t="shared" si="32"/>
        <v/>
      </c>
      <c r="L411" s="47">
        <f t="shared" si="33"/>
        <v>0</v>
      </c>
      <c r="M411" s="47">
        <f t="shared" si="34"/>
        <v>0</v>
      </c>
      <c r="N411" t="str">
        <f>IF(A411="","",IF(D411="Category Pending","Needs categorization",IF(COUNTIFS($A$2:A411,A411,$B$2:B411,B411,$E$2:E411,E411)&gt;1,"Possible duplicate","")))</f>
        <v/>
      </c>
    </row>
    <row r="412" spans="3:14" x14ac:dyDescent="0.3">
      <c r="C412" s="16"/>
      <c r="G412" s="5" t="str">
        <f t="shared" si="30"/>
        <v/>
      </c>
      <c r="H412" t="str">
        <f>IF(A412="","",IFERROR(_xlfn.XLOOKUP(D412,Setup!$E$15:$E$79,Setup!$F$15:$F$79),"Miscellaneous"))</f>
        <v/>
      </c>
      <c r="I412" t="str">
        <f>IF(A412="","",IFERROR(_xlfn.XLOOKUP(D412,Setup!$E$15:$E$79,Setup!$G$15:$G$79),"Uncategorized"))</f>
        <v/>
      </c>
      <c r="J412" t="str">
        <f t="shared" si="31"/>
        <v/>
      </c>
      <c r="K412" s="4" t="str">
        <f t="shared" si="32"/>
        <v/>
      </c>
      <c r="L412" s="47">
        <f t="shared" si="33"/>
        <v>0</v>
      </c>
      <c r="M412" s="47">
        <f t="shared" si="34"/>
        <v>0</v>
      </c>
      <c r="N412" t="str">
        <f>IF(A412="","",IF(D412="Category Pending","Needs categorization",IF(COUNTIFS($A$2:A412,A412,$B$2:B412,B412,$E$2:E412,E412)&gt;1,"Possible duplicate","")))</f>
        <v/>
      </c>
    </row>
    <row r="413" spans="3:14" x14ac:dyDescent="0.3">
      <c r="C413" s="16"/>
      <c r="G413" s="5" t="str">
        <f t="shared" si="30"/>
        <v/>
      </c>
      <c r="H413" t="str">
        <f>IF(A413="","",IFERROR(_xlfn.XLOOKUP(D413,Setup!$E$15:$E$79,Setup!$F$15:$F$79),"Miscellaneous"))</f>
        <v/>
      </c>
      <c r="I413" t="str">
        <f>IF(A413="","",IFERROR(_xlfn.XLOOKUP(D413,Setup!$E$15:$E$79,Setup!$G$15:$G$79),"Uncategorized"))</f>
        <v/>
      </c>
      <c r="J413" t="str">
        <f t="shared" si="31"/>
        <v/>
      </c>
      <c r="K413" s="4" t="str">
        <f t="shared" si="32"/>
        <v/>
      </c>
      <c r="L413" s="47">
        <f t="shared" si="33"/>
        <v>0</v>
      </c>
      <c r="M413" s="47">
        <f t="shared" si="34"/>
        <v>0</v>
      </c>
      <c r="N413" t="str">
        <f>IF(A413="","",IF(D413="Category Pending","Needs categorization",IF(COUNTIFS($A$2:A413,A413,$B$2:B413,B413,$E$2:E413,E413)&gt;1,"Possible duplicate","")))</f>
        <v/>
      </c>
    </row>
    <row r="414" spans="3:14" x14ac:dyDescent="0.3">
      <c r="C414" s="16"/>
      <c r="G414" s="5" t="str">
        <f t="shared" si="30"/>
        <v/>
      </c>
      <c r="H414" t="str">
        <f>IF(A414="","",IFERROR(_xlfn.XLOOKUP(D414,Setup!$E$15:$E$79,Setup!$F$15:$F$79),"Miscellaneous"))</f>
        <v/>
      </c>
      <c r="I414" t="str">
        <f>IF(A414="","",IFERROR(_xlfn.XLOOKUP(D414,Setup!$E$15:$E$79,Setup!$G$15:$G$79),"Uncategorized"))</f>
        <v/>
      </c>
      <c r="J414" t="str">
        <f t="shared" si="31"/>
        <v/>
      </c>
      <c r="K414" s="4" t="str">
        <f t="shared" si="32"/>
        <v/>
      </c>
      <c r="L414" s="47">
        <f t="shared" si="33"/>
        <v>0</v>
      </c>
      <c r="M414" s="47">
        <f t="shared" si="34"/>
        <v>0</v>
      </c>
      <c r="N414" t="str">
        <f>IF(A414="","",IF(D414="Category Pending","Needs categorization",IF(COUNTIFS($A$2:A414,A414,$B$2:B414,B414,$E$2:E414,E414)&gt;1,"Possible duplicate","")))</f>
        <v/>
      </c>
    </row>
    <row r="415" spans="3:14" x14ac:dyDescent="0.3">
      <c r="C415" s="16"/>
      <c r="G415" s="5" t="str">
        <f t="shared" si="30"/>
        <v/>
      </c>
      <c r="H415" t="str">
        <f>IF(A415="","",IFERROR(_xlfn.XLOOKUP(D415,Setup!$E$15:$E$79,Setup!$F$15:$F$79),"Miscellaneous"))</f>
        <v/>
      </c>
      <c r="I415" t="str">
        <f>IF(A415="","",IFERROR(_xlfn.XLOOKUP(D415,Setup!$E$15:$E$79,Setup!$G$15:$G$79),"Uncategorized"))</f>
        <v/>
      </c>
      <c r="J415" t="str">
        <f t="shared" si="31"/>
        <v/>
      </c>
      <c r="K415" s="4" t="str">
        <f t="shared" si="32"/>
        <v/>
      </c>
      <c r="L415" s="47">
        <f t="shared" si="33"/>
        <v>0</v>
      </c>
      <c r="M415" s="47">
        <f t="shared" si="34"/>
        <v>0</v>
      </c>
      <c r="N415" t="str">
        <f>IF(A415="","",IF(D415="Category Pending","Needs categorization",IF(COUNTIFS($A$2:A415,A415,$B$2:B415,B415,$E$2:E415,E415)&gt;1,"Possible duplicate","")))</f>
        <v/>
      </c>
    </row>
    <row r="416" spans="3:14" x14ac:dyDescent="0.3">
      <c r="C416" s="16"/>
      <c r="G416" s="5" t="str">
        <f t="shared" si="30"/>
        <v/>
      </c>
      <c r="H416" t="str">
        <f>IF(A416="","",IFERROR(_xlfn.XLOOKUP(D416,Setup!$E$15:$E$79,Setup!$F$15:$F$79),"Miscellaneous"))</f>
        <v/>
      </c>
      <c r="I416" t="str">
        <f>IF(A416="","",IFERROR(_xlfn.XLOOKUP(D416,Setup!$E$15:$E$79,Setup!$G$15:$G$79),"Uncategorized"))</f>
        <v/>
      </c>
      <c r="J416" t="str">
        <f t="shared" si="31"/>
        <v/>
      </c>
      <c r="K416" s="4" t="str">
        <f t="shared" si="32"/>
        <v/>
      </c>
      <c r="L416" s="47">
        <f t="shared" si="33"/>
        <v>0</v>
      </c>
      <c r="M416" s="47">
        <f t="shared" si="34"/>
        <v>0</v>
      </c>
      <c r="N416" t="str">
        <f>IF(A416="","",IF(D416="Category Pending","Needs categorization",IF(COUNTIFS($A$2:A416,A416,$B$2:B416,B416,$E$2:E416,E416)&gt;1,"Possible duplicate","")))</f>
        <v/>
      </c>
    </row>
    <row r="417" spans="3:14" x14ac:dyDescent="0.3">
      <c r="C417" s="16"/>
      <c r="G417" s="5" t="str">
        <f t="shared" ref="G417:G480" si="35">IF(A417="","","Checking")</f>
        <v/>
      </c>
      <c r="H417" t="str">
        <f>IF(A417="","",IFERROR(_xlfn.XLOOKUP(D417,Setup!$E$15:$E$79,Setup!$F$15:$F$79),"Miscellaneous"))</f>
        <v/>
      </c>
      <c r="I417" t="str">
        <f>IF(A417="","",IFERROR(_xlfn.XLOOKUP(D417,Setup!$E$15:$E$79,Setup!$G$15:$G$79),"Uncategorized"))</f>
        <v/>
      </c>
      <c r="J417" t="str">
        <f t="shared" ref="J417:J480" si="36">IF(A417="","",IF(OR(H417="Transfers",H417="Income",D417="Transfer",D417="Category Pending"),"No","Yes"))</f>
        <v/>
      </c>
      <c r="K417" s="4" t="str">
        <f t="shared" ref="K417:K480" si="37">IF(A417="","",IF(A417&gt;=46232,TEXT(DATE(YEAR(A417),MONTH(A417)+1,1),"mmmm yyyy"),TEXT(DATE(YEAR(A417),MONTH(A417),1),"mmmm yyyy")))</f>
        <v/>
      </c>
      <c r="L417" s="47">
        <f t="shared" ref="L417:L480" si="38">IF(AND(J417="Yes",E417&lt;0),-E417,0)</f>
        <v>0</v>
      </c>
      <c r="M417" s="47">
        <f t="shared" ref="M417:M480" si="39">IF(AND(J417="Yes",E417&gt;0),E417,0)</f>
        <v>0</v>
      </c>
      <c r="N417" t="str">
        <f>IF(A417="","",IF(D417="Category Pending","Needs categorization",IF(COUNTIFS($A$2:A417,A417,$B$2:B417,B417,$E$2:E417,E417)&gt;1,"Possible duplicate","")))</f>
        <v/>
      </c>
    </row>
    <row r="418" spans="3:14" x14ac:dyDescent="0.3">
      <c r="C418" s="16"/>
      <c r="G418" s="5" t="str">
        <f t="shared" si="35"/>
        <v/>
      </c>
      <c r="H418" t="str">
        <f>IF(A418="","",IFERROR(_xlfn.XLOOKUP(D418,Setup!$E$15:$E$79,Setup!$F$15:$F$79),"Miscellaneous"))</f>
        <v/>
      </c>
      <c r="I418" t="str">
        <f>IF(A418="","",IFERROR(_xlfn.XLOOKUP(D418,Setup!$E$15:$E$79,Setup!$G$15:$G$79),"Uncategorized"))</f>
        <v/>
      </c>
      <c r="J418" t="str">
        <f t="shared" si="36"/>
        <v/>
      </c>
      <c r="K418" s="4" t="str">
        <f t="shared" si="37"/>
        <v/>
      </c>
      <c r="L418" s="47">
        <f t="shared" si="38"/>
        <v>0</v>
      </c>
      <c r="M418" s="47">
        <f t="shared" si="39"/>
        <v>0</v>
      </c>
      <c r="N418" t="str">
        <f>IF(A418="","",IF(D418="Category Pending","Needs categorization",IF(COUNTIFS($A$2:A418,A418,$B$2:B418,B418,$E$2:E418,E418)&gt;1,"Possible duplicate","")))</f>
        <v/>
      </c>
    </row>
    <row r="419" spans="3:14" x14ac:dyDescent="0.3">
      <c r="C419" s="16"/>
      <c r="G419" s="5" t="str">
        <f t="shared" si="35"/>
        <v/>
      </c>
      <c r="H419" t="str">
        <f>IF(A419="","",IFERROR(_xlfn.XLOOKUP(D419,Setup!$E$15:$E$79,Setup!$F$15:$F$79),"Miscellaneous"))</f>
        <v/>
      </c>
      <c r="I419" t="str">
        <f>IF(A419="","",IFERROR(_xlfn.XLOOKUP(D419,Setup!$E$15:$E$79,Setup!$G$15:$G$79),"Uncategorized"))</f>
        <v/>
      </c>
      <c r="J419" t="str">
        <f t="shared" si="36"/>
        <v/>
      </c>
      <c r="K419" s="4" t="str">
        <f t="shared" si="37"/>
        <v/>
      </c>
      <c r="L419" s="47">
        <f t="shared" si="38"/>
        <v>0</v>
      </c>
      <c r="M419" s="47">
        <f t="shared" si="39"/>
        <v>0</v>
      </c>
      <c r="N419" t="str">
        <f>IF(A419="","",IF(D419="Category Pending","Needs categorization",IF(COUNTIFS($A$2:A419,A419,$B$2:B419,B419,$E$2:E419,E419)&gt;1,"Possible duplicate","")))</f>
        <v/>
      </c>
    </row>
    <row r="420" spans="3:14" x14ac:dyDescent="0.3">
      <c r="C420" s="16"/>
      <c r="G420" s="5" t="str">
        <f t="shared" si="35"/>
        <v/>
      </c>
      <c r="H420" t="str">
        <f>IF(A420="","",IFERROR(_xlfn.XLOOKUP(D420,Setup!$E$15:$E$79,Setup!$F$15:$F$79),"Miscellaneous"))</f>
        <v/>
      </c>
      <c r="I420" t="str">
        <f>IF(A420="","",IFERROR(_xlfn.XLOOKUP(D420,Setup!$E$15:$E$79,Setup!$G$15:$G$79),"Uncategorized"))</f>
        <v/>
      </c>
      <c r="J420" t="str">
        <f t="shared" si="36"/>
        <v/>
      </c>
      <c r="K420" s="4" t="str">
        <f t="shared" si="37"/>
        <v/>
      </c>
      <c r="L420" s="47">
        <f t="shared" si="38"/>
        <v>0</v>
      </c>
      <c r="M420" s="47">
        <f t="shared" si="39"/>
        <v>0</v>
      </c>
      <c r="N420" t="str">
        <f>IF(A420="","",IF(D420="Category Pending","Needs categorization",IF(COUNTIFS($A$2:A420,A420,$B$2:B420,B420,$E$2:E420,E420)&gt;1,"Possible duplicate","")))</f>
        <v/>
      </c>
    </row>
    <row r="421" spans="3:14" x14ac:dyDescent="0.3">
      <c r="C421" s="16"/>
      <c r="G421" s="5" t="str">
        <f t="shared" si="35"/>
        <v/>
      </c>
      <c r="H421" t="str">
        <f>IF(A421="","",IFERROR(_xlfn.XLOOKUP(D421,Setup!$E$15:$E$79,Setup!$F$15:$F$79),"Miscellaneous"))</f>
        <v/>
      </c>
      <c r="I421" t="str">
        <f>IF(A421="","",IFERROR(_xlfn.XLOOKUP(D421,Setup!$E$15:$E$79,Setup!$G$15:$G$79),"Uncategorized"))</f>
        <v/>
      </c>
      <c r="J421" t="str">
        <f t="shared" si="36"/>
        <v/>
      </c>
      <c r="K421" s="4" t="str">
        <f t="shared" si="37"/>
        <v/>
      </c>
      <c r="L421" s="47">
        <f t="shared" si="38"/>
        <v>0</v>
      </c>
      <c r="M421" s="47">
        <f t="shared" si="39"/>
        <v>0</v>
      </c>
      <c r="N421" t="str">
        <f>IF(A421="","",IF(D421="Category Pending","Needs categorization",IF(COUNTIFS($A$2:A421,A421,$B$2:B421,B421,$E$2:E421,E421)&gt;1,"Possible duplicate","")))</f>
        <v/>
      </c>
    </row>
    <row r="422" spans="3:14" x14ac:dyDescent="0.3">
      <c r="C422" s="16"/>
      <c r="G422" s="5" t="str">
        <f t="shared" si="35"/>
        <v/>
      </c>
      <c r="H422" t="str">
        <f>IF(A422="","",IFERROR(_xlfn.XLOOKUP(D422,Setup!$E$15:$E$79,Setup!$F$15:$F$79),"Miscellaneous"))</f>
        <v/>
      </c>
      <c r="I422" t="str">
        <f>IF(A422="","",IFERROR(_xlfn.XLOOKUP(D422,Setup!$E$15:$E$79,Setup!$G$15:$G$79),"Uncategorized"))</f>
        <v/>
      </c>
      <c r="J422" t="str">
        <f t="shared" si="36"/>
        <v/>
      </c>
      <c r="K422" s="4" t="str">
        <f t="shared" si="37"/>
        <v/>
      </c>
      <c r="L422" s="47">
        <f t="shared" si="38"/>
        <v>0</v>
      </c>
      <c r="M422" s="47">
        <f t="shared" si="39"/>
        <v>0</v>
      </c>
      <c r="N422" t="str">
        <f>IF(A422="","",IF(D422="Category Pending","Needs categorization",IF(COUNTIFS($A$2:A422,A422,$B$2:B422,B422,$E$2:E422,E422)&gt;1,"Possible duplicate","")))</f>
        <v/>
      </c>
    </row>
    <row r="423" spans="3:14" x14ac:dyDescent="0.3">
      <c r="C423" s="16"/>
      <c r="G423" s="5" t="str">
        <f t="shared" si="35"/>
        <v/>
      </c>
      <c r="H423" t="str">
        <f>IF(A423="","",IFERROR(_xlfn.XLOOKUP(D423,Setup!$E$15:$E$79,Setup!$F$15:$F$79),"Miscellaneous"))</f>
        <v/>
      </c>
      <c r="I423" t="str">
        <f>IF(A423="","",IFERROR(_xlfn.XLOOKUP(D423,Setup!$E$15:$E$79,Setup!$G$15:$G$79),"Uncategorized"))</f>
        <v/>
      </c>
      <c r="J423" t="str">
        <f t="shared" si="36"/>
        <v/>
      </c>
      <c r="K423" s="4" t="str">
        <f t="shared" si="37"/>
        <v/>
      </c>
      <c r="L423" s="47">
        <f t="shared" si="38"/>
        <v>0</v>
      </c>
      <c r="M423" s="47">
        <f t="shared" si="39"/>
        <v>0</v>
      </c>
      <c r="N423" t="str">
        <f>IF(A423="","",IF(D423="Category Pending","Needs categorization",IF(COUNTIFS($A$2:A423,A423,$B$2:B423,B423,$E$2:E423,E423)&gt;1,"Possible duplicate","")))</f>
        <v/>
      </c>
    </row>
    <row r="424" spans="3:14" x14ac:dyDescent="0.3">
      <c r="C424" s="16"/>
      <c r="G424" s="5" t="str">
        <f t="shared" si="35"/>
        <v/>
      </c>
      <c r="H424" t="str">
        <f>IF(A424="","",IFERROR(_xlfn.XLOOKUP(D424,Setup!$E$15:$E$79,Setup!$F$15:$F$79),"Miscellaneous"))</f>
        <v/>
      </c>
      <c r="I424" t="str">
        <f>IF(A424="","",IFERROR(_xlfn.XLOOKUP(D424,Setup!$E$15:$E$79,Setup!$G$15:$G$79),"Uncategorized"))</f>
        <v/>
      </c>
      <c r="J424" t="str">
        <f t="shared" si="36"/>
        <v/>
      </c>
      <c r="K424" s="4" t="str">
        <f t="shared" si="37"/>
        <v/>
      </c>
      <c r="L424" s="47">
        <f t="shared" si="38"/>
        <v>0</v>
      </c>
      <c r="M424" s="47">
        <f t="shared" si="39"/>
        <v>0</v>
      </c>
      <c r="N424" t="str">
        <f>IF(A424="","",IF(D424="Category Pending","Needs categorization",IF(COUNTIFS($A$2:A424,A424,$B$2:B424,B424,$E$2:E424,E424)&gt;1,"Possible duplicate","")))</f>
        <v/>
      </c>
    </row>
    <row r="425" spans="3:14" x14ac:dyDescent="0.3">
      <c r="C425" s="16"/>
      <c r="G425" s="5" t="str">
        <f t="shared" si="35"/>
        <v/>
      </c>
      <c r="H425" t="str">
        <f>IF(A425="","",IFERROR(_xlfn.XLOOKUP(D425,Setup!$E$15:$E$79,Setup!$F$15:$F$79),"Miscellaneous"))</f>
        <v/>
      </c>
      <c r="I425" t="str">
        <f>IF(A425="","",IFERROR(_xlfn.XLOOKUP(D425,Setup!$E$15:$E$79,Setup!$G$15:$G$79),"Uncategorized"))</f>
        <v/>
      </c>
      <c r="J425" t="str">
        <f t="shared" si="36"/>
        <v/>
      </c>
      <c r="K425" s="4" t="str">
        <f t="shared" si="37"/>
        <v/>
      </c>
      <c r="L425" s="47">
        <f t="shared" si="38"/>
        <v>0</v>
      </c>
      <c r="M425" s="47">
        <f t="shared" si="39"/>
        <v>0</v>
      </c>
      <c r="N425" t="str">
        <f>IF(A425="","",IF(D425="Category Pending","Needs categorization",IF(COUNTIFS($A$2:A425,A425,$B$2:B425,B425,$E$2:E425,E425)&gt;1,"Possible duplicate","")))</f>
        <v/>
      </c>
    </row>
    <row r="426" spans="3:14" x14ac:dyDescent="0.3">
      <c r="C426" s="16"/>
      <c r="G426" s="5" t="str">
        <f t="shared" si="35"/>
        <v/>
      </c>
      <c r="H426" t="str">
        <f>IF(A426="","",IFERROR(_xlfn.XLOOKUP(D426,Setup!$E$15:$E$79,Setup!$F$15:$F$79),"Miscellaneous"))</f>
        <v/>
      </c>
      <c r="I426" t="str">
        <f>IF(A426="","",IFERROR(_xlfn.XLOOKUP(D426,Setup!$E$15:$E$79,Setup!$G$15:$G$79),"Uncategorized"))</f>
        <v/>
      </c>
      <c r="J426" t="str">
        <f t="shared" si="36"/>
        <v/>
      </c>
      <c r="K426" s="4" t="str">
        <f t="shared" si="37"/>
        <v/>
      </c>
      <c r="L426" s="47">
        <f t="shared" si="38"/>
        <v>0</v>
      </c>
      <c r="M426" s="47">
        <f t="shared" si="39"/>
        <v>0</v>
      </c>
      <c r="N426" t="str">
        <f>IF(A426="","",IF(D426="Category Pending","Needs categorization",IF(COUNTIFS($A$2:A426,A426,$B$2:B426,B426,$E$2:E426,E426)&gt;1,"Possible duplicate","")))</f>
        <v/>
      </c>
    </row>
    <row r="427" spans="3:14" x14ac:dyDescent="0.3">
      <c r="C427" s="16"/>
      <c r="G427" s="5" t="str">
        <f t="shared" si="35"/>
        <v/>
      </c>
      <c r="H427" t="str">
        <f>IF(A427="","",IFERROR(_xlfn.XLOOKUP(D427,Setup!$E$15:$E$79,Setup!$F$15:$F$79),"Miscellaneous"))</f>
        <v/>
      </c>
      <c r="I427" t="str">
        <f>IF(A427="","",IFERROR(_xlfn.XLOOKUP(D427,Setup!$E$15:$E$79,Setup!$G$15:$G$79),"Uncategorized"))</f>
        <v/>
      </c>
      <c r="J427" t="str">
        <f t="shared" si="36"/>
        <v/>
      </c>
      <c r="K427" s="4" t="str">
        <f t="shared" si="37"/>
        <v/>
      </c>
      <c r="L427" s="47">
        <f t="shared" si="38"/>
        <v>0</v>
      </c>
      <c r="M427" s="47">
        <f t="shared" si="39"/>
        <v>0</v>
      </c>
      <c r="N427" t="str">
        <f>IF(A427="","",IF(D427="Category Pending","Needs categorization",IF(COUNTIFS($A$2:A427,A427,$B$2:B427,B427,$E$2:E427,E427)&gt;1,"Possible duplicate","")))</f>
        <v/>
      </c>
    </row>
    <row r="428" spans="3:14" x14ac:dyDescent="0.3">
      <c r="C428" s="16"/>
      <c r="G428" s="5" t="str">
        <f t="shared" si="35"/>
        <v/>
      </c>
      <c r="H428" t="str">
        <f>IF(A428="","",IFERROR(_xlfn.XLOOKUP(D428,Setup!$E$15:$E$79,Setup!$F$15:$F$79),"Miscellaneous"))</f>
        <v/>
      </c>
      <c r="I428" t="str">
        <f>IF(A428="","",IFERROR(_xlfn.XLOOKUP(D428,Setup!$E$15:$E$79,Setup!$G$15:$G$79),"Uncategorized"))</f>
        <v/>
      </c>
      <c r="J428" t="str">
        <f t="shared" si="36"/>
        <v/>
      </c>
      <c r="K428" s="4" t="str">
        <f t="shared" si="37"/>
        <v/>
      </c>
      <c r="L428" s="47">
        <f t="shared" si="38"/>
        <v>0</v>
      </c>
      <c r="M428" s="47">
        <f t="shared" si="39"/>
        <v>0</v>
      </c>
      <c r="N428" t="str">
        <f>IF(A428="","",IF(D428="Category Pending","Needs categorization",IF(COUNTIFS($A$2:A428,A428,$B$2:B428,B428,$E$2:E428,E428)&gt;1,"Possible duplicate","")))</f>
        <v/>
      </c>
    </row>
    <row r="429" spans="3:14" x14ac:dyDescent="0.3">
      <c r="C429" s="16"/>
      <c r="G429" s="5" t="str">
        <f t="shared" si="35"/>
        <v/>
      </c>
      <c r="H429" t="str">
        <f>IF(A429="","",IFERROR(_xlfn.XLOOKUP(D429,Setup!$E$15:$E$79,Setup!$F$15:$F$79),"Miscellaneous"))</f>
        <v/>
      </c>
      <c r="I429" t="str">
        <f>IF(A429="","",IFERROR(_xlfn.XLOOKUP(D429,Setup!$E$15:$E$79,Setup!$G$15:$G$79),"Uncategorized"))</f>
        <v/>
      </c>
      <c r="J429" t="str">
        <f t="shared" si="36"/>
        <v/>
      </c>
      <c r="K429" s="4" t="str">
        <f t="shared" si="37"/>
        <v/>
      </c>
      <c r="L429" s="47">
        <f t="shared" si="38"/>
        <v>0</v>
      </c>
      <c r="M429" s="47">
        <f t="shared" si="39"/>
        <v>0</v>
      </c>
      <c r="N429" t="str">
        <f>IF(A429="","",IF(D429="Category Pending","Needs categorization",IF(COUNTIFS($A$2:A429,A429,$B$2:B429,B429,$E$2:E429,E429)&gt;1,"Possible duplicate","")))</f>
        <v/>
      </c>
    </row>
    <row r="430" spans="3:14" x14ac:dyDescent="0.3">
      <c r="C430" s="16"/>
      <c r="G430" s="5" t="str">
        <f t="shared" si="35"/>
        <v/>
      </c>
      <c r="H430" t="str">
        <f>IF(A430="","",IFERROR(_xlfn.XLOOKUP(D430,Setup!$E$15:$E$79,Setup!$F$15:$F$79),"Miscellaneous"))</f>
        <v/>
      </c>
      <c r="I430" t="str">
        <f>IF(A430="","",IFERROR(_xlfn.XLOOKUP(D430,Setup!$E$15:$E$79,Setup!$G$15:$G$79),"Uncategorized"))</f>
        <v/>
      </c>
      <c r="J430" t="str">
        <f t="shared" si="36"/>
        <v/>
      </c>
      <c r="K430" s="4" t="str">
        <f t="shared" si="37"/>
        <v/>
      </c>
      <c r="L430" s="47">
        <f t="shared" si="38"/>
        <v>0</v>
      </c>
      <c r="M430" s="47">
        <f t="shared" si="39"/>
        <v>0</v>
      </c>
      <c r="N430" t="str">
        <f>IF(A430="","",IF(D430="Category Pending","Needs categorization",IF(COUNTIFS($A$2:A430,A430,$B$2:B430,B430,$E$2:E430,E430)&gt;1,"Possible duplicate","")))</f>
        <v/>
      </c>
    </row>
    <row r="431" spans="3:14" x14ac:dyDescent="0.3">
      <c r="C431" s="16"/>
      <c r="G431" s="5" t="str">
        <f t="shared" si="35"/>
        <v/>
      </c>
      <c r="H431" t="str">
        <f>IF(A431="","",IFERROR(_xlfn.XLOOKUP(D431,Setup!$E$15:$E$79,Setup!$F$15:$F$79),"Miscellaneous"))</f>
        <v/>
      </c>
      <c r="I431" t="str">
        <f>IF(A431="","",IFERROR(_xlfn.XLOOKUP(D431,Setup!$E$15:$E$79,Setup!$G$15:$G$79),"Uncategorized"))</f>
        <v/>
      </c>
      <c r="J431" t="str">
        <f t="shared" si="36"/>
        <v/>
      </c>
      <c r="K431" s="4" t="str">
        <f t="shared" si="37"/>
        <v/>
      </c>
      <c r="L431" s="47">
        <f t="shared" si="38"/>
        <v>0</v>
      </c>
      <c r="M431" s="47">
        <f t="shared" si="39"/>
        <v>0</v>
      </c>
      <c r="N431" t="str">
        <f>IF(A431="","",IF(D431="Category Pending","Needs categorization",IF(COUNTIFS($A$2:A431,A431,$B$2:B431,B431,$E$2:E431,E431)&gt;1,"Possible duplicate","")))</f>
        <v/>
      </c>
    </row>
    <row r="432" spans="3:14" x14ac:dyDescent="0.3">
      <c r="C432" s="16"/>
      <c r="G432" s="5" t="str">
        <f t="shared" si="35"/>
        <v/>
      </c>
      <c r="H432" t="str">
        <f>IF(A432="","",IFERROR(_xlfn.XLOOKUP(D432,Setup!$E$15:$E$79,Setup!$F$15:$F$79),"Miscellaneous"))</f>
        <v/>
      </c>
      <c r="I432" t="str">
        <f>IF(A432="","",IFERROR(_xlfn.XLOOKUP(D432,Setup!$E$15:$E$79,Setup!$G$15:$G$79),"Uncategorized"))</f>
        <v/>
      </c>
      <c r="J432" t="str">
        <f t="shared" si="36"/>
        <v/>
      </c>
      <c r="K432" s="4" t="str">
        <f t="shared" si="37"/>
        <v/>
      </c>
      <c r="L432" s="47">
        <f t="shared" si="38"/>
        <v>0</v>
      </c>
      <c r="M432" s="47">
        <f t="shared" si="39"/>
        <v>0</v>
      </c>
      <c r="N432" t="str">
        <f>IF(A432="","",IF(D432="Category Pending","Needs categorization",IF(COUNTIFS($A$2:A432,A432,$B$2:B432,B432,$E$2:E432,E432)&gt;1,"Possible duplicate","")))</f>
        <v/>
      </c>
    </row>
    <row r="433" spans="3:14" x14ac:dyDescent="0.3">
      <c r="C433" s="16"/>
      <c r="G433" s="5" t="str">
        <f t="shared" si="35"/>
        <v/>
      </c>
      <c r="H433" t="str">
        <f>IF(A433="","",IFERROR(_xlfn.XLOOKUP(D433,Setup!$E$15:$E$79,Setup!$F$15:$F$79),"Miscellaneous"))</f>
        <v/>
      </c>
      <c r="I433" t="str">
        <f>IF(A433="","",IFERROR(_xlfn.XLOOKUP(D433,Setup!$E$15:$E$79,Setup!$G$15:$G$79),"Uncategorized"))</f>
        <v/>
      </c>
      <c r="J433" t="str">
        <f t="shared" si="36"/>
        <v/>
      </c>
      <c r="K433" s="4" t="str">
        <f t="shared" si="37"/>
        <v/>
      </c>
      <c r="L433" s="47">
        <f t="shared" si="38"/>
        <v>0</v>
      </c>
      <c r="M433" s="47">
        <f t="shared" si="39"/>
        <v>0</v>
      </c>
      <c r="N433" t="str">
        <f>IF(A433="","",IF(D433="Category Pending","Needs categorization",IF(COUNTIFS($A$2:A433,A433,$B$2:B433,B433,$E$2:E433,E433)&gt;1,"Possible duplicate","")))</f>
        <v/>
      </c>
    </row>
    <row r="434" spans="3:14" x14ac:dyDescent="0.3">
      <c r="C434" s="16"/>
      <c r="G434" s="5" t="str">
        <f t="shared" si="35"/>
        <v/>
      </c>
      <c r="H434" t="str">
        <f>IF(A434="","",IFERROR(_xlfn.XLOOKUP(D434,Setup!$E$15:$E$79,Setup!$F$15:$F$79),"Miscellaneous"))</f>
        <v/>
      </c>
      <c r="I434" t="str">
        <f>IF(A434="","",IFERROR(_xlfn.XLOOKUP(D434,Setup!$E$15:$E$79,Setup!$G$15:$G$79),"Uncategorized"))</f>
        <v/>
      </c>
      <c r="J434" t="str">
        <f t="shared" si="36"/>
        <v/>
      </c>
      <c r="K434" s="4" t="str">
        <f t="shared" si="37"/>
        <v/>
      </c>
      <c r="L434" s="47">
        <f t="shared" si="38"/>
        <v>0</v>
      </c>
      <c r="M434" s="47">
        <f t="shared" si="39"/>
        <v>0</v>
      </c>
      <c r="N434" t="str">
        <f>IF(A434="","",IF(D434="Category Pending","Needs categorization",IF(COUNTIFS($A$2:A434,A434,$B$2:B434,B434,$E$2:E434,E434)&gt;1,"Possible duplicate","")))</f>
        <v/>
      </c>
    </row>
    <row r="435" spans="3:14" x14ac:dyDescent="0.3">
      <c r="C435" s="16"/>
      <c r="G435" s="5" t="str">
        <f t="shared" si="35"/>
        <v/>
      </c>
      <c r="H435" t="str">
        <f>IF(A435="","",IFERROR(_xlfn.XLOOKUP(D435,Setup!$E$15:$E$79,Setup!$F$15:$F$79),"Miscellaneous"))</f>
        <v/>
      </c>
      <c r="I435" t="str">
        <f>IF(A435="","",IFERROR(_xlfn.XLOOKUP(D435,Setup!$E$15:$E$79,Setup!$G$15:$G$79),"Uncategorized"))</f>
        <v/>
      </c>
      <c r="J435" t="str">
        <f t="shared" si="36"/>
        <v/>
      </c>
      <c r="K435" s="4" t="str">
        <f t="shared" si="37"/>
        <v/>
      </c>
      <c r="L435" s="47">
        <f t="shared" si="38"/>
        <v>0</v>
      </c>
      <c r="M435" s="47">
        <f t="shared" si="39"/>
        <v>0</v>
      </c>
      <c r="N435" t="str">
        <f>IF(A435="","",IF(D435="Category Pending","Needs categorization",IF(COUNTIFS($A$2:A435,A435,$B$2:B435,B435,$E$2:E435,E435)&gt;1,"Possible duplicate","")))</f>
        <v/>
      </c>
    </row>
    <row r="436" spans="3:14" x14ac:dyDescent="0.3">
      <c r="C436" s="16"/>
      <c r="G436" s="5" t="str">
        <f t="shared" si="35"/>
        <v/>
      </c>
      <c r="H436" t="str">
        <f>IF(A436="","",IFERROR(_xlfn.XLOOKUP(D436,Setup!$E$15:$E$79,Setup!$F$15:$F$79),"Miscellaneous"))</f>
        <v/>
      </c>
      <c r="I436" t="str">
        <f>IF(A436="","",IFERROR(_xlfn.XLOOKUP(D436,Setup!$E$15:$E$79,Setup!$G$15:$G$79),"Uncategorized"))</f>
        <v/>
      </c>
      <c r="J436" t="str">
        <f t="shared" si="36"/>
        <v/>
      </c>
      <c r="K436" s="4" t="str">
        <f t="shared" si="37"/>
        <v/>
      </c>
      <c r="L436" s="47">
        <f t="shared" si="38"/>
        <v>0</v>
      </c>
      <c r="M436" s="47">
        <f t="shared" si="39"/>
        <v>0</v>
      </c>
      <c r="N436" t="str">
        <f>IF(A436="","",IF(D436="Category Pending","Needs categorization",IF(COUNTIFS($A$2:A436,A436,$B$2:B436,B436,$E$2:E436,E436)&gt;1,"Possible duplicate","")))</f>
        <v/>
      </c>
    </row>
    <row r="437" spans="3:14" x14ac:dyDescent="0.3">
      <c r="C437" s="16"/>
      <c r="G437" s="5" t="str">
        <f t="shared" si="35"/>
        <v/>
      </c>
      <c r="H437" t="str">
        <f>IF(A437="","",IFERROR(_xlfn.XLOOKUP(D437,Setup!$E$15:$E$79,Setup!$F$15:$F$79),"Miscellaneous"))</f>
        <v/>
      </c>
      <c r="I437" t="str">
        <f>IF(A437="","",IFERROR(_xlfn.XLOOKUP(D437,Setup!$E$15:$E$79,Setup!$G$15:$G$79),"Uncategorized"))</f>
        <v/>
      </c>
      <c r="J437" t="str">
        <f t="shared" si="36"/>
        <v/>
      </c>
      <c r="K437" s="4" t="str">
        <f t="shared" si="37"/>
        <v/>
      </c>
      <c r="L437" s="47">
        <f t="shared" si="38"/>
        <v>0</v>
      </c>
      <c r="M437" s="47">
        <f t="shared" si="39"/>
        <v>0</v>
      </c>
      <c r="N437" t="str">
        <f>IF(A437="","",IF(D437="Category Pending","Needs categorization",IF(COUNTIFS($A$2:A437,A437,$B$2:B437,B437,$E$2:E437,E437)&gt;1,"Possible duplicate","")))</f>
        <v/>
      </c>
    </row>
    <row r="438" spans="3:14" x14ac:dyDescent="0.3">
      <c r="C438" s="16"/>
      <c r="G438" s="5" t="str">
        <f t="shared" si="35"/>
        <v/>
      </c>
      <c r="H438" t="str">
        <f>IF(A438="","",IFERROR(_xlfn.XLOOKUP(D438,Setup!$E$15:$E$79,Setup!$F$15:$F$79),"Miscellaneous"))</f>
        <v/>
      </c>
      <c r="I438" t="str">
        <f>IF(A438="","",IFERROR(_xlfn.XLOOKUP(D438,Setup!$E$15:$E$79,Setup!$G$15:$G$79),"Uncategorized"))</f>
        <v/>
      </c>
      <c r="J438" t="str">
        <f t="shared" si="36"/>
        <v/>
      </c>
      <c r="K438" s="4" t="str">
        <f t="shared" si="37"/>
        <v/>
      </c>
      <c r="L438" s="47">
        <f t="shared" si="38"/>
        <v>0</v>
      </c>
      <c r="M438" s="47">
        <f t="shared" si="39"/>
        <v>0</v>
      </c>
      <c r="N438" t="str">
        <f>IF(A438="","",IF(D438="Category Pending","Needs categorization",IF(COUNTIFS($A$2:A438,A438,$B$2:B438,B438,$E$2:E438,E438)&gt;1,"Possible duplicate","")))</f>
        <v/>
      </c>
    </row>
    <row r="439" spans="3:14" x14ac:dyDescent="0.3">
      <c r="C439" s="16"/>
      <c r="G439" s="5" t="str">
        <f t="shared" si="35"/>
        <v/>
      </c>
      <c r="H439" t="str">
        <f>IF(A439="","",IFERROR(_xlfn.XLOOKUP(D439,Setup!$E$15:$E$79,Setup!$F$15:$F$79),"Miscellaneous"))</f>
        <v/>
      </c>
      <c r="I439" t="str">
        <f>IF(A439="","",IFERROR(_xlfn.XLOOKUP(D439,Setup!$E$15:$E$79,Setup!$G$15:$G$79),"Uncategorized"))</f>
        <v/>
      </c>
      <c r="J439" t="str">
        <f t="shared" si="36"/>
        <v/>
      </c>
      <c r="K439" s="4" t="str">
        <f t="shared" si="37"/>
        <v/>
      </c>
      <c r="L439" s="47">
        <f t="shared" si="38"/>
        <v>0</v>
      </c>
      <c r="M439" s="47">
        <f t="shared" si="39"/>
        <v>0</v>
      </c>
      <c r="N439" t="str">
        <f>IF(A439="","",IF(D439="Category Pending","Needs categorization",IF(COUNTIFS($A$2:A439,A439,$B$2:B439,B439,$E$2:E439,E439)&gt;1,"Possible duplicate","")))</f>
        <v/>
      </c>
    </row>
    <row r="440" spans="3:14" x14ac:dyDescent="0.3">
      <c r="C440" s="16"/>
      <c r="G440" s="5" t="str">
        <f t="shared" si="35"/>
        <v/>
      </c>
      <c r="H440" t="str">
        <f>IF(A440="","",IFERROR(_xlfn.XLOOKUP(D440,Setup!$E$15:$E$79,Setup!$F$15:$F$79),"Miscellaneous"))</f>
        <v/>
      </c>
      <c r="I440" t="str">
        <f>IF(A440="","",IFERROR(_xlfn.XLOOKUP(D440,Setup!$E$15:$E$79,Setup!$G$15:$G$79),"Uncategorized"))</f>
        <v/>
      </c>
      <c r="J440" t="str">
        <f t="shared" si="36"/>
        <v/>
      </c>
      <c r="K440" s="4" t="str">
        <f t="shared" si="37"/>
        <v/>
      </c>
      <c r="L440" s="47">
        <f t="shared" si="38"/>
        <v>0</v>
      </c>
      <c r="M440" s="47">
        <f t="shared" si="39"/>
        <v>0</v>
      </c>
      <c r="N440" t="str">
        <f>IF(A440="","",IF(D440="Category Pending","Needs categorization",IF(COUNTIFS($A$2:A440,A440,$B$2:B440,B440,$E$2:E440,E440)&gt;1,"Possible duplicate","")))</f>
        <v/>
      </c>
    </row>
    <row r="441" spans="3:14" x14ac:dyDescent="0.3">
      <c r="C441" s="16"/>
      <c r="G441" s="5" t="str">
        <f t="shared" si="35"/>
        <v/>
      </c>
      <c r="H441" t="str">
        <f>IF(A441="","",IFERROR(_xlfn.XLOOKUP(D441,Setup!$E$15:$E$79,Setup!$F$15:$F$79),"Miscellaneous"))</f>
        <v/>
      </c>
      <c r="I441" t="str">
        <f>IF(A441="","",IFERROR(_xlfn.XLOOKUP(D441,Setup!$E$15:$E$79,Setup!$G$15:$G$79),"Uncategorized"))</f>
        <v/>
      </c>
      <c r="J441" t="str">
        <f t="shared" si="36"/>
        <v/>
      </c>
      <c r="K441" s="4" t="str">
        <f t="shared" si="37"/>
        <v/>
      </c>
      <c r="L441" s="47">
        <f t="shared" si="38"/>
        <v>0</v>
      </c>
      <c r="M441" s="47">
        <f t="shared" si="39"/>
        <v>0</v>
      </c>
      <c r="N441" t="str">
        <f>IF(A441="","",IF(D441="Category Pending","Needs categorization",IF(COUNTIFS($A$2:A441,A441,$B$2:B441,B441,$E$2:E441,E441)&gt;1,"Possible duplicate","")))</f>
        <v/>
      </c>
    </row>
    <row r="442" spans="3:14" x14ac:dyDescent="0.3">
      <c r="C442" s="16"/>
      <c r="G442" s="5" t="str">
        <f t="shared" si="35"/>
        <v/>
      </c>
      <c r="H442" t="str">
        <f>IF(A442="","",IFERROR(_xlfn.XLOOKUP(D442,Setup!$E$15:$E$79,Setup!$F$15:$F$79),"Miscellaneous"))</f>
        <v/>
      </c>
      <c r="I442" t="str">
        <f>IF(A442="","",IFERROR(_xlfn.XLOOKUP(D442,Setup!$E$15:$E$79,Setup!$G$15:$G$79),"Uncategorized"))</f>
        <v/>
      </c>
      <c r="J442" t="str">
        <f t="shared" si="36"/>
        <v/>
      </c>
      <c r="K442" s="4" t="str">
        <f t="shared" si="37"/>
        <v/>
      </c>
      <c r="L442" s="47">
        <f t="shared" si="38"/>
        <v>0</v>
      </c>
      <c r="M442" s="47">
        <f t="shared" si="39"/>
        <v>0</v>
      </c>
      <c r="N442" t="str">
        <f>IF(A442="","",IF(D442="Category Pending","Needs categorization",IF(COUNTIFS($A$2:A442,A442,$B$2:B442,B442,$E$2:E442,E442)&gt;1,"Possible duplicate","")))</f>
        <v/>
      </c>
    </row>
    <row r="443" spans="3:14" x14ac:dyDescent="0.3">
      <c r="C443" s="16"/>
      <c r="G443" s="5" t="str">
        <f t="shared" si="35"/>
        <v/>
      </c>
      <c r="H443" t="str">
        <f>IF(A443="","",IFERROR(_xlfn.XLOOKUP(D443,Setup!$E$15:$E$79,Setup!$F$15:$F$79),"Miscellaneous"))</f>
        <v/>
      </c>
      <c r="I443" t="str">
        <f>IF(A443="","",IFERROR(_xlfn.XLOOKUP(D443,Setup!$E$15:$E$79,Setup!$G$15:$G$79),"Uncategorized"))</f>
        <v/>
      </c>
      <c r="J443" t="str">
        <f t="shared" si="36"/>
        <v/>
      </c>
      <c r="K443" s="4" t="str">
        <f t="shared" si="37"/>
        <v/>
      </c>
      <c r="L443" s="47">
        <f t="shared" si="38"/>
        <v>0</v>
      </c>
      <c r="M443" s="47">
        <f t="shared" si="39"/>
        <v>0</v>
      </c>
      <c r="N443" t="str">
        <f>IF(A443="","",IF(D443="Category Pending","Needs categorization",IF(COUNTIFS($A$2:A443,A443,$B$2:B443,B443,$E$2:E443,E443)&gt;1,"Possible duplicate","")))</f>
        <v/>
      </c>
    </row>
    <row r="444" spans="3:14" x14ac:dyDescent="0.3">
      <c r="C444" s="16"/>
      <c r="G444" s="5" t="str">
        <f t="shared" si="35"/>
        <v/>
      </c>
      <c r="H444" t="str">
        <f>IF(A444="","",IFERROR(_xlfn.XLOOKUP(D444,Setup!$E$15:$E$79,Setup!$F$15:$F$79),"Miscellaneous"))</f>
        <v/>
      </c>
      <c r="I444" t="str">
        <f>IF(A444="","",IFERROR(_xlfn.XLOOKUP(D444,Setup!$E$15:$E$79,Setup!$G$15:$G$79),"Uncategorized"))</f>
        <v/>
      </c>
      <c r="J444" t="str">
        <f t="shared" si="36"/>
        <v/>
      </c>
      <c r="K444" s="4" t="str">
        <f t="shared" si="37"/>
        <v/>
      </c>
      <c r="L444" s="47">
        <f t="shared" si="38"/>
        <v>0</v>
      </c>
      <c r="M444" s="47">
        <f t="shared" si="39"/>
        <v>0</v>
      </c>
      <c r="N444" t="str">
        <f>IF(A444="","",IF(D444="Category Pending","Needs categorization",IF(COUNTIFS($A$2:A444,A444,$B$2:B444,B444,$E$2:E444,E444)&gt;1,"Possible duplicate","")))</f>
        <v/>
      </c>
    </row>
    <row r="445" spans="3:14" x14ac:dyDescent="0.3">
      <c r="C445" s="16"/>
      <c r="G445" s="5" t="str">
        <f t="shared" si="35"/>
        <v/>
      </c>
      <c r="H445" t="str">
        <f>IF(A445="","",IFERROR(_xlfn.XLOOKUP(D445,Setup!$E$15:$E$79,Setup!$F$15:$F$79),"Miscellaneous"))</f>
        <v/>
      </c>
      <c r="I445" t="str">
        <f>IF(A445="","",IFERROR(_xlfn.XLOOKUP(D445,Setup!$E$15:$E$79,Setup!$G$15:$G$79),"Uncategorized"))</f>
        <v/>
      </c>
      <c r="J445" t="str">
        <f t="shared" si="36"/>
        <v/>
      </c>
      <c r="K445" s="4" t="str">
        <f t="shared" si="37"/>
        <v/>
      </c>
      <c r="L445" s="47">
        <f t="shared" si="38"/>
        <v>0</v>
      </c>
      <c r="M445" s="47">
        <f t="shared" si="39"/>
        <v>0</v>
      </c>
      <c r="N445" t="str">
        <f>IF(A445="","",IF(D445="Category Pending","Needs categorization",IF(COUNTIFS($A$2:A445,A445,$B$2:B445,B445,$E$2:E445,E445)&gt;1,"Possible duplicate","")))</f>
        <v/>
      </c>
    </row>
    <row r="446" spans="3:14" x14ac:dyDescent="0.3">
      <c r="C446" s="16"/>
      <c r="G446" s="5" t="str">
        <f t="shared" si="35"/>
        <v/>
      </c>
      <c r="H446" t="str">
        <f>IF(A446="","",IFERROR(_xlfn.XLOOKUP(D446,Setup!$E$15:$E$79,Setup!$F$15:$F$79),"Miscellaneous"))</f>
        <v/>
      </c>
      <c r="I446" t="str">
        <f>IF(A446="","",IFERROR(_xlfn.XLOOKUP(D446,Setup!$E$15:$E$79,Setup!$G$15:$G$79),"Uncategorized"))</f>
        <v/>
      </c>
      <c r="J446" t="str">
        <f t="shared" si="36"/>
        <v/>
      </c>
      <c r="K446" s="4" t="str">
        <f t="shared" si="37"/>
        <v/>
      </c>
      <c r="L446" s="47">
        <f t="shared" si="38"/>
        <v>0</v>
      </c>
      <c r="M446" s="47">
        <f t="shared" si="39"/>
        <v>0</v>
      </c>
      <c r="N446" t="str">
        <f>IF(A446="","",IF(D446="Category Pending","Needs categorization",IF(COUNTIFS($A$2:A446,A446,$B$2:B446,B446,$E$2:E446,E446)&gt;1,"Possible duplicate","")))</f>
        <v/>
      </c>
    </row>
    <row r="447" spans="3:14" x14ac:dyDescent="0.3">
      <c r="C447" s="16"/>
      <c r="G447" s="5" t="str">
        <f t="shared" si="35"/>
        <v/>
      </c>
      <c r="H447" t="str">
        <f>IF(A447="","",IFERROR(_xlfn.XLOOKUP(D447,Setup!$E$15:$E$79,Setup!$F$15:$F$79),"Miscellaneous"))</f>
        <v/>
      </c>
      <c r="I447" t="str">
        <f>IF(A447="","",IFERROR(_xlfn.XLOOKUP(D447,Setup!$E$15:$E$79,Setup!$G$15:$G$79),"Uncategorized"))</f>
        <v/>
      </c>
      <c r="J447" t="str">
        <f t="shared" si="36"/>
        <v/>
      </c>
      <c r="K447" s="4" t="str">
        <f t="shared" si="37"/>
        <v/>
      </c>
      <c r="L447" s="47">
        <f t="shared" si="38"/>
        <v>0</v>
      </c>
      <c r="M447" s="47">
        <f t="shared" si="39"/>
        <v>0</v>
      </c>
      <c r="N447" t="str">
        <f>IF(A447="","",IF(D447="Category Pending","Needs categorization",IF(COUNTIFS($A$2:A447,A447,$B$2:B447,B447,$E$2:E447,E447)&gt;1,"Possible duplicate","")))</f>
        <v/>
      </c>
    </row>
    <row r="448" spans="3:14" x14ac:dyDescent="0.3">
      <c r="C448" s="16"/>
      <c r="G448" s="5" t="str">
        <f t="shared" si="35"/>
        <v/>
      </c>
      <c r="H448" t="str">
        <f>IF(A448="","",IFERROR(_xlfn.XLOOKUP(D448,Setup!$E$15:$E$79,Setup!$F$15:$F$79),"Miscellaneous"))</f>
        <v/>
      </c>
      <c r="I448" t="str">
        <f>IF(A448="","",IFERROR(_xlfn.XLOOKUP(D448,Setup!$E$15:$E$79,Setup!$G$15:$G$79),"Uncategorized"))</f>
        <v/>
      </c>
      <c r="J448" t="str">
        <f t="shared" si="36"/>
        <v/>
      </c>
      <c r="K448" s="4" t="str">
        <f t="shared" si="37"/>
        <v/>
      </c>
      <c r="L448" s="47">
        <f t="shared" si="38"/>
        <v>0</v>
      </c>
      <c r="M448" s="47">
        <f t="shared" si="39"/>
        <v>0</v>
      </c>
      <c r="N448" t="str">
        <f>IF(A448="","",IF(D448="Category Pending","Needs categorization",IF(COUNTIFS($A$2:A448,A448,$B$2:B448,B448,$E$2:E448,E448)&gt;1,"Possible duplicate","")))</f>
        <v/>
      </c>
    </row>
    <row r="449" spans="3:14" x14ac:dyDescent="0.3">
      <c r="C449" s="16"/>
      <c r="G449" s="5" t="str">
        <f t="shared" si="35"/>
        <v/>
      </c>
      <c r="H449" t="str">
        <f>IF(A449="","",IFERROR(_xlfn.XLOOKUP(D449,Setup!$E$15:$E$79,Setup!$F$15:$F$79),"Miscellaneous"))</f>
        <v/>
      </c>
      <c r="I449" t="str">
        <f>IF(A449="","",IFERROR(_xlfn.XLOOKUP(D449,Setup!$E$15:$E$79,Setup!$G$15:$G$79),"Uncategorized"))</f>
        <v/>
      </c>
      <c r="J449" t="str">
        <f t="shared" si="36"/>
        <v/>
      </c>
      <c r="K449" s="4" t="str">
        <f t="shared" si="37"/>
        <v/>
      </c>
      <c r="L449" s="47">
        <f t="shared" si="38"/>
        <v>0</v>
      </c>
      <c r="M449" s="47">
        <f t="shared" si="39"/>
        <v>0</v>
      </c>
      <c r="N449" t="str">
        <f>IF(A449="","",IF(D449="Category Pending","Needs categorization",IF(COUNTIFS($A$2:A449,A449,$B$2:B449,B449,$E$2:E449,E449)&gt;1,"Possible duplicate","")))</f>
        <v/>
      </c>
    </row>
    <row r="450" spans="3:14" x14ac:dyDescent="0.3">
      <c r="C450" s="16"/>
      <c r="G450" s="5" t="str">
        <f t="shared" si="35"/>
        <v/>
      </c>
      <c r="H450" t="str">
        <f>IF(A450="","",IFERROR(_xlfn.XLOOKUP(D450,Setup!$E$15:$E$79,Setup!$F$15:$F$79),"Miscellaneous"))</f>
        <v/>
      </c>
      <c r="I450" t="str">
        <f>IF(A450="","",IFERROR(_xlfn.XLOOKUP(D450,Setup!$E$15:$E$79,Setup!$G$15:$G$79),"Uncategorized"))</f>
        <v/>
      </c>
      <c r="J450" t="str">
        <f t="shared" si="36"/>
        <v/>
      </c>
      <c r="K450" s="4" t="str">
        <f t="shared" si="37"/>
        <v/>
      </c>
      <c r="L450" s="47">
        <f t="shared" si="38"/>
        <v>0</v>
      </c>
      <c r="M450" s="47">
        <f t="shared" si="39"/>
        <v>0</v>
      </c>
      <c r="N450" t="str">
        <f>IF(A450="","",IF(D450="Category Pending","Needs categorization",IF(COUNTIFS($A$2:A450,A450,$B$2:B450,B450,$E$2:E450,E450)&gt;1,"Possible duplicate","")))</f>
        <v/>
      </c>
    </row>
    <row r="451" spans="3:14" x14ac:dyDescent="0.3">
      <c r="C451" s="16"/>
      <c r="G451" s="5" t="str">
        <f t="shared" si="35"/>
        <v/>
      </c>
      <c r="H451" t="str">
        <f>IF(A451="","",IFERROR(_xlfn.XLOOKUP(D451,Setup!$E$15:$E$79,Setup!$F$15:$F$79),"Miscellaneous"))</f>
        <v/>
      </c>
      <c r="I451" t="str">
        <f>IF(A451="","",IFERROR(_xlfn.XLOOKUP(D451,Setup!$E$15:$E$79,Setup!$G$15:$G$79),"Uncategorized"))</f>
        <v/>
      </c>
      <c r="J451" t="str">
        <f t="shared" si="36"/>
        <v/>
      </c>
      <c r="K451" s="4" t="str">
        <f t="shared" si="37"/>
        <v/>
      </c>
      <c r="L451" s="47">
        <f t="shared" si="38"/>
        <v>0</v>
      </c>
      <c r="M451" s="47">
        <f t="shared" si="39"/>
        <v>0</v>
      </c>
      <c r="N451" t="str">
        <f>IF(A451="","",IF(D451="Category Pending","Needs categorization",IF(COUNTIFS($A$2:A451,A451,$B$2:B451,B451,$E$2:E451,E451)&gt;1,"Possible duplicate","")))</f>
        <v/>
      </c>
    </row>
    <row r="452" spans="3:14" x14ac:dyDescent="0.3">
      <c r="C452" s="16"/>
      <c r="G452" s="5" t="str">
        <f t="shared" si="35"/>
        <v/>
      </c>
      <c r="H452" t="str">
        <f>IF(A452="","",IFERROR(_xlfn.XLOOKUP(D452,Setup!$E$15:$E$79,Setup!$F$15:$F$79),"Miscellaneous"))</f>
        <v/>
      </c>
      <c r="I452" t="str">
        <f>IF(A452="","",IFERROR(_xlfn.XLOOKUP(D452,Setup!$E$15:$E$79,Setup!$G$15:$G$79),"Uncategorized"))</f>
        <v/>
      </c>
      <c r="J452" t="str">
        <f t="shared" si="36"/>
        <v/>
      </c>
      <c r="K452" s="4" t="str">
        <f t="shared" si="37"/>
        <v/>
      </c>
      <c r="L452" s="47">
        <f t="shared" si="38"/>
        <v>0</v>
      </c>
      <c r="M452" s="47">
        <f t="shared" si="39"/>
        <v>0</v>
      </c>
      <c r="N452" t="str">
        <f>IF(A452="","",IF(D452="Category Pending","Needs categorization",IF(COUNTIFS($A$2:A452,A452,$B$2:B452,B452,$E$2:E452,E452)&gt;1,"Possible duplicate","")))</f>
        <v/>
      </c>
    </row>
    <row r="453" spans="3:14" x14ac:dyDescent="0.3">
      <c r="C453" s="16"/>
      <c r="G453" s="5" t="str">
        <f t="shared" si="35"/>
        <v/>
      </c>
      <c r="H453" t="str">
        <f>IF(A453="","",IFERROR(_xlfn.XLOOKUP(D453,Setup!$E$15:$E$79,Setup!$F$15:$F$79),"Miscellaneous"))</f>
        <v/>
      </c>
      <c r="I453" t="str">
        <f>IF(A453="","",IFERROR(_xlfn.XLOOKUP(D453,Setup!$E$15:$E$79,Setup!$G$15:$G$79),"Uncategorized"))</f>
        <v/>
      </c>
      <c r="J453" t="str">
        <f t="shared" si="36"/>
        <v/>
      </c>
      <c r="K453" s="4" t="str">
        <f t="shared" si="37"/>
        <v/>
      </c>
      <c r="L453" s="47">
        <f t="shared" si="38"/>
        <v>0</v>
      </c>
      <c r="M453" s="47">
        <f t="shared" si="39"/>
        <v>0</v>
      </c>
      <c r="N453" t="str">
        <f>IF(A453="","",IF(D453="Category Pending","Needs categorization",IF(COUNTIFS($A$2:A453,A453,$B$2:B453,B453,$E$2:E453,E453)&gt;1,"Possible duplicate","")))</f>
        <v/>
      </c>
    </row>
    <row r="454" spans="3:14" x14ac:dyDescent="0.3">
      <c r="C454" s="16"/>
      <c r="G454" s="5" t="str">
        <f t="shared" si="35"/>
        <v/>
      </c>
      <c r="H454" t="str">
        <f>IF(A454="","",IFERROR(_xlfn.XLOOKUP(D454,Setup!$E$15:$E$79,Setup!$F$15:$F$79),"Miscellaneous"))</f>
        <v/>
      </c>
      <c r="I454" t="str">
        <f>IF(A454="","",IFERROR(_xlfn.XLOOKUP(D454,Setup!$E$15:$E$79,Setup!$G$15:$G$79),"Uncategorized"))</f>
        <v/>
      </c>
      <c r="J454" t="str">
        <f t="shared" si="36"/>
        <v/>
      </c>
      <c r="K454" s="4" t="str">
        <f t="shared" si="37"/>
        <v/>
      </c>
      <c r="L454" s="47">
        <f t="shared" si="38"/>
        <v>0</v>
      </c>
      <c r="M454" s="47">
        <f t="shared" si="39"/>
        <v>0</v>
      </c>
      <c r="N454" t="str">
        <f>IF(A454="","",IF(D454="Category Pending","Needs categorization",IF(COUNTIFS($A$2:A454,A454,$B$2:B454,B454,$E$2:E454,E454)&gt;1,"Possible duplicate","")))</f>
        <v/>
      </c>
    </row>
    <row r="455" spans="3:14" x14ac:dyDescent="0.3">
      <c r="C455" s="16"/>
      <c r="G455" s="5" t="str">
        <f t="shared" si="35"/>
        <v/>
      </c>
      <c r="H455" t="str">
        <f>IF(A455="","",IFERROR(_xlfn.XLOOKUP(D455,Setup!$E$15:$E$79,Setup!$F$15:$F$79),"Miscellaneous"))</f>
        <v/>
      </c>
      <c r="I455" t="str">
        <f>IF(A455="","",IFERROR(_xlfn.XLOOKUP(D455,Setup!$E$15:$E$79,Setup!$G$15:$G$79),"Uncategorized"))</f>
        <v/>
      </c>
      <c r="J455" t="str">
        <f t="shared" si="36"/>
        <v/>
      </c>
      <c r="K455" s="4" t="str">
        <f t="shared" si="37"/>
        <v/>
      </c>
      <c r="L455" s="47">
        <f t="shared" si="38"/>
        <v>0</v>
      </c>
      <c r="M455" s="47">
        <f t="shared" si="39"/>
        <v>0</v>
      </c>
      <c r="N455" t="str">
        <f>IF(A455="","",IF(D455="Category Pending","Needs categorization",IF(COUNTIFS($A$2:A455,A455,$B$2:B455,B455,$E$2:E455,E455)&gt;1,"Possible duplicate","")))</f>
        <v/>
      </c>
    </row>
    <row r="456" spans="3:14" x14ac:dyDescent="0.3">
      <c r="C456" s="16"/>
      <c r="G456" s="5" t="str">
        <f t="shared" si="35"/>
        <v/>
      </c>
      <c r="H456" t="str">
        <f>IF(A456="","",IFERROR(_xlfn.XLOOKUP(D456,Setup!$E$15:$E$79,Setup!$F$15:$F$79),"Miscellaneous"))</f>
        <v/>
      </c>
      <c r="I456" t="str">
        <f>IF(A456="","",IFERROR(_xlfn.XLOOKUP(D456,Setup!$E$15:$E$79,Setup!$G$15:$G$79),"Uncategorized"))</f>
        <v/>
      </c>
      <c r="J456" t="str">
        <f t="shared" si="36"/>
        <v/>
      </c>
      <c r="K456" s="4" t="str">
        <f t="shared" si="37"/>
        <v/>
      </c>
      <c r="L456" s="47">
        <f t="shared" si="38"/>
        <v>0</v>
      </c>
      <c r="M456" s="47">
        <f t="shared" si="39"/>
        <v>0</v>
      </c>
      <c r="N456" t="str">
        <f>IF(A456="","",IF(D456="Category Pending","Needs categorization",IF(COUNTIFS($A$2:A456,A456,$B$2:B456,B456,$E$2:E456,E456)&gt;1,"Possible duplicate","")))</f>
        <v/>
      </c>
    </row>
    <row r="457" spans="3:14" x14ac:dyDescent="0.3">
      <c r="C457" s="16"/>
      <c r="G457" s="5" t="str">
        <f t="shared" si="35"/>
        <v/>
      </c>
      <c r="H457" t="str">
        <f>IF(A457="","",IFERROR(_xlfn.XLOOKUP(D457,Setup!$E$15:$E$79,Setup!$F$15:$F$79),"Miscellaneous"))</f>
        <v/>
      </c>
      <c r="I457" t="str">
        <f>IF(A457="","",IFERROR(_xlfn.XLOOKUP(D457,Setup!$E$15:$E$79,Setup!$G$15:$G$79),"Uncategorized"))</f>
        <v/>
      </c>
      <c r="J457" t="str">
        <f t="shared" si="36"/>
        <v/>
      </c>
      <c r="K457" s="4" t="str">
        <f t="shared" si="37"/>
        <v/>
      </c>
      <c r="L457" s="47">
        <f t="shared" si="38"/>
        <v>0</v>
      </c>
      <c r="M457" s="47">
        <f t="shared" si="39"/>
        <v>0</v>
      </c>
      <c r="N457" t="str">
        <f>IF(A457="","",IF(D457="Category Pending","Needs categorization",IF(COUNTIFS($A$2:A457,A457,$B$2:B457,B457,$E$2:E457,E457)&gt;1,"Possible duplicate","")))</f>
        <v/>
      </c>
    </row>
    <row r="458" spans="3:14" x14ac:dyDescent="0.3">
      <c r="C458" s="16"/>
      <c r="G458" s="5" t="str">
        <f t="shared" si="35"/>
        <v/>
      </c>
      <c r="H458" t="str">
        <f>IF(A458="","",IFERROR(_xlfn.XLOOKUP(D458,Setup!$E$15:$E$79,Setup!$F$15:$F$79),"Miscellaneous"))</f>
        <v/>
      </c>
      <c r="I458" t="str">
        <f>IF(A458="","",IFERROR(_xlfn.XLOOKUP(D458,Setup!$E$15:$E$79,Setup!$G$15:$G$79),"Uncategorized"))</f>
        <v/>
      </c>
      <c r="J458" t="str">
        <f t="shared" si="36"/>
        <v/>
      </c>
      <c r="K458" s="4" t="str">
        <f t="shared" si="37"/>
        <v/>
      </c>
      <c r="L458" s="47">
        <f t="shared" si="38"/>
        <v>0</v>
      </c>
      <c r="M458" s="47">
        <f t="shared" si="39"/>
        <v>0</v>
      </c>
      <c r="N458" t="str">
        <f>IF(A458="","",IF(D458="Category Pending","Needs categorization",IF(COUNTIFS($A$2:A458,A458,$B$2:B458,B458,$E$2:E458,E458)&gt;1,"Possible duplicate","")))</f>
        <v/>
      </c>
    </row>
    <row r="459" spans="3:14" x14ac:dyDescent="0.3">
      <c r="C459" s="16"/>
      <c r="G459" s="5" t="str">
        <f t="shared" si="35"/>
        <v/>
      </c>
      <c r="H459" t="str">
        <f>IF(A459="","",IFERROR(_xlfn.XLOOKUP(D459,Setup!$E$15:$E$79,Setup!$F$15:$F$79),"Miscellaneous"))</f>
        <v/>
      </c>
      <c r="I459" t="str">
        <f>IF(A459="","",IFERROR(_xlfn.XLOOKUP(D459,Setup!$E$15:$E$79,Setup!$G$15:$G$79),"Uncategorized"))</f>
        <v/>
      </c>
      <c r="J459" t="str">
        <f t="shared" si="36"/>
        <v/>
      </c>
      <c r="K459" s="4" t="str">
        <f t="shared" si="37"/>
        <v/>
      </c>
      <c r="L459" s="47">
        <f t="shared" si="38"/>
        <v>0</v>
      </c>
      <c r="M459" s="47">
        <f t="shared" si="39"/>
        <v>0</v>
      </c>
      <c r="N459" t="str">
        <f>IF(A459="","",IF(D459="Category Pending","Needs categorization",IF(COUNTIFS($A$2:A459,A459,$B$2:B459,B459,$E$2:E459,E459)&gt;1,"Possible duplicate","")))</f>
        <v/>
      </c>
    </row>
    <row r="460" spans="3:14" x14ac:dyDescent="0.3">
      <c r="C460" s="16"/>
      <c r="G460" s="5" t="str">
        <f t="shared" si="35"/>
        <v/>
      </c>
      <c r="H460" t="str">
        <f>IF(A460="","",IFERROR(_xlfn.XLOOKUP(D460,Setup!$E$15:$E$79,Setup!$F$15:$F$79),"Miscellaneous"))</f>
        <v/>
      </c>
      <c r="I460" t="str">
        <f>IF(A460="","",IFERROR(_xlfn.XLOOKUP(D460,Setup!$E$15:$E$79,Setup!$G$15:$G$79),"Uncategorized"))</f>
        <v/>
      </c>
      <c r="J460" t="str">
        <f t="shared" si="36"/>
        <v/>
      </c>
      <c r="K460" s="4" t="str">
        <f t="shared" si="37"/>
        <v/>
      </c>
      <c r="L460" s="47">
        <f t="shared" si="38"/>
        <v>0</v>
      </c>
      <c r="M460" s="47">
        <f t="shared" si="39"/>
        <v>0</v>
      </c>
      <c r="N460" t="str">
        <f>IF(A460="","",IF(D460="Category Pending","Needs categorization",IF(COUNTIFS($A$2:A460,A460,$B$2:B460,B460,$E$2:E460,E460)&gt;1,"Possible duplicate","")))</f>
        <v/>
      </c>
    </row>
    <row r="461" spans="3:14" x14ac:dyDescent="0.3">
      <c r="C461" s="16"/>
      <c r="G461" s="5" t="str">
        <f t="shared" si="35"/>
        <v/>
      </c>
      <c r="H461" t="str">
        <f>IF(A461="","",IFERROR(_xlfn.XLOOKUP(D461,Setup!$E$15:$E$79,Setup!$F$15:$F$79),"Miscellaneous"))</f>
        <v/>
      </c>
      <c r="I461" t="str">
        <f>IF(A461="","",IFERROR(_xlfn.XLOOKUP(D461,Setup!$E$15:$E$79,Setup!$G$15:$G$79),"Uncategorized"))</f>
        <v/>
      </c>
      <c r="J461" t="str">
        <f t="shared" si="36"/>
        <v/>
      </c>
      <c r="K461" s="4" t="str">
        <f t="shared" si="37"/>
        <v/>
      </c>
      <c r="L461" s="47">
        <f t="shared" si="38"/>
        <v>0</v>
      </c>
      <c r="M461" s="47">
        <f t="shared" si="39"/>
        <v>0</v>
      </c>
      <c r="N461" t="str">
        <f>IF(A461="","",IF(D461="Category Pending","Needs categorization",IF(COUNTIFS($A$2:A461,A461,$B$2:B461,B461,$E$2:E461,E461)&gt;1,"Possible duplicate","")))</f>
        <v/>
      </c>
    </row>
    <row r="462" spans="3:14" x14ac:dyDescent="0.3">
      <c r="C462" s="16"/>
      <c r="G462" s="5" t="str">
        <f t="shared" si="35"/>
        <v/>
      </c>
      <c r="H462" t="str">
        <f>IF(A462="","",IFERROR(_xlfn.XLOOKUP(D462,Setup!$E$15:$E$79,Setup!$F$15:$F$79),"Miscellaneous"))</f>
        <v/>
      </c>
      <c r="I462" t="str">
        <f>IF(A462="","",IFERROR(_xlfn.XLOOKUP(D462,Setup!$E$15:$E$79,Setup!$G$15:$G$79),"Uncategorized"))</f>
        <v/>
      </c>
      <c r="J462" t="str">
        <f t="shared" si="36"/>
        <v/>
      </c>
      <c r="K462" s="4" t="str">
        <f t="shared" si="37"/>
        <v/>
      </c>
      <c r="L462" s="47">
        <f t="shared" si="38"/>
        <v>0</v>
      </c>
      <c r="M462" s="47">
        <f t="shared" si="39"/>
        <v>0</v>
      </c>
      <c r="N462" t="str">
        <f>IF(A462="","",IF(D462="Category Pending","Needs categorization",IF(COUNTIFS($A$2:A462,A462,$B$2:B462,B462,$E$2:E462,E462)&gt;1,"Possible duplicate","")))</f>
        <v/>
      </c>
    </row>
    <row r="463" spans="3:14" x14ac:dyDescent="0.3">
      <c r="C463" s="16"/>
      <c r="G463" s="5" t="str">
        <f t="shared" si="35"/>
        <v/>
      </c>
      <c r="H463" t="str">
        <f>IF(A463="","",IFERROR(_xlfn.XLOOKUP(D463,Setup!$E$15:$E$79,Setup!$F$15:$F$79),"Miscellaneous"))</f>
        <v/>
      </c>
      <c r="I463" t="str">
        <f>IF(A463="","",IFERROR(_xlfn.XLOOKUP(D463,Setup!$E$15:$E$79,Setup!$G$15:$G$79),"Uncategorized"))</f>
        <v/>
      </c>
      <c r="J463" t="str">
        <f t="shared" si="36"/>
        <v/>
      </c>
      <c r="K463" s="4" t="str">
        <f t="shared" si="37"/>
        <v/>
      </c>
      <c r="L463" s="47">
        <f t="shared" si="38"/>
        <v>0</v>
      </c>
      <c r="M463" s="47">
        <f t="shared" si="39"/>
        <v>0</v>
      </c>
      <c r="N463" t="str">
        <f>IF(A463="","",IF(D463="Category Pending","Needs categorization",IF(COUNTIFS($A$2:A463,A463,$B$2:B463,B463,$E$2:E463,E463)&gt;1,"Possible duplicate","")))</f>
        <v/>
      </c>
    </row>
    <row r="464" spans="3:14" x14ac:dyDescent="0.3">
      <c r="C464" s="16"/>
      <c r="G464" s="5" t="str">
        <f t="shared" si="35"/>
        <v/>
      </c>
      <c r="H464" t="str">
        <f>IF(A464="","",IFERROR(_xlfn.XLOOKUP(D464,Setup!$E$15:$E$79,Setup!$F$15:$F$79),"Miscellaneous"))</f>
        <v/>
      </c>
      <c r="I464" t="str">
        <f>IF(A464="","",IFERROR(_xlfn.XLOOKUP(D464,Setup!$E$15:$E$79,Setup!$G$15:$G$79),"Uncategorized"))</f>
        <v/>
      </c>
      <c r="J464" t="str">
        <f t="shared" si="36"/>
        <v/>
      </c>
      <c r="K464" s="4" t="str">
        <f t="shared" si="37"/>
        <v/>
      </c>
      <c r="L464" s="47">
        <f t="shared" si="38"/>
        <v>0</v>
      </c>
      <c r="M464" s="47">
        <f t="shared" si="39"/>
        <v>0</v>
      </c>
      <c r="N464" t="str">
        <f>IF(A464="","",IF(D464="Category Pending","Needs categorization",IF(COUNTIFS($A$2:A464,A464,$B$2:B464,B464,$E$2:E464,E464)&gt;1,"Possible duplicate","")))</f>
        <v/>
      </c>
    </row>
    <row r="465" spans="3:14" x14ac:dyDescent="0.3">
      <c r="C465" s="16"/>
      <c r="G465" s="5" t="str">
        <f t="shared" si="35"/>
        <v/>
      </c>
      <c r="H465" t="str">
        <f>IF(A465="","",IFERROR(_xlfn.XLOOKUP(D465,Setup!$E$15:$E$79,Setup!$F$15:$F$79),"Miscellaneous"))</f>
        <v/>
      </c>
      <c r="I465" t="str">
        <f>IF(A465="","",IFERROR(_xlfn.XLOOKUP(D465,Setup!$E$15:$E$79,Setup!$G$15:$G$79),"Uncategorized"))</f>
        <v/>
      </c>
      <c r="J465" t="str">
        <f t="shared" si="36"/>
        <v/>
      </c>
      <c r="K465" s="4" t="str">
        <f t="shared" si="37"/>
        <v/>
      </c>
      <c r="L465" s="47">
        <f t="shared" si="38"/>
        <v>0</v>
      </c>
      <c r="M465" s="47">
        <f t="shared" si="39"/>
        <v>0</v>
      </c>
      <c r="N465" t="str">
        <f>IF(A465="","",IF(D465="Category Pending","Needs categorization",IF(COUNTIFS($A$2:A465,A465,$B$2:B465,B465,$E$2:E465,E465)&gt;1,"Possible duplicate","")))</f>
        <v/>
      </c>
    </row>
    <row r="466" spans="3:14" x14ac:dyDescent="0.3">
      <c r="C466" s="16"/>
      <c r="G466" s="5" t="str">
        <f t="shared" si="35"/>
        <v/>
      </c>
      <c r="H466" t="str">
        <f>IF(A466="","",IFERROR(_xlfn.XLOOKUP(D466,Setup!$E$15:$E$79,Setup!$F$15:$F$79),"Miscellaneous"))</f>
        <v/>
      </c>
      <c r="I466" t="str">
        <f>IF(A466="","",IFERROR(_xlfn.XLOOKUP(D466,Setup!$E$15:$E$79,Setup!$G$15:$G$79),"Uncategorized"))</f>
        <v/>
      </c>
      <c r="J466" t="str">
        <f t="shared" si="36"/>
        <v/>
      </c>
      <c r="K466" s="4" t="str">
        <f t="shared" si="37"/>
        <v/>
      </c>
      <c r="L466" s="47">
        <f t="shared" si="38"/>
        <v>0</v>
      </c>
      <c r="M466" s="47">
        <f t="shared" si="39"/>
        <v>0</v>
      </c>
      <c r="N466" t="str">
        <f>IF(A466="","",IF(D466="Category Pending","Needs categorization",IF(COUNTIFS($A$2:A466,A466,$B$2:B466,B466,$E$2:E466,E466)&gt;1,"Possible duplicate","")))</f>
        <v/>
      </c>
    </row>
    <row r="467" spans="3:14" x14ac:dyDescent="0.3">
      <c r="C467" s="16"/>
      <c r="G467" s="5" t="str">
        <f t="shared" si="35"/>
        <v/>
      </c>
      <c r="H467" t="str">
        <f>IF(A467="","",IFERROR(_xlfn.XLOOKUP(D467,Setup!$E$15:$E$79,Setup!$F$15:$F$79),"Miscellaneous"))</f>
        <v/>
      </c>
      <c r="I467" t="str">
        <f>IF(A467="","",IFERROR(_xlfn.XLOOKUP(D467,Setup!$E$15:$E$79,Setup!$G$15:$G$79),"Uncategorized"))</f>
        <v/>
      </c>
      <c r="J467" t="str">
        <f t="shared" si="36"/>
        <v/>
      </c>
      <c r="K467" s="4" t="str">
        <f t="shared" si="37"/>
        <v/>
      </c>
      <c r="L467" s="47">
        <f t="shared" si="38"/>
        <v>0</v>
      </c>
      <c r="M467" s="47">
        <f t="shared" si="39"/>
        <v>0</v>
      </c>
      <c r="N467" t="str">
        <f>IF(A467="","",IF(D467="Category Pending","Needs categorization",IF(COUNTIFS($A$2:A467,A467,$B$2:B467,B467,$E$2:E467,E467)&gt;1,"Possible duplicate","")))</f>
        <v/>
      </c>
    </row>
    <row r="468" spans="3:14" x14ac:dyDescent="0.3">
      <c r="C468" s="16"/>
      <c r="G468" s="5" t="str">
        <f t="shared" si="35"/>
        <v/>
      </c>
      <c r="H468" t="str">
        <f>IF(A468="","",IFERROR(_xlfn.XLOOKUP(D468,Setup!$E$15:$E$79,Setup!$F$15:$F$79),"Miscellaneous"))</f>
        <v/>
      </c>
      <c r="I468" t="str">
        <f>IF(A468="","",IFERROR(_xlfn.XLOOKUP(D468,Setup!$E$15:$E$79,Setup!$G$15:$G$79),"Uncategorized"))</f>
        <v/>
      </c>
      <c r="J468" t="str">
        <f t="shared" si="36"/>
        <v/>
      </c>
      <c r="K468" s="4" t="str">
        <f t="shared" si="37"/>
        <v/>
      </c>
      <c r="L468" s="47">
        <f t="shared" si="38"/>
        <v>0</v>
      </c>
      <c r="M468" s="47">
        <f t="shared" si="39"/>
        <v>0</v>
      </c>
      <c r="N468" t="str">
        <f>IF(A468="","",IF(D468="Category Pending","Needs categorization",IF(COUNTIFS($A$2:A468,A468,$B$2:B468,B468,$E$2:E468,E468)&gt;1,"Possible duplicate","")))</f>
        <v/>
      </c>
    </row>
    <row r="469" spans="3:14" x14ac:dyDescent="0.3">
      <c r="C469" s="16"/>
      <c r="G469" s="5" t="str">
        <f t="shared" si="35"/>
        <v/>
      </c>
      <c r="H469" t="str">
        <f>IF(A469="","",IFERROR(_xlfn.XLOOKUP(D469,Setup!$E$15:$E$79,Setup!$F$15:$F$79),"Miscellaneous"))</f>
        <v/>
      </c>
      <c r="I469" t="str">
        <f>IF(A469="","",IFERROR(_xlfn.XLOOKUP(D469,Setup!$E$15:$E$79,Setup!$G$15:$G$79),"Uncategorized"))</f>
        <v/>
      </c>
      <c r="J469" t="str">
        <f t="shared" si="36"/>
        <v/>
      </c>
      <c r="K469" s="4" t="str">
        <f t="shared" si="37"/>
        <v/>
      </c>
      <c r="L469" s="47">
        <f t="shared" si="38"/>
        <v>0</v>
      </c>
      <c r="M469" s="47">
        <f t="shared" si="39"/>
        <v>0</v>
      </c>
      <c r="N469" t="str">
        <f>IF(A469="","",IF(D469="Category Pending","Needs categorization",IF(COUNTIFS($A$2:A469,A469,$B$2:B469,B469,$E$2:E469,E469)&gt;1,"Possible duplicate","")))</f>
        <v/>
      </c>
    </row>
    <row r="470" spans="3:14" x14ac:dyDescent="0.3">
      <c r="C470" s="16"/>
      <c r="G470" s="5" t="str">
        <f t="shared" si="35"/>
        <v/>
      </c>
      <c r="H470" t="str">
        <f>IF(A470="","",IFERROR(_xlfn.XLOOKUP(D470,Setup!$E$15:$E$79,Setup!$F$15:$F$79),"Miscellaneous"))</f>
        <v/>
      </c>
      <c r="I470" t="str">
        <f>IF(A470="","",IFERROR(_xlfn.XLOOKUP(D470,Setup!$E$15:$E$79,Setup!$G$15:$G$79),"Uncategorized"))</f>
        <v/>
      </c>
      <c r="J470" t="str">
        <f t="shared" si="36"/>
        <v/>
      </c>
      <c r="K470" s="4" t="str">
        <f t="shared" si="37"/>
        <v/>
      </c>
      <c r="L470" s="47">
        <f t="shared" si="38"/>
        <v>0</v>
      </c>
      <c r="M470" s="47">
        <f t="shared" si="39"/>
        <v>0</v>
      </c>
      <c r="N470" t="str">
        <f>IF(A470="","",IF(D470="Category Pending","Needs categorization",IF(COUNTIFS($A$2:A470,A470,$B$2:B470,B470,$E$2:E470,E470)&gt;1,"Possible duplicate","")))</f>
        <v/>
      </c>
    </row>
    <row r="471" spans="3:14" x14ac:dyDescent="0.3">
      <c r="C471" s="16"/>
      <c r="G471" s="5" t="str">
        <f t="shared" si="35"/>
        <v/>
      </c>
      <c r="H471" t="str">
        <f>IF(A471="","",IFERROR(_xlfn.XLOOKUP(D471,Setup!$E$15:$E$79,Setup!$F$15:$F$79),"Miscellaneous"))</f>
        <v/>
      </c>
      <c r="I471" t="str">
        <f>IF(A471="","",IFERROR(_xlfn.XLOOKUP(D471,Setup!$E$15:$E$79,Setup!$G$15:$G$79),"Uncategorized"))</f>
        <v/>
      </c>
      <c r="J471" t="str">
        <f t="shared" si="36"/>
        <v/>
      </c>
      <c r="K471" s="4" t="str">
        <f t="shared" si="37"/>
        <v/>
      </c>
      <c r="L471" s="47">
        <f t="shared" si="38"/>
        <v>0</v>
      </c>
      <c r="M471" s="47">
        <f t="shared" si="39"/>
        <v>0</v>
      </c>
      <c r="N471" t="str">
        <f>IF(A471="","",IF(D471="Category Pending","Needs categorization",IF(COUNTIFS($A$2:A471,A471,$B$2:B471,B471,$E$2:E471,E471)&gt;1,"Possible duplicate","")))</f>
        <v/>
      </c>
    </row>
    <row r="472" spans="3:14" x14ac:dyDescent="0.3">
      <c r="C472" s="16"/>
      <c r="G472" s="5" t="str">
        <f t="shared" si="35"/>
        <v/>
      </c>
      <c r="H472" t="str">
        <f>IF(A472="","",IFERROR(_xlfn.XLOOKUP(D472,Setup!$E$15:$E$79,Setup!$F$15:$F$79),"Miscellaneous"))</f>
        <v/>
      </c>
      <c r="I472" t="str">
        <f>IF(A472="","",IFERROR(_xlfn.XLOOKUP(D472,Setup!$E$15:$E$79,Setup!$G$15:$G$79),"Uncategorized"))</f>
        <v/>
      </c>
      <c r="J472" t="str">
        <f t="shared" si="36"/>
        <v/>
      </c>
      <c r="K472" s="4" t="str">
        <f t="shared" si="37"/>
        <v/>
      </c>
      <c r="L472" s="47">
        <f t="shared" si="38"/>
        <v>0</v>
      </c>
      <c r="M472" s="47">
        <f t="shared" si="39"/>
        <v>0</v>
      </c>
      <c r="N472" t="str">
        <f>IF(A472="","",IF(D472="Category Pending","Needs categorization",IF(COUNTIFS($A$2:A472,A472,$B$2:B472,B472,$E$2:E472,E472)&gt;1,"Possible duplicate","")))</f>
        <v/>
      </c>
    </row>
    <row r="473" spans="3:14" x14ac:dyDescent="0.3">
      <c r="C473" s="16"/>
      <c r="G473" s="5" t="str">
        <f t="shared" si="35"/>
        <v/>
      </c>
      <c r="H473" t="str">
        <f>IF(A473="","",IFERROR(_xlfn.XLOOKUP(D473,Setup!$E$15:$E$79,Setup!$F$15:$F$79),"Miscellaneous"))</f>
        <v/>
      </c>
      <c r="I473" t="str">
        <f>IF(A473="","",IFERROR(_xlfn.XLOOKUP(D473,Setup!$E$15:$E$79,Setup!$G$15:$G$79),"Uncategorized"))</f>
        <v/>
      </c>
      <c r="J473" t="str">
        <f t="shared" si="36"/>
        <v/>
      </c>
      <c r="K473" s="4" t="str">
        <f t="shared" si="37"/>
        <v/>
      </c>
      <c r="L473" s="47">
        <f t="shared" si="38"/>
        <v>0</v>
      </c>
      <c r="M473" s="47">
        <f t="shared" si="39"/>
        <v>0</v>
      </c>
      <c r="N473" t="str">
        <f>IF(A473="","",IF(D473="Category Pending","Needs categorization",IF(COUNTIFS($A$2:A473,A473,$B$2:B473,B473,$E$2:E473,E473)&gt;1,"Possible duplicate","")))</f>
        <v/>
      </c>
    </row>
    <row r="474" spans="3:14" x14ac:dyDescent="0.3">
      <c r="C474" s="16"/>
      <c r="G474" s="5" t="str">
        <f t="shared" si="35"/>
        <v/>
      </c>
      <c r="H474" t="str">
        <f>IF(A474="","",IFERROR(_xlfn.XLOOKUP(D474,Setup!$E$15:$E$79,Setup!$F$15:$F$79),"Miscellaneous"))</f>
        <v/>
      </c>
      <c r="I474" t="str">
        <f>IF(A474="","",IFERROR(_xlfn.XLOOKUP(D474,Setup!$E$15:$E$79,Setup!$G$15:$G$79),"Uncategorized"))</f>
        <v/>
      </c>
      <c r="J474" t="str">
        <f t="shared" si="36"/>
        <v/>
      </c>
      <c r="K474" s="4" t="str">
        <f t="shared" si="37"/>
        <v/>
      </c>
      <c r="L474" s="47">
        <f t="shared" si="38"/>
        <v>0</v>
      </c>
      <c r="M474" s="47">
        <f t="shared" si="39"/>
        <v>0</v>
      </c>
      <c r="N474" t="str">
        <f>IF(A474="","",IF(D474="Category Pending","Needs categorization",IF(COUNTIFS($A$2:A474,A474,$B$2:B474,B474,$E$2:E474,E474)&gt;1,"Possible duplicate","")))</f>
        <v/>
      </c>
    </row>
    <row r="475" spans="3:14" x14ac:dyDescent="0.3">
      <c r="C475" s="16"/>
      <c r="G475" s="5" t="str">
        <f t="shared" si="35"/>
        <v/>
      </c>
      <c r="H475" t="str">
        <f>IF(A475="","",IFERROR(_xlfn.XLOOKUP(D475,Setup!$E$15:$E$79,Setup!$F$15:$F$79),"Miscellaneous"))</f>
        <v/>
      </c>
      <c r="I475" t="str">
        <f>IF(A475="","",IFERROR(_xlfn.XLOOKUP(D475,Setup!$E$15:$E$79,Setup!$G$15:$G$79),"Uncategorized"))</f>
        <v/>
      </c>
      <c r="J475" t="str">
        <f t="shared" si="36"/>
        <v/>
      </c>
      <c r="K475" s="4" t="str">
        <f t="shared" si="37"/>
        <v/>
      </c>
      <c r="L475" s="47">
        <f t="shared" si="38"/>
        <v>0</v>
      </c>
      <c r="M475" s="47">
        <f t="shared" si="39"/>
        <v>0</v>
      </c>
      <c r="N475" t="str">
        <f>IF(A475="","",IF(D475="Category Pending","Needs categorization",IF(COUNTIFS($A$2:A475,A475,$B$2:B475,B475,$E$2:E475,E475)&gt;1,"Possible duplicate","")))</f>
        <v/>
      </c>
    </row>
    <row r="476" spans="3:14" x14ac:dyDescent="0.3">
      <c r="C476" s="16"/>
      <c r="G476" s="5" t="str">
        <f t="shared" si="35"/>
        <v/>
      </c>
      <c r="H476" t="str">
        <f>IF(A476="","",IFERROR(_xlfn.XLOOKUP(D476,Setup!$E$15:$E$79,Setup!$F$15:$F$79),"Miscellaneous"))</f>
        <v/>
      </c>
      <c r="I476" t="str">
        <f>IF(A476="","",IFERROR(_xlfn.XLOOKUP(D476,Setup!$E$15:$E$79,Setup!$G$15:$G$79),"Uncategorized"))</f>
        <v/>
      </c>
      <c r="J476" t="str">
        <f t="shared" si="36"/>
        <v/>
      </c>
      <c r="K476" s="4" t="str">
        <f t="shared" si="37"/>
        <v/>
      </c>
      <c r="L476" s="47">
        <f t="shared" si="38"/>
        <v>0</v>
      </c>
      <c r="M476" s="47">
        <f t="shared" si="39"/>
        <v>0</v>
      </c>
      <c r="N476" t="str">
        <f>IF(A476="","",IF(D476="Category Pending","Needs categorization",IF(COUNTIFS($A$2:A476,A476,$B$2:B476,B476,$E$2:E476,E476)&gt;1,"Possible duplicate","")))</f>
        <v/>
      </c>
    </row>
    <row r="477" spans="3:14" x14ac:dyDescent="0.3">
      <c r="C477" s="16"/>
      <c r="G477" s="5" t="str">
        <f t="shared" si="35"/>
        <v/>
      </c>
      <c r="H477" t="str">
        <f>IF(A477="","",IFERROR(_xlfn.XLOOKUP(D477,Setup!$E$15:$E$79,Setup!$F$15:$F$79),"Miscellaneous"))</f>
        <v/>
      </c>
      <c r="I477" t="str">
        <f>IF(A477="","",IFERROR(_xlfn.XLOOKUP(D477,Setup!$E$15:$E$79,Setup!$G$15:$G$79),"Uncategorized"))</f>
        <v/>
      </c>
      <c r="J477" t="str">
        <f t="shared" si="36"/>
        <v/>
      </c>
      <c r="K477" s="4" t="str">
        <f t="shared" si="37"/>
        <v/>
      </c>
      <c r="L477" s="47">
        <f t="shared" si="38"/>
        <v>0</v>
      </c>
      <c r="M477" s="47">
        <f t="shared" si="39"/>
        <v>0</v>
      </c>
      <c r="N477" t="str">
        <f>IF(A477="","",IF(D477="Category Pending","Needs categorization",IF(COUNTIFS($A$2:A477,A477,$B$2:B477,B477,$E$2:E477,E477)&gt;1,"Possible duplicate","")))</f>
        <v/>
      </c>
    </row>
    <row r="478" spans="3:14" x14ac:dyDescent="0.3">
      <c r="C478" s="16"/>
      <c r="G478" s="5" t="str">
        <f t="shared" si="35"/>
        <v/>
      </c>
      <c r="H478" t="str">
        <f>IF(A478="","",IFERROR(_xlfn.XLOOKUP(D478,Setup!$E$15:$E$79,Setup!$F$15:$F$79),"Miscellaneous"))</f>
        <v/>
      </c>
      <c r="I478" t="str">
        <f>IF(A478="","",IFERROR(_xlfn.XLOOKUP(D478,Setup!$E$15:$E$79,Setup!$G$15:$G$79),"Uncategorized"))</f>
        <v/>
      </c>
      <c r="J478" t="str">
        <f t="shared" si="36"/>
        <v/>
      </c>
      <c r="K478" s="4" t="str">
        <f t="shared" si="37"/>
        <v/>
      </c>
      <c r="L478" s="47">
        <f t="shared" si="38"/>
        <v>0</v>
      </c>
      <c r="M478" s="47">
        <f t="shared" si="39"/>
        <v>0</v>
      </c>
      <c r="N478" t="str">
        <f>IF(A478="","",IF(D478="Category Pending","Needs categorization",IF(COUNTIFS($A$2:A478,A478,$B$2:B478,B478,$E$2:E478,E478)&gt;1,"Possible duplicate","")))</f>
        <v/>
      </c>
    </row>
    <row r="479" spans="3:14" x14ac:dyDescent="0.3">
      <c r="C479" s="16"/>
      <c r="G479" s="5" t="str">
        <f t="shared" si="35"/>
        <v/>
      </c>
      <c r="H479" t="str">
        <f>IF(A479="","",IFERROR(_xlfn.XLOOKUP(D479,Setup!$E$15:$E$79,Setup!$F$15:$F$79),"Miscellaneous"))</f>
        <v/>
      </c>
      <c r="I479" t="str">
        <f>IF(A479="","",IFERROR(_xlfn.XLOOKUP(D479,Setup!$E$15:$E$79,Setup!$G$15:$G$79),"Uncategorized"))</f>
        <v/>
      </c>
      <c r="J479" t="str">
        <f t="shared" si="36"/>
        <v/>
      </c>
      <c r="K479" s="4" t="str">
        <f t="shared" si="37"/>
        <v/>
      </c>
      <c r="L479" s="47">
        <f t="shared" si="38"/>
        <v>0</v>
      </c>
      <c r="M479" s="47">
        <f t="shared" si="39"/>
        <v>0</v>
      </c>
      <c r="N479" t="str">
        <f>IF(A479="","",IF(D479="Category Pending","Needs categorization",IF(COUNTIFS($A$2:A479,A479,$B$2:B479,B479,$E$2:E479,E479)&gt;1,"Possible duplicate","")))</f>
        <v/>
      </c>
    </row>
    <row r="480" spans="3:14" x14ac:dyDescent="0.3">
      <c r="C480" s="16"/>
      <c r="G480" s="5" t="str">
        <f t="shared" si="35"/>
        <v/>
      </c>
      <c r="H480" t="str">
        <f>IF(A480="","",IFERROR(_xlfn.XLOOKUP(D480,Setup!$E$15:$E$79,Setup!$F$15:$F$79),"Miscellaneous"))</f>
        <v/>
      </c>
      <c r="I480" t="str">
        <f>IF(A480="","",IFERROR(_xlfn.XLOOKUP(D480,Setup!$E$15:$E$79,Setup!$G$15:$G$79),"Uncategorized"))</f>
        <v/>
      </c>
      <c r="J480" t="str">
        <f t="shared" si="36"/>
        <v/>
      </c>
      <c r="K480" s="4" t="str">
        <f t="shared" si="37"/>
        <v/>
      </c>
      <c r="L480" s="47">
        <f t="shared" si="38"/>
        <v>0</v>
      </c>
      <c r="M480" s="47">
        <f t="shared" si="39"/>
        <v>0</v>
      </c>
      <c r="N480" t="str">
        <f>IF(A480="","",IF(D480="Category Pending","Needs categorization",IF(COUNTIFS($A$2:A480,A480,$B$2:B480,B480,$E$2:E480,E480)&gt;1,"Possible duplicate","")))</f>
        <v/>
      </c>
    </row>
    <row r="481" spans="3:14" x14ac:dyDescent="0.3">
      <c r="C481" s="16"/>
      <c r="G481" s="5" t="str">
        <f t="shared" ref="G481:G544" si="40">IF(A481="","","Checking")</f>
        <v/>
      </c>
      <c r="H481" t="str">
        <f>IF(A481="","",IFERROR(_xlfn.XLOOKUP(D481,Setup!$E$15:$E$79,Setup!$F$15:$F$79),"Miscellaneous"))</f>
        <v/>
      </c>
      <c r="I481" t="str">
        <f>IF(A481="","",IFERROR(_xlfn.XLOOKUP(D481,Setup!$E$15:$E$79,Setup!$G$15:$G$79),"Uncategorized"))</f>
        <v/>
      </c>
      <c r="J481" t="str">
        <f t="shared" ref="J481:J544" si="41">IF(A481="","",IF(OR(H481="Transfers",H481="Income",D481="Transfer",D481="Category Pending"),"No","Yes"))</f>
        <v/>
      </c>
      <c r="K481" s="4" t="str">
        <f t="shared" ref="K481:K544" si="42">IF(A481="","",IF(A481&gt;=46232,TEXT(DATE(YEAR(A481),MONTH(A481)+1,1),"mmmm yyyy"),TEXT(DATE(YEAR(A481),MONTH(A481),1),"mmmm yyyy")))</f>
        <v/>
      </c>
      <c r="L481" s="47">
        <f t="shared" ref="L481:L544" si="43">IF(AND(J481="Yes",E481&lt;0),-E481,0)</f>
        <v>0</v>
      </c>
      <c r="M481" s="47">
        <f t="shared" ref="M481:M544" si="44">IF(AND(J481="Yes",E481&gt;0),E481,0)</f>
        <v>0</v>
      </c>
      <c r="N481" t="str">
        <f>IF(A481="","",IF(D481="Category Pending","Needs categorization",IF(COUNTIFS($A$2:A481,A481,$B$2:B481,B481,$E$2:E481,E481)&gt;1,"Possible duplicate","")))</f>
        <v/>
      </c>
    </row>
    <row r="482" spans="3:14" x14ac:dyDescent="0.3">
      <c r="C482" s="16"/>
      <c r="G482" s="5" t="str">
        <f t="shared" si="40"/>
        <v/>
      </c>
      <c r="H482" t="str">
        <f>IF(A482="","",IFERROR(_xlfn.XLOOKUP(D482,Setup!$E$15:$E$79,Setup!$F$15:$F$79),"Miscellaneous"))</f>
        <v/>
      </c>
      <c r="I482" t="str">
        <f>IF(A482="","",IFERROR(_xlfn.XLOOKUP(D482,Setup!$E$15:$E$79,Setup!$G$15:$G$79),"Uncategorized"))</f>
        <v/>
      </c>
      <c r="J482" t="str">
        <f t="shared" si="41"/>
        <v/>
      </c>
      <c r="K482" s="4" t="str">
        <f t="shared" si="42"/>
        <v/>
      </c>
      <c r="L482" s="47">
        <f t="shared" si="43"/>
        <v>0</v>
      </c>
      <c r="M482" s="47">
        <f t="shared" si="44"/>
        <v>0</v>
      </c>
      <c r="N482" t="str">
        <f>IF(A482="","",IF(D482="Category Pending","Needs categorization",IF(COUNTIFS($A$2:A482,A482,$B$2:B482,B482,$E$2:E482,E482)&gt;1,"Possible duplicate","")))</f>
        <v/>
      </c>
    </row>
    <row r="483" spans="3:14" x14ac:dyDescent="0.3">
      <c r="C483" s="16"/>
      <c r="G483" s="5" t="str">
        <f t="shared" si="40"/>
        <v/>
      </c>
      <c r="H483" t="str">
        <f>IF(A483="","",IFERROR(_xlfn.XLOOKUP(D483,Setup!$E$15:$E$79,Setup!$F$15:$F$79),"Miscellaneous"))</f>
        <v/>
      </c>
      <c r="I483" t="str">
        <f>IF(A483="","",IFERROR(_xlfn.XLOOKUP(D483,Setup!$E$15:$E$79,Setup!$G$15:$G$79),"Uncategorized"))</f>
        <v/>
      </c>
      <c r="J483" t="str">
        <f t="shared" si="41"/>
        <v/>
      </c>
      <c r="K483" s="4" t="str">
        <f t="shared" si="42"/>
        <v/>
      </c>
      <c r="L483" s="47">
        <f t="shared" si="43"/>
        <v>0</v>
      </c>
      <c r="M483" s="47">
        <f t="shared" si="44"/>
        <v>0</v>
      </c>
      <c r="N483" t="str">
        <f>IF(A483="","",IF(D483="Category Pending","Needs categorization",IF(COUNTIFS($A$2:A483,A483,$B$2:B483,B483,$E$2:E483,E483)&gt;1,"Possible duplicate","")))</f>
        <v/>
      </c>
    </row>
    <row r="484" spans="3:14" x14ac:dyDescent="0.3">
      <c r="C484" s="16"/>
      <c r="G484" s="5" t="str">
        <f t="shared" si="40"/>
        <v/>
      </c>
      <c r="H484" t="str">
        <f>IF(A484="","",IFERROR(_xlfn.XLOOKUP(D484,Setup!$E$15:$E$79,Setup!$F$15:$F$79),"Miscellaneous"))</f>
        <v/>
      </c>
      <c r="I484" t="str">
        <f>IF(A484="","",IFERROR(_xlfn.XLOOKUP(D484,Setup!$E$15:$E$79,Setup!$G$15:$G$79),"Uncategorized"))</f>
        <v/>
      </c>
      <c r="J484" t="str">
        <f t="shared" si="41"/>
        <v/>
      </c>
      <c r="K484" s="4" t="str">
        <f t="shared" si="42"/>
        <v/>
      </c>
      <c r="L484" s="47">
        <f t="shared" si="43"/>
        <v>0</v>
      </c>
      <c r="M484" s="47">
        <f t="shared" si="44"/>
        <v>0</v>
      </c>
      <c r="N484" t="str">
        <f>IF(A484="","",IF(D484="Category Pending","Needs categorization",IF(COUNTIFS($A$2:A484,A484,$B$2:B484,B484,$E$2:E484,E484)&gt;1,"Possible duplicate","")))</f>
        <v/>
      </c>
    </row>
    <row r="485" spans="3:14" x14ac:dyDescent="0.3">
      <c r="C485" s="16"/>
      <c r="G485" s="5" t="str">
        <f t="shared" si="40"/>
        <v/>
      </c>
      <c r="H485" t="str">
        <f>IF(A485="","",IFERROR(_xlfn.XLOOKUP(D485,Setup!$E$15:$E$79,Setup!$F$15:$F$79),"Miscellaneous"))</f>
        <v/>
      </c>
      <c r="I485" t="str">
        <f>IF(A485="","",IFERROR(_xlfn.XLOOKUP(D485,Setup!$E$15:$E$79,Setup!$G$15:$G$79),"Uncategorized"))</f>
        <v/>
      </c>
      <c r="J485" t="str">
        <f t="shared" si="41"/>
        <v/>
      </c>
      <c r="K485" s="4" t="str">
        <f t="shared" si="42"/>
        <v/>
      </c>
      <c r="L485" s="47">
        <f t="shared" si="43"/>
        <v>0</v>
      </c>
      <c r="M485" s="47">
        <f t="shared" si="44"/>
        <v>0</v>
      </c>
      <c r="N485" t="str">
        <f>IF(A485="","",IF(D485="Category Pending","Needs categorization",IF(COUNTIFS($A$2:A485,A485,$B$2:B485,B485,$E$2:E485,E485)&gt;1,"Possible duplicate","")))</f>
        <v/>
      </c>
    </row>
    <row r="486" spans="3:14" x14ac:dyDescent="0.3">
      <c r="C486" s="16"/>
      <c r="G486" s="5" t="str">
        <f t="shared" si="40"/>
        <v/>
      </c>
      <c r="H486" t="str">
        <f>IF(A486="","",IFERROR(_xlfn.XLOOKUP(D486,Setup!$E$15:$E$79,Setup!$F$15:$F$79),"Miscellaneous"))</f>
        <v/>
      </c>
      <c r="I486" t="str">
        <f>IF(A486="","",IFERROR(_xlfn.XLOOKUP(D486,Setup!$E$15:$E$79,Setup!$G$15:$G$79),"Uncategorized"))</f>
        <v/>
      </c>
      <c r="J486" t="str">
        <f t="shared" si="41"/>
        <v/>
      </c>
      <c r="K486" s="4" t="str">
        <f t="shared" si="42"/>
        <v/>
      </c>
      <c r="L486" s="47">
        <f t="shared" si="43"/>
        <v>0</v>
      </c>
      <c r="M486" s="47">
        <f t="shared" si="44"/>
        <v>0</v>
      </c>
      <c r="N486" t="str">
        <f>IF(A486="","",IF(D486="Category Pending","Needs categorization",IF(COUNTIFS($A$2:A486,A486,$B$2:B486,B486,$E$2:E486,E486)&gt;1,"Possible duplicate","")))</f>
        <v/>
      </c>
    </row>
    <row r="487" spans="3:14" x14ac:dyDescent="0.3">
      <c r="C487" s="16"/>
      <c r="G487" s="5" t="str">
        <f t="shared" si="40"/>
        <v/>
      </c>
      <c r="H487" t="str">
        <f>IF(A487="","",IFERROR(_xlfn.XLOOKUP(D487,Setup!$E$15:$E$79,Setup!$F$15:$F$79),"Miscellaneous"))</f>
        <v/>
      </c>
      <c r="I487" t="str">
        <f>IF(A487="","",IFERROR(_xlfn.XLOOKUP(D487,Setup!$E$15:$E$79,Setup!$G$15:$G$79),"Uncategorized"))</f>
        <v/>
      </c>
      <c r="J487" t="str">
        <f t="shared" si="41"/>
        <v/>
      </c>
      <c r="K487" s="4" t="str">
        <f t="shared" si="42"/>
        <v/>
      </c>
      <c r="L487" s="47">
        <f t="shared" si="43"/>
        <v>0</v>
      </c>
      <c r="M487" s="47">
        <f t="shared" si="44"/>
        <v>0</v>
      </c>
      <c r="N487" t="str">
        <f>IF(A487="","",IF(D487="Category Pending","Needs categorization",IF(COUNTIFS($A$2:A487,A487,$B$2:B487,B487,$E$2:E487,E487)&gt;1,"Possible duplicate","")))</f>
        <v/>
      </c>
    </row>
    <row r="488" spans="3:14" x14ac:dyDescent="0.3">
      <c r="C488" s="16"/>
      <c r="G488" s="5" t="str">
        <f t="shared" si="40"/>
        <v/>
      </c>
      <c r="H488" t="str">
        <f>IF(A488="","",IFERROR(_xlfn.XLOOKUP(D488,Setup!$E$15:$E$79,Setup!$F$15:$F$79),"Miscellaneous"))</f>
        <v/>
      </c>
      <c r="I488" t="str">
        <f>IF(A488="","",IFERROR(_xlfn.XLOOKUP(D488,Setup!$E$15:$E$79,Setup!$G$15:$G$79),"Uncategorized"))</f>
        <v/>
      </c>
      <c r="J488" t="str">
        <f t="shared" si="41"/>
        <v/>
      </c>
      <c r="K488" s="4" t="str">
        <f t="shared" si="42"/>
        <v/>
      </c>
      <c r="L488" s="47">
        <f t="shared" si="43"/>
        <v>0</v>
      </c>
      <c r="M488" s="47">
        <f t="shared" si="44"/>
        <v>0</v>
      </c>
      <c r="N488" t="str">
        <f>IF(A488="","",IF(D488="Category Pending","Needs categorization",IF(COUNTIFS($A$2:A488,A488,$B$2:B488,B488,$E$2:E488,E488)&gt;1,"Possible duplicate","")))</f>
        <v/>
      </c>
    </row>
    <row r="489" spans="3:14" x14ac:dyDescent="0.3">
      <c r="C489" s="16"/>
      <c r="G489" s="5" t="str">
        <f t="shared" si="40"/>
        <v/>
      </c>
      <c r="H489" t="str">
        <f>IF(A489="","",IFERROR(_xlfn.XLOOKUP(D489,Setup!$E$15:$E$79,Setup!$F$15:$F$79),"Miscellaneous"))</f>
        <v/>
      </c>
      <c r="I489" t="str">
        <f>IF(A489="","",IFERROR(_xlfn.XLOOKUP(D489,Setup!$E$15:$E$79,Setup!$G$15:$G$79),"Uncategorized"))</f>
        <v/>
      </c>
      <c r="J489" t="str">
        <f t="shared" si="41"/>
        <v/>
      </c>
      <c r="K489" s="4" t="str">
        <f t="shared" si="42"/>
        <v/>
      </c>
      <c r="L489" s="47">
        <f t="shared" si="43"/>
        <v>0</v>
      </c>
      <c r="M489" s="47">
        <f t="shared" si="44"/>
        <v>0</v>
      </c>
      <c r="N489" t="str">
        <f>IF(A489="","",IF(D489="Category Pending","Needs categorization",IF(COUNTIFS($A$2:A489,A489,$B$2:B489,B489,$E$2:E489,E489)&gt;1,"Possible duplicate","")))</f>
        <v/>
      </c>
    </row>
    <row r="490" spans="3:14" x14ac:dyDescent="0.3">
      <c r="C490" s="16"/>
      <c r="G490" s="5" t="str">
        <f t="shared" si="40"/>
        <v/>
      </c>
      <c r="H490" t="str">
        <f>IF(A490="","",IFERROR(_xlfn.XLOOKUP(D490,Setup!$E$15:$E$79,Setup!$F$15:$F$79),"Miscellaneous"))</f>
        <v/>
      </c>
      <c r="I490" t="str">
        <f>IF(A490="","",IFERROR(_xlfn.XLOOKUP(D490,Setup!$E$15:$E$79,Setup!$G$15:$G$79),"Uncategorized"))</f>
        <v/>
      </c>
      <c r="J490" t="str">
        <f t="shared" si="41"/>
        <v/>
      </c>
      <c r="K490" s="4" t="str">
        <f t="shared" si="42"/>
        <v/>
      </c>
      <c r="L490" s="47">
        <f t="shared" si="43"/>
        <v>0</v>
      </c>
      <c r="M490" s="47">
        <f t="shared" si="44"/>
        <v>0</v>
      </c>
      <c r="N490" t="str">
        <f>IF(A490="","",IF(D490="Category Pending","Needs categorization",IF(COUNTIFS($A$2:A490,A490,$B$2:B490,B490,$E$2:E490,E490)&gt;1,"Possible duplicate","")))</f>
        <v/>
      </c>
    </row>
    <row r="491" spans="3:14" x14ac:dyDescent="0.3">
      <c r="C491" s="16"/>
      <c r="G491" s="5" t="str">
        <f t="shared" si="40"/>
        <v/>
      </c>
      <c r="H491" t="str">
        <f>IF(A491="","",IFERROR(_xlfn.XLOOKUP(D491,Setup!$E$15:$E$79,Setup!$F$15:$F$79),"Miscellaneous"))</f>
        <v/>
      </c>
      <c r="I491" t="str">
        <f>IF(A491="","",IFERROR(_xlfn.XLOOKUP(D491,Setup!$E$15:$E$79,Setup!$G$15:$G$79),"Uncategorized"))</f>
        <v/>
      </c>
      <c r="J491" t="str">
        <f t="shared" si="41"/>
        <v/>
      </c>
      <c r="K491" s="4" t="str">
        <f t="shared" si="42"/>
        <v/>
      </c>
      <c r="L491" s="47">
        <f t="shared" si="43"/>
        <v>0</v>
      </c>
      <c r="M491" s="47">
        <f t="shared" si="44"/>
        <v>0</v>
      </c>
      <c r="N491" t="str">
        <f>IF(A491="","",IF(D491="Category Pending","Needs categorization",IF(COUNTIFS($A$2:A491,A491,$B$2:B491,B491,$E$2:E491,E491)&gt;1,"Possible duplicate","")))</f>
        <v/>
      </c>
    </row>
    <row r="492" spans="3:14" x14ac:dyDescent="0.3">
      <c r="C492" s="16"/>
      <c r="G492" s="5" t="str">
        <f t="shared" si="40"/>
        <v/>
      </c>
      <c r="H492" t="str">
        <f>IF(A492="","",IFERROR(_xlfn.XLOOKUP(D492,Setup!$E$15:$E$79,Setup!$F$15:$F$79),"Miscellaneous"))</f>
        <v/>
      </c>
      <c r="I492" t="str">
        <f>IF(A492="","",IFERROR(_xlfn.XLOOKUP(D492,Setup!$E$15:$E$79,Setup!$G$15:$G$79),"Uncategorized"))</f>
        <v/>
      </c>
      <c r="J492" t="str">
        <f t="shared" si="41"/>
        <v/>
      </c>
      <c r="K492" s="4" t="str">
        <f t="shared" si="42"/>
        <v/>
      </c>
      <c r="L492" s="47">
        <f t="shared" si="43"/>
        <v>0</v>
      </c>
      <c r="M492" s="47">
        <f t="shared" si="44"/>
        <v>0</v>
      </c>
      <c r="N492" t="str">
        <f>IF(A492="","",IF(D492="Category Pending","Needs categorization",IF(COUNTIFS($A$2:A492,A492,$B$2:B492,B492,$E$2:E492,E492)&gt;1,"Possible duplicate","")))</f>
        <v/>
      </c>
    </row>
    <row r="493" spans="3:14" x14ac:dyDescent="0.3">
      <c r="C493" s="16"/>
      <c r="G493" s="5" t="str">
        <f t="shared" si="40"/>
        <v/>
      </c>
      <c r="H493" t="str">
        <f>IF(A493="","",IFERROR(_xlfn.XLOOKUP(D493,Setup!$E$15:$E$79,Setup!$F$15:$F$79),"Miscellaneous"))</f>
        <v/>
      </c>
      <c r="I493" t="str">
        <f>IF(A493="","",IFERROR(_xlfn.XLOOKUP(D493,Setup!$E$15:$E$79,Setup!$G$15:$G$79),"Uncategorized"))</f>
        <v/>
      </c>
      <c r="J493" t="str">
        <f t="shared" si="41"/>
        <v/>
      </c>
      <c r="K493" s="4" t="str">
        <f t="shared" si="42"/>
        <v/>
      </c>
      <c r="L493" s="47">
        <f t="shared" si="43"/>
        <v>0</v>
      </c>
      <c r="M493" s="47">
        <f t="shared" si="44"/>
        <v>0</v>
      </c>
      <c r="N493" t="str">
        <f>IF(A493="","",IF(D493="Category Pending","Needs categorization",IF(COUNTIFS($A$2:A493,A493,$B$2:B493,B493,$E$2:E493,E493)&gt;1,"Possible duplicate","")))</f>
        <v/>
      </c>
    </row>
    <row r="494" spans="3:14" x14ac:dyDescent="0.3">
      <c r="C494" s="16"/>
      <c r="G494" s="5" t="str">
        <f t="shared" si="40"/>
        <v/>
      </c>
      <c r="H494" t="str">
        <f>IF(A494="","",IFERROR(_xlfn.XLOOKUP(D494,Setup!$E$15:$E$79,Setup!$F$15:$F$79),"Miscellaneous"))</f>
        <v/>
      </c>
      <c r="I494" t="str">
        <f>IF(A494="","",IFERROR(_xlfn.XLOOKUP(D494,Setup!$E$15:$E$79,Setup!$G$15:$G$79),"Uncategorized"))</f>
        <v/>
      </c>
      <c r="J494" t="str">
        <f t="shared" si="41"/>
        <v/>
      </c>
      <c r="K494" s="4" t="str">
        <f t="shared" si="42"/>
        <v/>
      </c>
      <c r="L494" s="47">
        <f t="shared" si="43"/>
        <v>0</v>
      </c>
      <c r="M494" s="47">
        <f t="shared" si="44"/>
        <v>0</v>
      </c>
      <c r="N494" t="str">
        <f>IF(A494="","",IF(D494="Category Pending","Needs categorization",IF(COUNTIFS($A$2:A494,A494,$B$2:B494,B494,$E$2:E494,E494)&gt;1,"Possible duplicate","")))</f>
        <v/>
      </c>
    </row>
    <row r="495" spans="3:14" x14ac:dyDescent="0.3">
      <c r="C495" s="16"/>
      <c r="G495" s="5" t="str">
        <f t="shared" si="40"/>
        <v/>
      </c>
      <c r="H495" t="str">
        <f>IF(A495="","",IFERROR(_xlfn.XLOOKUP(D495,Setup!$E$15:$E$79,Setup!$F$15:$F$79),"Miscellaneous"))</f>
        <v/>
      </c>
      <c r="I495" t="str">
        <f>IF(A495="","",IFERROR(_xlfn.XLOOKUP(D495,Setup!$E$15:$E$79,Setup!$G$15:$G$79),"Uncategorized"))</f>
        <v/>
      </c>
      <c r="J495" t="str">
        <f t="shared" si="41"/>
        <v/>
      </c>
      <c r="K495" s="4" t="str">
        <f t="shared" si="42"/>
        <v/>
      </c>
      <c r="L495" s="47">
        <f t="shared" si="43"/>
        <v>0</v>
      </c>
      <c r="M495" s="47">
        <f t="shared" si="44"/>
        <v>0</v>
      </c>
      <c r="N495" t="str">
        <f>IF(A495="","",IF(D495="Category Pending","Needs categorization",IF(COUNTIFS($A$2:A495,A495,$B$2:B495,B495,$E$2:E495,E495)&gt;1,"Possible duplicate","")))</f>
        <v/>
      </c>
    </row>
    <row r="496" spans="3:14" x14ac:dyDescent="0.3">
      <c r="C496" s="16"/>
      <c r="G496" s="5" t="str">
        <f t="shared" si="40"/>
        <v/>
      </c>
      <c r="H496" t="str">
        <f>IF(A496="","",IFERROR(_xlfn.XLOOKUP(D496,Setup!$E$15:$E$79,Setup!$F$15:$F$79),"Miscellaneous"))</f>
        <v/>
      </c>
      <c r="I496" t="str">
        <f>IF(A496="","",IFERROR(_xlfn.XLOOKUP(D496,Setup!$E$15:$E$79,Setup!$G$15:$G$79),"Uncategorized"))</f>
        <v/>
      </c>
      <c r="J496" t="str">
        <f t="shared" si="41"/>
        <v/>
      </c>
      <c r="K496" s="4" t="str">
        <f t="shared" si="42"/>
        <v/>
      </c>
      <c r="L496" s="47">
        <f t="shared" si="43"/>
        <v>0</v>
      </c>
      <c r="M496" s="47">
        <f t="shared" si="44"/>
        <v>0</v>
      </c>
      <c r="N496" t="str">
        <f>IF(A496="","",IF(D496="Category Pending","Needs categorization",IF(COUNTIFS($A$2:A496,A496,$B$2:B496,B496,$E$2:E496,E496)&gt;1,"Possible duplicate","")))</f>
        <v/>
      </c>
    </row>
    <row r="497" spans="3:14" x14ac:dyDescent="0.3">
      <c r="C497" s="16"/>
      <c r="G497" s="5" t="str">
        <f t="shared" si="40"/>
        <v/>
      </c>
      <c r="H497" t="str">
        <f>IF(A497="","",IFERROR(_xlfn.XLOOKUP(D497,Setup!$E$15:$E$79,Setup!$F$15:$F$79),"Miscellaneous"))</f>
        <v/>
      </c>
      <c r="I497" t="str">
        <f>IF(A497="","",IFERROR(_xlfn.XLOOKUP(D497,Setup!$E$15:$E$79,Setup!$G$15:$G$79),"Uncategorized"))</f>
        <v/>
      </c>
      <c r="J497" t="str">
        <f t="shared" si="41"/>
        <v/>
      </c>
      <c r="K497" s="4" t="str">
        <f t="shared" si="42"/>
        <v/>
      </c>
      <c r="L497" s="47">
        <f t="shared" si="43"/>
        <v>0</v>
      </c>
      <c r="M497" s="47">
        <f t="shared" si="44"/>
        <v>0</v>
      </c>
      <c r="N497" t="str">
        <f>IF(A497="","",IF(D497="Category Pending","Needs categorization",IF(COUNTIFS($A$2:A497,A497,$B$2:B497,B497,$E$2:E497,E497)&gt;1,"Possible duplicate","")))</f>
        <v/>
      </c>
    </row>
    <row r="498" spans="3:14" x14ac:dyDescent="0.3">
      <c r="C498" s="16"/>
      <c r="G498" s="5" t="str">
        <f t="shared" si="40"/>
        <v/>
      </c>
      <c r="H498" t="str">
        <f>IF(A498="","",IFERROR(_xlfn.XLOOKUP(D498,Setup!$E$15:$E$79,Setup!$F$15:$F$79),"Miscellaneous"))</f>
        <v/>
      </c>
      <c r="I498" t="str">
        <f>IF(A498="","",IFERROR(_xlfn.XLOOKUP(D498,Setup!$E$15:$E$79,Setup!$G$15:$G$79),"Uncategorized"))</f>
        <v/>
      </c>
      <c r="J498" t="str">
        <f t="shared" si="41"/>
        <v/>
      </c>
      <c r="K498" s="4" t="str">
        <f t="shared" si="42"/>
        <v/>
      </c>
      <c r="L498" s="47">
        <f t="shared" si="43"/>
        <v>0</v>
      </c>
      <c r="M498" s="47">
        <f t="shared" si="44"/>
        <v>0</v>
      </c>
      <c r="N498" t="str">
        <f>IF(A498="","",IF(D498="Category Pending","Needs categorization",IF(COUNTIFS($A$2:A498,A498,$B$2:B498,B498,$E$2:E498,E498)&gt;1,"Possible duplicate","")))</f>
        <v/>
      </c>
    </row>
    <row r="499" spans="3:14" x14ac:dyDescent="0.3">
      <c r="C499" s="16"/>
      <c r="G499" s="5" t="str">
        <f t="shared" si="40"/>
        <v/>
      </c>
      <c r="H499" t="str">
        <f>IF(A499="","",IFERROR(_xlfn.XLOOKUP(D499,Setup!$E$15:$E$79,Setup!$F$15:$F$79),"Miscellaneous"))</f>
        <v/>
      </c>
      <c r="I499" t="str">
        <f>IF(A499="","",IFERROR(_xlfn.XLOOKUP(D499,Setup!$E$15:$E$79,Setup!$G$15:$G$79),"Uncategorized"))</f>
        <v/>
      </c>
      <c r="J499" t="str">
        <f t="shared" si="41"/>
        <v/>
      </c>
      <c r="K499" s="4" t="str">
        <f t="shared" si="42"/>
        <v/>
      </c>
      <c r="L499" s="47">
        <f t="shared" si="43"/>
        <v>0</v>
      </c>
      <c r="M499" s="47">
        <f t="shared" si="44"/>
        <v>0</v>
      </c>
      <c r="N499" t="str">
        <f>IF(A499="","",IF(D499="Category Pending","Needs categorization",IF(COUNTIFS($A$2:A499,A499,$B$2:B499,B499,$E$2:E499,E499)&gt;1,"Possible duplicate","")))</f>
        <v/>
      </c>
    </row>
    <row r="500" spans="3:14" x14ac:dyDescent="0.3">
      <c r="C500" s="16"/>
      <c r="G500" s="5" t="str">
        <f t="shared" si="40"/>
        <v/>
      </c>
      <c r="H500" t="str">
        <f>IF(A500="","",IFERROR(_xlfn.XLOOKUP(D500,Setup!$E$15:$E$79,Setup!$F$15:$F$79),"Miscellaneous"))</f>
        <v/>
      </c>
      <c r="I500" t="str">
        <f>IF(A500="","",IFERROR(_xlfn.XLOOKUP(D500,Setup!$E$15:$E$79,Setup!$G$15:$G$79),"Uncategorized"))</f>
        <v/>
      </c>
      <c r="J500" t="str">
        <f t="shared" si="41"/>
        <v/>
      </c>
      <c r="K500" s="4" t="str">
        <f t="shared" si="42"/>
        <v/>
      </c>
      <c r="L500" s="47">
        <f t="shared" si="43"/>
        <v>0</v>
      </c>
      <c r="M500" s="47">
        <f t="shared" si="44"/>
        <v>0</v>
      </c>
      <c r="N500" t="str">
        <f>IF(A500="","",IF(D500="Category Pending","Needs categorization",IF(COUNTIFS($A$2:A500,A500,$B$2:B500,B500,$E$2:E500,E500)&gt;1,"Possible duplicate","")))</f>
        <v/>
      </c>
    </row>
    <row r="501" spans="3:14" x14ac:dyDescent="0.3">
      <c r="C501" s="16"/>
      <c r="G501" s="5" t="str">
        <f t="shared" si="40"/>
        <v/>
      </c>
      <c r="H501" t="str">
        <f>IF(A501="","",IFERROR(_xlfn.XLOOKUP(D501,Setup!$E$15:$E$79,Setup!$F$15:$F$79),"Miscellaneous"))</f>
        <v/>
      </c>
      <c r="I501" t="str">
        <f>IF(A501="","",IFERROR(_xlfn.XLOOKUP(D501,Setup!$E$15:$E$79,Setup!$G$15:$G$79),"Uncategorized"))</f>
        <v/>
      </c>
      <c r="J501" t="str">
        <f t="shared" si="41"/>
        <v/>
      </c>
      <c r="K501" s="4" t="str">
        <f t="shared" si="42"/>
        <v/>
      </c>
      <c r="L501" s="47">
        <f t="shared" si="43"/>
        <v>0</v>
      </c>
      <c r="M501" s="47">
        <f t="shared" si="44"/>
        <v>0</v>
      </c>
      <c r="N501" t="str">
        <f>IF(A501="","",IF(D501="Category Pending","Needs categorization",IF(COUNTIFS($A$2:A501,A501,$B$2:B501,B501,$E$2:E501,E501)&gt;1,"Possible duplicate","")))</f>
        <v/>
      </c>
    </row>
    <row r="502" spans="3:14" x14ac:dyDescent="0.3">
      <c r="C502" s="16"/>
      <c r="G502" s="5" t="str">
        <f t="shared" si="40"/>
        <v/>
      </c>
      <c r="H502" t="str">
        <f>IF(A502="","",IFERROR(_xlfn.XLOOKUP(D502,Setup!$E$15:$E$79,Setup!$F$15:$F$79),"Miscellaneous"))</f>
        <v/>
      </c>
      <c r="I502" t="str">
        <f>IF(A502="","",IFERROR(_xlfn.XLOOKUP(D502,Setup!$E$15:$E$79,Setup!$G$15:$G$79),"Uncategorized"))</f>
        <v/>
      </c>
      <c r="J502" t="str">
        <f t="shared" si="41"/>
        <v/>
      </c>
      <c r="K502" s="4" t="str">
        <f t="shared" si="42"/>
        <v/>
      </c>
      <c r="L502" s="47">
        <f t="shared" si="43"/>
        <v>0</v>
      </c>
      <c r="M502" s="47">
        <f t="shared" si="44"/>
        <v>0</v>
      </c>
      <c r="N502" t="str">
        <f>IF(A502="","",IF(D502="Category Pending","Needs categorization",IF(COUNTIFS($A$2:A502,A502,$B$2:B502,B502,$E$2:E502,E502)&gt;1,"Possible duplicate","")))</f>
        <v/>
      </c>
    </row>
    <row r="503" spans="3:14" x14ac:dyDescent="0.3">
      <c r="C503" s="16"/>
      <c r="G503" s="5" t="str">
        <f t="shared" si="40"/>
        <v/>
      </c>
      <c r="H503" t="str">
        <f>IF(A503="","",IFERROR(_xlfn.XLOOKUP(D503,Setup!$E$15:$E$79,Setup!$F$15:$F$79),"Miscellaneous"))</f>
        <v/>
      </c>
      <c r="I503" t="str">
        <f>IF(A503="","",IFERROR(_xlfn.XLOOKUP(D503,Setup!$E$15:$E$79,Setup!$G$15:$G$79),"Uncategorized"))</f>
        <v/>
      </c>
      <c r="J503" t="str">
        <f t="shared" si="41"/>
        <v/>
      </c>
      <c r="K503" s="4" t="str">
        <f t="shared" si="42"/>
        <v/>
      </c>
      <c r="L503" s="47">
        <f t="shared" si="43"/>
        <v>0</v>
      </c>
      <c r="M503" s="47">
        <f t="shared" si="44"/>
        <v>0</v>
      </c>
      <c r="N503" t="str">
        <f>IF(A503="","",IF(D503="Category Pending","Needs categorization",IF(COUNTIFS($A$2:A503,A503,$B$2:B503,B503,$E$2:E503,E503)&gt;1,"Possible duplicate","")))</f>
        <v/>
      </c>
    </row>
    <row r="504" spans="3:14" x14ac:dyDescent="0.3">
      <c r="C504" s="16"/>
      <c r="G504" s="5" t="str">
        <f t="shared" si="40"/>
        <v/>
      </c>
      <c r="H504" t="str">
        <f>IF(A504="","",IFERROR(_xlfn.XLOOKUP(D504,Setup!$E$15:$E$79,Setup!$F$15:$F$79),"Miscellaneous"))</f>
        <v/>
      </c>
      <c r="I504" t="str">
        <f>IF(A504="","",IFERROR(_xlfn.XLOOKUP(D504,Setup!$E$15:$E$79,Setup!$G$15:$G$79),"Uncategorized"))</f>
        <v/>
      </c>
      <c r="J504" t="str">
        <f t="shared" si="41"/>
        <v/>
      </c>
      <c r="K504" s="4" t="str">
        <f t="shared" si="42"/>
        <v/>
      </c>
      <c r="L504" s="47">
        <f t="shared" si="43"/>
        <v>0</v>
      </c>
      <c r="M504" s="47">
        <f t="shared" si="44"/>
        <v>0</v>
      </c>
      <c r="N504" t="str">
        <f>IF(A504="","",IF(D504="Category Pending","Needs categorization",IF(COUNTIFS($A$2:A504,A504,$B$2:B504,B504,$E$2:E504,E504)&gt;1,"Possible duplicate","")))</f>
        <v/>
      </c>
    </row>
    <row r="505" spans="3:14" x14ac:dyDescent="0.3">
      <c r="C505" s="16"/>
      <c r="G505" s="5" t="str">
        <f t="shared" si="40"/>
        <v/>
      </c>
      <c r="H505" t="str">
        <f>IF(A505="","",IFERROR(_xlfn.XLOOKUP(D505,Setup!$E$15:$E$79,Setup!$F$15:$F$79),"Miscellaneous"))</f>
        <v/>
      </c>
      <c r="I505" t="str">
        <f>IF(A505="","",IFERROR(_xlfn.XLOOKUP(D505,Setup!$E$15:$E$79,Setup!$G$15:$G$79),"Uncategorized"))</f>
        <v/>
      </c>
      <c r="J505" t="str">
        <f t="shared" si="41"/>
        <v/>
      </c>
      <c r="K505" s="4" t="str">
        <f t="shared" si="42"/>
        <v/>
      </c>
      <c r="L505" s="47">
        <f t="shared" si="43"/>
        <v>0</v>
      </c>
      <c r="M505" s="47">
        <f t="shared" si="44"/>
        <v>0</v>
      </c>
      <c r="N505" t="str">
        <f>IF(A505="","",IF(D505="Category Pending","Needs categorization",IF(COUNTIFS($A$2:A505,A505,$B$2:B505,B505,$E$2:E505,E505)&gt;1,"Possible duplicate","")))</f>
        <v/>
      </c>
    </row>
    <row r="506" spans="3:14" x14ac:dyDescent="0.3">
      <c r="C506" s="16"/>
      <c r="G506" s="5" t="str">
        <f t="shared" si="40"/>
        <v/>
      </c>
      <c r="H506" t="str">
        <f>IF(A506="","",IFERROR(_xlfn.XLOOKUP(D506,Setup!$E$15:$E$79,Setup!$F$15:$F$79),"Miscellaneous"))</f>
        <v/>
      </c>
      <c r="I506" t="str">
        <f>IF(A506="","",IFERROR(_xlfn.XLOOKUP(D506,Setup!$E$15:$E$79,Setup!$G$15:$G$79),"Uncategorized"))</f>
        <v/>
      </c>
      <c r="J506" t="str">
        <f t="shared" si="41"/>
        <v/>
      </c>
      <c r="K506" s="4" t="str">
        <f t="shared" si="42"/>
        <v/>
      </c>
      <c r="L506" s="47">
        <f t="shared" si="43"/>
        <v>0</v>
      </c>
      <c r="M506" s="47">
        <f t="shared" si="44"/>
        <v>0</v>
      </c>
      <c r="N506" t="str">
        <f>IF(A506="","",IF(D506="Category Pending","Needs categorization",IF(COUNTIFS($A$2:A506,A506,$B$2:B506,B506,$E$2:E506,E506)&gt;1,"Possible duplicate","")))</f>
        <v/>
      </c>
    </row>
    <row r="507" spans="3:14" x14ac:dyDescent="0.3">
      <c r="C507" s="16"/>
      <c r="G507" s="5" t="str">
        <f t="shared" si="40"/>
        <v/>
      </c>
      <c r="H507" t="str">
        <f>IF(A507="","",IFERROR(_xlfn.XLOOKUP(D507,Setup!$E$15:$E$79,Setup!$F$15:$F$79),"Miscellaneous"))</f>
        <v/>
      </c>
      <c r="I507" t="str">
        <f>IF(A507="","",IFERROR(_xlfn.XLOOKUP(D507,Setup!$E$15:$E$79,Setup!$G$15:$G$79),"Uncategorized"))</f>
        <v/>
      </c>
      <c r="J507" t="str">
        <f t="shared" si="41"/>
        <v/>
      </c>
      <c r="K507" s="4" t="str">
        <f t="shared" si="42"/>
        <v/>
      </c>
      <c r="L507" s="47">
        <f t="shared" si="43"/>
        <v>0</v>
      </c>
      <c r="M507" s="47">
        <f t="shared" si="44"/>
        <v>0</v>
      </c>
      <c r="N507" t="str">
        <f>IF(A507="","",IF(D507="Category Pending","Needs categorization",IF(COUNTIFS($A$2:A507,A507,$B$2:B507,B507,$E$2:E507,E507)&gt;1,"Possible duplicate","")))</f>
        <v/>
      </c>
    </row>
    <row r="508" spans="3:14" x14ac:dyDescent="0.3">
      <c r="C508" s="16"/>
      <c r="G508" s="5" t="str">
        <f t="shared" si="40"/>
        <v/>
      </c>
      <c r="H508" t="str">
        <f>IF(A508="","",IFERROR(_xlfn.XLOOKUP(D508,Setup!$E$15:$E$79,Setup!$F$15:$F$79),"Miscellaneous"))</f>
        <v/>
      </c>
      <c r="I508" t="str">
        <f>IF(A508="","",IFERROR(_xlfn.XLOOKUP(D508,Setup!$E$15:$E$79,Setup!$G$15:$G$79),"Uncategorized"))</f>
        <v/>
      </c>
      <c r="J508" t="str">
        <f t="shared" si="41"/>
        <v/>
      </c>
      <c r="K508" s="4" t="str">
        <f t="shared" si="42"/>
        <v/>
      </c>
      <c r="L508" s="47">
        <f t="shared" si="43"/>
        <v>0</v>
      </c>
      <c r="M508" s="47">
        <f t="shared" si="44"/>
        <v>0</v>
      </c>
      <c r="N508" t="str">
        <f>IF(A508="","",IF(D508="Category Pending","Needs categorization",IF(COUNTIFS($A$2:A508,A508,$B$2:B508,B508,$E$2:E508,E508)&gt;1,"Possible duplicate","")))</f>
        <v/>
      </c>
    </row>
    <row r="509" spans="3:14" x14ac:dyDescent="0.3">
      <c r="C509" s="16"/>
      <c r="G509" s="5" t="str">
        <f t="shared" si="40"/>
        <v/>
      </c>
      <c r="H509" t="str">
        <f>IF(A509="","",IFERROR(_xlfn.XLOOKUP(D509,Setup!$E$15:$E$79,Setup!$F$15:$F$79),"Miscellaneous"))</f>
        <v/>
      </c>
      <c r="I509" t="str">
        <f>IF(A509="","",IFERROR(_xlfn.XLOOKUP(D509,Setup!$E$15:$E$79,Setup!$G$15:$G$79),"Uncategorized"))</f>
        <v/>
      </c>
      <c r="J509" t="str">
        <f t="shared" si="41"/>
        <v/>
      </c>
      <c r="K509" s="4" t="str">
        <f t="shared" si="42"/>
        <v/>
      </c>
      <c r="L509" s="47">
        <f t="shared" si="43"/>
        <v>0</v>
      </c>
      <c r="M509" s="47">
        <f t="shared" si="44"/>
        <v>0</v>
      </c>
      <c r="N509" t="str">
        <f>IF(A509="","",IF(D509="Category Pending","Needs categorization",IF(COUNTIFS($A$2:A509,A509,$B$2:B509,B509,$E$2:E509,E509)&gt;1,"Possible duplicate","")))</f>
        <v/>
      </c>
    </row>
    <row r="510" spans="3:14" x14ac:dyDescent="0.3">
      <c r="C510" s="16"/>
      <c r="G510" s="5" t="str">
        <f t="shared" si="40"/>
        <v/>
      </c>
      <c r="H510" t="str">
        <f>IF(A510="","",IFERROR(_xlfn.XLOOKUP(D510,Setup!$E$15:$E$79,Setup!$F$15:$F$79),"Miscellaneous"))</f>
        <v/>
      </c>
      <c r="I510" t="str">
        <f>IF(A510="","",IFERROR(_xlfn.XLOOKUP(D510,Setup!$E$15:$E$79,Setup!$G$15:$G$79),"Uncategorized"))</f>
        <v/>
      </c>
      <c r="J510" t="str">
        <f t="shared" si="41"/>
        <v/>
      </c>
      <c r="K510" s="4" t="str">
        <f t="shared" si="42"/>
        <v/>
      </c>
      <c r="L510" s="47">
        <f t="shared" si="43"/>
        <v>0</v>
      </c>
      <c r="M510" s="47">
        <f t="shared" si="44"/>
        <v>0</v>
      </c>
      <c r="N510" t="str">
        <f>IF(A510="","",IF(D510="Category Pending","Needs categorization",IF(COUNTIFS($A$2:A510,A510,$B$2:B510,B510,$E$2:E510,E510)&gt;1,"Possible duplicate","")))</f>
        <v/>
      </c>
    </row>
    <row r="511" spans="3:14" x14ac:dyDescent="0.3">
      <c r="C511" s="16"/>
      <c r="G511" s="5" t="str">
        <f t="shared" si="40"/>
        <v/>
      </c>
      <c r="H511" t="str">
        <f>IF(A511="","",IFERROR(_xlfn.XLOOKUP(D511,Setup!$E$15:$E$79,Setup!$F$15:$F$79),"Miscellaneous"))</f>
        <v/>
      </c>
      <c r="I511" t="str">
        <f>IF(A511="","",IFERROR(_xlfn.XLOOKUP(D511,Setup!$E$15:$E$79,Setup!$G$15:$G$79),"Uncategorized"))</f>
        <v/>
      </c>
      <c r="J511" t="str">
        <f t="shared" si="41"/>
        <v/>
      </c>
      <c r="K511" s="4" t="str">
        <f t="shared" si="42"/>
        <v/>
      </c>
      <c r="L511" s="47">
        <f t="shared" si="43"/>
        <v>0</v>
      </c>
      <c r="M511" s="47">
        <f t="shared" si="44"/>
        <v>0</v>
      </c>
      <c r="N511" t="str">
        <f>IF(A511="","",IF(D511="Category Pending","Needs categorization",IF(COUNTIFS($A$2:A511,A511,$B$2:B511,B511,$E$2:E511,E511)&gt;1,"Possible duplicate","")))</f>
        <v/>
      </c>
    </row>
    <row r="512" spans="3:14" x14ac:dyDescent="0.3">
      <c r="C512" s="16"/>
      <c r="G512" s="5" t="str">
        <f t="shared" si="40"/>
        <v/>
      </c>
      <c r="H512" t="str">
        <f>IF(A512="","",IFERROR(_xlfn.XLOOKUP(D512,Setup!$E$15:$E$79,Setup!$F$15:$F$79),"Miscellaneous"))</f>
        <v/>
      </c>
      <c r="I512" t="str">
        <f>IF(A512="","",IFERROR(_xlfn.XLOOKUP(D512,Setup!$E$15:$E$79,Setup!$G$15:$G$79),"Uncategorized"))</f>
        <v/>
      </c>
      <c r="J512" t="str">
        <f t="shared" si="41"/>
        <v/>
      </c>
      <c r="K512" s="4" t="str">
        <f t="shared" si="42"/>
        <v/>
      </c>
      <c r="L512" s="47">
        <f t="shared" si="43"/>
        <v>0</v>
      </c>
      <c r="M512" s="47">
        <f t="shared" si="44"/>
        <v>0</v>
      </c>
      <c r="N512" t="str">
        <f>IF(A512="","",IF(D512="Category Pending","Needs categorization",IF(COUNTIFS($A$2:A512,A512,$B$2:B512,B512,$E$2:E512,E512)&gt;1,"Possible duplicate","")))</f>
        <v/>
      </c>
    </row>
    <row r="513" spans="3:14" x14ac:dyDescent="0.3">
      <c r="C513" s="16"/>
      <c r="G513" s="5" t="str">
        <f t="shared" si="40"/>
        <v/>
      </c>
      <c r="H513" t="str">
        <f>IF(A513="","",IFERROR(_xlfn.XLOOKUP(D513,Setup!$E$15:$E$79,Setup!$F$15:$F$79),"Miscellaneous"))</f>
        <v/>
      </c>
      <c r="I513" t="str">
        <f>IF(A513="","",IFERROR(_xlfn.XLOOKUP(D513,Setup!$E$15:$E$79,Setup!$G$15:$G$79),"Uncategorized"))</f>
        <v/>
      </c>
      <c r="J513" t="str">
        <f t="shared" si="41"/>
        <v/>
      </c>
      <c r="K513" s="4" t="str">
        <f t="shared" si="42"/>
        <v/>
      </c>
      <c r="L513" s="47">
        <f t="shared" si="43"/>
        <v>0</v>
      </c>
      <c r="M513" s="47">
        <f t="shared" si="44"/>
        <v>0</v>
      </c>
      <c r="N513" t="str">
        <f>IF(A513="","",IF(D513="Category Pending","Needs categorization",IF(COUNTIFS($A$2:A513,A513,$B$2:B513,B513,$E$2:E513,E513)&gt;1,"Possible duplicate","")))</f>
        <v/>
      </c>
    </row>
    <row r="514" spans="3:14" x14ac:dyDescent="0.3">
      <c r="C514" s="16"/>
      <c r="G514" s="5" t="str">
        <f t="shared" si="40"/>
        <v/>
      </c>
      <c r="H514" t="str">
        <f>IF(A514="","",IFERROR(_xlfn.XLOOKUP(D514,Setup!$E$15:$E$79,Setup!$F$15:$F$79),"Miscellaneous"))</f>
        <v/>
      </c>
      <c r="I514" t="str">
        <f>IF(A514="","",IFERROR(_xlfn.XLOOKUP(D514,Setup!$E$15:$E$79,Setup!$G$15:$G$79),"Uncategorized"))</f>
        <v/>
      </c>
      <c r="J514" t="str">
        <f t="shared" si="41"/>
        <v/>
      </c>
      <c r="K514" s="4" t="str">
        <f t="shared" si="42"/>
        <v/>
      </c>
      <c r="L514" s="47">
        <f t="shared" si="43"/>
        <v>0</v>
      </c>
      <c r="M514" s="47">
        <f t="shared" si="44"/>
        <v>0</v>
      </c>
      <c r="N514" t="str">
        <f>IF(A514="","",IF(D514="Category Pending","Needs categorization",IF(COUNTIFS($A$2:A514,A514,$B$2:B514,B514,$E$2:E514,E514)&gt;1,"Possible duplicate","")))</f>
        <v/>
      </c>
    </row>
    <row r="515" spans="3:14" x14ac:dyDescent="0.3">
      <c r="C515" s="16"/>
      <c r="G515" s="5" t="str">
        <f t="shared" si="40"/>
        <v/>
      </c>
      <c r="H515" t="str">
        <f>IF(A515="","",IFERROR(_xlfn.XLOOKUP(D515,Setup!$E$15:$E$79,Setup!$F$15:$F$79),"Miscellaneous"))</f>
        <v/>
      </c>
      <c r="I515" t="str">
        <f>IF(A515="","",IFERROR(_xlfn.XLOOKUP(D515,Setup!$E$15:$E$79,Setup!$G$15:$G$79),"Uncategorized"))</f>
        <v/>
      </c>
      <c r="J515" t="str">
        <f t="shared" si="41"/>
        <v/>
      </c>
      <c r="K515" s="4" t="str">
        <f t="shared" si="42"/>
        <v/>
      </c>
      <c r="L515" s="47">
        <f t="shared" si="43"/>
        <v>0</v>
      </c>
      <c r="M515" s="47">
        <f t="shared" si="44"/>
        <v>0</v>
      </c>
      <c r="N515" t="str">
        <f>IF(A515="","",IF(D515="Category Pending","Needs categorization",IF(COUNTIFS($A$2:A515,A515,$B$2:B515,B515,$E$2:E515,E515)&gt;1,"Possible duplicate","")))</f>
        <v/>
      </c>
    </row>
    <row r="516" spans="3:14" x14ac:dyDescent="0.3">
      <c r="C516" s="16"/>
      <c r="G516" s="5" t="str">
        <f t="shared" si="40"/>
        <v/>
      </c>
      <c r="H516" t="str">
        <f>IF(A516="","",IFERROR(_xlfn.XLOOKUP(D516,Setup!$E$15:$E$79,Setup!$F$15:$F$79),"Miscellaneous"))</f>
        <v/>
      </c>
      <c r="I516" t="str">
        <f>IF(A516="","",IFERROR(_xlfn.XLOOKUP(D516,Setup!$E$15:$E$79,Setup!$G$15:$G$79),"Uncategorized"))</f>
        <v/>
      </c>
      <c r="J516" t="str">
        <f t="shared" si="41"/>
        <v/>
      </c>
      <c r="K516" s="4" t="str">
        <f t="shared" si="42"/>
        <v/>
      </c>
      <c r="L516" s="47">
        <f t="shared" si="43"/>
        <v>0</v>
      </c>
      <c r="M516" s="47">
        <f t="shared" si="44"/>
        <v>0</v>
      </c>
      <c r="N516" t="str">
        <f>IF(A516="","",IF(D516="Category Pending","Needs categorization",IF(COUNTIFS($A$2:A516,A516,$B$2:B516,B516,$E$2:E516,E516)&gt;1,"Possible duplicate","")))</f>
        <v/>
      </c>
    </row>
    <row r="517" spans="3:14" x14ac:dyDescent="0.3">
      <c r="C517" s="16"/>
      <c r="G517" s="5" t="str">
        <f t="shared" si="40"/>
        <v/>
      </c>
      <c r="H517" t="str">
        <f>IF(A517="","",IFERROR(_xlfn.XLOOKUP(D517,Setup!$E$15:$E$79,Setup!$F$15:$F$79),"Miscellaneous"))</f>
        <v/>
      </c>
      <c r="I517" t="str">
        <f>IF(A517="","",IFERROR(_xlfn.XLOOKUP(D517,Setup!$E$15:$E$79,Setup!$G$15:$G$79),"Uncategorized"))</f>
        <v/>
      </c>
      <c r="J517" t="str">
        <f t="shared" si="41"/>
        <v/>
      </c>
      <c r="K517" s="4" t="str">
        <f t="shared" si="42"/>
        <v/>
      </c>
      <c r="L517" s="47">
        <f t="shared" si="43"/>
        <v>0</v>
      </c>
      <c r="M517" s="47">
        <f t="shared" si="44"/>
        <v>0</v>
      </c>
      <c r="N517" t="str">
        <f>IF(A517="","",IF(D517="Category Pending","Needs categorization",IF(COUNTIFS($A$2:A517,A517,$B$2:B517,B517,$E$2:E517,E517)&gt;1,"Possible duplicate","")))</f>
        <v/>
      </c>
    </row>
    <row r="518" spans="3:14" x14ac:dyDescent="0.3">
      <c r="C518" s="16"/>
      <c r="G518" s="5" t="str">
        <f t="shared" si="40"/>
        <v/>
      </c>
      <c r="H518" t="str">
        <f>IF(A518="","",IFERROR(_xlfn.XLOOKUP(D518,Setup!$E$15:$E$79,Setup!$F$15:$F$79),"Miscellaneous"))</f>
        <v/>
      </c>
      <c r="I518" t="str">
        <f>IF(A518="","",IFERROR(_xlfn.XLOOKUP(D518,Setup!$E$15:$E$79,Setup!$G$15:$G$79),"Uncategorized"))</f>
        <v/>
      </c>
      <c r="J518" t="str">
        <f t="shared" si="41"/>
        <v/>
      </c>
      <c r="K518" s="4" t="str">
        <f t="shared" si="42"/>
        <v/>
      </c>
      <c r="L518" s="47">
        <f t="shared" si="43"/>
        <v>0</v>
      </c>
      <c r="M518" s="47">
        <f t="shared" si="44"/>
        <v>0</v>
      </c>
      <c r="N518" t="str">
        <f>IF(A518="","",IF(D518="Category Pending","Needs categorization",IF(COUNTIFS($A$2:A518,A518,$B$2:B518,B518,$E$2:E518,E518)&gt;1,"Possible duplicate","")))</f>
        <v/>
      </c>
    </row>
    <row r="519" spans="3:14" x14ac:dyDescent="0.3">
      <c r="C519" s="16"/>
      <c r="G519" s="5" t="str">
        <f t="shared" si="40"/>
        <v/>
      </c>
      <c r="H519" t="str">
        <f>IF(A519="","",IFERROR(_xlfn.XLOOKUP(D519,Setup!$E$15:$E$79,Setup!$F$15:$F$79),"Miscellaneous"))</f>
        <v/>
      </c>
      <c r="I519" t="str">
        <f>IF(A519="","",IFERROR(_xlfn.XLOOKUP(D519,Setup!$E$15:$E$79,Setup!$G$15:$G$79),"Uncategorized"))</f>
        <v/>
      </c>
      <c r="J519" t="str">
        <f t="shared" si="41"/>
        <v/>
      </c>
      <c r="K519" s="4" t="str">
        <f t="shared" si="42"/>
        <v/>
      </c>
      <c r="L519" s="47">
        <f t="shared" si="43"/>
        <v>0</v>
      </c>
      <c r="M519" s="47">
        <f t="shared" si="44"/>
        <v>0</v>
      </c>
      <c r="N519" t="str">
        <f>IF(A519="","",IF(D519="Category Pending","Needs categorization",IF(COUNTIFS($A$2:A519,A519,$B$2:B519,B519,$E$2:E519,E519)&gt;1,"Possible duplicate","")))</f>
        <v/>
      </c>
    </row>
    <row r="520" spans="3:14" x14ac:dyDescent="0.3">
      <c r="C520" s="16"/>
      <c r="G520" s="5" t="str">
        <f t="shared" si="40"/>
        <v/>
      </c>
      <c r="H520" t="str">
        <f>IF(A520="","",IFERROR(_xlfn.XLOOKUP(D520,Setup!$E$15:$E$79,Setup!$F$15:$F$79),"Miscellaneous"))</f>
        <v/>
      </c>
      <c r="I520" t="str">
        <f>IF(A520="","",IFERROR(_xlfn.XLOOKUP(D520,Setup!$E$15:$E$79,Setup!$G$15:$G$79),"Uncategorized"))</f>
        <v/>
      </c>
      <c r="J520" t="str">
        <f t="shared" si="41"/>
        <v/>
      </c>
      <c r="K520" s="4" t="str">
        <f t="shared" si="42"/>
        <v/>
      </c>
      <c r="L520" s="47">
        <f t="shared" si="43"/>
        <v>0</v>
      </c>
      <c r="M520" s="47">
        <f t="shared" si="44"/>
        <v>0</v>
      </c>
      <c r="N520" t="str">
        <f>IF(A520="","",IF(D520="Category Pending","Needs categorization",IF(COUNTIFS($A$2:A520,A520,$B$2:B520,B520,$E$2:E520,E520)&gt;1,"Possible duplicate","")))</f>
        <v/>
      </c>
    </row>
    <row r="521" spans="3:14" x14ac:dyDescent="0.3">
      <c r="C521" s="16"/>
      <c r="G521" s="5" t="str">
        <f t="shared" si="40"/>
        <v/>
      </c>
      <c r="H521" t="str">
        <f>IF(A521="","",IFERROR(_xlfn.XLOOKUP(D521,Setup!$E$15:$E$79,Setup!$F$15:$F$79),"Miscellaneous"))</f>
        <v/>
      </c>
      <c r="I521" t="str">
        <f>IF(A521="","",IFERROR(_xlfn.XLOOKUP(D521,Setup!$E$15:$E$79,Setup!$G$15:$G$79),"Uncategorized"))</f>
        <v/>
      </c>
      <c r="J521" t="str">
        <f t="shared" si="41"/>
        <v/>
      </c>
      <c r="K521" s="4" t="str">
        <f t="shared" si="42"/>
        <v/>
      </c>
      <c r="L521" s="47">
        <f t="shared" si="43"/>
        <v>0</v>
      </c>
      <c r="M521" s="47">
        <f t="shared" si="44"/>
        <v>0</v>
      </c>
      <c r="N521" t="str">
        <f>IF(A521="","",IF(D521="Category Pending","Needs categorization",IF(COUNTIFS($A$2:A521,A521,$B$2:B521,B521,$E$2:E521,E521)&gt;1,"Possible duplicate","")))</f>
        <v/>
      </c>
    </row>
    <row r="522" spans="3:14" x14ac:dyDescent="0.3">
      <c r="C522" s="16"/>
      <c r="G522" s="5" t="str">
        <f t="shared" si="40"/>
        <v/>
      </c>
      <c r="H522" t="str">
        <f>IF(A522="","",IFERROR(_xlfn.XLOOKUP(D522,Setup!$E$15:$E$79,Setup!$F$15:$F$79),"Miscellaneous"))</f>
        <v/>
      </c>
      <c r="I522" t="str">
        <f>IF(A522="","",IFERROR(_xlfn.XLOOKUP(D522,Setup!$E$15:$E$79,Setup!$G$15:$G$79),"Uncategorized"))</f>
        <v/>
      </c>
      <c r="J522" t="str">
        <f t="shared" si="41"/>
        <v/>
      </c>
      <c r="K522" s="4" t="str">
        <f t="shared" si="42"/>
        <v/>
      </c>
      <c r="L522" s="47">
        <f t="shared" si="43"/>
        <v>0</v>
      </c>
      <c r="M522" s="47">
        <f t="shared" si="44"/>
        <v>0</v>
      </c>
      <c r="N522" t="str">
        <f>IF(A522="","",IF(D522="Category Pending","Needs categorization",IF(COUNTIFS($A$2:A522,A522,$B$2:B522,B522,$E$2:E522,E522)&gt;1,"Possible duplicate","")))</f>
        <v/>
      </c>
    </row>
    <row r="523" spans="3:14" x14ac:dyDescent="0.3">
      <c r="C523" s="16"/>
      <c r="G523" s="5" t="str">
        <f t="shared" si="40"/>
        <v/>
      </c>
      <c r="H523" t="str">
        <f>IF(A523="","",IFERROR(_xlfn.XLOOKUP(D523,Setup!$E$15:$E$79,Setup!$F$15:$F$79),"Miscellaneous"))</f>
        <v/>
      </c>
      <c r="I523" t="str">
        <f>IF(A523="","",IFERROR(_xlfn.XLOOKUP(D523,Setup!$E$15:$E$79,Setup!$G$15:$G$79),"Uncategorized"))</f>
        <v/>
      </c>
      <c r="J523" t="str">
        <f t="shared" si="41"/>
        <v/>
      </c>
      <c r="K523" s="4" t="str">
        <f t="shared" si="42"/>
        <v/>
      </c>
      <c r="L523" s="47">
        <f t="shared" si="43"/>
        <v>0</v>
      </c>
      <c r="M523" s="47">
        <f t="shared" si="44"/>
        <v>0</v>
      </c>
      <c r="N523" t="str">
        <f>IF(A523="","",IF(D523="Category Pending","Needs categorization",IF(COUNTIFS($A$2:A523,A523,$B$2:B523,B523,$E$2:E523,E523)&gt;1,"Possible duplicate","")))</f>
        <v/>
      </c>
    </row>
    <row r="524" spans="3:14" x14ac:dyDescent="0.3">
      <c r="C524" s="16"/>
      <c r="G524" s="5" t="str">
        <f t="shared" si="40"/>
        <v/>
      </c>
      <c r="H524" t="str">
        <f>IF(A524="","",IFERROR(_xlfn.XLOOKUP(D524,Setup!$E$15:$E$79,Setup!$F$15:$F$79),"Miscellaneous"))</f>
        <v/>
      </c>
      <c r="I524" t="str">
        <f>IF(A524="","",IFERROR(_xlfn.XLOOKUP(D524,Setup!$E$15:$E$79,Setup!$G$15:$G$79),"Uncategorized"))</f>
        <v/>
      </c>
      <c r="J524" t="str">
        <f t="shared" si="41"/>
        <v/>
      </c>
      <c r="K524" s="4" t="str">
        <f t="shared" si="42"/>
        <v/>
      </c>
      <c r="L524" s="47">
        <f t="shared" si="43"/>
        <v>0</v>
      </c>
      <c r="M524" s="47">
        <f t="shared" si="44"/>
        <v>0</v>
      </c>
      <c r="N524" t="str">
        <f>IF(A524="","",IF(D524="Category Pending","Needs categorization",IF(COUNTIFS($A$2:A524,A524,$B$2:B524,B524,$E$2:E524,E524)&gt;1,"Possible duplicate","")))</f>
        <v/>
      </c>
    </row>
    <row r="525" spans="3:14" x14ac:dyDescent="0.3">
      <c r="C525" s="16"/>
      <c r="G525" s="5" t="str">
        <f t="shared" si="40"/>
        <v/>
      </c>
      <c r="H525" t="str">
        <f>IF(A525="","",IFERROR(_xlfn.XLOOKUP(D525,Setup!$E$15:$E$79,Setup!$F$15:$F$79),"Miscellaneous"))</f>
        <v/>
      </c>
      <c r="I525" t="str">
        <f>IF(A525="","",IFERROR(_xlfn.XLOOKUP(D525,Setup!$E$15:$E$79,Setup!$G$15:$G$79),"Uncategorized"))</f>
        <v/>
      </c>
      <c r="J525" t="str">
        <f t="shared" si="41"/>
        <v/>
      </c>
      <c r="K525" s="4" t="str">
        <f t="shared" si="42"/>
        <v/>
      </c>
      <c r="L525" s="47">
        <f t="shared" si="43"/>
        <v>0</v>
      </c>
      <c r="M525" s="47">
        <f t="shared" si="44"/>
        <v>0</v>
      </c>
      <c r="N525" t="str">
        <f>IF(A525="","",IF(D525="Category Pending","Needs categorization",IF(COUNTIFS($A$2:A525,A525,$B$2:B525,B525,$E$2:E525,E525)&gt;1,"Possible duplicate","")))</f>
        <v/>
      </c>
    </row>
    <row r="526" spans="3:14" x14ac:dyDescent="0.3">
      <c r="C526" s="16"/>
      <c r="G526" s="5" t="str">
        <f t="shared" si="40"/>
        <v/>
      </c>
      <c r="H526" t="str">
        <f>IF(A526="","",IFERROR(_xlfn.XLOOKUP(D526,Setup!$E$15:$E$79,Setup!$F$15:$F$79),"Miscellaneous"))</f>
        <v/>
      </c>
      <c r="I526" t="str">
        <f>IF(A526="","",IFERROR(_xlfn.XLOOKUP(D526,Setup!$E$15:$E$79,Setup!$G$15:$G$79),"Uncategorized"))</f>
        <v/>
      </c>
      <c r="J526" t="str">
        <f t="shared" si="41"/>
        <v/>
      </c>
      <c r="K526" s="4" t="str">
        <f t="shared" si="42"/>
        <v/>
      </c>
      <c r="L526" s="47">
        <f t="shared" si="43"/>
        <v>0</v>
      </c>
      <c r="M526" s="47">
        <f t="shared" si="44"/>
        <v>0</v>
      </c>
      <c r="N526" t="str">
        <f>IF(A526="","",IF(D526="Category Pending","Needs categorization",IF(COUNTIFS($A$2:A526,A526,$B$2:B526,B526,$E$2:E526,E526)&gt;1,"Possible duplicate","")))</f>
        <v/>
      </c>
    </row>
    <row r="527" spans="3:14" x14ac:dyDescent="0.3">
      <c r="C527" s="16"/>
      <c r="G527" s="5" t="str">
        <f t="shared" si="40"/>
        <v/>
      </c>
      <c r="H527" t="str">
        <f>IF(A527="","",IFERROR(_xlfn.XLOOKUP(D527,Setup!$E$15:$E$79,Setup!$F$15:$F$79),"Miscellaneous"))</f>
        <v/>
      </c>
      <c r="I527" t="str">
        <f>IF(A527="","",IFERROR(_xlfn.XLOOKUP(D527,Setup!$E$15:$E$79,Setup!$G$15:$G$79),"Uncategorized"))</f>
        <v/>
      </c>
      <c r="J527" t="str">
        <f t="shared" si="41"/>
        <v/>
      </c>
      <c r="K527" s="4" t="str">
        <f t="shared" si="42"/>
        <v/>
      </c>
      <c r="L527" s="47">
        <f t="shared" si="43"/>
        <v>0</v>
      </c>
      <c r="M527" s="47">
        <f t="shared" si="44"/>
        <v>0</v>
      </c>
      <c r="N527" t="str">
        <f>IF(A527="","",IF(D527="Category Pending","Needs categorization",IF(COUNTIFS($A$2:A527,A527,$B$2:B527,B527,$E$2:E527,E527)&gt;1,"Possible duplicate","")))</f>
        <v/>
      </c>
    </row>
    <row r="528" spans="3:14" x14ac:dyDescent="0.3">
      <c r="C528" s="16"/>
      <c r="G528" s="5" t="str">
        <f t="shared" si="40"/>
        <v/>
      </c>
      <c r="H528" t="str">
        <f>IF(A528="","",IFERROR(_xlfn.XLOOKUP(D528,Setup!$E$15:$E$79,Setup!$F$15:$F$79),"Miscellaneous"))</f>
        <v/>
      </c>
      <c r="I528" t="str">
        <f>IF(A528="","",IFERROR(_xlfn.XLOOKUP(D528,Setup!$E$15:$E$79,Setup!$G$15:$G$79),"Uncategorized"))</f>
        <v/>
      </c>
      <c r="J528" t="str">
        <f t="shared" si="41"/>
        <v/>
      </c>
      <c r="K528" s="4" t="str">
        <f t="shared" si="42"/>
        <v/>
      </c>
      <c r="L528" s="47">
        <f t="shared" si="43"/>
        <v>0</v>
      </c>
      <c r="M528" s="47">
        <f t="shared" si="44"/>
        <v>0</v>
      </c>
      <c r="N528" t="str">
        <f>IF(A528="","",IF(D528="Category Pending","Needs categorization",IF(COUNTIFS($A$2:A528,A528,$B$2:B528,B528,$E$2:E528,E528)&gt;1,"Possible duplicate","")))</f>
        <v/>
      </c>
    </row>
    <row r="529" spans="3:14" x14ac:dyDescent="0.3">
      <c r="C529" s="16"/>
      <c r="G529" s="5" t="str">
        <f t="shared" si="40"/>
        <v/>
      </c>
      <c r="H529" t="str">
        <f>IF(A529="","",IFERROR(_xlfn.XLOOKUP(D529,Setup!$E$15:$E$79,Setup!$F$15:$F$79),"Miscellaneous"))</f>
        <v/>
      </c>
      <c r="I529" t="str">
        <f>IF(A529="","",IFERROR(_xlfn.XLOOKUP(D529,Setup!$E$15:$E$79,Setup!$G$15:$G$79),"Uncategorized"))</f>
        <v/>
      </c>
      <c r="J529" t="str">
        <f t="shared" si="41"/>
        <v/>
      </c>
      <c r="K529" s="4" t="str">
        <f t="shared" si="42"/>
        <v/>
      </c>
      <c r="L529" s="47">
        <f t="shared" si="43"/>
        <v>0</v>
      </c>
      <c r="M529" s="47">
        <f t="shared" si="44"/>
        <v>0</v>
      </c>
      <c r="N529" t="str">
        <f>IF(A529="","",IF(D529="Category Pending","Needs categorization",IF(COUNTIFS($A$2:A529,A529,$B$2:B529,B529,$E$2:E529,E529)&gt;1,"Possible duplicate","")))</f>
        <v/>
      </c>
    </row>
    <row r="530" spans="3:14" x14ac:dyDescent="0.3">
      <c r="C530" s="16"/>
      <c r="G530" s="5" t="str">
        <f t="shared" si="40"/>
        <v/>
      </c>
      <c r="H530" t="str">
        <f>IF(A530="","",IFERROR(_xlfn.XLOOKUP(D530,Setup!$E$15:$E$79,Setup!$F$15:$F$79),"Miscellaneous"))</f>
        <v/>
      </c>
      <c r="I530" t="str">
        <f>IF(A530="","",IFERROR(_xlfn.XLOOKUP(D530,Setup!$E$15:$E$79,Setup!$G$15:$G$79),"Uncategorized"))</f>
        <v/>
      </c>
      <c r="J530" t="str">
        <f t="shared" si="41"/>
        <v/>
      </c>
      <c r="K530" s="4" t="str">
        <f t="shared" si="42"/>
        <v/>
      </c>
      <c r="L530" s="47">
        <f t="shared" si="43"/>
        <v>0</v>
      </c>
      <c r="M530" s="47">
        <f t="shared" si="44"/>
        <v>0</v>
      </c>
      <c r="N530" t="str">
        <f>IF(A530="","",IF(D530="Category Pending","Needs categorization",IF(COUNTIFS($A$2:A530,A530,$B$2:B530,B530,$E$2:E530,E530)&gt;1,"Possible duplicate","")))</f>
        <v/>
      </c>
    </row>
    <row r="531" spans="3:14" x14ac:dyDescent="0.3">
      <c r="C531" s="16"/>
      <c r="G531" s="5" t="str">
        <f t="shared" si="40"/>
        <v/>
      </c>
      <c r="H531" t="str">
        <f>IF(A531="","",IFERROR(_xlfn.XLOOKUP(D531,Setup!$E$15:$E$79,Setup!$F$15:$F$79),"Miscellaneous"))</f>
        <v/>
      </c>
      <c r="I531" t="str">
        <f>IF(A531="","",IFERROR(_xlfn.XLOOKUP(D531,Setup!$E$15:$E$79,Setup!$G$15:$G$79),"Uncategorized"))</f>
        <v/>
      </c>
      <c r="J531" t="str">
        <f t="shared" si="41"/>
        <v/>
      </c>
      <c r="K531" s="4" t="str">
        <f t="shared" si="42"/>
        <v/>
      </c>
      <c r="L531" s="47">
        <f t="shared" si="43"/>
        <v>0</v>
      </c>
      <c r="M531" s="47">
        <f t="shared" si="44"/>
        <v>0</v>
      </c>
      <c r="N531" t="str">
        <f>IF(A531="","",IF(D531="Category Pending","Needs categorization",IF(COUNTIFS($A$2:A531,A531,$B$2:B531,B531,$E$2:E531,E531)&gt;1,"Possible duplicate","")))</f>
        <v/>
      </c>
    </row>
    <row r="532" spans="3:14" x14ac:dyDescent="0.3">
      <c r="C532" s="16"/>
      <c r="G532" s="5" t="str">
        <f t="shared" si="40"/>
        <v/>
      </c>
      <c r="H532" t="str">
        <f>IF(A532="","",IFERROR(_xlfn.XLOOKUP(D532,Setup!$E$15:$E$79,Setup!$F$15:$F$79),"Miscellaneous"))</f>
        <v/>
      </c>
      <c r="I532" t="str">
        <f>IF(A532="","",IFERROR(_xlfn.XLOOKUP(D532,Setup!$E$15:$E$79,Setup!$G$15:$G$79),"Uncategorized"))</f>
        <v/>
      </c>
      <c r="J532" t="str">
        <f t="shared" si="41"/>
        <v/>
      </c>
      <c r="K532" s="4" t="str">
        <f t="shared" si="42"/>
        <v/>
      </c>
      <c r="L532" s="47">
        <f t="shared" si="43"/>
        <v>0</v>
      </c>
      <c r="M532" s="47">
        <f t="shared" si="44"/>
        <v>0</v>
      </c>
      <c r="N532" t="str">
        <f>IF(A532="","",IF(D532="Category Pending","Needs categorization",IF(COUNTIFS($A$2:A532,A532,$B$2:B532,B532,$E$2:E532,E532)&gt;1,"Possible duplicate","")))</f>
        <v/>
      </c>
    </row>
    <row r="533" spans="3:14" x14ac:dyDescent="0.3">
      <c r="C533" s="16"/>
      <c r="G533" s="5" t="str">
        <f t="shared" si="40"/>
        <v/>
      </c>
      <c r="H533" t="str">
        <f>IF(A533="","",IFERROR(_xlfn.XLOOKUP(D533,Setup!$E$15:$E$79,Setup!$F$15:$F$79),"Miscellaneous"))</f>
        <v/>
      </c>
      <c r="I533" t="str">
        <f>IF(A533="","",IFERROR(_xlfn.XLOOKUP(D533,Setup!$E$15:$E$79,Setup!$G$15:$G$79),"Uncategorized"))</f>
        <v/>
      </c>
      <c r="J533" t="str">
        <f t="shared" si="41"/>
        <v/>
      </c>
      <c r="K533" s="4" t="str">
        <f t="shared" si="42"/>
        <v/>
      </c>
      <c r="L533" s="47">
        <f t="shared" si="43"/>
        <v>0</v>
      </c>
      <c r="M533" s="47">
        <f t="shared" si="44"/>
        <v>0</v>
      </c>
      <c r="N533" t="str">
        <f>IF(A533="","",IF(D533="Category Pending","Needs categorization",IF(COUNTIFS($A$2:A533,A533,$B$2:B533,B533,$E$2:E533,E533)&gt;1,"Possible duplicate","")))</f>
        <v/>
      </c>
    </row>
    <row r="534" spans="3:14" x14ac:dyDescent="0.3">
      <c r="C534" s="16"/>
      <c r="G534" s="5" t="str">
        <f t="shared" si="40"/>
        <v/>
      </c>
      <c r="H534" t="str">
        <f>IF(A534="","",IFERROR(_xlfn.XLOOKUP(D534,Setup!$E$15:$E$79,Setup!$F$15:$F$79),"Miscellaneous"))</f>
        <v/>
      </c>
      <c r="I534" t="str">
        <f>IF(A534="","",IFERROR(_xlfn.XLOOKUP(D534,Setup!$E$15:$E$79,Setup!$G$15:$G$79),"Uncategorized"))</f>
        <v/>
      </c>
      <c r="J534" t="str">
        <f t="shared" si="41"/>
        <v/>
      </c>
      <c r="K534" s="4" t="str">
        <f t="shared" si="42"/>
        <v/>
      </c>
      <c r="L534" s="47">
        <f t="shared" si="43"/>
        <v>0</v>
      </c>
      <c r="M534" s="47">
        <f t="shared" si="44"/>
        <v>0</v>
      </c>
      <c r="N534" t="str">
        <f>IF(A534="","",IF(D534="Category Pending","Needs categorization",IF(COUNTIFS($A$2:A534,A534,$B$2:B534,B534,$E$2:E534,E534)&gt;1,"Possible duplicate","")))</f>
        <v/>
      </c>
    </row>
    <row r="535" spans="3:14" x14ac:dyDescent="0.3">
      <c r="C535" s="16"/>
      <c r="G535" s="5" t="str">
        <f t="shared" si="40"/>
        <v/>
      </c>
      <c r="H535" t="str">
        <f>IF(A535="","",IFERROR(_xlfn.XLOOKUP(D535,Setup!$E$15:$E$79,Setup!$F$15:$F$79),"Miscellaneous"))</f>
        <v/>
      </c>
      <c r="I535" t="str">
        <f>IF(A535="","",IFERROR(_xlfn.XLOOKUP(D535,Setup!$E$15:$E$79,Setup!$G$15:$G$79),"Uncategorized"))</f>
        <v/>
      </c>
      <c r="J535" t="str">
        <f t="shared" si="41"/>
        <v/>
      </c>
      <c r="K535" s="4" t="str">
        <f t="shared" si="42"/>
        <v/>
      </c>
      <c r="L535" s="47">
        <f t="shared" si="43"/>
        <v>0</v>
      </c>
      <c r="M535" s="47">
        <f t="shared" si="44"/>
        <v>0</v>
      </c>
      <c r="N535" t="str">
        <f>IF(A535="","",IF(D535="Category Pending","Needs categorization",IF(COUNTIFS($A$2:A535,A535,$B$2:B535,B535,$E$2:E535,E535)&gt;1,"Possible duplicate","")))</f>
        <v/>
      </c>
    </row>
    <row r="536" spans="3:14" x14ac:dyDescent="0.3">
      <c r="C536" s="16"/>
      <c r="G536" s="5" t="str">
        <f t="shared" si="40"/>
        <v/>
      </c>
      <c r="H536" t="str">
        <f>IF(A536="","",IFERROR(_xlfn.XLOOKUP(D536,Setup!$E$15:$E$79,Setup!$F$15:$F$79),"Miscellaneous"))</f>
        <v/>
      </c>
      <c r="I536" t="str">
        <f>IF(A536="","",IFERROR(_xlfn.XLOOKUP(D536,Setup!$E$15:$E$79,Setup!$G$15:$G$79),"Uncategorized"))</f>
        <v/>
      </c>
      <c r="J536" t="str">
        <f t="shared" si="41"/>
        <v/>
      </c>
      <c r="K536" s="4" t="str">
        <f t="shared" si="42"/>
        <v/>
      </c>
      <c r="L536" s="47">
        <f t="shared" si="43"/>
        <v>0</v>
      </c>
      <c r="M536" s="47">
        <f t="shared" si="44"/>
        <v>0</v>
      </c>
      <c r="N536" t="str">
        <f>IF(A536="","",IF(D536="Category Pending","Needs categorization",IF(COUNTIFS($A$2:A536,A536,$B$2:B536,B536,$E$2:E536,E536)&gt;1,"Possible duplicate","")))</f>
        <v/>
      </c>
    </row>
    <row r="537" spans="3:14" x14ac:dyDescent="0.3">
      <c r="C537" s="16"/>
      <c r="G537" s="5" t="str">
        <f t="shared" si="40"/>
        <v/>
      </c>
      <c r="H537" t="str">
        <f>IF(A537="","",IFERROR(_xlfn.XLOOKUP(D537,Setup!$E$15:$E$79,Setup!$F$15:$F$79),"Miscellaneous"))</f>
        <v/>
      </c>
      <c r="I537" t="str">
        <f>IF(A537="","",IFERROR(_xlfn.XLOOKUP(D537,Setup!$E$15:$E$79,Setup!$G$15:$G$79),"Uncategorized"))</f>
        <v/>
      </c>
      <c r="J537" t="str">
        <f t="shared" si="41"/>
        <v/>
      </c>
      <c r="K537" s="4" t="str">
        <f t="shared" si="42"/>
        <v/>
      </c>
      <c r="L537" s="47">
        <f t="shared" si="43"/>
        <v>0</v>
      </c>
      <c r="M537" s="47">
        <f t="shared" si="44"/>
        <v>0</v>
      </c>
      <c r="N537" t="str">
        <f>IF(A537="","",IF(D537="Category Pending","Needs categorization",IF(COUNTIFS($A$2:A537,A537,$B$2:B537,B537,$E$2:E537,E537)&gt;1,"Possible duplicate","")))</f>
        <v/>
      </c>
    </row>
    <row r="538" spans="3:14" x14ac:dyDescent="0.3">
      <c r="C538" s="16"/>
      <c r="G538" s="5" t="str">
        <f t="shared" si="40"/>
        <v/>
      </c>
      <c r="H538" t="str">
        <f>IF(A538="","",IFERROR(_xlfn.XLOOKUP(D538,Setup!$E$15:$E$79,Setup!$F$15:$F$79),"Miscellaneous"))</f>
        <v/>
      </c>
      <c r="I538" t="str">
        <f>IF(A538="","",IFERROR(_xlfn.XLOOKUP(D538,Setup!$E$15:$E$79,Setup!$G$15:$G$79),"Uncategorized"))</f>
        <v/>
      </c>
      <c r="J538" t="str">
        <f t="shared" si="41"/>
        <v/>
      </c>
      <c r="K538" s="4" t="str">
        <f t="shared" si="42"/>
        <v/>
      </c>
      <c r="L538" s="47">
        <f t="shared" si="43"/>
        <v>0</v>
      </c>
      <c r="M538" s="47">
        <f t="shared" si="44"/>
        <v>0</v>
      </c>
      <c r="N538" t="str">
        <f>IF(A538="","",IF(D538="Category Pending","Needs categorization",IF(COUNTIFS($A$2:A538,A538,$B$2:B538,B538,$E$2:E538,E538)&gt;1,"Possible duplicate","")))</f>
        <v/>
      </c>
    </row>
    <row r="539" spans="3:14" x14ac:dyDescent="0.3">
      <c r="C539" s="16"/>
      <c r="G539" s="5" t="str">
        <f t="shared" si="40"/>
        <v/>
      </c>
      <c r="H539" t="str">
        <f>IF(A539="","",IFERROR(_xlfn.XLOOKUP(D539,Setup!$E$15:$E$79,Setup!$F$15:$F$79),"Miscellaneous"))</f>
        <v/>
      </c>
      <c r="I539" t="str">
        <f>IF(A539="","",IFERROR(_xlfn.XLOOKUP(D539,Setup!$E$15:$E$79,Setup!$G$15:$G$79),"Uncategorized"))</f>
        <v/>
      </c>
      <c r="J539" t="str">
        <f t="shared" si="41"/>
        <v/>
      </c>
      <c r="K539" s="4" t="str">
        <f t="shared" si="42"/>
        <v/>
      </c>
      <c r="L539" s="47">
        <f t="shared" si="43"/>
        <v>0</v>
      </c>
      <c r="M539" s="47">
        <f t="shared" si="44"/>
        <v>0</v>
      </c>
      <c r="N539" t="str">
        <f>IF(A539="","",IF(D539="Category Pending","Needs categorization",IF(COUNTIFS($A$2:A539,A539,$B$2:B539,B539,$E$2:E539,E539)&gt;1,"Possible duplicate","")))</f>
        <v/>
      </c>
    </row>
    <row r="540" spans="3:14" x14ac:dyDescent="0.3">
      <c r="C540" s="16"/>
      <c r="G540" s="5" t="str">
        <f t="shared" si="40"/>
        <v/>
      </c>
      <c r="H540" t="str">
        <f>IF(A540="","",IFERROR(_xlfn.XLOOKUP(D540,Setup!$E$15:$E$79,Setup!$F$15:$F$79),"Miscellaneous"))</f>
        <v/>
      </c>
      <c r="I540" t="str">
        <f>IF(A540="","",IFERROR(_xlfn.XLOOKUP(D540,Setup!$E$15:$E$79,Setup!$G$15:$G$79),"Uncategorized"))</f>
        <v/>
      </c>
      <c r="J540" t="str">
        <f t="shared" si="41"/>
        <v/>
      </c>
      <c r="K540" s="4" t="str">
        <f t="shared" si="42"/>
        <v/>
      </c>
      <c r="L540" s="47">
        <f t="shared" si="43"/>
        <v>0</v>
      </c>
      <c r="M540" s="47">
        <f t="shared" si="44"/>
        <v>0</v>
      </c>
      <c r="N540" t="str">
        <f>IF(A540="","",IF(D540="Category Pending","Needs categorization",IF(COUNTIFS($A$2:A540,A540,$B$2:B540,B540,$E$2:E540,E540)&gt;1,"Possible duplicate","")))</f>
        <v/>
      </c>
    </row>
    <row r="541" spans="3:14" x14ac:dyDescent="0.3">
      <c r="C541" s="16"/>
      <c r="G541" s="5" t="str">
        <f t="shared" si="40"/>
        <v/>
      </c>
      <c r="H541" t="str">
        <f>IF(A541="","",IFERROR(_xlfn.XLOOKUP(D541,Setup!$E$15:$E$79,Setup!$F$15:$F$79),"Miscellaneous"))</f>
        <v/>
      </c>
      <c r="I541" t="str">
        <f>IF(A541="","",IFERROR(_xlfn.XLOOKUP(D541,Setup!$E$15:$E$79,Setup!$G$15:$G$79),"Uncategorized"))</f>
        <v/>
      </c>
      <c r="J541" t="str">
        <f t="shared" si="41"/>
        <v/>
      </c>
      <c r="K541" s="4" t="str">
        <f t="shared" si="42"/>
        <v/>
      </c>
      <c r="L541" s="47">
        <f t="shared" si="43"/>
        <v>0</v>
      </c>
      <c r="M541" s="47">
        <f t="shared" si="44"/>
        <v>0</v>
      </c>
      <c r="N541" t="str">
        <f>IF(A541="","",IF(D541="Category Pending","Needs categorization",IF(COUNTIFS($A$2:A541,A541,$B$2:B541,B541,$E$2:E541,E541)&gt;1,"Possible duplicate","")))</f>
        <v/>
      </c>
    </row>
    <row r="542" spans="3:14" x14ac:dyDescent="0.3">
      <c r="C542" s="16"/>
      <c r="G542" s="5" t="str">
        <f t="shared" si="40"/>
        <v/>
      </c>
      <c r="H542" t="str">
        <f>IF(A542="","",IFERROR(_xlfn.XLOOKUP(D542,Setup!$E$15:$E$79,Setup!$F$15:$F$79),"Miscellaneous"))</f>
        <v/>
      </c>
      <c r="I542" t="str">
        <f>IF(A542="","",IFERROR(_xlfn.XLOOKUP(D542,Setup!$E$15:$E$79,Setup!$G$15:$G$79),"Uncategorized"))</f>
        <v/>
      </c>
      <c r="J542" t="str">
        <f t="shared" si="41"/>
        <v/>
      </c>
      <c r="K542" s="4" t="str">
        <f t="shared" si="42"/>
        <v/>
      </c>
      <c r="L542" s="47">
        <f t="shared" si="43"/>
        <v>0</v>
      </c>
      <c r="M542" s="47">
        <f t="shared" si="44"/>
        <v>0</v>
      </c>
      <c r="N542" t="str">
        <f>IF(A542="","",IF(D542="Category Pending","Needs categorization",IF(COUNTIFS($A$2:A542,A542,$B$2:B542,B542,$E$2:E542,E542)&gt;1,"Possible duplicate","")))</f>
        <v/>
      </c>
    </row>
    <row r="543" spans="3:14" x14ac:dyDescent="0.3">
      <c r="C543" s="16"/>
      <c r="G543" s="5" t="str">
        <f t="shared" si="40"/>
        <v/>
      </c>
      <c r="H543" t="str">
        <f>IF(A543="","",IFERROR(_xlfn.XLOOKUP(D543,Setup!$E$15:$E$79,Setup!$F$15:$F$79),"Miscellaneous"))</f>
        <v/>
      </c>
      <c r="I543" t="str">
        <f>IF(A543="","",IFERROR(_xlfn.XLOOKUP(D543,Setup!$E$15:$E$79,Setup!$G$15:$G$79),"Uncategorized"))</f>
        <v/>
      </c>
      <c r="J543" t="str">
        <f t="shared" si="41"/>
        <v/>
      </c>
      <c r="K543" s="4" t="str">
        <f t="shared" si="42"/>
        <v/>
      </c>
      <c r="L543" s="47">
        <f t="shared" si="43"/>
        <v>0</v>
      </c>
      <c r="M543" s="47">
        <f t="shared" si="44"/>
        <v>0</v>
      </c>
      <c r="N543" t="str">
        <f>IF(A543="","",IF(D543="Category Pending","Needs categorization",IF(COUNTIFS($A$2:A543,A543,$B$2:B543,B543,$E$2:E543,E543)&gt;1,"Possible duplicate","")))</f>
        <v/>
      </c>
    </row>
    <row r="544" spans="3:14" x14ac:dyDescent="0.3">
      <c r="C544" s="16"/>
      <c r="G544" s="5" t="str">
        <f t="shared" si="40"/>
        <v/>
      </c>
      <c r="H544" t="str">
        <f>IF(A544="","",IFERROR(_xlfn.XLOOKUP(D544,Setup!$E$15:$E$79,Setup!$F$15:$F$79),"Miscellaneous"))</f>
        <v/>
      </c>
      <c r="I544" t="str">
        <f>IF(A544="","",IFERROR(_xlfn.XLOOKUP(D544,Setup!$E$15:$E$79,Setup!$G$15:$G$79),"Uncategorized"))</f>
        <v/>
      </c>
      <c r="J544" t="str">
        <f t="shared" si="41"/>
        <v/>
      </c>
      <c r="K544" s="4" t="str">
        <f t="shared" si="42"/>
        <v/>
      </c>
      <c r="L544" s="47">
        <f t="shared" si="43"/>
        <v>0</v>
      </c>
      <c r="M544" s="47">
        <f t="shared" si="44"/>
        <v>0</v>
      </c>
      <c r="N544" t="str">
        <f>IF(A544="","",IF(D544="Category Pending","Needs categorization",IF(COUNTIFS($A$2:A544,A544,$B$2:B544,B544,$E$2:E544,E544)&gt;1,"Possible duplicate","")))</f>
        <v/>
      </c>
    </row>
    <row r="545" spans="3:14" x14ac:dyDescent="0.3">
      <c r="C545" s="16"/>
      <c r="G545" s="5" t="str">
        <f t="shared" ref="G545:G608" si="45">IF(A545="","","Checking")</f>
        <v/>
      </c>
      <c r="H545" t="str">
        <f>IF(A545="","",IFERROR(_xlfn.XLOOKUP(D545,Setup!$E$15:$E$79,Setup!$F$15:$F$79),"Miscellaneous"))</f>
        <v/>
      </c>
      <c r="I545" t="str">
        <f>IF(A545="","",IFERROR(_xlfn.XLOOKUP(D545,Setup!$E$15:$E$79,Setup!$G$15:$G$79),"Uncategorized"))</f>
        <v/>
      </c>
      <c r="J545" t="str">
        <f t="shared" ref="J545:J608" si="46">IF(A545="","",IF(OR(H545="Transfers",H545="Income",D545="Transfer",D545="Category Pending"),"No","Yes"))</f>
        <v/>
      </c>
      <c r="K545" s="4" t="str">
        <f t="shared" ref="K545:K608" si="47">IF(A545="","",IF(A545&gt;=46232,TEXT(DATE(YEAR(A545),MONTH(A545)+1,1),"mmmm yyyy"),TEXT(DATE(YEAR(A545),MONTH(A545),1),"mmmm yyyy")))</f>
        <v/>
      </c>
      <c r="L545" s="47">
        <f t="shared" ref="L545:L608" si="48">IF(AND(J545="Yes",E545&lt;0),-E545,0)</f>
        <v>0</v>
      </c>
      <c r="M545" s="47">
        <f t="shared" ref="M545:M608" si="49">IF(AND(J545="Yes",E545&gt;0),E545,0)</f>
        <v>0</v>
      </c>
      <c r="N545" t="str">
        <f>IF(A545="","",IF(D545="Category Pending","Needs categorization",IF(COUNTIFS($A$2:A545,A545,$B$2:B545,B545,$E$2:E545,E545)&gt;1,"Possible duplicate","")))</f>
        <v/>
      </c>
    </row>
    <row r="546" spans="3:14" x14ac:dyDescent="0.3">
      <c r="C546" s="16"/>
      <c r="G546" s="5" t="str">
        <f t="shared" si="45"/>
        <v/>
      </c>
      <c r="H546" t="str">
        <f>IF(A546="","",IFERROR(_xlfn.XLOOKUP(D546,Setup!$E$15:$E$79,Setup!$F$15:$F$79),"Miscellaneous"))</f>
        <v/>
      </c>
      <c r="I546" t="str">
        <f>IF(A546="","",IFERROR(_xlfn.XLOOKUP(D546,Setup!$E$15:$E$79,Setup!$G$15:$G$79),"Uncategorized"))</f>
        <v/>
      </c>
      <c r="J546" t="str">
        <f t="shared" si="46"/>
        <v/>
      </c>
      <c r="K546" s="4" t="str">
        <f t="shared" si="47"/>
        <v/>
      </c>
      <c r="L546" s="47">
        <f t="shared" si="48"/>
        <v>0</v>
      </c>
      <c r="M546" s="47">
        <f t="shared" si="49"/>
        <v>0</v>
      </c>
      <c r="N546" t="str">
        <f>IF(A546="","",IF(D546="Category Pending","Needs categorization",IF(COUNTIFS($A$2:A546,A546,$B$2:B546,B546,$E$2:E546,E546)&gt;1,"Possible duplicate","")))</f>
        <v/>
      </c>
    </row>
    <row r="547" spans="3:14" x14ac:dyDescent="0.3">
      <c r="C547" s="16"/>
      <c r="G547" s="5" t="str">
        <f t="shared" si="45"/>
        <v/>
      </c>
      <c r="H547" t="str">
        <f>IF(A547="","",IFERROR(_xlfn.XLOOKUP(D547,Setup!$E$15:$E$79,Setup!$F$15:$F$79),"Miscellaneous"))</f>
        <v/>
      </c>
      <c r="I547" t="str">
        <f>IF(A547="","",IFERROR(_xlfn.XLOOKUP(D547,Setup!$E$15:$E$79,Setup!$G$15:$G$79),"Uncategorized"))</f>
        <v/>
      </c>
      <c r="J547" t="str">
        <f t="shared" si="46"/>
        <v/>
      </c>
      <c r="K547" s="4" t="str">
        <f t="shared" si="47"/>
        <v/>
      </c>
      <c r="L547" s="47">
        <f t="shared" si="48"/>
        <v>0</v>
      </c>
      <c r="M547" s="47">
        <f t="shared" si="49"/>
        <v>0</v>
      </c>
      <c r="N547" t="str">
        <f>IF(A547="","",IF(D547="Category Pending","Needs categorization",IF(COUNTIFS($A$2:A547,A547,$B$2:B547,B547,$E$2:E547,E547)&gt;1,"Possible duplicate","")))</f>
        <v/>
      </c>
    </row>
    <row r="548" spans="3:14" x14ac:dyDescent="0.3">
      <c r="C548" s="16"/>
      <c r="G548" s="5" t="str">
        <f t="shared" si="45"/>
        <v/>
      </c>
      <c r="H548" t="str">
        <f>IF(A548="","",IFERROR(_xlfn.XLOOKUP(D548,Setup!$E$15:$E$79,Setup!$F$15:$F$79),"Miscellaneous"))</f>
        <v/>
      </c>
      <c r="I548" t="str">
        <f>IF(A548="","",IFERROR(_xlfn.XLOOKUP(D548,Setup!$E$15:$E$79,Setup!$G$15:$G$79),"Uncategorized"))</f>
        <v/>
      </c>
      <c r="J548" t="str">
        <f t="shared" si="46"/>
        <v/>
      </c>
      <c r="K548" s="4" t="str">
        <f t="shared" si="47"/>
        <v/>
      </c>
      <c r="L548" s="47">
        <f t="shared" si="48"/>
        <v>0</v>
      </c>
      <c r="M548" s="47">
        <f t="shared" si="49"/>
        <v>0</v>
      </c>
      <c r="N548" t="str">
        <f>IF(A548="","",IF(D548="Category Pending","Needs categorization",IF(COUNTIFS($A$2:A548,A548,$B$2:B548,B548,$E$2:E548,E548)&gt;1,"Possible duplicate","")))</f>
        <v/>
      </c>
    </row>
    <row r="549" spans="3:14" x14ac:dyDescent="0.3">
      <c r="C549" s="16"/>
      <c r="G549" s="5" t="str">
        <f t="shared" si="45"/>
        <v/>
      </c>
      <c r="H549" t="str">
        <f>IF(A549="","",IFERROR(_xlfn.XLOOKUP(D549,Setup!$E$15:$E$79,Setup!$F$15:$F$79),"Miscellaneous"))</f>
        <v/>
      </c>
      <c r="I549" t="str">
        <f>IF(A549="","",IFERROR(_xlfn.XLOOKUP(D549,Setup!$E$15:$E$79,Setup!$G$15:$G$79),"Uncategorized"))</f>
        <v/>
      </c>
      <c r="J549" t="str">
        <f t="shared" si="46"/>
        <v/>
      </c>
      <c r="K549" s="4" t="str">
        <f t="shared" si="47"/>
        <v/>
      </c>
      <c r="L549" s="47">
        <f t="shared" si="48"/>
        <v>0</v>
      </c>
      <c r="M549" s="47">
        <f t="shared" si="49"/>
        <v>0</v>
      </c>
      <c r="N549" t="str">
        <f>IF(A549="","",IF(D549="Category Pending","Needs categorization",IF(COUNTIFS($A$2:A549,A549,$B$2:B549,B549,$E$2:E549,E549)&gt;1,"Possible duplicate","")))</f>
        <v/>
      </c>
    </row>
    <row r="550" spans="3:14" x14ac:dyDescent="0.3">
      <c r="C550" s="16"/>
      <c r="G550" s="5" t="str">
        <f t="shared" si="45"/>
        <v/>
      </c>
      <c r="H550" t="str">
        <f>IF(A550="","",IFERROR(_xlfn.XLOOKUP(D550,Setup!$E$15:$E$79,Setup!$F$15:$F$79),"Miscellaneous"))</f>
        <v/>
      </c>
      <c r="I550" t="str">
        <f>IF(A550="","",IFERROR(_xlfn.XLOOKUP(D550,Setup!$E$15:$E$79,Setup!$G$15:$G$79),"Uncategorized"))</f>
        <v/>
      </c>
      <c r="J550" t="str">
        <f t="shared" si="46"/>
        <v/>
      </c>
      <c r="K550" s="4" t="str">
        <f t="shared" si="47"/>
        <v/>
      </c>
      <c r="L550" s="47">
        <f t="shared" si="48"/>
        <v>0</v>
      </c>
      <c r="M550" s="47">
        <f t="shared" si="49"/>
        <v>0</v>
      </c>
      <c r="N550" t="str">
        <f>IF(A550="","",IF(D550="Category Pending","Needs categorization",IF(COUNTIFS($A$2:A550,A550,$B$2:B550,B550,$E$2:E550,E550)&gt;1,"Possible duplicate","")))</f>
        <v/>
      </c>
    </row>
    <row r="551" spans="3:14" x14ac:dyDescent="0.3">
      <c r="C551" s="16"/>
      <c r="G551" s="5" t="str">
        <f t="shared" si="45"/>
        <v/>
      </c>
      <c r="H551" t="str">
        <f>IF(A551="","",IFERROR(_xlfn.XLOOKUP(D551,Setup!$E$15:$E$79,Setup!$F$15:$F$79),"Miscellaneous"))</f>
        <v/>
      </c>
      <c r="I551" t="str">
        <f>IF(A551="","",IFERROR(_xlfn.XLOOKUP(D551,Setup!$E$15:$E$79,Setup!$G$15:$G$79),"Uncategorized"))</f>
        <v/>
      </c>
      <c r="J551" t="str">
        <f t="shared" si="46"/>
        <v/>
      </c>
      <c r="K551" s="4" t="str">
        <f t="shared" si="47"/>
        <v/>
      </c>
      <c r="L551" s="47">
        <f t="shared" si="48"/>
        <v>0</v>
      </c>
      <c r="M551" s="47">
        <f t="shared" si="49"/>
        <v>0</v>
      </c>
      <c r="N551" t="str">
        <f>IF(A551="","",IF(D551="Category Pending","Needs categorization",IF(COUNTIFS($A$2:A551,A551,$B$2:B551,B551,$E$2:E551,E551)&gt;1,"Possible duplicate","")))</f>
        <v/>
      </c>
    </row>
    <row r="552" spans="3:14" x14ac:dyDescent="0.3">
      <c r="C552" s="16"/>
      <c r="G552" s="5" t="str">
        <f t="shared" si="45"/>
        <v/>
      </c>
      <c r="H552" t="str">
        <f>IF(A552="","",IFERROR(_xlfn.XLOOKUP(D552,Setup!$E$15:$E$79,Setup!$F$15:$F$79),"Miscellaneous"))</f>
        <v/>
      </c>
      <c r="I552" t="str">
        <f>IF(A552="","",IFERROR(_xlfn.XLOOKUP(D552,Setup!$E$15:$E$79,Setup!$G$15:$G$79),"Uncategorized"))</f>
        <v/>
      </c>
      <c r="J552" t="str">
        <f t="shared" si="46"/>
        <v/>
      </c>
      <c r="K552" s="4" t="str">
        <f t="shared" si="47"/>
        <v/>
      </c>
      <c r="L552" s="47">
        <f t="shared" si="48"/>
        <v>0</v>
      </c>
      <c r="M552" s="47">
        <f t="shared" si="49"/>
        <v>0</v>
      </c>
      <c r="N552" t="str">
        <f>IF(A552="","",IF(D552="Category Pending","Needs categorization",IF(COUNTIFS($A$2:A552,A552,$B$2:B552,B552,$E$2:E552,E552)&gt;1,"Possible duplicate","")))</f>
        <v/>
      </c>
    </row>
    <row r="553" spans="3:14" x14ac:dyDescent="0.3">
      <c r="C553" s="16"/>
      <c r="G553" s="5" t="str">
        <f t="shared" si="45"/>
        <v/>
      </c>
      <c r="H553" t="str">
        <f>IF(A553="","",IFERROR(_xlfn.XLOOKUP(D553,Setup!$E$15:$E$79,Setup!$F$15:$F$79),"Miscellaneous"))</f>
        <v/>
      </c>
      <c r="I553" t="str">
        <f>IF(A553="","",IFERROR(_xlfn.XLOOKUP(D553,Setup!$E$15:$E$79,Setup!$G$15:$G$79),"Uncategorized"))</f>
        <v/>
      </c>
      <c r="J553" t="str">
        <f t="shared" si="46"/>
        <v/>
      </c>
      <c r="K553" s="4" t="str">
        <f t="shared" si="47"/>
        <v/>
      </c>
      <c r="L553" s="47">
        <f t="shared" si="48"/>
        <v>0</v>
      </c>
      <c r="M553" s="47">
        <f t="shared" si="49"/>
        <v>0</v>
      </c>
      <c r="N553" t="str">
        <f>IF(A553="","",IF(D553="Category Pending","Needs categorization",IF(COUNTIFS($A$2:A553,A553,$B$2:B553,B553,$E$2:E553,E553)&gt;1,"Possible duplicate","")))</f>
        <v/>
      </c>
    </row>
    <row r="554" spans="3:14" x14ac:dyDescent="0.3">
      <c r="C554" s="16"/>
      <c r="G554" s="5" t="str">
        <f t="shared" si="45"/>
        <v/>
      </c>
      <c r="H554" t="str">
        <f>IF(A554="","",IFERROR(_xlfn.XLOOKUP(D554,Setup!$E$15:$E$79,Setup!$F$15:$F$79),"Miscellaneous"))</f>
        <v/>
      </c>
      <c r="I554" t="str">
        <f>IF(A554="","",IFERROR(_xlfn.XLOOKUP(D554,Setup!$E$15:$E$79,Setup!$G$15:$G$79),"Uncategorized"))</f>
        <v/>
      </c>
      <c r="J554" t="str">
        <f t="shared" si="46"/>
        <v/>
      </c>
      <c r="K554" s="4" t="str">
        <f t="shared" si="47"/>
        <v/>
      </c>
      <c r="L554" s="47">
        <f t="shared" si="48"/>
        <v>0</v>
      </c>
      <c r="M554" s="47">
        <f t="shared" si="49"/>
        <v>0</v>
      </c>
      <c r="N554" t="str">
        <f>IF(A554="","",IF(D554="Category Pending","Needs categorization",IF(COUNTIFS($A$2:A554,A554,$B$2:B554,B554,$E$2:E554,E554)&gt;1,"Possible duplicate","")))</f>
        <v/>
      </c>
    </row>
    <row r="555" spans="3:14" x14ac:dyDescent="0.3">
      <c r="C555" s="16"/>
      <c r="G555" s="5" t="str">
        <f t="shared" si="45"/>
        <v/>
      </c>
      <c r="H555" t="str">
        <f>IF(A555="","",IFERROR(_xlfn.XLOOKUP(D555,Setup!$E$15:$E$79,Setup!$F$15:$F$79),"Miscellaneous"))</f>
        <v/>
      </c>
      <c r="I555" t="str">
        <f>IF(A555="","",IFERROR(_xlfn.XLOOKUP(D555,Setup!$E$15:$E$79,Setup!$G$15:$G$79),"Uncategorized"))</f>
        <v/>
      </c>
      <c r="J555" t="str">
        <f t="shared" si="46"/>
        <v/>
      </c>
      <c r="K555" s="4" t="str">
        <f t="shared" si="47"/>
        <v/>
      </c>
      <c r="L555" s="47">
        <f t="shared" si="48"/>
        <v>0</v>
      </c>
      <c r="M555" s="47">
        <f t="shared" si="49"/>
        <v>0</v>
      </c>
      <c r="N555" t="str">
        <f>IF(A555="","",IF(D555="Category Pending","Needs categorization",IF(COUNTIFS($A$2:A555,A555,$B$2:B555,B555,$E$2:E555,E555)&gt;1,"Possible duplicate","")))</f>
        <v/>
      </c>
    </row>
    <row r="556" spans="3:14" x14ac:dyDescent="0.3">
      <c r="C556" s="16"/>
      <c r="G556" s="5" t="str">
        <f t="shared" si="45"/>
        <v/>
      </c>
      <c r="H556" t="str">
        <f>IF(A556="","",IFERROR(_xlfn.XLOOKUP(D556,Setup!$E$15:$E$79,Setup!$F$15:$F$79),"Miscellaneous"))</f>
        <v/>
      </c>
      <c r="I556" t="str">
        <f>IF(A556="","",IFERROR(_xlfn.XLOOKUP(D556,Setup!$E$15:$E$79,Setup!$G$15:$G$79),"Uncategorized"))</f>
        <v/>
      </c>
      <c r="J556" t="str">
        <f t="shared" si="46"/>
        <v/>
      </c>
      <c r="K556" s="4" t="str">
        <f t="shared" si="47"/>
        <v/>
      </c>
      <c r="L556" s="47">
        <f t="shared" si="48"/>
        <v>0</v>
      </c>
      <c r="M556" s="47">
        <f t="shared" si="49"/>
        <v>0</v>
      </c>
      <c r="N556" t="str">
        <f>IF(A556="","",IF(D556="Category Pending","Needs categorization",IF(COUNTIFS($A$2:A556,A556,$B$2:B556,B556,$E$2:E556,E556)&gt;1,"Possible duplicate","")))</f>
        <v/>
      </c>
    </row>
    <row r="557" spans="3:14" x14ac:dyDescent="0.3">
      <c r="C557" s="16"/>
      <c r="G557" s="5" t="str">
        <f t="shared" si="45"/>
        <v/>
      </c>
      <c r="H557" t="str">
        <f>IF(A557="","",IFERROR(_xlfn.XLOOKUP(D557,Setup!$E$15:$E$79,Setup!$F$15:$F$79),"Miscellaneous"))</f>
        <v/>
      </c>
      <c r="I557" t="str">
        <f>IF(A557="","",IFERROR(_xlfn.XLOOKUP(D557,Setup!$E$15:$E$79,Setup!$G$15:$G$79),"Uncategorized"))</f>
        <v/>
      </c>
      <c r="J557" t="str">
        <f t="shared" si="46"/>
        <v/>
      </c>
      <c r="K557" s="4" t="str">
        <f t="shared" si="47"/>
        <v/>
      </c>
      <c r="L557" s="47">
        <f t="shared" si="48"/>
        <v>0</v>
      </c>
      <c r="M557" s="47">
        <f t="shared" si="49"/>
        <v>0</v>
      </c>
      <c r="N557" t="str">
        <f>IF(A557="","",IF(D557="Category Pending","Needs categorization",IF(COUNTIFS($A$2:A557,A557,$B$2:B557,B557,$E$2:E557,E557)&gt;1,"Possible duplicate","")))</f>
        <v/>
      </c>
    </row>
    <row r="558" spans="3:14" x14ac:dyDescent="0.3">
      <c r="C558" s="16"/>
      <c r="G558" s="5" t="str">
        <f t="shared" si="45"/>
        <v/>
      </c>
      <c r="H558" t="str">
        <f>IF(A558="","",IFERROR(_xlfn.XLOOKUP(D558,Setup!$E$15:$E$79,Setup!$F$15:$F$79),"Miscellaneous"))</f>
        <v/>
      </c>
      <c r="I558" t="str">
        <f>IF(A558="","",IFERROR(_xlfn.XLOOKUP(D558,Setup!$E$15:$E$79,Setup!$G$15:$G$79),"Uncategorized"))</f>
        <v/>
      </c>
      <c r="J558" t="str">
        <f t="shared" si="46"/>
        <v/>
      </c>
      <c r="K558" s="4" t="str">
        <f t="shared" si="47"/>
        <v/>
      </c>
      <c r="L558" s="47">
        <f t="shared" si="48"/>
        <v>0</v>
      </c>
      <c r="M558" s="47">
        <f t="shared" si="49"/>
        <v>0</v>
      </c>
      <c r="N558" t="str">
        <f>IF(A558="","",IF(D558="Category Pending","Needs categorization",IF(COUNTIFS($A$2:A558,A558,$B$2:B558,B558,$E$2:E558,E558)&gt;1,"Possible duplicate","")))</f>
        <v/>
      </c>
    </row>
    <row r="559" spans="3:14" x14ac:dyDescent="0.3">
      <c r="C559" s="16"/>
      <c r="G559" s="5" t="str">
        <f t="shared" si="45"/>
        <v/>
      </c>
      <c r="H559" t="str">
        <f>IF(A559="","",IFERROR(_xlfn.XLOOKUP(D559,Setup!$E$15:$E$79,Setup!$F$15:$F$79),"Miscellaneous"))</f>
        <v/>
      </c>
      <c r="I559" t="str">
        <f>IF(A559="","",IFERROR(_xlfn.XLOOKUP(D559,Setup!$E$15:$E$79,Setup!$G$15:$G$79),"Uncategorized"))</f>
        <v/>
      </c>
      <c r="J559" t="str">
        <f t="shared" si="46"/>
        <v/>
      </c>
      <c r="K559" s="4" t="str">
        <f t="shared" si="47"/>
        <v/>
      </c>
      <c r="L559" s="47">
        <f t="shared" si="48"/>
        <v>0</v>
      </c>
      <c r="M559" s="47">
        <f t="shared" si="49"/>
        <v>0</v>
      </c>
      <c r="N559" t="str">
        <f>IF(A559="","",IF(D559="Category Pending","Needs categorization",IF(COUNTIFS($A$2:A559,A559,$B$2:B559,B559,$E$2:E559,E559)&gt;1,"Possible duplicate","")))</f>
        <v/>
      </c>
    </row>
    <row r="560" spans="3:14" x14ac:dyDescent="0.3">
      <c r="C560" s="16"/>
      <c r="G560" s="5" t="str">
        <f t="shared" si="45"/>
        <v/>
      </c>
      <c r="H560" t="str">
        <f>IF(A560="","",IFERROR(_xlfn.XLOOKUP(D560,Setup!$E$15:$E$79,Setup!$F$15:$F$79),"Miscellaneous"))</f>
        <v/>
      </c>
      <c r="I560" t="str">
        <f>IF(A560="","",IFERROR(_xlfn.XLOOKUP(D560,Setup!$E$15:$E$79,Setup!$G$15:$G$79),"Uncategorized"))</f>
        <v/>
      </c>
      <c r="J560" t="str">
        <f t="shared" si="46"/>
        <v/>
      </c>
      <c r="K560" s="4" t="str">
        <f t="shared" si="47"/>
        <v/>
      </c>
      <c r="L560" s="47">
        <f t="shared" si="48"/>
        <v>0</v>
      </c>
      <c r="M560" s="47">
        <f t="shared" si="49"/>
        <v>0</v>
      </c>
      <c r="N560" t="str">
        <f>IF(A560="","",IF(D560="Category Pending","Needs categorization",IF(COUNTIFS($A$2:A560,A560,$B$2:B560,B560,$E$2:E560,E560)&gt;1,"Possible duplicate","")))</f>
        <v/>
      </c>
    </row>
    <row r="561" spans="3:14" x14ac:dyDescent="0.3">
      <c r="C561" s="16"/>
      <c r="G561" s="5" t="str">
        <f t="shared" si="45"/>
        <v/>
      </c>
      <c r="H561" t="str">
        <f>IF(A561="","",IFERROR(_xlfn.XLOOKUP(D561,Setup!$E$15:$E$79,Setup!$F$15:$F$79),"Miscellaneous"))</f>
        <v/>
      </c>
      <c r="I561" t="str">
        <f>IF(A561="","",IFERROR(_xlfn.XLOOKUP(D561,Setup!$E$15:$E$79,Setup!$G$15:$G$79),"Uncategorized"))</f>
        <v/>
      </c>
      <c r="J561" t="str">
        <f t="shared" si="46"/>
        <v/>
      </c>
      <c r="K561" s="4" t="str">
        <f t="shared" si="47"/>
        <v/>
      </c>
      <c r="L561" s="47">
        <f t="shared" si="48"/>
        <v>0</v>
      </c>
      <c r="M561" s="47">
        <f t="shared" si="49"/>
        <v>0</v>
      </c>
      <c r="N561" t="str">
        <f>IF(A561="","",IF(D561="Category Pending","Needs categorization",IF(COUNTIFS($A$2:A561,A561,$B$2:B561,B561,$E$2:E561,E561)&gt;1,"Possible duplicate","")))</f>
        <v/>
      </c>
    </row>
    <row r="562" spans="3:14" x14ac:dyDescent="0.3">
      <c r="C562" s="16"/>
      <c r="G562" s="5" t="str">
        <f t="shared" si="45"/>
        <v/>
      </c>
      <c r="H562" t="str">
        <f>IF(A562="","",IFERROR(_xlfn.XLOOKUP(D562,Setup!$E$15:$E$79,Setup!$F$15:$F$79),"Miscellaneous"))</f>
        <v/>
      </c>
      <c r="I562" t="str">
        <f>IF(A562="","",IFERROR(_xlfn.XLOOKUP(D562,Setup!$E$15:$E$79,Setup!$G$15:$G$79),"Uncategorized"))</f>
        <v/>
      </c>
      <c r="J562" t="str">
        <f t="shared" si="46"/>
        <v/>
      </c>
      <c r="K562" s="4" t="str">
        <f t="shared" si="47"/>
        <v/>
      </c>
      <c r="L562" s="47">
        <f t="shared" si="48"/>
        <v>0</v>
      </c>
      <c r="M562" s="47">
        <f t="shared" si="49"/>
        <v>0</v>
      </c>
      <c r="N562" t="str">
        <f>IF(A562="","",IF(D562="Category Pending","Needs categorization",IF(COUNTIFS($A$2:A562,A562,$B$2:B562,B562,$E$2:E562,E562)&gt;1,"Possible duplicate","")))</f>
        <v/>
      </c>
    </row>
    <row r="563" spans="3:14" x14ac:dyDescent="0.3">
      <c r="C563" s="16"/>
      <c r="G563" s="5" t="str">
        <f t="shared" si="45"/>
        <v/>
      </c>
      <c r="H563" t="str">
        <f>IF(A563="","",IFERROR(_xlfn.XLOOKUP(D563,Setup!$E$15:$E$79,Setup!$F$15:$F$79),"Miscellaneous"))</f>
        <v/>
      </c>
      <c r="I563" t="str">
        <f>IF(A563="","",IFERROR(_xlfn.XLOOKUP(D563,Setup!$E$15:$E$79,Setup!$G$15:$G$79),"Uncategorized"))</f>
        <v/>
      </c>
      <c r="J563" t="str">
        <f t="shared" si="46"/>
        <v/>
      </c>
      <c r="K563" s="4" t="str">
        <f t="shared" si="47"/>
        <v/>
      </c>
      <c r="L563" s="47">
        <f t="shared" si="48"/>
        <v>0</v>
      </c>
      <c r="M563" s="47">
        <f t="shared" si="49"/>
        <v>0</v>
      </c>
      <c r="N563" t="str">
        <f>IF(A563="","",IF(D563="Category Pending","Needs categorization",IF(COUNTIFS($A$2:A563,A563,$B$2:B563,B563,$E$2:E563,E563)&gt;1,"Possible duplicate","")))</f>
        <v/>
      </c>
    </row>
    <row r="564" spans="3:14" x14ac:dyDescent="0.3">
      <c r="C564" s="16"/>
      <c r="G564" s="5" t="str">
        <f t="shared" si="45"/>
        <v/>
      </c>
      <c r="H564" t="str">
        <f>IF(A564="","",IFERROR(_xlfn.XLOOKUP(D564,Setup!$E$15:$E$79,Setup!$F$15:$F$79),"Miscellaneous"))</f>
        <v/>
      </c>
      <c r="I564" t="str">
        <f>IF(A564="","",IFERROR(_xlfn.XLOOKUP(D564,Setup!$E$15:$E$79,Setup!$G$15:$G$79),"Uncategorized"))</f>
        <v/>
      </c>
      <c r="J564" t="str">
        <f t="shared" si="46"/>
        <v/>
      </c>
      <c r="K564" s="4" t="str">
        <f t="shared" si="47"/>
        <v/>
      </c>
      <c r="L564" s="47">
        <f t="shared" si="48"/>
        <v>0</v>
      </c>
      <c r="M564" s="47">
        <f t="shared" si="49"/>
        <v>0</v>
      </c>
      <c r="N564" t="str">
        <f>IF(A564="","",IF(D564="Category Pending","Needs categorization",IF(COUNTIFS($A$2:A564,A564,$B$2:B564,B564,$E$2:E564,E564)&gt;1,"Possible duplicate","")))</f>
        <v/>
      </c>
    </row>
    <row r="565" spans="3:14" x14ac:dyDescent="0.3">
      <c r="C565" s="16"/>
      <c r="G565" s="5" t="str">
        <f t="shared" si="45"/>
        <v/>
      </c>
      <c r="H565" t="str">
        <f>IF(A565="","",IFERROR(_xlfn.XLOOKUP(D565,Setup!$E$15:$E$79,Setup!$F$15:$F$79),"Miscellaneous"))</f>
        <v/>
      </c>
      <c r="I565" t="str">
        <f>IF(A565="","",IFERROR(_xlfn.XLOOKUP(D565,Setup!$E$15:$E$79,Setup!$G$15:$G$79),"Uncategorized"))</f>
        <v/>
      </c>
      <c r="J565" t="str">
        <f t="shared" si="46"/>
        <v/>
      </c>
      <c r="K565" s="4" t="str">
        <f t="shared" si="47"/>
        <v/>
      </c>
      <c r="L565" s="47">
        <f t="shared" si="48"/>
        <v>0</v>
      </c>
      <c r="M565" s="47">
        <f t="shared" si="49"/>
        <v>0</v>
      </c>
      <c r="N565" t="str">
        <f>IF(A565="","",IF(D565="Category Pending","Needs categorization",IF(COUNTIFS($A$2:A565,A565,$B$2:B565,B565,$E$2:E565,E565)&gt;1,"Possible duplicate","")))</f>
        <v/>
      </c>
    </row>
    <row r="566" spans="3:14" x14ac:dyDescent="0.3">
      <c r="C566" s="16"/>
      <c r="G566" s="5" t="str">
        <f t="shared" si="45"/>
        <v/>
      </c>
      <c r="H566" t="str">
        <f>IF(A566="","",IFERROR(_xlfn.XLOOKUP(D566,Setup!$E$15:$E$79,Setup!$F$15:$F$79),"Miscellaneous"))</f>
        <v/>
      </c>
      <c r="I566" t="str">
        <f>IF(A566="","",IFERROR(_xlfn.XLOOKUP(D566,Setup!$E$15:$E$79,Setup!$G$15:$G$79),"Uncategorized"))</f>
        <v/>
      </c>
      <c r="J566" t="str">
        <f t="shared" si="46"/>
        <v/>
      </c>
      <c r="K566" s="4" t="str">
        <f t="shared" si="47"/>
        <v/>
      </c>
      <c r="L566" s="47">
        <f t="shared" si="48"/>
        <v>0</v>
      </c>
      <c r="M566" s="47">
        <f t="shared" si="49"/>
        <v>0</v>
      </c>
      <c r="N566" t="str">
        <f>IF(A566="","",IF(D566="Category Pending","Needs categorization",IF(COUNTIFS($A$2:A566,A566,$B$2:B566,B566,$E$2:E566,E566)&gt;1,"Possible duplicate","")))</f>
        <v/>
      </c>
    </row>
    <row r="567" spans="3:14" x14ac:dyDescent="0.3">
      <c r="C567" s="16"/>
      <c r="G567" s="5" t="str">
        <f t="shared" si="45"/>
        <v/>
      </c>
      <c r="H567" t="str">
        <f>IF(A567="","",IFERROR(_xlfn.XLOOKUP(D567,Setup!$E$15:$E$79,Setup!$F$15:$F$79),"Miscellaneous"))</f>
        <v/>
      </c>
      <c r="I567" t="str">
        <f>IF(A567="","",IFERROR(_xlfn.XLOOKUP(D567,Setup!$E$15:$E$79,Setup!$G$15:$G$79),"Uncategorized"))</f>
        <v/>
      </c>
      <c r="J567" t="str">
        <f t="shared" si="46"/>
        <v/>
      </c>
      <c r="K567" s="4" t="str">
        <f t="shared" si="47"/>
        <v/>
      </c>
      <c r="L567" s="47">
        <f t="shared" si="48"/>
        <v>0</v>
      </c>
      <c r="M567" s="47">
        <f t="shared" si="49"/>
        <v>0</v>
      </c>
      <c r="N567" t="str">
        <f>IF(A567="","",IF(D567="Category Pending","Needs categorization",IF(COUNTIFS($A$2:A567,A567,$B$2:B567,B567,$E$2:E567,E567)&gt;1,"Possible duplicate","")))</f>
        <v/>
      </c>
    </row>
    <row r="568" spans="3:14" x14ac:dyDescent="0.3">
      <c r="C568" s="16"/>
      <c r="G568" s="5" t="str">
        <f t="shared" si="45"/>
        <v/>
      </c>
      <c r="H568" t="str">
        <f>IF(A568="","",IFERROR(_xlfn.XLOOKUP(D568,Setup!$E$15:$E$79,Setup!$F$15:$F$79),"Miscellaneous"))</f>
        <v/>
      </c>
      <c r="I568" t="str">
        <f>IF(A568="","",IFERROR(_xlfn.XLOOKUP(D568,Setup!$E$15:$E$79,Setup!$G$15:$G$79),"Uncategorized"))</f>
        <v/>
      </c>
      <c r="J568" t="str">
        <f t="shared" si="46"/>
        <v/>
      </c>
      <c r="K568" s="4" t="str">
        <f t="shared" si="47"/>
        <v/>
      </c>
      <c r="L568" s="47">
        <f t="shared" si="48"/>
        <v>0</v>
      </c>
      <c r="M568" s="47">
        <f t="shared" si="49"/>
        <v>0</v>
      </c>
      <c r="N568" t="str">
        <f>IF(A568="","",IF(D568="Category Pending","Needs categorization",IF(COUNTIFS($A$2:A568,A568,$B$2:B568,B568,$E$2:E568,E568)&gt;1,"Possible duplicate","")))</f>
        <v/>
      </c>
    </row>
    <row r="569" spans="3:14" x14ac:dyDescent="0.3">
      <c r="C569" s="16"/>
      <c r="G569" s="5" t="str">
        <f t="shared" si="45"/>
        <v/>
      </c>
      <c r="H569" t="str">
        <f>IF(A569="","",IFERROR(_xlfn.XLOOKUP(D569,Setup!$E$15:$E$79,Setup!$F$15:$F$79),"Miscellaneous"))</f>
        <v/>
      </c>
      <c r="I569" t="str">
        <f>IF(A569="","",IFERROR(_xlfn.XLOOKUP(D569,Setup!$E$15:$E$79,Setup!$G$15:$G$79),"Uncategorized"))</f>
        <v/>
      </c>
      <c r="J569" t="str">
        <f t="shared" si="46"/>
        <v/>
      </c>
      <c r="K569" s="4" t="str">
        <f t="shared" si="47"/>
        <v/>
      </c>
      <c r="L569" s="47">
        <f t="shared" si="48"/>
        <v>0</v>
      </c>
      <c r="M569" s="47">
        <f t="shared" si="49"/>
        <v>0</v>
      </c>
      <c r="N569" t="str">
        <f>IF(A569="","",IF(D569="Category Pending","Needs categorization",IF(COUNTIFS($A$2:A569,A569,$B$2:B569,B569,$E$2:E569,E569)&gt;1,"Possible duplicate","")))</f>
        <v/>
      </c>
    </row>
    <row r="570" spans="3:14" x14ac:dyDescent="0.3">
      <c r="C570" s="16"/>
      <c r="G570" s="5" t="str">
        <f t="shared" si="45"/>
        <v/>
      </c>
      <c r="H570" t="str">
        <f>IF(A570="","",IFERROR(_xlfn.XLOOKUP(D570,Setup!$E$15:$E$79,Setup!$F$15:$F$79),"Miscellaneous"))</f>
        <v/>
      </c>
      <c r="I570" t="str">
        <f>IF(A570="","",IFERROR(_xlfn.XLOOKUP(D570,Setup!$E$15:$E$79,Setup!$G$15:$G$79),"Uncategorized"))</f>
        <v/>
      </c>
      <c r="J570" t="str">
        <f t="shared" si="46"/>
        <v/>
      </c>
      <c r="K570" s="4" t="str">
        <f t="shared" si="47"/>
        <v/>
      </c>
      <c r="L570" s="47">
        <f t="shared" si="48"/>
        <v>0</v>
      </c>
      <c r="M570" s="47">
        <f t="shared" si="49"/>
        <v>0</v>
      </c>
      <c r="N570" t="str">
        <f>IF(A570="","",IF(D570="Category Pending","Needs categorization",IF(COUNTIFS($A$2:A570,A570,$B$2:B570,B570,$E$2:E570,E570)&gt;1,"Possible duplicate","")))</f>
        <v/>
      </c>
    </row>
    <row r="571" spans="3:14" x14ac:dyDescent="0.3">
      <c r="C571" s="16"/>
      <c r="G571" s="5" t="str">
        <f t="shared" si="45"/>
        <v/>
      </c>
      <c r="H571" t="str">
        <f>IF(A571="","",IFERROR(_xlfn.XLOOKUP(D571,Setup!$E$15:$E$79,Setup!$F$15:$F$79),"Miscellaneous"))</f>
        <v/>
      </c>
      <c r="I571" t="str">
        <f>IF(A571="","",IFERROR(_xlfn.XLOOKUP(D571,Setup!$E$15:$E$79,Setup!$G$15:$G$79),"Uncategorized"))</f>
        <v/>
      </c>
      <c r="J571" t="str">
        <f t="shared" si="46"/>
        <v/>
      </c>
      <c r="K571" s="4" t="str">
        <f t="shared" si="47"/>
        <v/>
      </c>
      <c r="L571" s="47">
        <f t="shared" si="48"/>
        <v>0</v>
      </c>
      <c r="M571" s="47">
        <f t="shared" si="49"/>
        <v>0</v>
      </c>
      <c r="N571" t="str">
        <f>IF(A571="","",IF(D571="Category Pending","Needs categorization",IF(COUNTIFS($A$2:A571,A571,$B$2:B571,B571,$E$2:E571,E571)&gt;1,"Possible duplicate","")))</f>
        <v/>
      </c>
    </row>
    <row r="572" spans="3:14" x14ac:dyDescent="0.3">
      <c r="C572" s="16"/>
      <c r="G572" s="5" t="str">
        <f t="shared" si="45"/>
        <v/>
      </c>
      <c r="H572" t="str">
        <f>IF(A572="","",IFERROR(_xlfn.XLOOKUP(D572,Setup!$E$15:$E$79,Setup!$F$15:$F$79),"Miscellaneous"))</f>
        <v/>
      </c>
      <c r="I572" t="str">
        <f>IF(A572="","",IFERROR(_xlfn.XLOOKUP(D572,Setup!$E$15:$E$79,Setup!$G$15:$G$79),"Uncategorized"))</f>
        <v/>
      </c>
      <c r="J572" t="str">
        <f t="shared" si="46"/>
        <v/>
      </c>
      <c r="K572" s="4" t="str">
        <f t="shared" si="47"/>
        <v/>
      </c>
      <c r="L572" s="47">
        <f t="shared" si="48"/>
        <v>0</v>
      </c>
      <c r="M572" s="47">
        <f t="shared" si="49"/>
        <v>0</v>
      </c>
      <c r="N572" t="str">
        <f>IF(A572="","",IF(D572="Category Pending","Needs categorization",IF(COUNTIFS($A$2:A572,A572,$B$2:B572,B572,$E$2:E572,E572)&gt;1,"Possible duplicate","")))</f>
        <v/>
      </c>
    </row>
    <row r="573" spans="3:14" x14ac:dyDescent="0.3">
      <c r="C573" s="16"/>
      <c r="G573" s="5" t="str">
        <f t="shared" si="45"/>
        <v/>
      </c>
      <c r="H573" t="str">
        <f>IF(A573="","",IFERROR(_xlfn.XLOOKUP(D573,Setup!$E$15:$E$79,Setup!$F$15:$F$79),"Miscellaneous"))</f>
        <v/>
      </c>
      <c r="I573" t="str">
        <f>IF(A573="","",IFERROR(_xlfn.XLOOKUP(D573,Setup!$E$15:$E$79,Setup!$G$15:$G$79),"Uncategorized"))</f>
        <v/>
      </c>
      <c r="J573" t="str">
        <f t="shared" si="46"/>
        <v/>
      </c>
      <c r="K573" s="4" t="str">
        <f t="shared" si="47"/>
        <v/>
      </c>
      <c r="L573" s="47">
        <f t="shared" si="48"/>
        <v>0</v>
      </c>
      <c r="M573" s="47">
        <f t="shared" si="49"/>
        <v>0</v>
      </c>
      <c r="N573" t="str">
        <f>IF(A573="","",IF(D573="Category Pending","Needs categorization",IF(COUNTIFS($A$2:A573,A573,$B$2:B573,B573,$E$2:E573,E573)&gt;1,"Possible duplicate","")))</f>
        <v/>
      </c>
    </row>
    <row r="574" spans="3:14" x14ac:dyDescent="0.3">
      <c r="C574" s="16"/>
      <c r="G574" s="5" t="str">
        <f t="shared" si="45"/>
        <v/>
      </c>
      <c r="H574" t="str">
        <f>IF(A574="","",IFERROR(_xlfn.XLOOKUP(D574,Setup!$E$15:$E$79,Setup!$F$15:$F$79),"Miscellaneous"))</f>
        <v/>
      </c>
      <c r="I574" t="str">
        <f>IF(A574="","",IFERROR(_xlfn.XLOOKUP(D574,Setup!$E$15:$E$79,Setup!$G$15:$G$79),"Uncategorized"))</f>
        <v/>
      </c>
      <c r="J574" t="str">
        <f t="shared" si="46"/>
        <v/>
      </c>
      <c r="K574" s="4" t="str">
        <f t="shared" si="47"/>
        <v/>
      </c>
      <c r="L574" s="47">
        <f t="shared" si="48"/>
        <v>0</v>
      </c>
      <c r="M574" s="47">
        <f t="shared" si="49"/>
        <v>0</v>
      </c>
      <c r="N574" t="str">
        <f>IF(A574="","",IF(D574="Category Pending","Needs categorization",IF(COUNTIFS($A$2:A574,A574,$B$2:B574,B574,$E$2:E574,E574)&gt;1,"Possible duplicate","")))</f>
        <v/>
      </c>
    </row>
    <row r="575" spans="3:14" x14ac:dyDescent="0.3">
      <c r="C575" s="16"/>
      <c r="G575" s="5" t="str">
        <f t="shared" si="45"/>
        <v/>
      </c>
      <c r="H575" t="str">
        <f>IF(A575="","",IFERROR(_xlfn.XLOOKUP(D575,Setup!$E$15:$E$79,Setup!$F$15:$F$79),"Miscellaneous"))</f>
        <v/>
      </c>
      <c r="I575" t="str">
        <f>IF(A575="","",IFERROR(_xlfn.XLOOKUP(D575,Setup!$E$15:$E$79,Setup!$G$15:$G$79),"Uncategorized"))</f>
        <v/>
      </c>
      <c r="J575" t="str">
        <f t="shared" si="46"/>
        <v/>
      </c>
      <c r="K575" s="4" t="str">
        <f t="shared" si="47"/>
        <v/>
      </c>
      <c r="L575" s="47">
        <f t="shared" si="48"/>
        <v>0</v>
      </c>
      <c r="M575" s="47">
        <f t="shared" si="49"/>
        <v>0</v>
      </c>
      <c r="N575" t="str">
        <f>IF(A575="","",IF(D575="Category Pending","Needs categorization",IF(COUNTIFS($A$2:A575,A575,$B$2:B575,B575,$E$2:E575,E575)&gt;1,"Possible duplicate","")))</f>
        <v/>
      </c>
    </row>
    <row r="576" spans="3:14" x14ac:dyDescent="0.3">
      <c r="C576" s="16"/>
      <c r="G576" s="5" t="str">
        <f t="shared" si="45"/>
        <v/>
      </c>
      <c r="H576" t="str">
        <f>IF(A576="","",IFERROR(_xlfn.XLOOKUP(D576,Setup!$E$15:$E$79,Setup!$F$15:$F$79),"Miscellaneous"))</f>
        <v/>
      </c>
      <c r="I576" t="str">
        <f>IF(A576="","",IFERROR(_xlfn.XLOOKUP(D576,Setup!$E$15:$E$79,Setup!$G$15:$G$79),"Uncategorized"))</f>
        <v/>
      </c>
      <c r="J576" t="str">
        <f t="shared" si="46"/>
        <v/>
      </c>
      <c r="K576" s="4" t="str">
        <f t="shared" si="47"/>
        <v/>
      </c>
      <c r="L576" s="47">
        <f t="shared" si="48"/>
        <v>0</v>
      </c>
      <c r="M576" s="47">
        <f t="shared" si="49"/>
        <v>0</v>
      </c>
      <c r="N576" t="str">
        <f>IF(A576="","",IF(D576="Category Pending","Needs categorization",IF(COUNTIFS($A$2:A576,A576,$B$2:B576,B576,$E$2:E576,E576)&gt;1,"Possible duplicate","")))</f>
        <v/>
      </c>
    </row>
    <row r="577" spans="3:14" x14ac:dyDescent="0.3">
      <c r="C577" s="16"/>
      <c r="G577" s="5" t="str">
        <f t="shared" si="45"/>
        <v/>
      </c>
      <c r="H577" t="str">
        <f>IF(A577="","",IFERROR(_xlfn.XLOOKUP(D577,Setup!$E$15:$E$79,Setup!$F$15:$F$79),"Miscellaneous"))</f>
        <v/>
      </c>
      <c r="I577" t="str">
        <f>IF(A577="","",IFERROR(_xlfn.XLOOKUP(D577,Setup!$E$15:$E$79,Setup!$G$15:$G$79),"Uncategorized"))</f>
        <v/>
      </c>
      <c r="J577" t="str">
        <f t="shared" si="46"/>
        <v/>
      </c>
      <c r="K577" s="4" t="str">
        <f t="shared" si="47"/>
        <v/>
      </c>
      <c r="L577" s="47">
        <f t="shared" si="48"/>
        <v>0</v>
      </c>
      <c r="M577" s="47">
        <f t="shared" si="49"/>
        <v>0</v>
      </c>
      <c r="N577" t="str">
        <f>IF(A577="","",IF(D577="Category Pending","Needs categorization",IF(COUNTIFS($A$2:A577,A577,$B$2:B577,B577,$E$2:E577,E577)&gt;1,"Possible duplicate","")))</f>
        <v/>
      </c>
    </row>
    <row r="578" spans="3:14" x14ac:dyDescent="0.3">
      <c r="C578" s="16"/>
      <c r="G578" s="5" t="str">
        <f t="shared" si="45"/>
        <v/>
      </c>
      <c r="H578" t="str">
        <f>IF(A578="","",IFERROR(_xlfn.XLOOKUP(D578,Setup!$E$15:$E$79,Setup!$F$15:$F$79),"Miscellaneous"))</f>
        <v/>
      </c>
      <c r="I578" t="str">
        <f>IF(A578="","",IFERROR(_xlfn.XLOOKUP(D578,Setup!$E$15:$E$79,Setup!$G$15:$G$79),"Uncategorized"))</f>
        <v/>
      </c>
      <c r="J578" t="str">
        <f t="shared" si="46"/>
        <v/>
      </c>
      <c r="K578" s="4" t="str">
        <f t="shared" si="47"/>
        <v/>
      </c>
      <c r="L578" s="47">
        <f t="shared" si="48"/>
        <v>0</v>
      </c>
      <c r="M578" s="47">
        <f t="shared" si="49"/>
        <v>0</v>
      </c>
      <c r="N578" t="str">
        <f>IF(A578="","",IF(D578="Category Pending","Needs categorization",IF(COUNTIFS($A$2:A578,A578,$B$2:B578,B578,$E$2:E578,E578)&gt;1,"Possible duplicate","")))</f>
        <v/>
      </c>
    </row>
    <row r="579" spans="3:14" x14ac:dyDescent="0.3">
      <c r="C579" s="16"/>
      <c r="G579" s="5" t="str">
        <f t="shared" si="45"/>
        <v/>
      </c>
      <c r="H579" t="str">
        <f>IF(A579="","",IFERROR(_xlfn.XLOOKUP(D579,Setup!$E$15:$E$79,Setup!$F$15:$F$79),"Miscellaneous"))</f>
        <v/>
      </c>
      <c r="I579" t="str">
        <f>IF(A579="","",IFERROR(_xlfn.XLOOKUP(D579,Setup!$E$15:$E$79,Setup!$G$15:$G$79),"Uncategorized"))</f>
        <v/>
      </c>
      <c r="J579" t="str">
        <f t="shared" si="46"/>
        <v/>
      </c>
      <c r="K579" s="4" t="str">
        <f t="shared" si="47"/>
        <v/>
      </c>
      <c r="L579" s="47">
        <f t="shared" si="48"/>
        <v>0</v>
      </c>
      <c r="M579" s="47">
        <f t="shared" si="49"/>
        <v>0</v>
      </c>
      <c r="N579" t="str">
        <f>IF(A579="","",IF(D579="Category Pending","Needs categorization",IF(COUNTIFS($A$2:A579,A579,$B$2:B579,B579,$E$2:E579,E579)&gt;1,"Possible duplicate","")))</f>
        <v/>
      </c>
    </row>
    <row r="580" spans="3:14" x14ac:dyDescent="0.3">
      <c r="C580" s="16"/>
      <c r="G580" s="5" t="str">
        <f t="shared" si="45"/>
        <v/>
      </c>
      <c r="H580" t="str">
        <f>IF(A580="","",IFERROR(_xlfn.XLOOKUP(D580,Setup!$E$15:$E$79,Setup!$F$15:$F$79),"Miscellaneous"))</f>
        <v/>
      </c>
      <c r="I580" t="str">
        <f>IF(A580="","",IFERROR(_xlfn.XLOOKUP(D580,Setup!$E$15:$E$79,Setup!$G$15:$G$79),"Uncategorized"))</f>
        <v/>
      </c>
      <c r="J580" t="str">
        <f t="shared" si="46"/>
        <v/>
      </c>
      <c r="K580" s="4" t="str">
        <f t="shared" si="47"/>
        <v/>
      </c>
      <c r="L580" s="47">
        <f t="shared" si="48"/>
        <v>0</v>
      </c>
      <c r="M580" s="47">
        <f t="shared" si="49"/>
        <v>0</v>
      </c>
      <c r="N580" t="str">
        <f>IF(A580="","",IF(D580="Category Pending","Needs categorization",IF(COUNTIFS($A$2:A580,A580,$B$2:B580,B580,$E$2:E580,E580)&gt;1,"Possible duplicate","")))</f>
        <v/>
      </c>
    </row>
    <row r="581" spans="3:14" x14ac:dyDescent="0.3">
      <c r="C581" s="16"/>
      <c r="G581" s="5" t="str">
        <f t="shared" si="45"/>
        <v/>
      </c>
      <c r="H581" t="str">
        <f>IF(A581="","",IFERROR(_xlfn.XLOOKUP(D581,Setup!$E$15:$E$79,Setup!$F$15:$F$79),"Miscellaneous"))</f>
        <v/>
      </c>
      <c r="I581" t="str">
        <f>IF(A581="","",IFERROR(_xlfn.XLOOKUP(D581,Setup!$E$15:$E$79,Setup!$G$15:$G$79),"Uncategorized"))</f>
        <v/>
      </c>
      <c r="J581" t="str">
        <f t="shared" si="46"/>
        <v/>
      </c>
      <c r="K581" s="4" t="str">
        <f t="shared" si="47"/>
        <v/>
      </c>
      <c r="L581" s="47">
        <f t="shared" si="48"/>
        <v>0</v>
      </c>
      <c r="M581" s="47">
        <f t="shared" si="49"/>
        <v>0</v>
      </c>
      <c r="N581" t="str">
        <f>IF(A581="","",IF(D581="Category Pending","Needs categorization",IF(COUNTIFS($A$2:A581,A581,$B$2:B581,B581,$E$2:E581,E581)&gt;1,"Possible duplicate","")))</f>
        <v/>
      </c>
    </row>
    <row r="582" spans="3:14" x14ac:dyDescent="0.3">
      <c r="C582" s="16"/>
      <c r="G582" s="5" t="str">
        <f t="shared" si="45"/>
        <v/>
      </c>
      <c r="H582" t="str">
        <f>IF(A582="","",IFERROR(_xlfn.XLOOKUP(D582,Setup!$E$15:$E$79,Setup!$F$15:$F$79),"Miscellaneous"))</f>
        <v/>
      </c>
      <c r="I582" t="str">
        <f>IF(A582="","",IFERROR(_xlfn.XLOOKUP(D582,Setup!$E$15:$E$79,Setup!$G$15:$G$79),"Uncategorized"))</f>
        <v/>
      </c>
      <c r="J582" t="str">
        <f t="shared" si="46"/>
        <v/>
      </c>
      <c r="K582" s="4" t="str">
        <f t="shared" si="47"/>
        <v/>
      </c>
      <c r="L582" s="47">
        <f t="shared" si="48"/>
        <v>0</v>
      </c>
      <c r="M582" s="47">
        <f t="shared" si="49"/>
        <v>0</v>
      </c>
      <c r="N582" t="str">
        <f>IF(A582="","",IF(D582="Category Pending","Needs categorization",IF(COUNTIFS($A$2:A582,A582,$B$2:B582,B582,$E$2:E582,E582)&gt;1,"Possible duplicate","")))</f>
        <v/>
      </c>
    </row>
    <row r="583" spans="3:14" x14ac:dyDescent="0.3">
      <c r="C583" s="16"/>
      <c r="G583" s="5" t="str">
        <f t="shared" si="45"/>
        <v/>
      </c>
      <c r="H583" t="str">
        <f>IF(A583="","",IFERROR(_xlfn.XLOOKUP(D583,Setup!$E$15:$E$79,Setup!$F$15:$F$79),"Miscellaneous"))</f>
        <v/>
      </c>
      <c r="I583" t="str">
        <f>IF(A583="","",IFERROR(_xlfn.XLOOKUP(D583,Setup!$E$15:$E$79,Setup!$G$15:$G$79),"Uncategorized"))</f>
        <v/>
      </c>
      <c r="J583" t="str">
        <f t="shared" si="46"/>
        <v/>
      </c>
      <c r="K583" s="4" t="str">
        <f t="shared" si="47"/>
        <v/>
      </c>
      <c r="L583" s="47">
        <f t="shared" si="48"/>
        <v>0</v>
      </c>
      <c r="M583" s="47">
        <f t="shared" si="49"/>
        <v>0</v>
      </c>
      <c r="N583" t="str">
        <f>IF(A583="","",IF(D583="Category Pending","Needs categorization",IF(COUNTIFS($A$2:A583,A583,$B$2:B583,B583,$E$2:E583,E583)&gt;1,"Possible duplicate","")))</f>
        <v/>
      </c>
    </row>
    <row r="584" spans="3:14" x14ac:dyDescent="0.3">
      <c r="C584" s="16"/>
      <c r="G584" s="5" t="str">
        <f t="shared" si="45"/>
        <v/>
      </c>
      <c r="H584" t="str">
        <f>IF(A584="","",IFERROR(_xlfn.XLOOKUP(D584,Setup!$E$15:$E$79,Setup!$F$15:$F$79),"Miscellaneous"))</f>
        <v/>
      </c>
      <c r="I584" t="str">
        <f>IF(A584="","",IFERROR(_xlfn.XLOOKUP(D584,Setup!$E$15:$E$79,Setup!$G$15:$G$79),"Uncategorized"))</f>
        <v/>
      </c>
      <c r="J584" t="str">
        <f t="shared" si="46"/>
        <v/>
      </c>
      <c r="K584" s="4" t="str">
        <f t="shared" si="47"/>
        <v/>
      </c>
      <c r="L584" s="47">
        <f t="shared" si="48"/>
        <v>0</v>
      </c>
      <c r="M584" s="47">
        <f t="shared" si="49"/>
        <v>0</v>
      </c>
      <c r="N584" t="str">
        <f>IF(A584="","",IF(D584="Category Pending","Needs categorization",IF(COUNTIFS($A$2:A584,A584,$B$2:B584,B584,$E$2:E584,E584)&gt;1,"Possible duplicate","")))</f>
        <v/>
      </c>
    </row>
    <row r="585" spans="3:14" x14ac:dyDescent="0.3">
      <c r="C585" s="16"/>
      <c r="G585" s="5" t="str">
        <f t="shared" si="45"/>
        <v/>
      </c>
      <c r="H585" t="str">
        <f>IF(A585="","",IFERROR(_xlfn.XLOOKUP(D585,Setup!$E$15:$E$79,Setup!$F$15:$F$79),"Miscellaneous"))</f>
        <v/>
      </c>
      <c r="I585" t="str">
        <f>IF(A585="","",IFERROR(_xlfn.XLOOKUP(D585,Setup!$E$15:$E$79,Setup!$G$15:$G$79),"Uncategorized"))</f>
        <v/>
      </c>
      <c r="J585" t="str">
        <f t="shared" si="46"/>
        <v/>
      </c>
      <c r="K585" s="4" t="str">
        <f t="shared" si="47"/>
        <v/>
      </c>
      <c r="L585" s="47">
        <f t="shared" si="48"/>
        <v>0</v>
      </c>
      <c r="M585" s="47">
        <f t="shared" si="49"/>
        <v>0</v>
      </c>
      <c r="N585" t="str">
        <f>IF(A585="","",IF(D585="Category Pending","Needs categorization",IF(COUNTIFS($A$2:A585,A585,$B$2:B585,B585,$E$2:E585,E585)&gt;1,"Possible duplicate","")))</f>
        <v/>
      </c>
    </row>
    <row r="586" spans="3:14" x14ac:dyDescent="0.3">
      <c r="C586" s="16"/>
      <c r="G586" s="5" t="str">
        <f t="shared" si="45"/>
        <v/>
      </c>
      <c r="H586" t="str">
        <f>IF(A586="","",IFERROR(_xlfn.XLOOKUP(D586,Setup!$E$15:$E$79,Setup!$F$15:$F$79),"Miscellaneous"))</f>
        <v/>
      </c>
      <c r="I586" t="str">
        <f>IF(A586="","",IFERROR(_xlfn.XLOOKUP(D586,Setup!$E$15:$E$79,Setup!$G$15:$G$79),"Uncategorized"))</f>
        <v/>
      </c>
      <c r="J586" t="str">
        <f t="shared" si="46"/>
        <v/>
      </c>
      <c r="K586" s="4" t="str">
        <f t="shared" si="47"/>
        <v/>
      </c>
      <c r="L586" s="47">
        <f t="shared" si="48"/>
        <v>0</v>
      </c>
      <c r="M586" s="47">
        <f t="shared" si="49"/>
        <v>0</v>
      </c>
      <c r="N586" t="str">
        <f>IF(A586="","",IF(D586="Category Pending","Needs categorization",IF(COUNTIFS($A$2:A586,A586,$B$2:B586,B586,$E$2:E586,E586)&gt;1,"Possible duplicate","")))</f>
        <v/>
      </c>
    </row>
    <row r="587" spans="3:14" x14ac:dyDescent="0.3">
      <c r="C587" s="16"/>
      <c r="G587" s="5" t="str">
        <f t="shared" si="45"/>
        <v/>
      </c>
      <c r="H587" t="str">
        <f>IF(A587="","",IFERROR(_xlfn.XLOOKUP(D587,Setup!$E$15:$E$79,Setup!$F$15:$F$79),"Miscellaneous"))</f>
        <v/>
      </c>
      <c r="I587" t="str">
        <f>IF(A587="","",IFERROR(_xlfn.XLOOKUP(D587,Setup!$E$15:$E$79,Setup!$G$15:$G$79),"Uncategorized"))</f>
        <v/>
      </c>
      <c r="J587" t="str">
        <f t="shared" si="46"/>
        <v/>
      </c>
      <c r="K587" s="4" t="str">
        <f t="shared" si="47"/>
        <v/>
      </c>
      <c r="L587" s="47">
        <f t="shared" si="48"/>
        <v>0</v>
      </c>
      <c r="M587" s="47">
        <f t="shared" si="49"/>
        <v>0</v>
      </c>
      <c r="N587" t="str">
        <f>IF(A587="","",IF(D587="Category Pending","Needs categorization",IF(COUNTIFS($A$2:A587,A587,$B$2:B587,B587,$E$2:E587,E587)&gt;1,"Possible duplicate","")))</f>
        <v/>
      </c>
    </row>
    <row r="588" spans="3:14" x14ac:dyDescent="0.3">
      <c r="C588" s="16"/>
      <c r="G588" s="5" t="str">
        <f t="shared" si="45"/>
        <v/>
      </c>
      <c r="H588" t="str">
        <f>IF(A588="","",IFERROR(_xlfn.XLOOKUP(D588,Setup!$E$15:$E$79,Setup!$F$15:$F$79),"Miscellaneous"))</f>
        <v/>
      </c>
      <c r="I588" t="str">
        <f>IF(A588="","",IFERROR(_xlfn.XLOOKUP(D588,Setup!$E$15:$E$79,Setup!$G$15:$G$79),"Uncategorized"))</f>
        <v/>
      </c>
      <c r="J588" t="str">
        <f t="shared" si="46"/>
        <v/>
      </c>
      <c r="K588" s="4" t="str">
        <f t="shared" si="47"/>
        <v/>
      </c>
      <c r="L588" s="47">
        <f t="shared" si="48"/>
        <v>0</v>
      </c>
      <c r="M588" s="47">
        <f t="shared" si="49"/>
        <v>0</v>
      </c>
      <c r="N588" t="str">
        <f>IF(A588="","",IF(D588="Category Pending","Needs categorization",IF(COUNTIFS($A$2:A588,A588,$B$2:B588,B588,$E$2:E588,E588)&gt;1,"Possible duplicate","")))</f>
        <v/>
      </c>
    </row>
    <row r="589" spans="3:14" x14ac:dyDescent="0.3">
      <c r="C589" s="16"/>
      <c r="G589" s="5" t="str">
        <f t="shared" si="45"/>
        <v/>
      </c>
      <c r="H589" t="str">
        <f>IF(A589="","",IFERROR(_xlfn.XLOOKUP(D589,Setup!$E$15:$E$79,Setup!$F$15:$F$79),"Miscellaneous"))</f>
        <v/>
      </c>
      <c r="I589" t="str">
        <f>IF(A589="","",IFERROR(_xlfn.XLOOKUP(D589,Setup!$E$15:$E$79,Setup!$G$15:$G$79),"Uncategorized"))</f>
        <v/>
      </c>
      <c r="J589" t="str">
        <f t="shared" si="46"/>
        <v/>
      </c>
      <c r="K589" s="4" t="str">
        <f t="shared" si="47"/>
        <v/>
      </c>
      <c r="L589" s="47">
        <f t="shared" si="48"/>
        <v>0</v>
      </c>
      <c r="M589" s="47">
        <f t="shared" si="49"/>
        <v>0</v>
      </c>
      <c r="N589" t="str">
        <f>IF(A589="","",IF(D589="Category Pending","Needs categorization",IF(COUNTIFS($A$2:A589,A589,$B$2:B589,B589,$E$2:E589,E589)&gt;1,"Possible duplicate","")))</f>
        <v/>
      </c>
    </row>
    <row r="590" spans="3:14" x14ac:dyDescent="0.3">
      <c r="C590" s="16"/>
      <c r="G590" s="5" t="str">
        <f t="shared" si="45"/>
        <v/>
      </c>
      <c r="H590" t="str">
        <f>IF(A590="","",IFERROR(_xlfn.XLOOKUP(D590,Setup!$E$15:$E$79,Setup!$F$15:$F$79),"Miscellaneous"))</f>
        <v/>
      </c>
      <c r="I590" t="str">
        <f>IF(A590="","",IFERROR(_xlfn.XLOOKUP(D590,Setup!$E$15:$E$79,Setup!$G$15:$G$79),"Uncategorized"))</f>
        <v/>
      </c>
      <c r="J590" t="str">
        <f t="shared" si="46"/>
        <v/>
      </c>
      <c r="K590" s="4" t="str">
        <f t="shared" si="47"/>
        <v/>
      </c>
      <c r="L590" s="47">
        <f t="shared" si="48"/>
        <v>0</v>
      </c>
      <c r="M590" s="47">
        <f t="shared" si="49"/>
        <v>0</v>
      </c>
      <c r="N590" t="str">
        <f>IF(A590="","",IF(D590="Category Pending","Needs categorization",IF(COUNTIFS($A$2:A590,A590,$B$2:B590,B590,$E$2:E590,E590)&gt;1,"Possible duplicate","")))</f>
        <v/>
      </c>
    </row>
    <row r="591" spans="3:14" x14ac:dyDescent="0.3">
      <c r="C591" s="16"/>
      <c r="G591" s="5" t="str">
        <f t="shared" si="45"/>
        <v/>
      </c>
      <c r="H591" t="str">
        <f>IF(A591="","",IFERROR(_xlfn.XLOOKUP(D591,Setup!$E$15:$E$79,Setup!$F$15:$F$79),"Miscellaneous"))</f>
        <v/>
      </c>
      <c r="I591" t="str">
        <f>IF(A591="","",IFERROR(_xlfn.XLOOKUP(D591,Setup!$E$15:$E$79,Setup!$G$15:$G$79),"Uncategorized"))</f>
        <v/>
      </c>
      <c r="J591" t="str">
        <f t="shared" si="46"/>
        <v/>
      </c>
      <c r="K591" s="4" t="str">
        <f t="shared" si="47"/>
        <v/>
      </c>
      <c r="L591" s="47">
        <f t="shared" si="48"/>
        <v>0</v>
      </c>
      <c r="M591" s="47">
        <f t="shared" si="49"/>
        <v>0</v>
      </c>
      <c r="N591" t="str">
        <f>IF(A591="","",IF(D591="Category Pending","Needs categorization",IF(COUNTIFS($A$2:A591,A591,$B$2:B591,B591,$E$2:E591,E591)&gt;1,"Possible duplicate","")))</f>
        <v/>
      </c>
    </row>
    <row r="592" spans="3:14" x14ac:dyDescent="0.3">
      <c r="C592" s="16"/>
      <c r="G592" s="5" t="str">
        <f t="shared" si="45"/>
        <v/>
      </c>
      <c r="H592" t="str">
        <f>IF(A592="","",IFERROR(_xlfn.XLOOKUP(D592,Setup!$E$15:$E$79,Setup!$F$15:$F$79),"Miscellaneous"))</f>
        <v/>
      </c>
      <c r="I592" t="str">
        <f>IF(A592="","",IFERROR(_xlfn.XLOOKUP(D592,Setup!$E$15:$E$79,Setup!$G$15:$G$79),"Uncategorized"))</f>
        <v/>
      </c>
      <c r="J592" t="str">
        <f t="shared" si="46"/>
        <v/>
      </c>
      <c r="K592" s="4" t="str">
        <f t="shared" si="47"/>
        <v/>
      </c>
      <c r="L592" s="47">
        <f t="shared" si="48"/>
        <v>0</v>
      </c>
      <c r="M592" s="47">
        <f t="shared" si="49"/>
        <v>0</v>
      </c>
      <c r="N592" t="str">
        <f>IF(A592="","",IF(D592="Category Pending","Needs categorization",IF(COUNTIFS($A$2:A592,A592,$B$2:B592,B592,$E$2:E592,E592)&gt;1,"Possible duplicate","")))</f>
        <v/>
      </c>
    </row>
    <row r="593" spans="3:14" x14ac:dyDescent="0.3">
      <c r="C593" s="16"/>
      <c r="G593" s="5" t="str">
        <f t="shared" si="45"/>
        <v/>
      </c>
      <c r="H593" t="str">
        <f>IF(A593="","",IFERROR(_xlfn.XLOOKUP(D593,Setup!$E$15:$E$79,Setup!$F$15:$F$79),"Miscellaneous"))</f>
        <v/>
      </c>
      <c r="I593" t="str">
        <f>IF(A593="","",IFERROR(_xlfn.XLOOKUP(D593,Setup!$E$15:$E$79,Setup!$G$15:$G$79),"Uncategorized"))</f>
        <v/>
      </c>
      <c r="J593" t="str">
        <f t="shared" si="46"/>
        <v/>
      </c>
      <c r="K593" s="4" t="str">
        <f t="shared" si="47"/>
        <v/>
      </c>
      <c r="L593" s="47">
        <f t="shared" si="48"/>
        <v>0</v>
      </c>
      <c r="M593" s="47">
        <f t="shared" si="49"/>
        <v>0</v>
      </c>
      <c r="N593" t="str">
        <f>IF(A593="","",IF(D593="Category Pending","Needs categorization",IF(COUNTIFS($A$2:A593,A593,$B$2:B593,B593,$E$2:E593,E593)&gt;1,"Possible duplicate","")))</f>
        <v/>
      </c>
    </row>
    <row r="594" spans="3:14" x14ac:dyDescent="0.3">
      <c r="C594" s="16"/>
      <c r="G594" s="5" t="str">
        <f t="shared" si="45"/>
        <v/>
      </c>
      <c r="H594" t="str">
        <f>IF(A594="","",IFERROR(_xlfn.XLOOKUP(D594,Setup!$E$15:$E$79,Setup!$F$15:$F$79),"Miscellaneous"))</f>
        <v/>
      </c>
      <c r="I594" t="str">
        <f>IF(A594="","",IFERROR(_xlfn.XLOOKUP(D594,Setup!$E$15:$E$79,Setup!$G$15:$G$79),"Uncategorized"))</f>
        <v/>
      </c>
      <c r="J594" t="str">
        <f t="shared" si="46"/>
        <v/>
      </c>
      <c r="K594" s="4" t="str">
        <f t="shared" si="47"/>
        <v/>
      </c>
      <c r="L594" s="47">
        <f t="shared" si="48"/>
        <v>0</v>
      </c>
      <c r="M594" s="47">
        <f t="shared" si="49"/>
        <v>0</v>
      </c>
      <c r="N594" t="str">
        <f>IF(A594="","",IF(D594="Category Pending","Needs categorization",IF(COUNTIFS($A$2:A594,A594,$B$2:B594,B594,$E$2:E594,E594)&gt;1,"Possible duplicate","")))</f>
        <v/>
      </c>
    </row>
    <row r="595" spans="3:14" x14ac:dyDescent="0.3">
      <c r="C595" s="16"/>
      <c r="G595" s="5" t="str">
        <f t="shared" si="45"/>
        <v/>
      </c>
      <c r="H595" t="str">
        <f>IF(A595="","",IFERROR(_xlfn.XLOOKUP(D595,Setup!$E$15:$E$79,Setup!$F$15:$F$79),"Miscellaneous"))</f>
        <v/>
      </c>
      <c r="I595" t="str">
        <f>IF(A595="","",IFERROR(_xlfn.XLOOKUP(D595,Setup!$E$15:$E$79,Setup!$G$15:$G$79),"Uncategorized"))</f>
        <v/>
      </c>
      <c r="J595" t="str">
        <f t="shared" si="46"/>
        <v/>
      </c>
      <c r="K595" s="4" t="str">
        <f t="shared" si="47"/>
        <v/>
      </c>
      <c r="L595" s="47">
        <f t="shared" si="48"/>
        <v>0</v>
      </c>
      <c r="M595" s="47">
        <f t="shared" si="49"/>
        <v>0</v>
      </c>
      <c r="N595" t="str">
        <f>IF(A595="","",IF(D595="Category Pending","Needs categorization",IF(COUNTIFS($A$2:A595,A595,$B$2:B595,B595,$E$2:E595,E595)&gt;1,"Possible duplicate","")))</f>
        <v/>
      </c>
    </row>
    <row r="596" spans="3:14" x14ac:dyDescent="0.3">
      <c r="C596" s="16"/>
      <c r="G596" s="5" t="str">
        <f t="shared" si="45"/>
        <v/>
      </c>
      <c r="H596" t="str">
        <f>IF(A596="","",IFERROR(_xlfn.XLOOKUP(D596,Setup!$E$15:$E$79,Setup!$F$15:$F$79),"Miscellaneous"))</f>
        <v/>
      </c>
      <c r="I596" t="str">
        <f>IF(A596="","",IFERROR(_xlfn.XLOOKUP(D596,Setup!$E$15:$E$79,Setup!$G$15:$G$79),"Uncategorized"))</f>
        <v/>
      </c>
      <c r="J596" t="str">
        <f t="shared" si="46"/>
        <v/>
      </c>
      <c r="K596" s="4" t="str">
        <f t="shared" si="47"/>
        <v/>
      </c>
      <c r="L596" s="47">
        <f t="shared" si="48"/>
        <v>0</v>
      </c>
      <c r="M596" s="47">
        <f t="shared" si="49"/>
        <v>0</v>
      </c>
      <c r="N596" t="str">
        <f>IF(A596="","",IF(D596="Category Pending","Needs categorization",IF(COUNTIFS($A$2:A596,A596,$B$2:B596,B596,$E$2:E596,E596)&gt;1,"Possible duplicate","")))</f>
        <v/>
      </c>
    </row>
    <row r="597" spans="3:14" x14ac:dyDescent="0.3">
      <c r="C597" s="16"/>
      <c r="G597" s="5" t="str">
        <f t="shared" si="45"/>
        <v/>
      </c>
      <c r="H597" t="str">
        <f>IF(A597="","",IFERROR(_xlfn.XLOOKUP(D597,Setup!$E$15:$E$79,Setup!$F$15:$F$79),"Miscellaneous"))</f>
        <v/>
      </c>
      <c r="I597" t="str">
        <f>IF(A597="","",IFERROR(_xlfn.XLOOKUP(D597,Setup!$E$15:$E$79,Setup!$G$15:$G$79),"Uncategorized"))</f>
        <v/>
      </c>
      <c r="J597" t="str">
        <f t="shared" si="46"/>
        <v/>
      </c>
      <c r="K597" s="4" t="str">
        <f t="shared" si="47"/>
        <v/>
      </c>
      <c r="L597" s="47">
        <f t="shared" si="48"/>
        <v>0</v>
      </c>
      <c r="M597" s="47">
        <f t="shared" si="49"/>
        <v>0</v>
      </c>
      <c r="N597" t="str">
        <f>IF(A597="","",IF(D597="Category Pending","Needs categorization",IF(COUNTIFS($A$2:A597,A597,$B$2:B597,B597,$E$2:E597,E597)&gt;1,"Possible duplicate","")))</f>
        <v/>
      </c>
    </row>
    <row r="598" spans="3:14" x14ac:dyDescent="0.3">
      <c r="C598" s="16"/>
      <c r="G598" s="5" t="str">
        <f t="shared" si="45"/>
        <v/>
      </c>
      <c r="H598" t="str">
        <f>IF(A598="","",IFERROR(_xlfn.XLOOKUP(D598,Setup!$E$15:$E$79,Setup!$F$15:$F$79),"Miscellaneous"))</f>
        <v/>
      </c>
      <c r="I598" t="str">
        <f>IF(A598="","",IFERROR(_xlfn.XLOOKUP(D598,Setup!$E$15:$E$79,Setup!$G$15:$G$79),"Uncategorized"))</f>
        <v/>
      </c>
      <c r="J598" t="str">
        <f t="shared" si="46"/>
        <v/>
      </c>
      <c r="K598" s="4" t="str">
        <f t="shared" si="47"/>
        <v/>
      </c>
      <c r="L598" s="47">
        <f t="shared" si="48"/>
        <v>0</v>
      </c>
      <c r="M598" s="47">
        <f t="shared" si="49"/>
        <v>0</v>
      </c>
      <c r="N598" t="str">
        <f>IF(A598="","",IF(D598="Category Pending","Needs categorization",IF(COUNTIFS($A$2:A598,A598,$B$2:B598,B598,$E$2:E598,E598)&gt;1,"Possible duplicate","")))</f>
        <v/>
      </c>
    </row>
    <row r="599" spans="3:14" x14ac:dyDescent="0.3">
      <c r="C599" s="16"/>
      <c r="G599" s="5" t="str">
        <f t="shared" si="45"/>
        <v/>
      </c>
      <c r="H599" t="str">
        <f>IF(A599="","",IFERROR(_xlfn.XLOOKUP(D599,Setup!$E$15:$E$79,Setup!$F$15:$F$79),"Miscellaneous"))</f>
        <v/>
      </c>
      <c r="I599" t="str">
        <f>IF(A599="","",IFERROR(_xlfn.XLOOKUP(D599,Setup!$E$15:$E$79,Setup!$G$15:$G$79),"Uncategorized"))</f>
        <v/>
      </c>
      <c r="J599" t="str">
        <f t="shared" si="46"/>
        <v/>
      </c>
      <c r="K599" s="4" t="str">
        <f t="shared" si="47"/>
        <v/>
      </c>
      <c r="L599" s="47">
        <f t="shared" si="48"/>
        <v>0</v>
      </c>
      <c r="M599" s="47">
        <f t="shared" si="49"/>
        <v>0</v>
      </c>
      <c r="N599" t="str">
        <f>IF(A599="","",IF(D599="Category Pending","Needs categorization",IF(COUNTIFS($A$2:A599,A599,$B$2:B599,B599,$E$2:E599,E599)&gt;1,"Possible duplicate","")))</f>
        <v/>
      </c>
    </row>
    <row r="600" spans="3:14" x14ac:dyDescent="0.3">
      <c r="C600" s="16"/>
      <c r="G600" s="5" t="str">
        <f t="shared" si="45"/>
        <v/>
      </c>
      <c r="H600" t="str">
        <f>IF(A600="","",IFERROR(_xlfn.XLOOKUP(D600,Setup!$E$15:$E$79,Setup!$F$15:$F$79),"Miscellaneous"))</f>
        <v/>
      </c>
      <c r="I600" t="str">
        <f>IF(A600="","",IFERROR(_xlfn.XLOOKUP(D600,Setup!$E$15:$E$79,Setup!$G$15:$G$79),"Uncategorized"))</f>
        <v/>
      </c>
      <c r="J600" t="str">
        <f t="shared" si="46"/>
        <v/>
      </c>
      <c r="K600" s="4" t="str">
        <f t="shared" si="47"/>
        <v/>
      </c>
      <c r="L600" s="47">
        <f t="shared" si="48"/>
        <v>0</v>
      </c>
      <c r="M600" s="47">
        <f t="shared" si="49"/>
        <v>0</v>
      </c>
      <c r="N600" t="str">
        <f>IF(A600="","",IF(D600="Category Pending","Needs categorization",IF(COUNTIFS($A$2:A600,A600,$B$2:B600,B600,$E$2:E600,E600)&gt;1,"Possible duplicate","")))</f>
        <v/>
      </c>
    </row>
    <row r="601" spans="3:14" x14ac:dyDescent="0.3">
      <c r="C601" s="16"/>
      <c r="G601" s="5" t="str">
        <f t="shared" si="45"/>
        <v/>
      </c>
      <c r="H601" t="str">
        <f>IF(A601="","",IFERROR(_xlfn.XLOOKUP(D601,Setup!$E$15:$E$79,Setup!$F$15:$F$79),"Miscellaneous"))</f>
        <v/>
      </c>
      <c r="I601" t="str">
        <f>IF(A601="","",IFERROR(_xlfn.XLOOKUP(D601,Setup!$E$15:$E$79,Setup!$G$15:$G$79),"Uncategorized"))</f>
        <v/>
      </c>
      <c r="J601" t="str">
        <f t="shared" si="46"/>
        <v/>
      </c>
      <c r="K601" s="4" t="str">
        <f t="shared" si="47"/>
        <v/>
      </c>
      <c r="L601" s="47">
        <f t="shared" si="48"/>
        <v>0</v>
      </c>
      <c r="M601" s="47">
        <f t="shared" si="49"/>
        <v>0</v>
      </c>
      <c r="N601" t="str">
        <f>IF(A601="","",IF(D601="Category Pending","Needs categorization",IF(COUNTIFS($A$2:A601,A601,$B$2:B601,B601,$E$2:E601,E601)&gt;1,"Possible duplicate","")))</f>
        <v/>
      </c>
    </row>
    <row r="602" spans="3:14" x14ac:dyDescent="0.3">
      <c r="C602" s="16"/>
      <c r="G602" s="5" t="str">
        <f t="shared" si="45"/>
        <v/>
      </c>
      <c r="H602" t="str">
        <f>IF(A602="","",IFERROR(_xlfn.XLOOKUP(D602,Setup!$E$15:$E$79,Setup!$F$15:$F$79),"Miscellaneous"))</f>
        <v/>
      </c>
      <c r="I602" t="str">
        <f>IF(A602="","",IFERROR(_xlfn.XLOOKUP(D602,Setup!$E$15:$E$79,Setup!$G$15:$G$79),"Uncategorized"))</f>
        <v/>
      </c>
      <c r="J602" t="str">
        <f t="shared" si="46"/>
        <v/>
      </c>
      <c r="K602" s="4" t="str">
        <f t="shared" si="47"/>
        <v/>
      </c>
      <c r="L602" s="47">
        <f t="shared" si="48"/>
        <v>0</v>
      </c>
      <c r="M602" s="47">
        <f t="shared" si="49"/>
        <v>0</v>
      </c>
      <c r="N602" t="str">
        <f>IF(A602="","",IF(D602="Category Pending","Needs categorization",IF(COUNTIFS($A$2:A602,A602,$B$2:B602,B602,$E$2:E602,E602)&gt;1,"Possible duplicate","")))</f>
        <v/>
      </c>
    </row>
    <row r="603" spans="3:14" x14ac:dyDescent="0.3">
      <c r="C603" s="16"/>
      <c r="G603" s="5" t="str">
        <f t="shared" si="45"/>
        <v/>
      </c>
      <c r="H603" t="str">
        <f>IF(A603="","",IFERROR(_xlfn.XLOOKUP(D603,Setup!$E$15:$E$79,Setup!$F$15:$F$79),"Miscellaneous"))</f>
        <v/>
      </c>
      <c r="I603" t="str">
        <f>IF(A603="","",IFERROR(_xlfn.XLOOKUP(D603,Setup!$E$15:$E$79,Setup!$G$15:$G$79),"Uncategorized"))</f>
        <v/>
      </c>
      <c r="J603" t="str">
        <f t="shared" si="46"/>
        <v/>
      </c>
      <c r="K603" s="4" t="str">
        <f t="shared" si="47"/>
        <v/>
      </c>
      <c r="L603" s="47">
        <f t="shared" si="48"/>
        <v>0</v>
      </c>
      <c r="M603" s="47">
        <f t="shared" si="49"/>
        <v>0</v>
      </c>
      <c r="N603" t="str">
        <f>IF(A603="","",IF(D603="Category Pending","Needs categorization",IF(COUNTIFS($A$2:A603,A603,$B$2:B603,B603,$E$2:E603,E603)&gt;1,"Possible duplicate","")))</f>
        <v/>
      </c>
    </row>
    <row r="604" spans="3:14" x14ac:dyDescent="0.3">
      <c r="C604" s="16"/>
      <c r="G604" s="5" t="str">
        <f t="shared" si="45"/>
        <v/>
      </c>
      <c r="H604" t="str">
        <f>IF(A604="","",IFERROR(_xlfn.XLOOKUP(D604,Setup!$E$15:$E$79,Setup!$F$15:$F$79),"Miscellaneous"))</f>
        <v/>
      </c>
      <c r="I604" t="str">
        <f>IF(A604="","",IFERROR(_xlfn.XLOOKUP(D604,Setup!$E$15:$E$79,Setup!$G$15:$G$79),"Uncategorized"))</f>
        <v/>
      </c>
      <c r="J604" t="str">
        <f t="shared" si="46"/>
        <v/>
      </c>
      <c r="K604" s="4" t="str">
        <f t="shared" si="47"/>
        <v/>
      </c>
      <c r="L604" s="47">
        <f t="shared" si="48"/>
        <v>0</v>
      </c>
      <c r="M604" s="47">
        <f t="shared" si="49"/>
        <v>0</v>
      </c>
      <c r="N604" t="str">
        <f>IF(A604="","",IF(D604="Category Pending","Needs categorization",IF(COUNTIFS($A$2:A604,A604,$B$2:B604,B604,$E$2:E604,E604)&gt;1,"Possible duplicate","")))</f>
        <v/>
      </c>
    </row>
    <row r="605" spans="3:14" x14ac:dyDescent="0.3">
      <c r="C605" s="16"/>
      <c r="G605" s="5" t="str">
        <f t="shared" si="45"/>
        <v/>
      </c>
      <c r="H605" t="str">
        <f>IF(A605="","",IFERROR(_xlfn.XLOOKUP(D605,Setup!$E$15:$E$79,Setup!$F$15:$F$79),"Miscellaneous"))</f>
        <v/>
      </c>
      <c r="I605" t="str">
        <f>IF(A605="","",IFERROR(_xlfn.XLOOKUP(D605,Setup!$E$15:$E$79,Setup!$G$15:$G$79),"Uncategorized"))</f>
        <v/>
      </c>
      <c r="J605" t="str">
        <f t="shared" si="46"/>
        <v/>
      </c>
      <c r="K605" s="4" t="str">
        <f t="shared" si="47"/>
        <v/>
      </c>
      <c r="L605" s="47">
        <f t="shared" si="48"/>
        <v>0</v>
      </c>
      <c r="M605" s="47">
        <f t="shared" si="49"/>
        <v>0</v>
      </c>
      <c r="N605" t="str">
        <f>IF(A605="","",IF(D605="Category Pending","Needs categorization",IF(COUNTIFS($A$2:A605,A605,$B$2:B605,B605,$E$2:E605,E605)&gt;1,"Possible duplicate","")))</f>
        <v/>
      </c>
    </row>
    <row r="606" spans="3:14" x14ac:dyDescent="0.3">
      <c r="C606" s="16"/>
      <c r="G606" s="5" t="str">
        <f t="shared" si="45"/>
        <v/>
      </c>
      <c r="H606" t="str">
        <f>IF(A606="","",IFERROR(_xlfn.XLOOKUP(D606,Setup!$E$15:$E$79,Setup!$F$15:$F$79),"Miscellaneous"))</f>
        <v/>
      </c>
      <c r="I606" t="str">
        <f>IF(A606="","",IFERROR(_xlfn.XLOOKUP(D606,Setup!$E$15:$E$79,Setup!$G$15:$G$79),"Uncategorized"))</f>
        <v/>
      </c>
      <c r="J606" t="str">
        <f t="shared" si="46"/>
        <v/>
      </c>
      <c r="K606" s="4" t="str">
        <f t="shared" si="47"/>
        <v/>
      </c>
      <c r="L606" s="47">
        <f t="shared" si="48"/>
        <v>0</v>
      </c>
      <c r="M606" s="47">
        <f t="shared" si="49"/>
        <v>0</v>
      </c>
      <c r="N606" t="str">
        <f>IF(A606="","",IF(D606="Category Pending","Needs categorization",IF(COUNTIFS($A$2:A606,A606,$B$2:B606,B606,$E$2:E606,E606)&gt;1,"Possible duplicate","")))</f>
        <v/>
      </c>
    </row>
    <row r="607" spans="3:14" x14ac:dyDescent="0.3">
      <c r="C607" s="16"/>
      <c r="G607" s="5" t="str">
        <f t="shared" si="45"/>
        <v/>
      </c>
      <c r="H607" t="str">
        <f>IF(A607="","",IFERROR(_xlfn.XLOOKUP(D607,Setup!$E$15:$E$79,Setup!$F$15:$F$79),"Miscellaneous"))</f>
        <v/>
      </c>
      <c r="I607" t="str">
        <f>IF(A607="","",IFERROR(_xlfn.XLOOKUP(D607,Setup!$E$15:$E$79,Setup!$G$15:$G$79),"Uncategorized"))</f>
        <v/>
      </c>
      <c r="J607" t="str">
        <f t="shared" si="46"/>
        <v/>
      </c>
      <c r="K607" s="4" t="str">
        <f t="shared" si="47"/>
        <v/>
      </c>
      <c r="L607" s="47">
        <f t="shared" si="48"/>
        <v>0</v>
      </c>
      <c r="M607" s="47">
        <f t="shared" si="49"/>
        <v>0</v>
      </c>
      <c r="N607" t="str">
        <f>IF(A607="","",IF(D607="Category Pending","Needs categorization",IF(COUNTIFS($A$2:A607,A607,$B$2:B607,B607,$E$2:E607,E607)&gt;1,"Possible duplicate","")))</f>
        <v/>
      </c>
    </row>
    <row r="608" spans="3:14" x14ac:dyDescent="0.3">
      <c r="C608" s="16"/>
      <c r="G608" s="5" t="str">
        <f t="shared" si="45"/>
        <v/>
      </c>
      <c r="H608" t="str">
        <f>IF(A608="","",IFERROR(_xlfn.XLOOKUP(D608,Setup!$E$15:$E$79,Setup!$F$15:$F$79),"Miscellaneous"))</f>
        <v/>
      </c>
      <c r="I608" t="str">
        <f>IF(A608="","",IFERROR(_xlfn.XLOOKUP(D608,Setup!$E$15:$E$79,Setup!$G$15:$G$79),"Uncategorized"))</f>
        <v/>
      </c>
      <c r="J608" t="str">
        <f t="shared" si="46"/>
        <v/>
      </c>
      <c r="K608" s="4" t="str">
        <f t="shared" si="47"/>
        <v/>
      </c>
      <c r="L608" s="47">
        <f t="shared" si="48"/>
        <v>0</v>
      </c>
      <c r="M608" s="47">
        <f t="shared" si="49"/>
        <v>0</v>
      </c>
      <c r="N608" t="str">
        <f>IF(A608="","",IF(D608="Category Pending","Needs categorization",IF(COUNTIFS($A$2:A608,A608,$B$2:B608,B608,$E$2:E608,E608)&gt;1,"Possible duplicate","")))</f>
        <v/>
      </c>
    </row>
    <row r="609" spans="3:14" x14ac:dyDescent="0.3">
      <c r="C609" s="16"/>
      <c r="G609" s="5" t="str">
        <f t="shared" ref="G609:G672" si="50">IF(A609="","","Checking")</f>
        <v/>
      </c>
      <c r="H609" t="str">
        <f>IF(A609="","",IFERROR(_xlfn.XLOOKUP(D609,Setup!$E$15:$E$79,Setup!$F$15:$F$79),"Miscellaneous"))</f>
        <v/>
      </c>
      <c r="I609" t="str">
        <f>IF(A609="","",IFERROR(_xlfn.XLOOKUP(D609,Setup!$E$15:$E$79,Setup!$G$15:$G$79),"Uncategorized"))</f>
        <v/>
      </c>
      <c r="J609" t="str">
        <f t="shared" ref="J609:J672" si="51">IF(A609="","",IF(OR(H609="Transfers",H609="Income",D609="Transfer",D609="Category Pending"),"No","Yes"))</f>
        <v/>
      </c>
      <c r="K609" s="4" t="str">
        <f t="shared" ref="K609:K672" si="52">IF(A609="","",IF(A609&gt;=46232,TEXT(DATE(YEAR(A609),MONTH(A609)+1,1),"mmmm yyyy"),TEXT(DATE(YEAR(A609),MONTH(A609),1),"mmmm yyyy")))</f>
        <v/>
      </c>
      <c r="L609" s="47">
        <f t="shared" ref="L609:L672" si="53">IF(AND(J609="Yes",E609&lt;0),-E609,0)</f>
        <v>0</v>
      </c>
      <c r="M609" s="47">
        <f t="shared" ref="M609:M672" si="54">IF(AND(J609="Yes",E609&gt;0),E609,0)</f>
        <v>0</v>
      </c>
      <c r="N609" t="str">
        <f>IF(A609="","",IF(D609="Category Pending","Needs categorization",IF(COUNTIFS($A$2:A609,A609,$B$2:B609,B609,$E$2:E609,E609)&gt;1,"Possible duplicate","")))</f>
        <v/>
      </c>
    </row>
    <row r="610" spans="3:14" x14ac:dyDescent="0.3">
      <c r="C610" s="16"/>
      <c r="G610" s="5" t="str">
        <f t="shared" si="50"/>
        <v/>
      </c>
      <c r="H610" t="str">
        <f>IF(A610="","",IFERROR(_xlfn.XLOOKUP(D610,Setup!$E$15:$E$79,Setup!$F$15:$F$79),"Miscellaneous"))</f>
        <v/>
      </c>
      <c r="I610" t="str">
        <f>IF(A610="","",IFERROR(_xlfn.XLOOKUP(D610,Setup!$E$15:$E$79,Setup!$G$15:$G$79),"Uncategorized"))</f>
        <v/>
      </c>
      <c r="J610" t="str">
        <f t="shared" si="51"/>
        <v/>
      </c>
      <c r="K610" s="4" t="str">
        <f t="shared" si="52"/>
        <v/>
      </c>
      <c r="L610" s="47">
        <f t="shared" si="53"/>
        <v>0</v>
      </c>
      <c r="M610" s="47">
        <f t="shared" si="54"/>
        <v>0</v>
      </c>
      <c r="N610" t="str">
        <f>IF(A610="","",IF(D610="Category Pending","Needs categorization",IF(COUNTIFS($A$2:A610,A610,$B$2:B610,B610,$E$2:E610,E610)&gt;1,"Possible duplicate","")))</f>
        <v/>
      </c>
    </row>
    <row r="611" spans="3:14" x14ac:dyDescent="0.3">
      <c r="C611" s="16"/>
      <c r="G611" s="5" t="str">
        <f t="shared" si="50"/>
        <v/>
      </c>
      <c r="H611" t="str">
        <f>IF(A611="","",IFERROR(_xlfn.XLOOKUP(D611,Setup!$E$15:$E$79,Setup!$F$15:$F$79),"Miscellaneous"))</f>
        <v/>
      </c>
      <c r="I611" t="str">
        <f>IF(A611="","",IFERROR(_xlfn.XLOOKUP(D611,Setup!$E$15:$E$79,Setup!$G$15:$G$79),"Uncategorized"))</f>
        <v/>
      </c>
      <c r="J611" t="str">
        <f t="shared" si="51"/>
        <v/>
      </c>
      <c r="K611" s="4" t="str">
        <f t="shared" si="52"/>
        <v/>
      </c>
      <c r="L611" s="47">
        <f t="shared" si="53"/>
        <v>0</v>
      </c>
      <c r="M611" s="47">
        <f t="shared" si="54"/>
        <v>0</v>
      </c>
      <c r="N611" t="str">
        <f>IF(A611="","",IF(D611="Category Pending","Needs categorization",IF(COUNTIFS($A$2:A611,A611,$B$2:B611,B611,$E$2:E611,E611)&gt;1,"Possible duplicate","")))</f>
        <v/>
      </c>
    </row>
    <row r="612" spans="3:14" x14ac:dyDescent="0.3">
      <c r="C612" s="16"/>
      <c r="G612" s="5" t="str">
        <f t="shared" si="50"/>
        <v/>
      </c>
      <c r="H612" t="str">
        <f>IF(A612="","",IFERROR(_xlfn.XLOOKUP(D612,Setup!$E$15:$E$79,Setup!$F$15:$F$79),"Miscellaneous"))</f>
        <v/>
      </c>
      <c r="I612" t="str">
        <f>IF(A612="","",IFERROR(_xlfn.XLOOKUP(D612,Setup!$E$15:$E$79,Setup!$G$15:$G$79),"Uncategorized"))</f>
        <v/>
      </c>
      <c r="J612" t="str">
        <f t="shared" si="51"/>
        <v/>
      </c>
      <c r="K612" s="4" t="str">
        <f t="shared" si="52"/>
        <v/>
      </c>
      <c r="L612" s="47">
        <f t="shared" si="53"/>
        <v>0</v>
      </c>
      <c r="M612" s="47">
        <f t="shared" si="54"/>
        <v>0</v>
      </c>
      <c r="N612" t="str">
        <f>IF(A612="","",IF(D612="Category Pending","Needs categorization",IF(COUNTIFS($A$2:A612,A612,$B$2:B612,B612,$E$2:E612,E612)&gt;1,"Possible duplicate","")))</f>
        <v/>
      </c>
    </row>
    <row r="613" spans="3:14" x14ac:dyDescent="0.3">
      <c r="C613" s="16"/>
      <c r="G613" s="5" t="str">
        <f t="shared" si="50"/>
        <v/>
      </c>
      <c r="H613" t="str">
        <f>IF(A613="","",IFERROR(_xlfn.XLOOKUP(D613,Setup!$E$15:$E$79,Setup!$F$15:$F$79),"Miscellaneous"))</f>
        <v/>
      </c>
      <c r="I613" t="str">
        <f>IF(A613="","",IFERROR(_xlfn.XLOOKUP(D613,Setup!$E$15:$E$79,Setup!$G$15:$G$79),"Uncategorized"))</f>
        <v/>
      </c>
      <c r="J613" t="str">
        <f t="shared" si="51"/>
        <v/>
      </c>
      <c r="K613" s="4" t="str">
        <f t="shared" si="52"/>
        <v/>
      </c>
      <c r="L613" s="47">
        <f t="shared" si="53"/>
        <v>0</v>
      </c>
      <c r="M613" s="47">
        <f t="shared" si="54"/>
        <v>0</v>
      </c>
      <c r="N613" t="str">
        <f>IF(A613="","",IF(D613="Category Pending","Needs categorization",IF(COUNTIFS($A$2:A613,A613,$B$2:B613,B613,$E$2:E613,E613)&gt;1,"Possible duplicate","")))</f>
        <v/>
      </c>
    </row>
    <row r="614" spans="3:14" x14ac:dyDescent="0.3">
      <c r="C614" s="16"/>
      <c r="G614" s="5" t="str">
        <f t="shared" si="50"/>
        <v/>
      </c>
      <c r="H614" t="str">
        <f>IF(A614="","",IFERROR(_xlfn.XLOOKUP(D614,Setup!$E$15:$E$79,Setup!$F$15:$F$79),"Miscellaneous"))</f>
        <v/>
      </c>
      <c r="I614" t="str">
        <f>IF(A614="","",IFERROR(_xlfn.XLOOKUP(D614,Setup!$E$15:$E$79,Setup!$G$15:$G$79),"Uncategorized"))</f>
        <v/>
      </c>
      <c r="J614" t="str">
        <f t="shared" si="51"/>
        <v/>
      </c>
      <c r="K614" s="4" t="str">
        <f t="shared" si="52"/>
        <v/>
      </c>
      <c r="L614" s="47">
        <f t="shared" si="53"/>
        <v>0</v>
      </c>
      <c r="M614" s="47">
        <f t="shared" si="54"/>
        <v>0</v>
      </c>
      <c r="N614" t="str">
        <f>IF(A614="","",IF(D614="Category Pending","Needs categorization",IF(COUNTIFS($A$2:A614,A614,$B$2:B614,B614,$E$2:E614,E614)&gt;1,"Possible duplicate","")))</f>
        <v/>
      </c>
    </row>
    <row r="615" spans="3:14" x14ac:dyDescent="0.3">
      <c r="C615" s="16"/>
      <c r="G615" s="5" t="str">
        <f t="shared" si="50"/>
        <v/>
      </c>
      <c r="H615" t="str">
        <f>IF(A615="","",IFERROR(_xlfn.XLOOKUP(D615,Setup!$E$15:$E$79,Setup!$F$15:$F$79),"Miscellaneous"))</f>
        <v/>
      </c>
      <c r="I615" t="str">
        <f>IF(A615="","",IFERROR(_xlfn.XLOOKUP(D615,Setup!$E$15:$E$79,Setup!$G$15:$G$79),"Uncategorized"))</f>
        <v/>
      </c>
      <c r="J615" t="str">
        <f t="shared" si="51"/>
        <v/>
      </c>
      <c r="K615" s="4" t="str">
        <f t="shared" si="52"/>
        <v/>
      </c>
      <c r="L615" s="47">
        <f t="shared" si="53"/>
        <v>0</v>
      </c>
      <c r="M615" s="47">
        <f t="shared" si="54"/>
        <v>0</v>
      </c>
      <c r="N615" t="str">
        <f>IF(A615="","",IF(D615="Category Pending","Needs categorization",IF(COUNTIFS($A$2:A615,A615,$B$2:B615,B615,$E$2:E615,E615)&gt;1,"Possible duplicate","")))</f>
        <v/>
      </c>
    </row>
    <row r="616" spans="3:14" x14ac:dyDescent="0.3">
      <c r="C616" s="16"/>
      <c r="G616" s="5" t="str">
        <f t="shared" si="50"/>
        <v/>
      </c>
      <c r="H616" t="str">
        <f>IF(A616="","",IFERROR(_xlfn.XLOOKUP(D616,Setup!$E$15:$E$79,Setup!$F$15:$F$79),"Miscellaneous"))</f>
        <v/>
      </c>
      <c r="I616" t="str">
        <f>IF(A616="","",IFERROR(_xlfn.XLOOKUP(D616,Setup!$E$15:$E$79,Setup!$G$15:$G$79),"Uncategorized"))</f>
        <v/>
      </c>
      <c r="J616" t="str">
        <f t="shared" si="51"/>
        <v/>
      </c>
      <c r="K616" s="4" t="str">
        <f t="shared" si="52"/>
        <v/>
      </c>
      <c r="L616" s="47">
        <f t="shared" si="53"/>
        <v>0</v>
      </c>
      <c r="M616" s="47">
        <f t="shared" si="54"/>
        <v>0</v>
      </c>
      <c r="N616" t="str">
        <f>IF(A616="","",IF(D616="Category Pending","Needs categorization",IF(COUNTIFS($A$2:A616,A616,$B$2:B616,B616,$E$2:E616,E616)&gt;1,"Possible duplicate","")))</f>
        <v/>
      </c>
    </row>
    <row r="617" spans="3:14" x14ac:dyDescent="0.3">
      <c r="C617" s="16"/>
      <c r="G617" s="5" t="str">
        <f t="shared" si="50"/>
        <v/>
      </c>
      <c r="H617" t="str">
        <f>IF(A617="","",IFERROR(_xlfn.XLOOKUP(D617,Setup!$E$15:$E$79,Setup!$F$15:$F$79),"Miscellaneous"))</f>
        <v/>
      </c>
      <c r="I617" t="str">
        <f>IF(A617="","",IFERROR(_xlfn.XLOOKUP(D617,Setup!$E$15:$E$79,Setup!$G$15:$G$79),"Uncategorized"))</f>
        <v/>
      </c>
      <c r="J617" t="str">
        <f t="shared" si="51"/>
        <v/>
      </c>
      <c r="K617" s="4" t="str">
        <f t="shared" si="52"/>
        <v/>
      </c>
      <c r="L617" s="47">
        <f t="shared" si="53"/>
        <v>0</v>
      </c>
      <c r="M617" s="47">
        <f t="shared" si="54"/>
        <v>0</v>
      </c>
      <c r="N617" t="str">
        <f>IF(A617="","",IF(D617="Category Pending","Needs categorization",IF(COUNTIFS($A$2:A617,A617,$B$2:B617,B617,$E$2:E617,E617)&gt;1,"Possible duplicate","")))</f>
        <v/>
      </c>
    </row>
    <row r="618" spans="3:14" x14ac:dyDescent="0.3">
      <c r="C618" s="16"/>
      <c r="G618" s="5" t="str">
        <f t="shared" si="50"/>
        <v/>
      </c>
      <c r="H618" t="str">
        <f>IF(A618="","",IFERROR(_xlfn.XLOOKUP(D618,Setup!$E$15:$E$79,Setup!$F$15:$F$79),"Miscellaneous"))</f>
        <v/>
      </c>
      <c r="I618" t="str">
        <f>IF(A618="","",IFERROR(_xlfn.XLOOKUP(D618,Setup!$E$15:$E$79,Setup!$G$15:$G$79),"Uncategorized"))</f>
        <v/>
      </c>
      <c r="J618" t="str">
        <f t="shared" si="51"/>
        <v/>
      </c>
      <c r="K618" s="4" t="str">
        <f t="shared" si="52"/>
        <v/>
      </c>
      <c r="L618" s="47">
        <f t="shared" si="53"/>
        <v>0</v>
      </c>
      <c r="M618" s="47">
        <f t="shared" si="54"/>
        <v>0</v>
      </c>
      <c r="N618" t="str">
        <f>IF(A618="","",IF(D618="Category Pending","Needs categorization",IF(COUNTIFS($A$2:A618,A618,$B$2:B618,B618,$E$2:E618,E618)&gt;1,"Possible duplicate","")))</f>
        <v/>
      </c>
    </row>
    <row r="619" spans="3:14" x14ac:dyDescent="0.3">
      <c r="C619" s="16"/>
      <c r="G619" s="5" t="str">
        <f t="shared" si="50"/>
        <v/>
      </c>
      <c r="H619" t="str">
        <f>IF(A619="","",IFERROR(_xlfn.XLOOKUP(D619,Setup!$E$15:$E$79,Setup!$F$15:$F$79),"Miscellaneous"))</f>
        <v/>
      </c>
      <c r="I619" t="str">
        <f>IF(A619="","",IFERROR(_xlfn.XLOOKUP(D619,Setup!$E$15:$E$79,Setup!$G$15:$G$79),"Uncategorized"))</f>
        <v/>
      </c>
      <c r="J619" t="str">
        <f t="shared" si="51"/>
        <v/>
      </c>
      <c r="K619" s="4" t="str">
        <f t="shared" si="52"/>
        <v/>
      </c>
      <c r="L619" s="47">
        <f t="shared" si="53"/>
        <v>0</v>
      </c>
      <c r="M619" s="47">
        <f t="shared" si="54"/>
        <v>0</v>
      </c>
      <c r="N619" t="str">
        <f>IF(A619="","",IF(D619="Category Pending","Needs categorization",IF(COUNTIFS($A$2:A619,A619,$B$2:B619,B619,$E$2:E619,E619)&gt;1,"Possible duplicate","")))</f>
        <v/>
      </c>
    </row>
    <row r="620" spans="3:14" x14ac:dyDescent="0.3">
      <c r="C620" s="16"/>
      <c r="G620" s="5" t="str">
        <f t="shared" si="50"/>
        <v/>
      </c>
      <c r="H620" t="str">
        <f>IF(A620="","",IFERROR(_xlfn.XLOOKUP(D620,Setup!$E$15:$E$79,Setup!$F$15:$F$79),"Miscellaneous"))</f>
        <v/>
      </c>
      <c r="I620" t="str">
        <f>IF(A620="","",IFERROR(_xlfn.XLOOKUP(D620,Setup!$E$15:$E$79,Setup!$G$15:$G$79),"Uncategorized"))</f>
        <v/>
      </c>
      <c r="J620" t="str">
        <f t="shared" si="51"/>
        <v/>
      </c>
      <c r="K620" s="4" t="str">
        <f t="shared" si="52"/>
        <v/>
      </c>
      <c r="L620" s="47">
        <f t="shared" si="53"/>
        <v>0</v>
      </c>
      <c r="M620" s="47">
        <f t="shared" si="54"/>
        <v>0</v>
      </c>
      <c r="N620" t="str">
        <f>IF(A620="","",IF(D620="Category Pending","Needs categorization",IF(COUNTIFS($A$2:A620,A620,$B$2:B620,B620,$E$2:E620,E620)&gt;1,"Possible duplicate","")))</f>
        <v/>
      </c>
    </row>
    <row r="621" spans="3:14" x14ac:dyDescent="0.3">
      <c r="C621" s="16"/>
      <c r="G621" s="5" t="str">
        <f t="shared" si="50"/>
        <v/>
      </c>
      <c r="H621" t="str">
        <f>IF(A621="","",IFERROR(_xlfn.XLOOKUP(D621,Setup!$E$15:$E$79,Setup!$F$15:$F$79),"Miscellaneous"))</f>
        <v/>
      </c>
      <c r="I621" t="str">
        <f>IF(A621="","",IFERROR(_xlfn.XLOOKUP(D621,Setup!$E$15:$E$79,Setup!$G$15:$G$79),"Uncategorized"))</f>
        <v/>
      </c>
      <c r="J621" t="str">
        <f t="shared" si="51"/>
        <v/>
      </c>
      <c r="K621" s="4" t="str">
        <f t="shared" si="52"/>
        <v/>
      </c>
      <c r="L621" s="47">
        <f t="shared" si="53"/>
        <v>0</v>
      </c>
      <c r="M621" s="47">
        <f t="shared" si="54"/>
        <v>0</v>
      </c>
      <c r="N621" t="str">
        <f>IF(A621="","",IF(D621="Category Pending","Needs categorization",IF(COUNTIFS($A$2:A621,A621,$B$2:B621,B621,$E$2:E621,E621)&gt;1,"Possible duplicate","")))</f>
        <v/>
      </c>
    </row>
    <row r="622" spans="3:14" x14ac:dyDescent="0.3">
      <c r="C622" s="16"/>
      <c r="G622" s="5" t="str">
        <f t="shared" si="50"/>
        <v/>
      </c>
      <c r="H622" t="str">
        <f>IF(A622="","",IFERROR(_xlfn.XLOOKUP(D622,Setup!$E$15:$E$79,Setup!$F$15:$F$79),"Miscellaneous"))</f>
        <v/>
      </c>
      <c r="I622" t="str">
        <f>IF(A622="","",IFERROR(_xlfn.XLOOKUP(D622,Setup!$E$15:$E$79,Setup!$G$15:$G$79),"Uncategorized"))</f>
        <v/>
      </c>
      <c r="J622" t="str">
        <f t="shared" si="51"/>
        <v/>
      </c>
      <c r="K622" s="4" t="str">
        <f t="shared" si="52"/>
        <v/>
      </c>
      <c r="L622" s="47">
        <f t="shared" si="53"/>
        <v>0</v>
      </c>
      <c r="M622" s="47">
        <f t="shared" si="54"/>
        <v>0</v>
      </c>
      <c r="N622" t="str">
        <f>IF(A622="","",IF(D622="Category Pending","Needs categorization",IF(COUNTIFS($A$2:A622,A622,$B$2:B622,B622,$E$2:E622,E622)&gt;1,"Possible duplicate","")))</f>
        <v/>
      </c>
    </row>
    <row r="623" spans="3:14" x14ac:dyDescent="0.3">
      <c r="C623" s="16"/>
      <c r="G623" s="5" t="str">
        <f t="shared" si="50"/>
        <v/>
      </c>
      <c r="H623" t="str">
        <f>IF(A623="","",IFERROR(_xlfn.XLOOKUP(D623,Setup!$E$15:$E$79,Setup!$F$15:$F$79),"Miscellaneous"))</f>
        <v/>
      </c>
      <c r="I623" t="str">
        <f>IF(A623="","",IFERROR(_xlfn.XLOOKUP(D623,Setup!$E$15:$E$79,Setup!$G$15:$G$79),"Uncategorized"))</f>
        <v/>
      </c>
      <c r="J623" t="str">
        <f t="shared" si="51"/>
        <v/>
      </c>
      <c r="K623" s="4" t="str">
        <f t="shared" si="52"/>
        <v/>
      </c>
      <c r="L623" s="47">
        <f t="shared" si="53"/>
        <v>0</v>
      </c>
      <c r="M623" s="47">
        <f t="shared" si="54"/>
        <v>0</v>
      </c>
      <c r="N623" t="str">
        <f>IF(A623="","",IF(D623="Category Pending","Needs categorization",IF(COUNTIFS($A$2:A623,A623,$B$2:B623,B623,$E$2:E623,E623)&gt;1,"Possible duplicate","")))</f>
        <v/>
      </c>
    </row>
    <row r="624" spans="3:14" x14ac:dyDescent="0.3">
      <c r="C624" s="16"/>
      <c r="G624" s="5" t="str">
        <f t="shared" si="50"/>
        <v/>
      </c>
      <c r="H624" t="str">
        <f>IF(A624="","",IFERROR(_xlfn.XLOOKUP(D624,Setup!$E$15:$E$79,Setup!$F$15:$F$79),"Miscellaneous"))</f>
        <v/>
      </c>
      <c r="I624" t="str">
        <f>IF(A624="","",IFERROR(_xlfn.XLOOKUP(D624,Setup!$E$15:$E$79,Setup!$G$15:$G$79),"Uncategorized"))</f>
        <v/>
      </c>
      <c r="J624" t="str">
        <f t="shared" si="51"/>
        <v/>
      </c>
      <c r="K624" s="4" t="str">
        <f t="shared" si="52"/>
        <v/>
      </c>
      <c r="L624" s="47">
        <f t="shared" si="53"/>
        <v>0</v>
      </c>
      <c r="M624" s="47">
        <f t="shared" si="54"/>
        <v>0</v>
      </c>
      <c r="N624" t="str">
        <f>IF(A624="","",IF(D624="Category Pending","Needs categorization",IF(COUNTIFS($A$2:A624,A624,$B$2:B624,B624,$E$2:E624,E624)&gt;1,"Possible duplicate","")))</f>
        <v/>
      </c>
    </row>
    <row r="625" spans="3:14" x14ac:dyDescent="0.3">
      <c r="C625" s="16"/>
      <c r="G625" s="5" t="str">
        <f t="shared" si="50"/>
        <v/>
      </c>
      <c r="H625" t="str">
        <f>IF(A625="","",IFERROR(_xlfn.XLOOKUP(D625,Setup!$E$15:$E$79,Setup!$F$15:$F$79),"Miscellaneous"))</f>
        <v/>
      </c>
      <c r="I625" t="str">
        <f>IF(A625="","",IFERROR(_xlfn.XLOOKUP(D625,Setup!$E$15:$E$79,Setup!$G$15:$G$79),"Uncategorized"))</f>
        <v/>
      </c>
      <c r="J625" t="str">
        <f t="shared" si="51"/>
        <v/>
      </c>
      <c r="K625" s="4" t="str">
        <f t="shared" si="52"/>
        <v/>
      </c>
      <c r="L625" s="47">
        <f t="shared" si="53"/>
        <v>0</v>
      </c>
      <c r="M625" s="47">
        <f t="shared" si="54"/>
        <v>0</v>
      </c>
      <c r="N625" t="str">
        <f>IF(A625="","",IF(D625="Category Pending","Needs categorization",IF(COUNTIFS($A$2:A625,A625,$B$2:B625,B625,$E$2:E625,E625)&gt;1,"Possible duplicate","")))</f>
        <v/>
      </c>
    </row>
    <row r="626" spans="3:14" x14ac:dyDescent="0.3">
      <c r="C626" s="16"/>
      <c r="G626" s="5" t="str">
        <f t="shared" si="50"/>
        <v/>
      </c>
      <c r="H626" t="str">
        <f>IF(A626="","",IFERROR(_xlfn.XLOOKUP(D626,Setup!$E$15:$E$79,Setup!$F$15:$F$79),"Miscellaneous"))</f>
        <v/>
      </c>
      <c r="I626" t="str">
        <f>IF(A626="","",IFERROR(_xlfn.XLOOKUP(D626,Setup!$E$15:$E$79,Setup!$G$15:$G$79),"Uncategorized"))</f>
        <v/>
      </c>
      <c r="J626" t="str">
        <f t="shared" si="51"/>
        <v/>
      </c>
      <c r="K626" s="4" t="str">
        <f t="shared" si="52"/>
        <v/>
      </c>
      <c r="L626" s="47">
        <f t="shared" si="53"/>
        <v>0</v>
      </c>
      <c r="M626" s="47">
        <f t="shared" si="54"/>
        <v>0</v>
      </c>
      <c r="N626" t="str">
        <f>IF(A626="","",IF(D626="Category Pending","Needs categorization",IF(COUNTIFS($A$2:A626,A626,$B$2:B626,B626,$E$2:E626,E626)&gt;1,"Possible duplicate","")))</f>
        <v/>
      </c>
    </row>
    <row r="627" spans="3:14" x14ac:dyDescent="0.3">
      <c r="C627" s="16"/>
      <c r="G627" s="5" t="str">
        <f t="shared" si="50"/>
        <v/>
      </c>
      <c r="H627" t="str">
        <f>IF(A627="","",IFERROR(_xlfn.XLOOKUP(D627,Setup!$E$15:$E$79,Setup!$F$15:$F$79),"Miscellaneous"))</f>
        <v/>
      </c>
      <c r="I627" t="str">
        <f>IF(A627="","",IFERROR(_xlfn.XLOOKUP(D627,Setup!$E$15:$E$79,Setup!$G$15:$G$79),"Uncategorized"))</f>
        <v/>
      </c>
      <c r="J627" t="str">
        <f t="shared" si="51"/>
        <v/>
      </c>
      <c r="K627" s="4" t="str">
        <f t="shared" si="52"/>
        <v/>
      </c>
      <c r="L627" s="47">
        <f t="shared" si="53"/>
        <v>0</v>
      </c>
      <c r="M627" s="47">
        <f t="shared" si="54"/>
        <v>0</v>
      </c>
      <c r="N627" t="str">
        <f>IF(A627="","",IF(D627="Category Pending","Needs categorization",IF(COUNTIFS($A$2:A627,A627,$B$2:B627,B627,$E$2:E627,E627)&gt;1,"Possible duplicate","")))</f>
        <v/>
      </c>
    </row>
    <row r="628" spans="3:14" x14ac:dyDescent="0.3">
      <c r="C628" s="16"/>
      <c r="G628" s="5" t="str">
        <f t="shared" si="50"/>
        <v/>
      </c>
      <c r="H628" t="str">
        <f>IF(A628="","",IFERROR(_xlfn.XLOOKUP(D628,Setup!$E$15:$E$79,Setup!$F$15:$F$79),"Miscellaneous"))</f>
        <v/>
      </c>
      <c r="I628" t="str">
        <f>IF(A628="","",IFERROR(_xlfn.XLOOKUP(D628,Setup!$E$15:$E$79,Setup!$G$15:$G$79),"Uncategorized"))</f>
        <v/>
      </c>
      <c r="J628" t="str">
        <f t="shared" si="51"/>
        <v/>
      </c>
      <c r="K628" s="4" t="str">
        <f t="shared" si="52"/>
        <v/>
      </c>
      <c r="L628" s="47">
        <f t="shared" si="53"/>
        <v>0</v>
      </c>
      <c r="M628" s="47">
        <f t="shared" si="54"/>
        <v>0</v>
      </c>
      <c r="N628" t="str">
        <f>IF(A628="","",IF(D628="Category Pending","Needs categorization",IF(COUNTIFS($A$2:A628,A628,$B$2:B628,B628,$E$2:E628,E628)&gt;1,"Possible duplicate","")))</f>
        <v/>
      </c>
    </row>
    <row r="629" spans="3:14" x14ac:dyDescent="0.3">
      <c r="C629" s="16"/>
      <c r="G629" s="5" t="str">
        <f t="shared" si="50"/>
        <v/>
      </c>
      <c r="H629" t="str">
        <f>IF(A629="","",IFERROR(_xlfn.XLOOKUP(D629,Setup!$E$15:$E$79,Setup!$F$15:$F$79),"Miscellaneous"))</f>
        <v/>
      </c>
      <c r="I629" t="str">
        <f>IF(A629="","",IFERROR(_xlfn.XLOOKUP(D629,Setup!$E$15:$E$79,Setup!$G$15:$G$79),"Uncategorized"))</f>
        <v/>
      </c>
      <c r="J629" t="str">
        <f t="shared" si="51"/>
        <v/>
      </c>
      <c r="K629" s="4" t="str">
        <f t="shared" si="52"/>
        <v/>
      </c>
      <c r="L629" s="47">
        <f t="shared" si="53"/>
        <v>0</v>
      </c>
      <c r="M629" s="47">
        <f t="shared" si="54"/>
        <v>0</v>
      </c>
      <c r="N629" t="str">
        <f>IF(A629="","",IF(D629="Category Pending","Needs categorization",IF(COUNTIFS($A$2:A629,A629,$B$2:B629,B629,$E$2:E629,E629)&gt;1,"Possible duplicate","")))</f>
        <v/>
      </c>
    </row>
    <row r="630" spans="3:14" x14ac:dyDescent="0.3">
      <c r="C630" s="16"/>
      <c r="G630" s="5" t="str">
        <f t="shared" si="50"/>
        <v/>
      </c>
      <c r="H630" t="str">
        <f>IF(A630="","",IFERROR(_xlfn.XLOOKUP(D630,Setup!$E$15:$E$79,Setup!$F$15:$F$79),"Miscellaneous"))</f>
        <v/>
      </c>
      <c r="I630" t="str">
        <f>IF(A630="","",IFERROR(_xlfn.XLOOKUP(D630,Setup!$E$15:$E$79,Setup!$G$15:$G$79),"Uncategorized"))</f>
        <v/>
      </c>
      <c r="J630" t="str">
        <f t="shared" si="51"/>
        <v/>
      </c>
      <c r="K630" s="4" t="str">
        <f t="shared" si="52"/>
        <v/>
      </c>
      <c r="L630" s="47">
        <f t="shared" si="53"/>
        <v>0</v>
      </c>
      <c r="M630" s="47">
        <f t="shared" si="54"/>
        <v>0</v>
      </c>
      <c r="N630" t="str">
        <f>IF(A630="","",IF(D630="Category Pending","Needs categorization",IF(COUNTIFS($A$2:A630,A630,$B$2:B630,B630,$E$2:E630,E630)&gt;1,"Possible duplicate","")))</f>
        <v/>
      </c>
    </row>
    <row r="631" spans="3:14" x14ac:dyDescent="0.3">
      <c r="C631" s="16"/>
      <c r="G631" s="5" t="str">
        <f t="shared" si="50"/>
        <v/>
      </c>
      <c r="H631" t="str">
        <f>IF(A631="","",IFERROR(_xlfn.XLOOKUP(D631,Setup!$E$15:$E$79,Setup!$F$15:$F$79),"Miscellaneous"))</f>
        <v/>
      </c>
      <c r="I631" t="str">
        <f>IF(A631="","",IFERROR(_xlfn.XLOOKUP(D631,Setup!$E$15:$E$79,Setup!$G$15:$G$79),"Uncategorized"))</f>
        <v/>
      </c>
      <c r="J631" t="str">
        <f t="shared" si="51"/>
        <v/>
      </c>
      <c r="K631" s="4" t="str">
        <f t="shared" si="52"/>
        <v/>
      </c>
      <c r="L631" s="47">
        <f t="shared" si="53"/>
        <v>0</v>
      </c>
      <c r="M631" s="47">
        <f t="shared" si="54"/>
        <v>0</v>
      </c>
      <c r="N631" t="str">
        <f>IF(A631="","",IF(D631="Category Pending","Needs categorization",IF(COUNTIFS($A$2:A631,A631,$B$2:B631,B631,$E$2:E631,E631)&gt;1,"Possible duplicate","")))</f>
        <v/>
      </c>
    </row>
    <row r="632" spans="3:14" x14ac:dyDescent="0.3">
      <c r="C632" s="16"/>
      <c r="G632" s="5" t="str">
        <f t="shared" si="50"/>
        <v/>
      </c>
      <c r="H632" t="str">
        <f>IF(A632="","",IFERROR(_xlfn.XLOOKUP(D632,Setup!$E$15:$E$79,Setup!$F$15:$F$79),"Miscellaneous"))</f>
        <v/>
      </c>
      <c r="I632" t="str">
        <f>IF(A632="","",IFERROR(_xlfn.XLOOKUP(D632,Setup!$E$15:$E$79,Setup!$G$15:$G$79),"Uncategorized"))</f>
        <v/>
      </c>
      <c r="J632" t="str">
        <f t="shared" si="51"/>
        <v/>
      </c>
      <c r="K632" s="4" t="str">
        <f t="shared" si="52"/>
        <v/>
      </c>
      <c r="L632" s="47">
        <f t="shared" si="53"/>
        <v>0</v>
      </c>
      <c r="M632" s="47">
        <f t="shared" si="54"/>
        <v>0</v>
      </c>
      <c r="N632" t="str">
        <f>IF(A632="","",IF(D632="Category Pending","Needs categorization",IF(COUNTIFS($A$2:A632,A632,$B$2:B632,B632,$E$2:E632,E632)&gt;1,"Possible duplicate","")))</f>
        <v/>
      </c>
    </row>
    <row r="633" spans="3:14" x14ac:dyDescent="0.3">
      <c r="C633" s="16"/>
      <c r="G633" s="5" t="str">
        <f t="shared" si="50"/>
        <v/>
      </c>
      <c r="H633" t="str">
        <f>IF(A633="","",IFERROR(_xlfn.XLOOKUP(D633,Setup!$E$15:$E$79,Setup!$F$15:$F$79),"Miscellaneous"))</f>
        <v/>
      </c>
      <c r="I633" t="str">
        <f>IF(A633="","",IFERROR(_xlfn.XLOOKUP(D633,Setup!$E$15:$E$79,Setup!$G$15:$G$79),"Uncategorized"))</f>
        <v/>
      </c>
      <c r="J633" t="str">
        <f t="shared" si="51"/>
        <v/>
      </c>
      <c r="K633" s="4" t="str">
        <f t="shared" si="52"/>
        <v/>
      </c>
      <c r="L633" s="47">
        <f t="shared" si="53"/>
        <v>0</v>
      </c>
      <c r="M633" s="47">
        <f t="shared" si="54"/>
        <v>0</v>
      </c>
      <c r="N633" t="str">
        <f>IF(A633="","",IF(D633="Category Pending","Needs categorization",IF(COUNTIFS($A$2:A633,A633,$B$2:B633,B633,$E$2:E633,E633)&gt;1,"Possible duplicate","")))</f>
        <v/>
      </c>
    </row>
    <row r="634" spans="3:14" x14ac:dyDescent="0.3">
      <c r="C634" s="16"/>
      <c r="G634" s="5" t="str">
        <f t="shared" si="50"/>
        <v/>
      </c>
      <c r="H634" t="str">
        <f>IF(A634="","",IFERROR(_xlfn.XLOOKUP(D634,Setup!$E$15:$E$79,Setup!$F$15:$F$79),"Miscellaneous"))</f>
        <v/>
      </c>
      <c r="I634" t="str">
        <f>IF(A634="","",IFERROR(_xlfn.XLOOKUP(D634,Setup!$E$15:$E$79,Setup!$G$15:$G$79),"Uncategorized"))</f>
        <v/>
      </c>
      <c r="J634" t="str">
        <f t="shared" si="51"/>
        <v/>
      </c>
      <c r="K634" s="4" t="str">
        <f t="shared" si="52"/>
        <v/>
      </c>
      <c r="L634" s="47">
        <f t="shared" si="53"/>
        <v>0</v>
      </c>
      <c r="M634" s="47">
        <f t="shared" si="54"/>
        <v>0</v>
      </c>
      <c r="N634" t="str">
        <f>IF(A634="","",IF(D634="Category Pending","Needs categorization",IF(COUNTIFS($A$2:A634,A634,$B$2:B634,B634,$E$2:E634,E634)&gt;1,"Possible duplicate","")))</f>
        <v/>
      </c>
    </row>
    <row r="635" spans="3:14" x14ac:dyDescent="0.3">
      <c r="C635" s="16"/>
      <c r="G635" s="5" t="str">
        <f t="shared" si="50"/>
        <v/>
      </c>
      <c r="H635" t="str">
        <f>IF(A635="","",IFERROR(_xlfn.XLOOKUP(D635,Setup!$E$15:$E$79,Setup!$F$15:$F$79),"Miscellaneous"))</f>
        <v/>
      </c>
      <c r="I635" t="str">
        <f>IF(A635="","",IFERROR(_xlfn.XLOOKUP(D635,Setup!$E$15:$E$79,Setup!$G$15:$G$79),"Uncategorized"))</f>
        <v/>
      </c>
      <c r="J635" t="str">
        <f t="shared" si="51"/>
        <v/>
      </c>
      <c r="K635" s="4" t="str">
        <f t="shared" si="52"/>
        <v/>
      </c>
      <c r="L635" s="47">
        <f t="shared" si="53"/>
        <v>0</v>
      </c>
      <c r="M635" s="47">
        <f t="shared" si="54"/>
        <v>0</v>
      </c>
      <c r="N635" t="str">
        <f>IF(A635="","",IF(D635="Category Pending","Needs categorization",IF(COUNTIFS($A$2:A635,A635,$B$2:B635,B635,$E$2:E635,E635)&gt;1,"Possible duplicate","")))</f>
        <v/>
      </c>
    </row>
    <row r="636" spans="3:14" x14ac:dyDescent="0.3">
      <c r="C636" s="16"/>
      <c r="G636" s="5" t="str">
        <f t="shared" si="50"/>
        <v/>
      </c>
      <c r="H636" t="str">
        <f>IF(A636="","",IFERROR(_xlfn.XLOOKUP(D636,Setup!$E$15:$E$79,Setup!$F$15:$F$79),"Miscellaneous"))</f>
        <v/>
      </c>
      <c r="I636" t="str">
        <f>IF(A636="","",IFERROR(_xlfn.XLOOKUP(D636,Setup!$E$15:$E$79,Setup!$G$15:$G$79),"Uncategorized"))</f>
        <v/>
      </c>
      <c r="J636" t="str">
        <f t="shared" si="51"/>
        <v/>
      </c>
      <c r="K636" s="4" t="str">
        <f t="shared" si="52"/>
        <v/>
      </c>
      <c r="L636" s="47">
        <f t="shared" si="53"/>
        <v>0</v>
      </c>
      <c r="M636" s="47">
        <f t="shared" si="54"/>
        <v>0</v>
      </c>
      <c r="N636" t="str">
        <f>IF(A636="","",IF(D636="Category Pending","Needs categorization",IF(COUNTIFS($A$2:A636,A636,$B$2:B636,B636,$E$2:E636,E636)&gt;1,"Possible duplicate","")))</f>
        <v/>
      </c>
    </row>
    <row r="637" spans="3:14" x14ac:dyDescent="0.3">
      <c r="C637" s="16"/>
      <c r="G637" s="5" t="str">
        <f t="shared" si="50"/>
        <v/>
      </c>
      <c r="H637" t="str">
        <f>IF(A637="","",IFERROR(_xlfn.XLOOKUP(D637,Setup!$E$15:$E$79,Setup!$F$15:$F$79),"Miscellaneous"))</f>
        <v/>
      </c>
      <c r="I637" t="str">
        <f>IF(A637="","",IFERROR(_xlfn.XLOOKUP(D637,Setup!$E$15:$E$79,Setup!$G$15:$G$79),"Uncategorized"))</f>
        <v/>
      </c>
      <c r="J637" t="str">
        <f t="shared" si="51"/>
        <v/>
      </c>
      <c r="K637" s="4" t="str">
        <f t="shared" si="52"/>
        <v/>
      </c>
      <c r="L637" s="47">
        <f t="shared" si="53"/>
        <v>0</v>
      </c>
      <c r="M637" s="47">
        <f t="shared" si="54"/>
        <v>0</v>
      </c>
      <c r="N637" t="str">
        <f>IF(A637="","",IF(D637="Category Pending","Needs categorization",IF(COUNTIFS($A$2:A637,A637,$B$2:B637,B637,$E$2:E637,E637)&gt;1,"Possible duplicate","")))</f>
        <v/>
      </c>
    </row>
    <row r="638" spans="3:14" x14ac:dyDescent="0.3">
      <c r="C638" s="16"/>
      <c r="G638" s="5" t="str">
        <f t="shared" si="50"/>
        <v/>
      </c>
      <c r="H638" t="str">
        <f>IF(A638="","",IFERROR(_xlfn.XLOOKUP(D638,Setup!$E$15:$E$79,Setup!$F$15:$F$79),"Miscellaneous"))</f>
        <v/>
      </c>
      <c r="I638" t="str">
        <f>IF(A638="","",IFERROR(_xlfn.XLOOKUP(D638,Setup!$E$15:$E$79,Setup!$G$15:$G$79),"Uncategorized"))</f>
        <v/>
      </c>
      <c r="J638" t="str">
        <f t="shared" si="51"/>
        <v/>
      </c>
      <c r="K638" s="4" t="str">
        <f t="shared" si="52"/>
        <v/>
      </c>
      <c r="L638" s="47">
        <f t="shared" si="53"/>
        <v>0</v>
      </c>
      <c r="M638" s="47">
        <f t="shared" si="54"/>
        <v>0</v>
      </c>
      <c r="N638" t="str">
        <f>IF(A638="","",IF(D638="Category Pending","Needs categorization",IF(COUNTIFS($A$2:A638,A638,$B$2:B638,B638,$E$2:E638,E638)&gt;1,"Possible duplicate","")))</f>
        <v/>
      </c>
    </row>
    <row r="639" spans="3:14" x14ac:dyDescent="0.3">
      <c r="C639" s="16"/>
      <c r="G639" s="5" t="str">
        <f t="shared" si="50"/>
        <v/>
      </c>
      <c r="H639" t="str">
        <f>IF(A639="","",IFERROR(_xlfn.XLOOKUP(D639,Setup!$E$15:$E$79,Setup!$F$15:$F$79),"Miscellaneous"))</f>
        <v/>
      </c>
      <c r="I639" t="str">
        <f>IF(A639="","",IFERROR(_xlfn.XLOOKUP(D639,Setup!$E$15:$E$79,Setup!$G$15:$G$79),"Uncategorized"))</f>
        <v/>
      </c>
      <c r="J639" t="str">
        <f t="shared" si="51"/>
        <v/>
      </c>
      <c r="K639" s="4" t="str">
        <f t="shared" si="52"/>
        <v/>
      </c>
      <c r="L639" s="47">
        <f t="shared" si="53"/>
        <v>0</v>
      </c>
      <c r="M639" s="47">
        <f t="shared" si="54"/>
        <v>0</v>
      </c>
      <c r="N639" t="str">
        <f>IF(A639="","",IF(D639="Category Pending","Needs categorization",IF(COUNTIFS($A$2:A639,A639,$B$2:B639,B639,$E$2:E639,E639)&gt;1,"Possible duplicate","")))</f>
        <v/>
      </c>
    </row>
    <row r="640" spans="3:14" x14ac:dyDescent="0.3">
      <c r="C640" s="16"/>
      <c r="G640" s="5" t="str">
        <f t="shared" si="50"/>
        <v/>
      </c>
      <c r="H640" t="str">
        <f>IF(A640="","",IFERROR(_xlfn.XLOOKUP(D640,Setup!$E$15:$E$79,Setup!$F$15:$F$79),"Miscellaneous"))</f>
        <v/>
      </c>
      <c r="I640" t="str">
        <f>IF(A640="","",IFERROR(_xlfn.XLOOKUP(D640,Setup!$E$15:$E$79,Setup!$G$15:$G$79),"Uncategorized"))</f>
        <v/>
      </c>
      <c r="J640" t="str">
        <f t="shared" si="51"/>
        <v/>
      </c>
      <c r="K640" s="4" t="str">
        <f t="shared" si="52"/>
        <v/>
      </c>
      <c r="L640" s="47">
        <f t="shared" si="53"/>
        <v>0</v>
      </c>
      <c r="M640" s="47">
        <f t="shared" si="54"/>
        <v>0</v>
      </c>
      <c r="N640" t="str">
        <f>IF(A640="","",IF(D640="Category Pending","Needs categorization",IF(COUNTIFS($A$2:A640,A640,$B$2:B640,B640,$E$2:E640,E640)&gt;1,"Possible duplicate","")))</f>
        <v/>
      </c>
    </row>
    <row r="641" spans="3:14" x14ac:dyDescent="0.3">
      <c r="C641" s="16"/>
      <c r="G641" s="5" t="str">
        <f t="shared" si="50"/>
        <v/>
      </c>
      <c r="H641" t="str">
        <f>IF(A641="","",IFERROR(_xlfn.XLOOKUP(D641,Setup!$E$15:$E$79,Setup!$F$15:$F$79),"Miscellaneous"))</f>
        <v/>
      </c>
      <c r="I641" t="str">
        <f>IF(A641="","",IFERROR(_xlfn.XLOOKUP(D641,Setup!$E$15:$E$79,Setup!$G$15:$G$79),"Uncategorized"))</f>
        <v/>
      </c>
      <c r="J641" t="str">
        <f t="shared" si="51"/>
        <v/>
      </c>
      <c r="K641" s="4" t="str">
        <f t="shared" si="52"/>
        <v/>
      </c>
      <c r="L641" s="47">
        <f t="shared" si="53"/>
        <v>0</v>
      </c>
      <c r="M641" s="47">
        <f t="shared" si="54"/>
        <v>0</v>
      </c>
      <c r="N641" t="str">
        <f>IF(A641="","",IF(D641="Category Pending","Needs categorization",IF(COUNTIFS($A$2:A641,A641,$B$2:B641,B641,$E$2:E641,E641)&gt;1,"Possible duplicate","")))</f>
        <v/>
      </c>
    </row>
    <row r="642" spans="3:14" x14ac:dyDescent="0.3">
      <c r="C642" s="16"/>
      <c r="G642" s="5" t="str">
        <f t="shared" si="50"/>
        <v/>
      </c>
      <c r="H642" t="str">
        <f>IF(A642="","",IFERROR(_xlfn.XLOOKUP(D642,Setup!$E$15:$E$79,Setup!$F$15:$F$79),"Miscellaneous"))</f>
        <v/>
      </c>
      <c r="I642" t="str">
        <f>IF(A642="","",IFERROR(_xlfn.XLOOKUP(D642,Setup!$E$15:$E$79,Setup!$G$15:$G$79),"Uncategorized"))</f>
        <v/>
      </c>
      <c r="J642" t="str">
        <f t="shared" si="51"/>
        <v/>
      </c>
      <c r="K642" s="4" t="str">
        <f t="shared" si="52"/>
        <v/>
      </c>
      <c r="L642" s="47">
        <f t="shared" si="53"/>
        <v>0</v>
      </c>
      <c r="M642" s="47">
        <f t="shared" si="54"/>
        <v>0</v>
      </c>
      <c r="N642" t="str">
        <f>IF(A642="","",IF(D642="Category Pending","Needs categorization",IF(COUNTIFS($A$2:A642,A642,$B$2:B642,B642,$E$2:E642,E642)&gt;1,"Possible duplicate","")))</f>
        <v/>
      </c>
    </row>
    <row r="643" spans="3:14" x14ac:dyDescent="0.3">
      <c r="C643" s="16"/>
      <c r="G643" s="5" t="str">
        <f t="shared" si="50"/>
        <v/>
      </c>
      <c r="H643" t="str">
        <f>IF(A643="","",IFERROR(_xlfn.XLOOKUP(D643,Setup!$E$15:$E$79,Setup!$F$15:$F$79),"Miscellaneous"))</f>
        <v/>
      </c>
      <c r="I643" t="str">
        <f>IF(A643="","",IFERROR(_xlfn.XLOOKUP(D643,Setup!$E$15:$E$79,Setup!$G$15:$G$79),"Uncategorized"))</f>
        <v/>
      </c>
      <c r="J643" t="str">
        <f t="shared" si="51"/>
        <v/>
      </c>
      <c r="K643" s="4" t="str">
        <f t="shared" si="52"/>
        <v/>
      </c>
      <c r="L643" s="47">
        <f t="shared" si="53"/>
        <v>0</v>
      </c>
      <c r="M643" s="47">
        <f t="shared" si="54"/>
        <v>0</v>
      </c>
      <c r="N643" t="str">
        <f>IF(A643="","",IF(D643="Category Pending","Needs categorization",IF(COUNTIFS($A$2:A643,A643,$B$2:B643,B643,$E$2:E643,E643)&gt;1,"Possible duplicate","")))</f>
        <v/>
      </c>
    </row>
    <row r="644" spans="3:14" x14ac:dyDescent="0.3">
      <c r="C644" s="16"/>
      <c r="G644" s="5" t="str">
        <f t="shared" si="50"/>
        <v/>
      </c>
      <c r="H644" t="str">
        <f>IF(A644="","",IFERROR(_xlfn.XLOOKUP(D644,Setup!$E$15:$E$79,Setup!$F$15:$F$79),"Miscellaneous"))</f>
        <v/>
      </c>
      <c r="I644" t="str">
        <f>IF(A644="","",IFERROR(_xlfn.XLOOKUP(D644,Setup!$E$15:$E$79,Setup!$G$15:$G$79),"Uncategorized"))</f>
        <v/>
      </c>
      <c r="J644" t="str">
        <f t="shared" si="51"/>
        <v/>
      </c>
      <c r="K644" s="4" t="str">
        <f t="shared" si="52"/>
        <v/>
      </c>
      <c r="L644" s="47">
        <f t="shared" si="53"/>
        <v>0</v>
      </c>
      <c r="M644" s="47">
        <f t="shared" si="54"/>
        <v>0</v>
      </c>
      <c r="N644" t="str">
        <f>IF(A644="","",IF(D644="Category Pending","Needs categorization",IF(COUNTIFS($A$2:A644,A644,$B$2:B644,B644,$E$2:E644,E644)&gt;1,"Possible duplicate","")))</f>
        <v/>
      </c>
    </row>
    <row r="645" spans="3:14" x14ac:dyDescent="0.3">
      <c r="C645" s="16"/>
      <c r="G645" s="5" t="str">
        <f t="shared" si="50"/>
        <v/>
      </c>
      <c r="H645" t="str">
        <f>IF(A645="","",IFERROR(_xlfn.XLOOKUP(D645,Setup!$E$15:$E$79,Setup!$F$15:$F$79),"Miscellaneous"))</f>
        <v/>
      </c>
      <c r="I645" t="str">
        <f>IF(A645="","",IFERROR(_xlfn.XLOOKUP(D645,Setup!$E$15:$E$79,Setup!$G$15:$G$79),"Uncategorized"))</f>
        <v/>
      </c>
      <c r="J645" t="str">
        <f t="shared" si="51"/>
        <v/>
      </c>
      <c r="K645" s="4" t="str">
        <f t="shared" si="52"/>
        <v/>
      </c>
      <c r="L645" s="47">
        <f t="shared" si="53"/>
        <v>0</v>
      </c>
      <c r="M645" s="47">
        <f t="shared" si="54"/>
        <v>0</v>
      </c>
      <c r="N645" t="str">
        <f>IF(A645="","",IF(D645="Category Pending","Needs categorization",IF(COUNTIFS($A$2:A645,A645,$B$2:B645,B645,$E$2:E645,E645)&gt;1,"Possible duplicate","")))</f>
        <v/>
      </c>
    </row>
    <row r="646" spans="3:14" x14ac:dyDescent="0.3">
      <c r="C646" s="16"/>
      <c r="G646" s="5" t="str">
        <f t="shared" si="50"/>
        <v/>
      </c>
      <c r="H646" t="str">
        <f>IF(A646="","",IFERROR(_xlfn.XLOOKUP(D646,Setup!$E$15:$E$79,Setup!$F$15:$F$79),"Miscellaneous"))</f>
        <v/>
      </c>
      <c r="I646" t="str">
        <f>IF(A646="","",IFERROR(_xlfn.XLOOKUP(D646,Setup!$E$15:$E$79,Setup!$G$15:$G$79),"Uncategorized"))</f>
        <v/>
      </c>
      <c r="J646" t="str">
        <f t="shared" si="51"/>
        <v/>
      </c>
      <c r="K646" s="4" t="str">
        <f t="shared" si="52"/>
        <v/>
      </c>
      <c r="L646" s="47">
        <f t="shared" si="53"/>
        <v>0</v>
      </c>
      <c r="M646" s="47">
        <f t="shared" si="54"/>
        <v>0</v>
      </c>
      <c r="N646" t="str">
        <f>IF(A646="","",IF(D646="Category Pending","Needs categorization",IF(COUNTIFS($A$2:A646,A646,$B$2:B646,B646,$E$2:E646,E646)&gt;1,"Possible duplicate","")))</f>
        <v/>
      </c>
    </row>
    <row r="647" spans="3:14" x14ac:dyDescent="0.3">
      <c r="C647" s="16"/>
      <c r="G647" s="5" t="str">
        <f t="shared" si="50"/>
        <v/>
      </c>
      <c r="H647" t="str">
        <f>IF(A647="","",IFERROR(_xlfn.XLOOKUP(D647,Setup!$E$15:$E$79,Setup!$F$15:$F$79),"Miscellaneous"))</f>
        <v/>
      </c>
      <c r="I647" t="str">
        <f>IF(A647="","",IFERROR(_xlfn.XLOOKUP(D647,Setup!$E$15:$E$79,Setup!$G$15:$G$79),"Uncategorized"))</f>
        <v/>
      </c>
      <c r="J647" t="str">
        <f t="shared" si="51"/>
        <v/>
      </c>
      <c r="K647" s="4" t="str">
        <f t="shared" si="52"/>
        <v/>
      </c>
      <c r="L647" s="47">
        <f t="shared" si="53"/>
        <v>0</v>
      </c>
      <c r="M647" s="47">
        <f t="shared" si="54"/>
        <v>0</v>
      </c>
      <c r="N647" t="str">
        <f>IF(A647="","",IF(D647="Category Pending","Needs categorization",IF(COUNTIFS($A$2:A647,A647,$B$2:B647,B647,$E$2:E647,E647)&gt;1,"Possible duplicate","")))</f>
        <v/>
      </c>
    </row>
    <row r="648" spans="3:14" x14ac:dyDescent="0.3">
      <c r="C648" s="16"/>
      <c r="G648" s="5" t="str">
        <f t="shared" si="50"/>
        <v/>
      </c>
      <c r="H648" t="str">
        <f>IF(A648="","",IFERROR(_xlfn.XLOOKUP(D648,Setup!$E$15:$E$79,Setup!$F$15:$F$79),"Miscellaneous"))</f>
        <v/>
      </c>
      <c r="I648" t="str">
        <f>IF(A648="","",IFERROR(_xlfn.XLOOKUP(D648,Setup!$E$15:$E$79,Setup!$G$15:$G$79),"Uncategorized"))</f>
        <v/>
      </c>
      <c r="J648" t="str">
        <f t="shared" si="51"/>
        <v/>
      </c>
      <c r="K648" s="4" t="str">
        <f t="shared" si="52"/>
        <v/>
      </c>
      <c r="L648" s="47">
        <f t="shared" si="53"/>
        <v>0</v>
      </c>
      <c r="M648" s="47">
        <f t="shared" si="54"/>
        <v>0</v>
      </c>
      <c r="N648" t="str">
        <f>IF(A648="","",IF(D648="Category Pending","Needs categorization",IF(COUNTIFS($A$2:A648,A648,$B$2:B648,B648,$E$2:E648,E648)&gt;1,"Possible duplicate","")))</f>
        <v/>
      </c>
    </row>
    <row r="649" spans="3:14" x14ac:dyDescent="0.3">
      <c r="C649" s="16"/>
      <c r="G649" s="5" t="str">
        <f t="shared" si="50"/>
        <v/>
      </c>
      <c r="H649" t="str">
        <f>IF(A649="","",IFERROR(_xlfn.XLOOKUP(D649,Setup!$E$15:$E$79,Setup!$F$15:$F$79),"Miscellaneous"))</f>
        <v/>
      </c>
      <c r="I649" t="str">
        <f>IF(A649="","",IFERROR(_xlfn.XLOOKUP(D649,Setup!$E$15:$E$79,Setup!$G$15:$G$79),"Uncategorized"))</f>
        <v/>
      </c>
      <c r="J649" t="str">
        <f t="shared" si="51"/>
        <v/>
      </c>
      <c r="K649" s="4" t="str">
        <f t="shared" si="52"/>
        <v/>
      </c>
      <c r="L649" s="47">
        <f t="shared" si="53"/>
        <v>0</v>
      </c>
      <c r="M649" s="47">
        <f t="shared" si="54"/>
        <v>0</v>
      </c>
      <c r="N649" t="str">
        <f>IF(A649="","",IF(D649="Category Pending","Needs categorization",IF(COUNTIFS($A$2:A649,A649,$B$2:B649,B649,$E$2:E649,E649)&gt;1,"Possible duplicate","")))</f>
        <v/>
      </c>
    </row>
    <row r="650" spans="3:14" x14ac:dyDescent="0.3">
      <c r="C650" s="16"/>
      <c r="G650" s="5" t="str">
        <f t="shared" si="50"/>
        <v/>
      </c>
      <c r="H650" t="str">
        <f>IF(A650="","",IFERROR(_xlfn.XLOOKUP(D650,Setup!$E$15:$E$79,Setup!$F$15:$F$79),"Miscellaneous"))</f>
        <v/>
      </c>
      <c r="I650" t="str">
        <f>IF(A650="","",IFERROR(_xlfn.XLOOKUP(D650,Setup!$E$15:$E$79,Setup!$G$15:$G$79),"Uncategorized"))</f>
        <v/>
      </c>
      <c r="J650" t="str">
        <f t="shared" si="51"/>
        <v/>
      </c>
      <c r="K650" s="4" t="str">
        <f t="shared" si="52"/>
        <v/>
      </c>
      <c r="L650" s="47">
        <f t="shared" si="53"/>
        <v>0</v>
      </c>
      <c r="M650" s="47">
        <f t="shared" si="54"/>
        <v>0</v>
      </c>
      <c r="N650" t="str">
        <f>IF(A650="","",IF(D650="Category Pending","Needs categorization",IF(COUNTIFS($A$2:A650,A650,$B$2:B650,B650,$E$2:E650,E650)&gt;1,"Possible duplicate","")))</f>
        <v/>
      </c>
    </row>
    <row r="651" spans="3:14" x14ac:dyDescent="0.3">
      <c r="C651" s="16"/>
      <c r="G651" s="5" t="str">
        <f t="shared" si="50"/>
        <v/>
      </c>
      <c r="H651" t="str">
        <f>IF(A651="","",IFERROR(_xlfn.XLOOKUP(D651,Setup!$E$15:$E$79,Setup!$F$15:$F$79),"Miscellaneous"))</f>
        <v/>
      </c>
      <c r="I651" t="str">
        <f>IF(A651="","",IFERROR(_xlfn.XLOOKUP(D651,Setup!$E$15:$E$79,Setup!$G$15:$G$79),"Uncategorized"))</f>
        <v/>
      </c>
      <c r="J651" t="str">
        <f t="shared" si="51"/>
        <v/>
      </c>
      <c r="K651" s="4" t="str">
        <f t="shared" si="52"/>
        <v/>
      </c>
      <c r="L651" s="47">
        <f t="shared" si="53"/>
        <v>0</v>
      </c>
      <c r="M651" s="47">
        <f t="shared" si="54"/>
        <v>0</v>
      </c>
      <c r="N651" t="str">
        <f>IF(A651="","",IF(D651="Category Pending","Needs categorization",IF(COUNTIFS($A$2:A651,A651,$B$2:B651,B651,$E$2:E651,E651)&gt;1,"Possible duplicate","")))</f>
        <v/>
      </c>
    </row>
    <row r="652" spans="3:14" x14ac:dyDescent="0.3">
      <c r="C652" s="16"/>
      <c r="G652" s="5" t="str">
        <f t="shared" si="50"/>
        <v/>
      </c>
      <c r="H652" t="str">
        <f>IF(A652="","",IFERROR(_xlfn.XLOOKUP(D652,Setup!$E$15:$E$79,Setup!$F$15:$F$79),"Miscellaneous"))</f>
        <v/>
      </c>
      <c r="I652" t="str">
        <f>IF(A652="","",IFERROR(_xlfn.XLOOKUP(D652,Setup!$E$15:$E$79,Setup!$G$15:$G$79),"Uncategorized"))</f>
        <v/>
      </c>
      <c r="J652" t="str">
        <f t="shared" si="51"/>
        <v/>
      </c>
      <c r="K652" s="4" t="str">
        <f t="shared" si="52"/>
        <v/>
      </c>
      <c r="L652" s="47">
        <f t="shared" si="53"/>
        <v>0</v>
      </c>
      <c r="M652" s="47">
        <f t="shared" si="54"/>
        <v>0</v>
      </c>
      <c r="N652" t="str">
        <f>IF(A652="","",IF(D652="Category Pending","Needs categorization",IF(COUNTIFS($A$2:A652,A652,$B$2:B652,B652,$E$2:E652,E652)&gt;1,"Possible duplicate","")))</f>
        <v/>
      </c>
    </row>
    <row r="653" spans="3:14" x14ac:dyDescent="0.3">
      <c r="C653" s="16"/>
      <c r="G653" s="5" t="str">
        <f t="shared" si="50"/>
        <v/>
      </c>
      <c r="H653" t="str">
        <f>IF(A653="","",IFERROR(_xlfn.XLOOKUP(D653,Setup!$E$15:$E$79,Setup!$F$15:$F$79),"Miscellaneous"))</f>
        <v/>
      </c>
      <c r="I653" t="str">
        <f>IF(A653="","",IFERROR(_xlfn.XLOOKUP(D653,Setup!$E$15:$E$79,Setup!$G$15:$G$79),"Uncategorized"))</f>
        <v/>
      </c>
      <c r="J653" t="str">
        <f t="shared" si="51"/>
        <v/>
      </c>
      <c r="K653" s="4" t="str">
        <f t="shared" si="52"/>
        <v/>
      </c>
      <c r="L653" s="47">
        <f t="shared" si="53"/>
        <v>0</v>
      </c>
      <c r="M653" s="47">
        <f t="shared" si="54"/>
        <v>0</v>
      </c>
      <c r="N653" t="str">
        <f>IF(A653="","",IF(D653="Category Pending","Needs categorization",IF(COUNTIFS($A$2:A653,A653,$B$2:B653,B653,$E$2:E653,E653)&gt;1,"Possible duplicate","")))</f>
        <v/>
      </c>
    </row>
    <row r="654" spans="3:14" x14ac:dyDescent="0.3">
      <c r="C654" s="16"/>
      <c r="G654" s="5" t="str">
        <f t="shared" si="50"/>
        <v/>
      </c>
      <c r="H654" t="str">
        <f>IF(A654="","",IFERROR(_xlfn.XLOOKUP(D654,Setup!$E$15:$E$79,Setup!$F$15:$F$79),"Miscellaneous"))</f>
        <v/>
      </c>
      <c r="I654" t="str">
        <f>IF(A654="","",IFERROR(_xlfn.XLOOKUP(D654,Setup!$E$15:$E$79,Setup!$G$15:$G$79),"Uncategorized"))</f>
        <v/>
      </c>
      <c r="J654" t="str">
        <f t="shared" si="51"/>
        <v/>
      </c>
      <c r="K654" s="4" t="str">
        <f t="shared" si="52"/>
        <v/>
      </c>
      <c r="L654" s="47">
        <f t="shared" si="53"/>
        <v>0</v>
      </c>
      <c r="M654" s="47">
        <f t="shared" si="54"/>
        <v>0</v>
      </c>
      <c r="N654" t="str">
        <f>IF(A654="","",IF(D654="Category Pending","Needs categorization",IF(COUNTIFS($A$2:A654,A654,$B$2:B654,B654,$E$2:E654,E654)&gt;1,"Possible duplicate","")))</f>
        <v/>
      </c>
    </row>
    <row r="655" spans="3:14" x14ac:dyDescent="0.3">
      <c r="C655" s="16"/>
      <c r="G655" s="5" t="str">
        <f t="shared" si="50"/>
        <v/>
      </c>
      <c r="H655" t="str">
        <f>IF(A655="","",IFERROR(_xlfn.XLOOKUP(D655,Setup!$E$15:$E$79,Setup!$F$15:$F$79),"Miscellaneous"))</f>
        <v/>
      </c>
      <c r="I655" t="str">
        <f>IF(A655="","",IFERROR(_xlfn.XLOOKUP(D655,Setup!$E$15:$E$79,Setup!$G$15:$G$79),"Uncategorized"))</f>
        <v/>
      </c>
      <c r="J655" t="str">
        <f t="shared" si="51"/>
        <v/>
      </c>
      <c r="K655" s="4" t="str">
        <f t="shared" si="52"/>
        <v/>
      </c>
      <c r="L655" s="47">
        <f t="shared" si="53"/>
        <v>0</v>
      </c>
      <c r="M655" s="47">
        <f t="shared" si="54"/>
        <v>0</v>
      </c>
      <c r="N655" t="str">
        <f>IF(A655="","",IF(D655="Category Pending","Needs categorization",IF(COUNTIFS($A$2:A655,A655,$B$2:B655,B655,$E$2:E655,E655)&gt;1,"Possible duplicate","")))</f>
        <v/>
      </c>
    </row>
    <row r="656" spans="3:14" x14ac:dyDescent="0.3">
      <c r="C656" s="16"/>
      <c r="G656" s="5" t="str">
        <f t="shared" si="50"/>
        <v/>
      </c>
      <c r="H656" t="str">
        <f>IF(A656="","",IFERROR(_xlfn.XLOOKUP(D656,Setup!$E$15:$E$79,Setup!$F$15:$F$79),"Miscellaneous"))</f>
        <v/>
      </c>
      <c r="I656" t="str">
        <f>IF(A656="","",IFERROR(_xlfn.XLOOKUP(D656,Setup!$E$15:$E$79,Setup!$G$15:$G$79),"Uncategorized"))</f>
        <v/>
      </c>
      <c r="J656" t="str">
        <f t="shared" si="51"/>
        <v/>
      </c>
      <c r="K656" s="4" t="str">
        <f t="shared" si="52"/>
        <v/>
      </c>
      <c r="L656" s="47">
        <f t="shared" si="53"/>
        <v>0</v>
      </c>
      <c r="M656" s="47">
        <f t="shared" si="54"/>
        <v>0</v>
      </c>
      <c r="N656" t="str">
        <f>IF(A656="","",IF(D656="Category Pending","Needs categorization",IF(COUNTIFS($A$2:A656,A656,$B$2:B656,B656,$E$2:E656,E656)&gt;1,"Possible duplicate","")))</f>
        <v/>
      </c>
    </row>
    <row r="657" spans="3:14" x14ac:dyDescent="0.3">
      <c r="C657" s="16"/>
      <c r="G657" s="5" t="str">
        <f t="shared" si="50"/>
        <v/>
      </c>
      <c r="H657" t="str">
        <f>IF(A657="","",IFERROR(_xlfn.XLOOKUP(D657,Setup!$E$15:$E$79,Setup!$F$15:$F$79),"Miscellaneous"))</f>
        <v/>
      </c>
      <c r="I657" t="str">
        <f>IF(A657="","",IFERROR(_xlfn.XLOOKUP(D657,Setup!$E$15:$E$79,Setup!$G$15:$G$79),"Uncategorized"))</f>
        <v/>
      </c>
      <c r="J657" t="str">
        <f t="shared" si="51"/>
        <v/>
      </c>
      <c r="K657" s="4" t="str">
        <f t="shared" si="52"/>
        <v/>
      </c>
      <c r="L657" s="47">
        <f t="shared" si="53"/>
        <v>0</v>
      </c>
      <c r="M657" s="47">
        <f t="shared" si="54"/>
        <v>0</v>
      </c>
      <c r="N657" t="str">
        <f>IF(A657="","",IF(D657="Category Pending","Needs categorization",IF(COUNTIFS($A$2:A657,A657,$B$2:B657,B657,$E$2:E657,E657)&gt;1,"Possible duplicate","")))</f>
        <v/>
      </c>
    </row>
    <row r="658" spans="3:14" x14ac:dyDescent="0.3">
      <c r="C658" s="16"/>
      <c r="G658" s="5" t="str">
        <f t="shared" si="50"/>
        <v/>
      </c>
      <c r="H658" t="str">
        <f>IF(A658="","",IFERROR(_xlfn.XLOOKUP(D658,Setup!$E$15:$E$79,Setup!$F$15:$F$79),"Miscellaneous"))</f>
        <v/>
      </c>
      <c r="I658" t="str">
        <f>IF(A658="","",IFERROR(_xlfn.XLOOKUP(D658,Setup!$E$15:$E$79,Setup!$G$15:$G$79),"Uncategorized"))</f>
        <v/>
      </c>
      <c r="J658" t="str">
        <f t="shared" si="51"/>
        <v/>
      </c>
      <c r="K658" s="4" t="str">
        <f t="shared" si="52"/>
        <v/>
      </c>
      <c r="L658" s="47">
        <f t="shared" si="53"/>
        <v>0</v>
      </c>
      <c r="M658" s="47">
        <f t="shared" si="54"/>
        <v>0</v>
      </c>
      <c r="N658" t="str">
        <f>IF(A658="","",IF(D658="Category Pending","Needs categorization",IF(COUNTIFS($A$2:A658,A658,$B$2:B658,B658,$E$2:E658,E658)&gt;1,"Possible duplicate","")))</f>
        <v/>
      </c>
    </row>
    <row r="659" spans="3:14" x14ac:dyDescent="0.3">
      <c r="C659" s="16"/>
      <c r="G659" s="5" t="str">
        <f t="shared" si="50"/>
        <v/>
      </c>
      <c r="H659" t="str">
        <f>IF(A659="","",IFERROR(_xlfn.XLOOKUP(D659,Setup!$E$15:$E$79,Setup!$F$15:$F$79),"Miscellaneous"))</f>
        <v/>
      </c>
      <c r="I659" t="str">
        <f>IF(A659="","",IFERROR(_xlfn.XLOOKUP(D659,Setup!$E$15:$E$79,Setup!$G$15:$G$79),"Uncategorized"))</f>
        <v/>
      </c>
      <c r="J659" t="str">
        <f t="shared" si="51"/>
        <v/>
      </c>
      <c r="K659" s="4" t="str">
        <f t="shared" si="52"/>
        <v/>
      </c>
      <c r="L659" s="47">
        <f t="shared" si="53"/>
        <v>0</v>
      </c>
      <c r="M659" s="47">
        <f t="shared" si="54"/>
        <v>0</v>
      </c>
      <c r="N659" t="str">
        <f>IF(A659="","",IF(D659="Category Pending","Needs categorization",IF(COUNTIFS($A$2:A659,A659,$B$2:B659,B659,$E$2:E659,E659)&gt;1,"Possible duplicate","")))</f>
        <v/>
      </c>
    </row>
    <row r="660" spans="3:14" x14ac:dyDescent="0.3">
      <c r="C660" s="16"/>
      <c r="G660" s="5" t="str">
        <f t="shared" si="50"/>
        <v/>
      </c>
      <c r="H660" t="str">
        <f>IF(A660="","",IFERROR(_xlfn.XLOOKUP(D660,Setup!$E$15:$E$79,Setup!$F$15:$F$79),"Miscellaneous"))</f>
        <v/>
      </c>
      <c r="I660" t="str">
        <f>IF(A660="","",IFERROR(_xlfn.XLOOKUP(D660,Setup!$E$15:$E$79,Setup!$G$15:$G$79),"Uncategorized"))</f>
        <v/>
      </c>
      <c r="J660" t="str">
        <f t="shared" si="51"/>
        <v/>
      </c>
      <c r="K660" s="4" t="str">
        <f t="shared" si="52"/>
        <v/>
      </c>
      <c r="L660" s="47">
        <f t="shared" si="53"/>
        <v>0</v>
      </c>
      <c r="M660" s="47">
        <f t="shared" si="54"/>
        <v>0</v>
      </c>
      <c r="N660" t="str">
        <f>IF(A660="","",IF(D660="Category Pending","Needs categorization",IF(COUNTIFS($A$2:A660,A660,$B$2:B660,B660,$E$2:E660,E660)&gt;1,"Possible duplicate","")))</f>
        <v/>
      </c>
    </row>
    <row r="661" spans="3:14" x14ac:dyDescent="0.3">
      <c r="C661" s="16"/>
      <c r="G661" s="5" t="str">
        <f t="shared" si="50"/>
        <v/>
      </c>
      <c r="H661" t="str">
        <f>IF(A661="","",IFERROR(_xlfn.XLOOKUP(D661,Setup!$E$15:$E$79,Setup!$F$15:$F$79),"Miscellaneous"))</f>
        <v/>
      </c>
      <c r="I661" t="str">
        <f>IF(A661="","",IFERROR(_xlfn.XLOOKUP(D661,Setup!$E$15:$E$79,Setup!$G$15:$G$79),"Uncategorized"))</f>
        <v/>
      </c>
      <c r="J661" t="str">
        <f t="shared" si="51"/>
        <v/>
      </c>
      <c r="K661" s="4" t="str">
        <f t="shared" si="52"/>
        <v/>
      </c>
      <c r="L661" s="47">
        <f t="shared" si="53"/>
        <v>0</v>
      </c>
      <c r="M661" s="47">
        <f t="shared" si="54"/>
        <v>0</v>
      </c>
      <c r="N661" t="str">
        <f>IF(A661="","",IF(D661="Category Pending","Needs categorization",IF(COUNTIFS($A$2:A661,A661,$B$2:B661,B661,$E$2:E661,E661)&gt;1,"Possible duplicate","")))</f>
        <v/>
      </c>
    </row>
    <row r="662" spans="3:14" x14ac:dyDescent="0.3">
      <c r="C662" s="16"/>
      <c r="G662" s="5" t="str">
        <f t="shared" si="50"/>
        <v/>
      </c>
      <c r="H662" t="str">
        <f>IF(A662="","",IFERROR(_xlfn.XLOOKUP(D662,Setup!$E$15:$E$79,Setup!$F$15:$F$79),"Miscellaneous"))</f>
        <v/>
      </c>
      <c r="I662" t="str">
        <f>IF(A662="","",IFERROR(_xlfn.XLOOKUP(D662,Setup!$E$15:$E$79,Setup!$G$15:$G$79),"Uncategorized"))</f>
        <v/>
      </c>
      <c r="J662" t="str">
        <f t="shared" si="51"/>
        <v/>
      </c>
      <c r="K662" s="4" t="str">
        <f t="shared" si="52"/>
        <v/>
      </c>
      <c r="L662" s="47">
        <f t="shared" si="53"/>
        <v>0</v>
      </c>
      <c r="M662" s="47">
        <f t="shared" si="54"/>
        <v>0</v>
      </c>
      <c r="N662" t="str">
        <f>IF(A662="","",IF(D662="Category Pending","Needs categorization",IF(COUNTIFS($A$2:A662,A662,$B$2:B662,B662,$E$2:E662,E662)&gt;1,"Possible duplicate","")))</f>
        <v/>
      </c>
    </row>
    <row r="663" spans="3:14" x14ac:dyDescent="0.3">
      <c r="C663" s="16"/>
      <c r="G663" s="5" t="str">
        <f t="shared" si="50"/>
        <v/>
      </c>
      <c r="H663" t="str">
        <f>IF(A663="","",IFERROR(_xlfn.XLOOKUP(D663,Setup!$E$15:$E$79,Setup!$F$15:$F$79),"Miscellaneous"))</f>
        <v/>
      </c>
      <c r="I663" t="str">
        <f>IF(A663="","",IFERROR(_xlfn.XLOOKUP(D663,Setup!$E$15:$E$79,Setup!$G$15:$G$79),"Uncategorized"))</f>
        <v/>
      </c>
      <c r="J663" t="str">
        <f t="shared" si="51"/>
        <v/>
      </c>
      <c r="K663" s="4" t="str">
        <f t="shared" si="52"/>
        <v/>
      </c>
      <c r="L663" s="47">
        <f t="shared" si="53"/>
        <v>0</v>
      </c>
      <c r="M663" s="47">
        <f t="shared" si="54"/>
        <v>0</v>
      </c>
      <c r="N663" t="str">
        <f>IF(A663="","",IF(D663="Category Pending","Needs categorization",IF(COUNTIFS($A$2:A663,A663,$B$2:B663,B663,$E$2:E663,E663)&gt;1,"Possible duplicate","")))</f>
        <v/>
      </c>
    </row>
    <row r="664" spans="3:14" x14ac:dyDescent="0.3">
      <c r="C664" s="16"/>
      <c r="G664" s="5" t="str">
        <f t="shared" si="50"/>
        <v/>
      </c>
      <c r="H664" t="str">
        <f>IF(A664="","",IFERROR(_xlfn.XLOOKUP(D664,Setup!$E$15:$E$79,Setup!$F$15:$F$79),"Miscellaneous"))</f>
        <v/>
      </c>
      <c r="I664" t="str">
        <f>IF(A664="","",IFERROR(_xlfn.XLOOKUP(D664,Setup!$E$15:$E$79,Setup!$G$15:$G$79),"Uncategorized"))</f>
        <v/>
      </c>
      <c r="J664" t="str">
        <f t="shared" si="51"/>
        <v/>
      </c>
      <c r="K664" s="4" t="str">
        <f t="shared" si="52"/>
        <v/>
      </c>
      <c r="L664" s="47">
        <f t="shared" si="53"/>
        <v>0</v>
      </c>
      <c r="M664" s="47">
        <f t="shared" si="54"/>
        <v>0</v>
      </c>
      <c r="N664" t="str">
        <f>IF(A664="","",IF(D664="Category Pending","Needs categorization",IF(COUNTIFS($A$2:A664,A664,$B$2:B664,B664,$E$2:E664,E664)&gt;1,"Possible duplicate","")))</f>
        <v/>
      </c>
    </row>
    <row r="665" spans="3:14" x14ac:dyDescent="0.3">
      <c r="C665" s="16"/>
      <c r="G665" s="5" t="str">
        <f t="shared" si="50"/>
        <v/>
      </c>
      <c r="H665" t="str">
        <f>IF(A665="","",IFERROR(_xlfn.XLOOKUP(D665,Setup!$E$15:$E$79,Setup!$F$15:$F$79),"Miscellaneous"))</f>
        <v/>
      </c>
      <c r="I665" t="str">
        <f>IF(A665="","",IFERROR(_xlfn.XLOOKUP(D665,Setup!$E$15:$E$79,Setup!$G$15:$G$79),"Uncategorized"))</f>
        <v/>
      </c>
      <c r="J665" t="str">
        <f t="shared" si="51"/>
        <v/>
      </c>
      <c r="K665" s="4" t="str">
        <f t="shared" si="52"/>
        <v/>
      </c>
      <c r="L665" s="47">
        <f t="shared" si="53"/>
        <v>0</v>
      </c>
      <c r="M665" s="47">
        <f t="shared" si="54"/>
        <v>0</v>
      </c>
      <c r="N665" t="str">
        <f>IF(A665="","",IF(D665="Category Pending","Needs categorization",IF(COUNTIFS($A$2:A665,A665,$B$2:B665,B665,$E$2:E665,E665)&gt;1,"Possible duplicate","")))</f>
        <v/>
      </c>
    </row>
    <row r="666" spans="3:14" x14ac:dyDescent="0.3">
      <c r="C666" s="16"/>
      <c r="G666" s="5" t="str">
        <f t="shared" si="50"/>
        <v/>
      </c>
      <c r="H666" t="str">
        <f>IF(A666="","",IFERROR(_xlfn.XLOOKUP(D666,Setup!$E$15:$E$79,Setup!$F$15:$F$79),"Miscellaneous"))</f>
        <v/>
      </c>
      <c r="I666" t="str">
        <f>IF(A666="","",IFERROR(_xlfn.XLOOKUP(D666,Setup!$E$15:$E$79,Setup!$G$15:$G$79),"Uncategorized"))</f>
        <v/>
      </c>
      <c r="J666" t="str">
        <f t="shared" si="51"/>
        <v/>
      </c>
      <c r="K666" s="4" t="str">
        <f t="shared" si="52"/>
        <v/>
      </c>
      <c r="L666" s="47">
        <f t="shared" si="53"/>
        <v>0</v>
      </c>
      <c r="M666" s="47">
        <f t="shared" si="54"/>
        <v>0</v>
      </c>
      <c r="N666" t="str">
        <f>IF(A666="","",IF(D666="Category Pending","Needs categorization",IF(COUNTIFS($A$2:A666,A666,$B$2:B666,B666,$E$2:E666,E666)&gt;1,"Possible duplicate","")))</f>
        <v/>
      </c>
    </row>
    <row r="667" spans="3:14" x14ac:dyDescent="0.3">
      <c r="C667" s="16"/>
      <c r="G667" s="5" t="str">
        <f t="shared" si="50"/>
        <v/>
      </c>
      <c r="H667" t="str">
        <f>IF(A667="","",IFERROR(_xlfn.XLOOKUP(D667,Setup!$E$15:$E$79,Setup!$F$15:$F$79),"Miscellaneous"))</f>
        <v/>
      </c>
      <c r="I667" t="str">
        <f>IF(A667="","",IFERROR(_xlfn.XLOOKUP(D667,Setup!$E$15:$E$79,Setup!$G$15:$G$79),"Uncategorized"))</f>
        <v/>
      </c>
      <c r="J667" t="str">
        <f t="shared" si="51"/>
        <v/>
      </c>
      <c r="K667" s="4" t="str">
        <f t="shared" si="52"/>
        <v/>
      </c>
      <c r="L667" s="47">
        <f t="shared" si="53"/>
        <v>0</v>
      </c>
      <c r="M667" s="47">
        <f t="shared" si="54"/>
        <v>0</v>
      </c>
      <c r="N667" t="str">
        <f>IF(A667="","",IF(D667="Category Pending","Needs categorization",IF(COUNTIFS($A$2:A667,A667,$B$2:B667,B667,$E$2:E667,E667)&gt;1,"Possible duplicate","")))</f>
        <v/>
      </c>
    </row>
    <row r="668" spans="3:14" x14ac:dyDescent="0.3">
      <c r="C668" s="16"/>
      <c r="G668" s="5" t="str">
        <f t="shared" si="50"/>
        <v/>
      </c>
      <c r="H668" t="str">
        <f>IF(A668="","",IFERROR(_xlfn.XLOOKUP(D668,Setup!$E$15:$E$79,Setup!$F$15:$F$79),"Miscellaneous"))</f>
        <v/>
      </c>
      <c r="I668" t="str">
        <f>IF(A668="","",IFERROR(_xlfn.XLOOKUP(D668,Setup!$E$15:$E$79,Setup!$G$15:$G$79),"Uncategorized"))</f>
        <v/>
      </c>
      <c r="J668" t="str">
        <f t="shared" si="51"/>
        <v/>
      </c>
      <c r="K668" s="4" t="str">
        <f t="shared" si="52"/>
        <v/>
      </c>
      <c r="L668" s="47">
        <f t="shared" si="53"/>
        <v>0</v>
      </c>
      <c r="M668" s="47">
        <f t="shared" si="54"/>
        <v>0</v>
      </c>
      <c r="N668" t="str">
        <f>IF(A668="","",IF(D668="Category Pending","Needs categorization",IF(COUNTIFS($A$2:A668,A668,$B$2:B668,B668,$E$2:E668,E668)&gt;1,"Possible duplicate","")))</f>
        <v/>
      </c>
    </row>
    <row r="669" spans="3:14" x14ac:dyDescent="0.3">
      <c r="C669" s="16"/>
      <c r="G669" s="5" t="str">
        <f t="shared" si="50"/>
        <v/>
      </c>
      <c r="H669" t="str">
        <f>IF(A669="","",IFERROR(_xlfn.XLOOKUP(D669,Setup!$E$15:$E$79,Setup!$F$15:$F$79),"Miscellaneous"))</f>
        <v/>
      </c>
      <c r="I669" t="str">
        <f>IF(A669="","",IFERROR(_xlfn.XLOOKUP(D669,Setup!$E$15:$E$79,Setup!$G$15:$G$79),"Uncategorized"))</f>
        <v/>
      </c>
      <c r="J669" t="str">
        <f t="shared" si="51"/>
        <v/>
      </c>
      <c r="K669" s="4" t="str">
        <f t="shared" si="52"/>
        <v/>
      </c>
      <c r="L669" s="47">
        <f t="shared" si="53"/>
        <v>0</v>
      </c>
      <c r="M669" s="47">
        <f t="shared" si="54"/>
        <v>0</v>
      </c>
      <c r="N669" t="str">
        <f>IF(A669="","",IF(D669="Category Pending","Needs categorization",IF(COUNTIFS($A$2:A669,A669,$B$2:B669,B669,$E$2:E669,E669)&gt;1,"Possible duplicate","")))</f>
        <v/>
      </c>
    </row>
    <row r="670" spans="3:14" x14ac:dyDescent="0.3">
      <c r="C670" s="16"/>
      <c r="G670" s="5" t="str">
        <f t="shared" si="50"/>
        <v/>
      </c>
      <c r="H670" t="str">
        <f>IF(A670="","",IFERROR(_xlfn.XLOOKUP(D670,Setup!$E$15:$E$79,Setup!$F$15:$F$79),"Miscellaneous"))</f>
        <v/>
      </c>
      <c r="I670" t="str">
        <f>IF(A670="","",IFERROR(_xlfn.XLOOKUP(D670,Setup!$E$15:$E$79,Setup!$G$15:$G$79),"Uncategorized"))</f>
        <v/>
      </c>
      <c r="J670" t="str">
        <f t="shared" si="51"/>
        <v/>
      </c>
      <c r="K670" s="4" t="str">
        <f t="shared" si="52"/>
        <v/>
      </c>
      <c r="L670" s="47">
        <f t="shared" si="53"/>
        <v>0</v>
      </c>
      <c r="M670" s="47">
        <f t="shared" si="54"/>
        <v>0</v>
      </c>
      <c r="N670" t="str">
        <f>IF(A670="","",IF(D670="Category Pending","Needs categorization",IF(COUNTIFS($A$2:A670,A670,$B$2:B670,B670,$E$2:E670,E670)&gt;1,"Possible duplicate","")))</f>
        <v/>
      </c>
    </row>
    <row r="671" spans="3:14" x14ac:dyDescent="0.3">
      <c r="C671" s="16"/>
      <c r="G671" s="5" t="str">
        <f t="shared" si="50"/>
        <v/>
      </c>
      <c r="H671" t="str">
        <f>IF(A671="","",IFERROR(_xlfn.XLOOKUP(D671,Setup!$E$15:$E$79,Setup!$F$15:$F$79),"Miscellaneous"))</f>
        <v/>
      </c>
      <c r="I671" t="str">
        <f>IF(A671="","",IFERROR(_xlfn.XLOOKUP(D671,Setup!$E$15:$E$79,Setup!$G$15:$G$79),"Uncategorized"))</f>
        <v/>
      </c>
      <c r="J671" t="str">
        <f t="shared" si="51"/>
        <v/>
      </c>
      <c r="K671" s="4" t="str">
        <f t="shared" si="52"/>
        <v/>
      </c>
      <c r="L671" s="47">
        <f t="shared" si="53"/>
        <v>0</v>
      </c>
      <c r="M671" s="47">
        <f t="shared" si="54"/>
        <v>0</v>
      </c>
      <c r="N671" t="str">
        <f>IF(A671="","",IF(D671="Category Pending","Needs categorization",IF(COUNTIFS($A$2:A671,A671,$B$2:B671,B671,$E$2:E671,E671)&gt;1,"Possible duplicate","")))</f>
        <v/>
      </c>
    </row>
    <row r="672" spans="3:14" x14ac:dyDescent="0.3">
      <c r="C672" s="16"/>
      <c r="G672" s="5" t="str">
        <f t="shared" si="50"/>
        <v/>
      </c>
      <c r="H672" t="str">
        <f>IF(A672="","",IFERROR(_xlfn.XLOOKUP(D672,Setup!$E$15:$E$79,Setup!$F$15:$F$79),"Miscellaneous"))</f>
        <v/>
      </c>
      <c r="I672" t="str">
        <f>IF(A672="","",IFERROR(_xlfn.XLOOKUP(D672,Setup!$E$15:$E$79,Setup!$G$15:$G$79),"Uncategorized"))</f>
        <v/>
      </c>
      <c r="J672" t="str">
        <f t="shared" si="51"/>
        <v/>
      </c>
      <c r="K672" s="4" t="str">
        <f t="shared" si="52"/>
        <v/>
      </c>
      <c r="L672" s="47">
        <f t="shared" si="53"/>
        <v>0</v>
      </c>
      <c r="M672" s="47">
        <f t="shared" si="54"/>
        <v>0</v>
      </c>
      <c r="N672" t="str">
        <f>IF(A672="","",IF(D672="Category Pending","Needs categorization",IF(COUNTIFS($A$2:A672,A672,$B$2:B672,B672,$E$2:E672,E672)&gt;1,"Possible duplicate","")))</f>
        <v/>
      </c>
    </row>
    <row r="673" spans="3:14" x14ac:dyDescent="0.3">
      <c r="C673" s="16"/>
      <c r="G673" s="5" t="str">
        <f t="shared" ref="G673:G736" si="55">IF(A673="","","Checking")</f>
        <v/>
      </c>
      <c r="H673" t="str">
        <f>IF(A673="","",IFERROR(_xlfn.XLOOKUP(D673,Setup!$E$15:$E$79,Setup!$F$15:$F$79),"Miscellaneous"))</f>
        <v/>
      </c>
      <c r="I673" t="str">
        <f>IF(A673="","",IFERROR(_xlfn.XLOOKUP(D673,Setup!$E$15:$E$79,Setup!$G$15:$G$79),"Uncategorized"))</f>
        <v/>
      </c>
      <c r="J673" t="str">
        <f t="shared" ref="J673:J736" si="56">IF(A673="","",IF(OR(H673="Transfers",H673="Income",D673="Transfer",D673="Category Pending"),"No","Yes"))</f>
        <v/>
      </c>
      <c r="K673" s="4" t="str">
        <f t="shared" ref="K673:K736" si="57">IF(A673="","",IF(A673&gt;=46232,TEXT(DATE(YEAR(A673),MONTH(A673)+1,1),"mmmm yyyy"),TEXT(DATE(YEAR(A673),MONTH(A673),1),"mmmm yyyy")))</f>
        <v/>
      </c>
      <c r="L673" s="47">
        <f t="shared" ref="L673:L736" si="58">IF(AND(J673="Yes",E673&lt;0),-E673,0)</f>
        <v>0</v>
      </c>
      <c r="M673" s="47">
        <f t="shared" ref="M673:M736" si="59">IF(AND(J673="Yes",E673&gt;0),E673,0)</f>
        <v>0</v>
      </c>
      <c r="N673" t="str">
        <f>IF(A673="","",IF(D673="Category Pending","Needs categorization",IF(COUNTIFS($A$2:A673,A673,$B$2:B673,B673,$E$2:E673,E673)&gt;1,"Possible duplicate","")))</f>
        <v/>
      </c>
    </row>
    <row r="674" spans="3:14" x14ac:dyDescent="0.3">
      <c r="C674" s="16"/>
      <c r="G674" s="5" t="str">
        <f t="shared" si="55"/>
        <v/>
      </c>
      <c r="H674" t="str">
        <f>IF(A674="","",IFERROR(_xlfn.XLOOKUP(D674,Setup!$E$15:$E$79,Setup!$F$15:$F$79),"Miscellaneous"))</f>
        <v/>
      </c>
      <c r="I674" t="str">
        <f>IF(A674="","",IFERROR(_xlfn.XLOOKUP(D674,Setup!$E$15:$E$79,Setup!$G$15:$G$79),"Uncategorized"))</f>
        <v/>
      </c>
      <c r="J674" t="str">
        <f t="shared" si="56"/>
        <v/>
      </c>
      <c r="K674" s="4" t="str">
        <f t="shared" si="57"/>
        <v/>
      </c>
      <c r="L674" s="47">
        <f t="shared" si="58"/>
        <v>0</v>
      </c>
      <c r="M674" s="47">
        <f t="shared" si="59"/>
        <v>0</v>
      </c>
      <c r="N674" t="str">
        <f>IF(A674="","",IF(D674="Category Pending","Needs categorization",IF(COUNTIFS($A$2:A674,A674,$B$2:B674,B674,$E$2:E674,E674)&gt;1,"Possible duplicate","")))</f>
        <v/>
      </c>
    </row>
    <row r="675" spans="3:14" x14ac:dyDescent="0.3">
      <c r="C675" s="16"/>
      <c r="G675" s="5" t="str">
        <f t="shared" si="55"/>
        <v/>
      </c>
      <c r="H675" t="str">
        <f>IF(A675="","",IFERROR(_xlfn.XLOOKUP(D675,Setup!$E$15:$E$79,Setup!$F$15:$F$79),"Miscellaneous"))</f>
        <v/>
      </c>
      <c r="I675" t="str">
        <f>IF(A675="","",IFERROR(_xlfn.XLOOKUP(D675,Setup!$E$15:$E$79,Setup!$G$15:$G$79),"Uncategorized"))</f>
        <v/>
      </c>
      <c r="J675" t="str">
        <f t="shared" si="56"/>
        <v/>
      </c>
      <c r="K675" s="4" t="str">
        <f t="shared" si="57"/>
        <v/>
      </c>
      <c r="L675" s="47">
        <f t="shared" si="58"/>
        <v>0</v>
      </c>
      <c r="M675" s="47">
        <f t="shared" si="59"/>
        <v>0</v>
      </c>
      <c r="N675" t="str">
        <f>IF(A675="","",IF(D675="Category Pending","Needs categorization",IF(COUNTIFS($A$2:A675,A675,$B$2:B675,B675,$E$2:E675,E675)&gt;1,"Possible duplicate","")))</f>
        <v/>
      </c>
    </row>
    <row r="676" spans="3:14" x14ac:dyDescent="0.3">
      <c r="C676" s="16"/>
      <c r="G676" s="5" t="str">
        <f t="shared" si="55"/>
        <v/>
      </c>
      <c r="H676" t="str">
        <f>IF(A676="","",IFERROR(_xlfn.XLOOKUP(D676,Setup!$E$15:$E$79,Setup!$F$15:$F$79),"Miscellaneous"))</f>
        <v/>
      </c>
      <c r="I676" t="str">
        <f>IF(A676="","",IFERROR(_xlfn.XLOOKUP(D676,Setup!$E$15:$E$79,Setup!$G$15:$G$79),"Uncategorized"))</f>
        <v/>
      </c>
      <c r="J676" t="str">
        <f t="shared" si="56"/>
        <v/>
      </c>
      <c r="K676" s="4" t="str">
        <f t="shared" si="57"/>
        <v/>
      </c>
      <c r="L676" s="47">
        <f t="shared" si="58"/>
        <v>0</v>
      </c>
      <c r="M676" s="47">
        <f t="shared" si="59"/>
        <v>0</v>
      </c>
      <c r="N676" t="str">
        <f>IF(A676="","",IF(D676="Category Pending","Needs categorization",IF(COUNTIFS($A$2:A676,A676,$B$2:B676,B676,$E$2:E676,E676)&gt;1,"Possible duplicate","")))</f>
        <v/>
      </c>
    </row>
    <row r="677" spans="3:14" x14ac:dyDescent="0.3">
      <c r="C677" s="16"/>
      <c r="G677" s="5" t="str">
        <f t="shared" si="55"/>
        <v/>
      </c>
      <c r="H677" t="str">
        <f>IF(A677="","",IFERROR(_xlfn.XLOOKUP(D677,Setup!$E$15:$E$79,Setup!$F$15:$F$79),"Miscellaneous"))</f>
        <v/>
      </c>
      <c r="I677" t="str">
        <f>IF(A677="","",IFERROR(_xlfn.XLOOKUP(D677,Setup!$E$15:$E$79,Setup!$G$15:$G$79),"Uncategorized"))</f>
        <v/>
      </c>
      <c r="J677" t="str">
        <f t="shared" si="56"/>
        <v/>
      </c>
      <c r="K677" s="4" t="str">
        <f t="shared" si="57"/>
        <v/>
      </c>
      <c r="L677" s="47">
        <f t="shared" si="58"/>
        <v>0</v>
      </c>
      <c r="M677" s="47">
        <f t="shared" si="59"/>
        <v>0</v>
      </c>
      <c r="N677" t="str">
        <f>IF(A677="","",IF(D677="Category Pending","Needs categorization",IF(COUNTIFS($A$2:A677,A677,$B$2:B677,B677,$E$2:E677,E677)&gt;1,"Possible duplicate","")))</f>
        <v/>
      </c>
    </row>
    <row r="678" spans="3:14" x14ac:dyDescent="0.3">
      <c r="C678" s="16"/>
      <c r="G678" s="5" t="str">
        <f t="shared" si="55"/>
        <v/>
      </c>
      <c r="H678" t="str">
        <f>IF(A678="","",IFERROR(_xlfn.XLOOKUP(D678,Setup!$E$15:$E$79,Setup!$F$15:$F$79),"Miscellaneous"))</f>
        <v/>
      </c>
      <c r="I678" t="str">
        <f>IF(A678="","",IFERROR(_xlfn.XLOOKUP(D678,Setup!$E$15:$E$79,Setup!$G$15:$G$79),"Uncategorized"))</f>
        <v/>
      </c>
      <c r="J678" t="str">
        <f t="shared" si="56"/>
        <v/>
      </c>
      <c r="K678" s="4" t="str">
        <f t="shared" si="57"/>
        <v/>
      </c>
      <c r="L678" s="47">
        <f t="shared" si="58"/>
        <v>0</v>
      </c>
      <c r="M678" s="47">
        <f t="shared" si="59"/>
        <v>0</v>
      </c>
      <c r="N678" t="str">
        <f>IF(A678="","",IF(D678="Category Pending","Needs categorization",IF(COUNTIFS($A$2:A678,A678,$B$2:B678,B678,$E$2:E678,E678)&gt;1,"Possible duplicate","")))</f>
        <v/>
      </c>
    </row>
    <row r="679" spans="3:14" x14ac:dyDescent="0.3">
      <c r="C679" s="16"/>
      <c r="G679" s="5" t="str">
        <f t="shared" si="55"/>
        <v/>
      </c>
      <c r="H679" t="str">
        <f>IF(A679="","",IFERROR(_xlfn.XLOOKUP(D679,Setup!$E$15:$E$79,Setup!$F$15:$F$79),"Miscellaneous"))</f>
        <v/>
      </c>
      <c r="I679" t="str">
        <f>IF(A679="","",IFERROR(_xlfn.XLOOKUP(D679,Setup!$E$15:$E$79,Setup!$G$15:$G$79),"Uncategorized"))</f>
        <v/>
      </c>
      <c r="J679" t="str">
        <f t="shared" si="56"/>
        <v/>
      </c>
      <c r="K679" s="4" t="str">
        <f t="shared" si="57"/>
        <v/>
      </c>
      <c r="L679" s="47">
        <f t="shared" si="58"/>
        <v>0</v>
      </c>
      <c r="M679" s="47">
        <f t="shared" si="59"/>
        <v>0</v>
      </c>
      <c r="N679" t="str">
        <f>IF(A679="","",IF(D679="Category Pending","Needs categorization",IF(COUNTIFS($A$2:A679,A679,$B$2:B679,B679,$E$2:E679,E679)&gt;1,"Possible duplicate","")))</f>
        <v/>
      </c>
    </row>
    <row r="680" spans="3:14" x14ac:dyDescent="0.3">
      <c r="C680" s="16"/>
      <c r="G680" s="5" t="str">
        <f t="shared" si="55"/>
        <v/>
      </c>
      <c r="H680" t="str">
        <f>IF(A680="","",IFERROR(_xlfn.XLOOKUP(D680,Setup!$E$15:$E$79,Setup!$F$15:$F$79),"Miscellaneous"))</f>
        <v/>
      </c>
      <c r="I680" t="str">
        <f>IF(A680="","",IFERROR(_xlfn.XLOOKUP(D680,Setup!$E$15:$E$79,Setup!$G$15:$G$79),"Uncategorized"))</f>
        <v/>
      </c>
      <c r="J680" t="str">
        <f t="shared" si="56"/>
        <v/>
      </c>
      <c r="K680" s="4" t="str">
        <f t="shared" si="57"/>
        <v/>
      </c>
      <c r="L680" s="47">
        <f t="shared" si="58"/>
        <v>0</v>
      </c>
      <c r="M680" s="47">
        <f t="shared" si="59"/>
        <v>0</v>
      </c>
      <c r="N680" t="str">
        <f>IF(A680="","",IF(D680="Category Pending","Needs categorization",IF(COUNTIFS($A$2:A680,A680,$B$2:B680,B680,$E$2:E680,E680)&gt;1,"Possible duplicate","")))</f>
        <v/>
      </c>
    </row>
    <row r="681" spans="3:14" x14ac:dyDescent="0.3">
      <c r="C681" s="16"/>
      <c r="G681" s="5" t="str">
        <f t="shared" si="55"/>
        <v/>
      </c>
      <c r="H681" t="str">
        <f>IF(A681="","",IFERROR(_xlfn.XLOOKUP(D681,Setup!$E$15:$E$79,Setup!$F$15:$F$79),"Miscellaneous"))</f>
        <v/>
      </c>
      <c r="I681" t="str">
        <f>IF(A681="","",IFERROR(_xlfn.XLOOKUP(D681,Setup!$E$15:$E$79,Setup!$G$15:$G$79),"Uncategorized"))</f>
        <v/>
      </c>
      <c r="J681" t="str">
        <f t="shared" si="56"/>
        <v/>
      </c>
      <c r="K681" s="4" t="str">
        <f t="shared" si="57"/>
        <v/>
      </c>
      <c r="L681" s="47">
        <f t="shared" si="58"/>
        <v>0</v>
      </c>
      <c r="M681" s="47">
        <f t="shared" si="59"/>
        <v>0</v>
      </c>
      <c r="N681" t="str">
        <f>IF(A681="","",IF(D681="Category Pending","Needs categorization",IF(COUNTIFS($A$2:A681,A681,$B$2:B681,B681,$E$2:E681,E681)&gt;1,"Possible duplicate","")))</f>
        <v/>
      </c>
    </row>
    <row r="682" spans="3:14" x14ac:dyDescent="0.3">
      <c r="C682" s="16"/>
      <c r="G682" s="5" t="str">
        <f t="shared" si="55"/>
        <v/>
      </c>
      <c r="H682" t="str">
        <f>IF(A682="","",IFERROR(_xlfn.XLOOKUP(D682,Setup!$E$15:$E$79,Setup!$F$15:$F$79),"Miscellaneous"))</f>
        <v/>
      </c>
      <c r="I682" t="str">
        <f>IF(A682="","",IFERROR(_xlfn.XLOOKUP(D682,Setup!$E$15:$E$79,Setup!$G$15:$G$79),"Uncategorized"))</f>
        <v/>
      </c>
      <c r="J682" t="str">
        <f t="shared" si="56"/>
        <v/>
      </c>
      <c r="K682" s="4" t="str">
        <f t="shared" si="57"/>
        <v/>
      </c>
      <c r="L682" s="47">
        <f t="shared" si="58"/>
        <v>0</v>
      </c>
      <c r="M682" s="47">
        <f t="shared" si="59"/>
        <v>0</v>
      </c>
      <c r="N682" t="str">
        <f>IF(A682="","",IF(D682="Category Pending","Needs categorization",IF(COUNTIFS($A$2:A682,A682,$B$2:B682,B682,$E$2:E682,E682)&gt;1,"Possible duplicate","")))</f>
        <v/>
      </c>
    </row>
    <row r="683" spans="3:14" x14ac:dyDescent="0.3">
      <c r="C683" s="16"/>
      <c r="G683" s="5" t="str">
        <f t="shared" si="55"/>
        <v/>
      </c>
      <c r="H683" t="str">
        <f>IF(A683="","",IFERROR(_xlfn.XLOOKUP(D683,Setup!$E$15:$E$79,Setup!$F$15:$F$79),"Miscellaneous"))</f>
        <v/>
      </c>
      <c r="I683" t="str">
        <f>IF(A683="","",IFERROR(_xlfn.XLOOKUP(D683,Setup!$E$15:$E$79,Setup!$G$15:$G$79),"Uncategorized"))</f>
        <v/>
      </c>
      <c r="J683" t="str">
        <f t="shared" si="56"/>
        <v/>
      </c>
      <c r="K683" s="4" t="str">
        <f t="shared" si="57"/>
        <v/>
      </c>
      <c r="L683" s="47">
        <f t="shared" si="58"/>
        <v>0</v>
      </c>
      <c r="M683" s="47">
        <f t="shared" si="59"/>
        <v>0</v>
      </c>
      <c r="N683" t="str">
        <f>IF(A683="","",IF(D683="Category Pending","Needs categorization",IF(COUNTIFS($A$2:A683,A683,$B$2:B683,B683,$E$2:E683,E683)&gt;1,"Possible duplicate","")))</f>
        <v/>
      </c>
    </row>
    <row r="684" spans="3:14" x14ac:dyDescent="0.3">
      <c r="C684" s="16"/>
      <c r="G684" s="5" t="str">
        <f t="shared" si="55"/>
        <v/>
      </c>
      <c r="H684" t="str">
        <f>IF(A684="","",IFERROR(_xlfn.XLOOKUP(D684,Setup!$E$15:$E$79,Setup!$F$15:$F$79),"Miscellaneous"))</f>
        <v/>
      </c>
      <c r="I684" t="str">
        <f>IF(A684="","",IFERROR(_xlfn.XLOOKUP(D684,Setup!$E$15:$E$79,Setup!$G$15:$G$79),"Uncategorized"))</f>
        <v/>
      </c>
      <c r="J684" t="str">
        <f t="shared" si="56"/>
        <v/>
      </c>
      <c r="K684" s="4" t="str">
        <f t="shared" si="57"/>
        <v/>
      </c>
      <c r="L684" s="47">
        <f t="shared" si="58"/>
        <v>0</v>
      </c>
      <c r="M684" s="47">
        <f t="shared" si="59"/>
        <v>0</v>
      </c>
      <c r="N684" t="str">
        <f>IF(A684="","",IF(D684="Category Pending","Needs categorization",IF(COUNTIFS($A$2:A684,A684,$B$2:B684,B684,$E$2:E684,E684)&gt;1,"Possible duplicate","")))</f>
        <v/>
      </c>
    </row>
    <row r="685" spans="3:14" x14ac:dyDescent="0.3">
      <c r="C685" s="16"/>
      <c r="G685" s="5" t="str">
        <f t="shared" si="55"/>
        <v/>
      </c>
      <c r="H685" t="str">
        <f>IF(A685="","",IFERROR(_xlfn.XLOOKUP(D685,Setup!$E$15:$E$79,Setup!$F$15:$F$79),"Miscellaneous"))</f>
        <v/>
      </c>
      <c r="I685" t="str">
        <f>IF(A685="","",IFERROR(_xlfn.XLOOKUP(D685,Setup!$E$15:$E$79,Setup!$G$15:$G$79),"Uncategorized"))</f>
        <v/>
      </c>
      <c r="J685" t="str">
        <f t="shared" si="56"/>
        <v/>
      </c>
      <c r="K685" s="4" t="str">
        <f t="shared" si="57"/>
        <v/>
      </c>
      <c r="L685" s="47">
        <f t="shared" si="58"/>
        <v>0</v>
      </c>
      <c r="M685" s="47">
        <f t="shared" si="59"/>
        <v>0</v>
      </c>
      <c r="N685" t="str">
        <f>IF(A685="","",IF(D685="Category Pending","Needs categorization",IF(COUNTIFS($A$2:A685,A685,$B$2:B685,B685,$E$2:E685,E685)&gt;1,"Possible duplicate","")))</f>
        <v/>
      </c>
    </row>
    <row r="686" spans="3:14" x14ac:dyDescent="0.3">
      <c r="C686" s="16"/>
      <c r="G686" s="5" t="str">
        <f t="shared" si="55"/>
        <v/>
      </c>
      <c r="H686" t="str">
        <f>IF(A686="","",IFERROR(_xlfn.XLOOKUP(D686,Setup!$E$15:$E$79,Setup!$F$15:$F$79),"Miscellaneous"))</f>
        <v/>
      </c>
      <c r="I686" t="str">
        <f>IF(A686="","",IFERROR(_xlfn.XLOOKUP(D686,Setup!$E$15:$E$79,Setup!$G$15:$G$79),"Uncategorized"))</f>
        <v/>
      </c>
      <c r="J686" t="str">
        <f t="shared" si="56"/>
        <v/>
      </c>
      <c r="K686" s="4" t="str">
        <f t="shared" si="57"/>
        <v/>
      </c>
      <c r="L686" s="47">
        <f t="shared" si="58"/>
        <v>0</v>
      </c>
      <c r="M686" s="47">
        <f t="shared" si="59"/>
        <v>0</v>
      </c>
      <c r="N686" t="str">
        <f>IF(A686="","",IF(D686="Category Pending","Needs categorization",IF(COUNTIFS($A$2:A686,A686,$B$2:B686,B686,$E$2:E686,E686)&gt;1,"Possible duplicate","")))</f>
        <v/>
      </c>
    </row>
    <row r="687" spans="3:14" x14ac:dyDescent="0.3">
      <c r="C687" s="16"/>
      <c r="G687" s="5" t="str">
        <f t="shared" si="55"/>
        <v/>
      </c>
      <c r="H687" t="str">
        <f>IF(A687="","",IFERROR(_xlfn.XLOOKUP(D687,Setup!$E$15:$E$79,Setup!$F$15:$F$79),"Miscellaneous"))</f>
        <v/>
      </c>
      <c r="I687" t="str">
        <f>IF(A687="","",IFERROR(_xlfn.XLOOKUP(D687,Setup!$E$15:$E$79,Setup!$G$15:$G$79),"Uncategorized"))</f>
        <v/>
      </c>
      <c r="J687" t="str">
        <f t="shared" si="56"/>
        <v/>
      </c>
      <c r="K687" s="4" t="str">
        <f t="shared" si="57"/>
        <v/>
      </c>
      <c r="L687" s="47">
        <f t="shared" si="58"/>
        <v>0</v>
      </c>
      <c r="M687" s="47">
        <f t="shared" si="59"/>
        <v>0</v>
      </c>
      <c r="N687" t="str">
        <f>IF(A687="","",IF(D687="Category Pending","Needs categorization",IF(COUNTIFS($A$2:A687,A687,$B$2:B687,B687,$E$2:E687,E687)&gt;1,"Possible duplicate","")))</f>
        <v/>
      </c>
    </row>
    <row r="688" spans="3:14" x14ac:dyDescent="0.3">
      <c r="C688" s="16"/>
      <c r="G688" s="5" t="str">
        <f t="shared" si="55"/>
        <v/>
      </c>
      <c r="H688" t="str">
        <f>IF(A688="","",IFERROR(_xlfn.XLOOKUP(D688,Setup!$E$15:$E$79,Setup!$F$15:$F$79),"Miscellaneous"))</f>
        <v/>
      </c>
      <c r="I688" t="str">
        <f>IF(A688="","",IFERROR(_xlfn.XLOOKUP(D688,Setup!$E$15:$E$79,Setup!$G$15:$G$79),"Uncategorized"))</f>
        <v/>
      </c>
      <c r="J688" t="str">
        <f t="shared" si="56"/>
        <v/>
      </c>
      <c r="K688" s="4" t="str">
        <f t="shared" si="57"/>
        <v/>
      </c>
      <c r="L688" s="47">
        <f t="shared" si="58"/>
        <v>0</v>
      </c>
      <c r="M688" s="47">
        <f t="shared" si="59"/>
        <v>0</v>
      </c>
      <c r="N688" t="str">
        <f>IF(A688="","",IF(D688="Category Pending","Needs categorization",IF(COUNTIFS($A$2:A688,A688,$B$2:B688,B688,$E$2:E688,E688)&gt;1,"Possible duplicate","")))</f>
        <v/>
      </c>
    </row>
    <row r="689" spans="3:14" x14ac:dyDescent="0.3">
      <c r="C689" s="16"/>
      <c r="G689" s="5" t="str">
        <f t="shared" si="55"/>
        <v/>
      </c>
      <c r="H689" t="str">
        <f>IF(A689="","",IFERROR(_xlfn.XLOOKUP(D689,Setup!$E$15:$E$79,Setup!$F$15:$F$79),"Miscellaneous"))</f>
        <v/>
      </c>
      <c r="I689" t="str">
        <f>IF(A689="","",IFERROR(_xlfn.XLOOKUP(D689,Setup!$E$15:$E$79,Setup!$G$15:$G$79),"Uncategorized"))</f>
        <v/>
      </c>
      <c r="J689" t="str">
        <f t="shared" si="56"/>
        <v/>
      </c>
      <c r="K689" s="4" t="str">
        <f t="shared" si="57"/>
        <v/>
      </c>
      <c r="L689" s="47">
        <f t="shared" si="58"/>
        <v>0</v>
      </c>
      <c r="M689" s="47">
        <f t="shared" si="59"/>
        <v>0</v>
      </c>
      <c r="N689" t="str">
        <f>IF(A689="","",IF(D689="Category Pending","Needs categorization",IF(COUNTIFS($A$2:A689,A689,$B$2:B689,B689,$E$2:E689,E689)&gt;1,"Possible duplicate","")))</f>
        <v/>
      </c>
    </row>
    <row r="690" spans="3:14" x14ac:dyDescent="0.3">
      <c r="C690" s="16"/>
      <c r="G690" s="5" t="str">
        <f t="shared" si="55"/>
        <v/>
      </c>
      <c r="H690" t="str">
        <f>IF(A690="","",IFERROR(_xlfn.XLOOKUP(D690,Setup!$E$15:$E$79,Setup!$F$15:$F$79),"Miscellaneous"))</f>
        <v/>
      </c>
      <c r="I690" t="str">
        <f>IF(A690="","",IFERROR(_xlfn.XLOOKUP(D690,Setup!$E$15:$E$79,Setup!$G$15:$G$79),"Uncategorized"))</f>
        <v/>
      </c>
      <c r="J690" t="str">
        <f t="shared" si="56"/>
        <v/>
      </c>
      <c r="K690" s="4" t="str">
        <f t="shared" si="57"/>
        <v/>
      </c>
      <c r="L690" s="47">
        <f t="shared" si="58"/>
        <v>0</v>
      </c>
      <c r="M690" s="47">
        <f t="shared" si="59"/>
        <v>0</v>
      </c>
      <c r="N690" t="str">
        <f>IF(A690="","",IF(D690="Category Pending","Needs categorization",IF(COUNTIFS($A$2:A690,A690,$B$2:B690,B690,$E$2:E690,E690)&gt;1,"Possible duplicate","")))</f>
        <v/>
      </c>
    </row>
    <row r="691" spans="3:14" x14ac:dyDescent="0.3">
      <c r="C691" s="16"/>
      <c r="G691" s="5" t="str">
        <f t="shared" si="55"/>
        <v/>
      </c>
      <c r="H691" t="str">
        <f>IF(A691="","",IFERROR(_xlfn.XLOOKUP(D691,Setup!$E$15:$E$79,Setup!$F$15:$F$79),"Miscellaneous"))</f>
        <v/>
      </c>
      <c r="I691" t="str">
        <f>IF(A691="","",IFERROR(_xlfn.XLOOKUP(D691,Setup!$E$15:$E$79,Setup!$G$15:$G$79),"Uncategorized"))</f>
        <v/>
      </c>
      <c r="J691" t="str">
        <f t="shared" si="56"/>
        <v/>
      </c>
      <c r="K691" s="4" t="str">
        <f t="shared" si="57"/>
        <v/>
      </c>
      <c r="L691" s="47">
        <f t="shared" si="58"/>
        <v>0</v>
      </c>
      <c r="M691" s="47">
        <f t="shared" si="59"/>
        <v>0</v>
      </c>
      <c r="N691" t="str">
        <f>IF(A691="","",IF(D691="Category Pending","Needs categorization",IF(COUNTIFS($A$2:A691,A691,$B$2:B691,B691,$E$2:E691,E691)&gt;1,"Possible duplicate","")))</f>
        <v/>
      </c>
    </row>
    <row r="692" spans="3:14" x14ac:dyDescent="0.3">
      <c r="C692" s="16"/>
      <c r="G692" s="5" t="str">
        <f t="shared" si="55"/>
        <v/>
      </c>
      <c r="H692" t="str">
        <f>IF(A692="","",IFERROR(_xlfn.XLOOKUP(D692,Setup!$E$15:$E$79,Setup!$F$15:$F$79),"Miscellaneous"))</f>
        <v/>
      </c>
      <c r="I692" t="str">
        <f>IF(A692="","",IFERROR(_xlfn.XLOOKUP(D692,Setup!$E$15:$E$79,Setup!$G$15:$G$79),"Uncategorized"))</f>
        <v/>
      </c>
      <c r="J692" t="str">
        <f t="shared" si="56"/>
        <v/>
      </c>
      <c r="K692" s="4" t="str">
        <f t="shared" si="57"/>
        <v/>
      </c>
      <c r="L692" s="47">
        <f t="shared" si="58"/>
        <v>0</v>
      </c>
      <c r="M692" s="47">
        <f t="shared" si="59"/>
        <v>0</v>
      </c>
      <c r="N692" t="str">
        <f>IF(A692="","",IF(D692="Category Pending","Needs categorization",IF(COUNTIFS($A$2:A692,A692,$B$2:B692,B692,$E$2:E692,E692)&gt;1,"Possible duplicate","")))</f>
        <v/>
      </c>
    </row>
    <row r="693" spans="3:14" x14ac:dyDescent="0.3">
      <c r="C693" s="16"/>
      <c r="G693" s="5" t="str">
        <f t="shared" si="55"/>
        <v/>
      </c>
      <c r="H693" t="str">
        <f>IF(A693="","",IFERROR(_xlfn.XLOOKUP(D693,Setup!$E$15:$E$79,Setup!$F$15:$F$79),"Miscellaneous"))</f>
        <v/>
      </c>
      <c r="I693" t="str">
        <f>IF(A693="","",IFERROR(_xlfn.XLOOKUP(D693,Setup!$E$15:$E$79,Setup!$G$15:$G$79),"Uncategorized"))</f>
        <v/>
      </c>
      <c r="J693" t="str">
        <f t="shared" si="56"/>
        <v/>
      </c>
      <c r="K693" s="4" t="str">
        <f t="shared" si="57"/>
        <v/>
      </c>
      <c r="L693" s="47">
        <f t="shared" si="58"/>
        <v>0</v>
      </c>
      <c r="M693" s="47">
        <f t="shared" si="59"/>
        <v>0</v>
      </c>
      <c r="N693" t="str">
        <f>IF(A693="","",IF(D693="Category Pending","Needs categorization",IF(COUNTIFS($A$2:A693,A693,$B$2:B693,B693,$E$2:E693,E693)&gt;1,"Possible duplicate","")))</f>
        <v/>
      </c>
    </row>
    <row r="694" spans="3:14" x14ac:dyDescent="0.3">
      <c r="C694" s="16"/>
      <c r="G694" s="5" t="str">
        <f t="shared" si="55"/>
        <v/>
      </c>
      <c r="H694" t="str">
        <f>IF(A694="","",IFERROR(_xlfn.XLOOKUP(D694,Setup!$E$15:$E$79,Setup!$F$15:$F$79),"Miscellaneous"))</f>
        <v/>
      </c>
      <c r="I694" t="str">
        <f>IF(A694="","",IFERROR(_xlfn.XLOOKUP(D694,Setup!$E$15:$E$79,Setup!$G$15:$G$79),"Uncategorized"))</f>
        <v/>
      </c>
      <c r="J694" t="str">
        <f t="shared" si="56"/>
        <v/>
      </c>
      <c r="K694" s="4" t="str">
        <f t="shared" si="57"/>
        <v/>
      </c>
      <c r="L694" s="47">
        <f t="shared" si="58"/>
        <v>0</v>
      </c>
      <c r="M694" s="47">
        <f t="shared" si="59"/>
        <v>0</v>
      </c>
      <c r="N694" t="str">
        <f>IF(A694="","",IF(D694="Category Pending","Needs categorization",IF(COUNTIFS($A$2:A694,A694,$B$2:B694,B694,$E$2:E694,E694)&gt;1,"Possible duplicate","")))</f>
        <v/>
      </c>
    </row>
    <row r="695" spans="3:14" x14ac:dyDescent="0.3">
      <c r="C695" s="16"/>
      <c r="G695" s="5" t="str">
        <f t="shared" si="55"/>
        <v/>
      </c>
      <c r="H695" t="str">
        <f>IF(A695="","",IFERROR(_xlfn.XLOOKUP(D695,Setup!$E$15:$E$79,Setup!$F$15:$F$79),"Miscellaneous"))</f>
        <v/>
      </c>
      <c r="I695" t="str">
        <f>IF(A695="","",IFERROR(_xlfn.XLOOKUP(D695,Setup!$E$15:$E$79,Setup!$G$15:$G$79),"Uncategorized"))</f>
        <v/>
      </c>
      <c r="J695" t="str">
        <f t="shared" si="56"/>
        <v/>
      </c>
      <c r="K695" s="4" t="str">
        <f t="shared" si="57"/>
        <v/>
      </c>
      <c r="L695" s="47">
        <f t="shared" si="58"/>
        <v>0</v>
      </c>
      <c r="M695" s="47">
        <f t="shared" si="59"/>
        <v>0</v>
      </c>
      <c r="N695" t="str">
        <f>IF(A695="","",IF(D695="Category Pending","Needs categorization",IF(COUNTIFS($A$2:A695,A695,$B$2:B695,B695,$E$2:E695,E695)&gt;1,"Possible duplicate","")))</f>
        <v/>
      </c>
    </row>
    <row r="696" spans="3:14" x14ac:dyDescent="0.3">
      <c r="C696" s="16"/>
      <c r="G696" s="5" t="str">
        <f t="shared" si="55"/>
        <v/>
      </c>
      <c r="H696" t="str">
        <f>IF(A696="","",IFERROR(_xlfn.XLOOKUP(D696,Setup!$E$15:$E$79,Setup!$F$15:$F$79),"Miscellaneous"))</f>
        <v/>
      </c>
      <c r="I696" t="str">
        <f>IF(A696="","",IFERROR(_xlfn.XLOOKUP(D696,Setup!$E$15:$E$79,Setup!$G$15:$G$79),"Uncategorized"))</f>
        <v/>
      </c>
      <c r="J696" t="str">
        <f t="shared" si="56"/>
        <v/>
      </c>
      <c r="K696" s="4" t="str">
        <f t="shared" si="57"/>
        <v/>
      </c>
      <c r="L696" s="47">
        <f t="shared" si="58"/>
        <v>0</v>
      </c>
      <c r="M696" s="47">
        <f t="shared" si="59"/>
        <v>0</v>
      </c>
      <c r="N696" t="str">
        <f>IF(A696="","",IF(D696="Category Pending","Needs categorization",IF(COUNTIFS($A$2:A696,A696,$B$2:B696,B696,$E$2:E696,E696)&gt;1,"Possible duplicate","")))</f>
        <v/>
      </c>
    </row>
    <row r="697" spans="3:14" x14ac:dyDescent="0.3">
      <c r="C697" s="16"/>
      <c r="G697" s="5" t="str">
        <f t="shared" si="55"/>
        <v/>
      </c>
      <c r="H697" t="str">
        <f>IF(A697="","",IFERROR(_xlfn.XLOOKUP(D697,Setup!$E$15:$E$79,Setup!$F$15:$F$79),"Miscellaneous"))</f>
        <v/>
      </c>
      <c r="I697" t="str">
        <f>IF(A697="","",IFERROR(_xlfn.XLOOKUP(D697,Setup!$E$15:$E$79,Setup!$G$15:$G$79),"Uncategorized"))</f>
        <v/>
      </c>
      <c r="J697" t="str">
        <f t="shared" si="56"/>
        <v/>
      </c>
      <c r="K697" s="4" t="str">
        <f t="shared" si="57"/>
        <v/>
      </c>
      <c r="L697" s="47">
        <f t="shared" si="58"/>
        <v>0</v>
      </c>
      <c r="M697" s="47">
        <f t="shared" si="59"/>
        <v>0</v>
      </c>
      <c r="N697" t="str">
        <f>IF(A697="","",IF(D697="Category Pending","Needs categorization",IF(COUNTIFS($A$2:A697,A697,$B$2:B697,B697,$E$2:E697,E697)&gt;1,"Possible duplicate","")))</f>
        <v/>
      </c>
    </row>
    <row r="698" spans="3:14" x14ac:dyDescent="0.3">
      <c r="C698" s="16"/>
      <c r="G698" s="5" t="str">
        <f t="shared" si="55"/>
        <v/>
      </c>
      <c r="H698" t="str">
        <f>IF(A698="","",IFERROR(_xlfn.XLOOKUP(D698,Setup!$E$15:$E$79,Setup!$F$15:$F$79),"Miscellaneous"))</f>
        <v/>
      </c>
      <c r="I698" t="str">
        <f>IF(A698="","",IFERROR(_xlfn.XLOOKUP(D698,Setup!$E$15:$E$79,Setup!$G$15:$G$79),"Uncategorized"))</f>
        <v/>
      </c>
      <c r="J698" t="str">
        <f t="shared" si="56"/>
        <v/>
      </c>
      <c r="K698" s="4" t="str">
        <f t="shared" si="57"/>
        <v/>
      </c>
      <c r="L698" s="47">
        <f t="shared" si="58"/>
        <v>0</v>
      </c>
      <c r="M698" s="47">
        <f t="shared" si="59"/>
        <v>0</v>
      </c>
      <c r="N698" t="str">
        <f>IF(A698="","",IF(D698="Category Pending","Needs categorization",IF(COUNTIFS($A$2:A698,A698,$B$2:B698,B698,$E$2:E698,E698)&gt;1,"Possible duplicate","")))</f>
        <v/>
      </c>
    </row>
    <row r="699" spans="3:14" x14ac:dyDescent="0.3">
      <c r="C699" s="16"/>
      <c r="G699" s="5" t="str">
        <f t="shared" si="55"/>
        <v/>
      </c>
      <c r="H699" t="str">
        <f>IF(A699="","",IFERROR(_xlfn.XLOOKUP(D699,Setup!$E$15:$E$79,Setup!$F$15:$F$79),"Miscellaneous"))</f>
        <v/>
      </c>
      <c r="I699" t="str">
        <f>IF(A699="","",IFERROR(_xlfn.XLOOKUP(D699,Setup!$E$15:$E$79,Setup!$G$15:$G$79),"Uncategorized"))</f>
        <v/>
      </c>
      <c r="J699" t="str">
        <f t="shared" si="56"/>
        <v/>
      </c>
      <c r="K699" s="4" t="str">
        <f t="shared" si="57"/>
        <v/>
      </c>
      <c r="L699" s="47">
        <f t="shared" si="58"/>
        <v>0</v>
      </c>
      <c r="M699" s="47">
        <f t="shared" si="59"/>
        <v>0</v>
      </c>
      <c r="N699" t="str">
        <f>IF(A699="","",IF(D699="Category Pending","Needs categorization",IF(COUNTIFS($A$2:A699,A699,$B$2:B699,B699,$E$2:E699,E699)&gt;1,"Possible duplicate","")))</f>
        <v/>
      </c>
    </row>
    <row r="700" spans="3:14" x14ac:dyDescent="0.3">
      <c r="C700" s="16"/>
      <c r="G700" s="5" t="str">
        <f t="shared" si="55"/>
        <v/>
      </c>
      <c r="H700" t="str">
        <f>IF(A700="","",IFERROR(_xlfn.XLOOKUP(D700,Setup!$E$15:$E$79,Setup!$F$15:$F$79),"Miscellaneous"))</f>
        <v/>
      </c>
      <c r="I700" t="str">
        <f>IF(A700="","",IFERROR(_xlfn.XLOOKUP(D700,Setup!$E$15:$E$79,Setup!$G$15:$G$79),"Uncategorized"))</f>
        <v/>
      </c>
      <c r="J700" t="str">
        <f t="shared" si="56"/>
        <v/>
      </c>
      <c r="K700" s="4" t="str">
        <f t="shared" si="57"/>
        <v/>
      </c>
      <c r="L700" s="47">
        <f t="shared" si="58"/>
        <v>0</v>
      </c>
      <c r="M700" s="47">
        <f t="shared" si="59"/>
        <v>0</v>
      </c>
      <c r="N700" t="str">
        <f>IF(A700="","",IF(D700="Category Pending","Needs categorization",IF(COUNTIFS($A$2:A700,A700,$B$2:B700,B700,$E$2:E700,E700)&gt;1,"Possible duplicate","")))</f>
        <v/>
      </c>
    </row>
    <row r="701" spans="3:14" x14ac:dyDescent="0.3">
      <c r="C701" s="16"/>
      <c r="G701" s="5" t="str">
        <f t="shared" si="55"/>
        <v/>
      </c>
      <c r="H701" t="str">
        <f>IF(A701="","",IFERROR(_xlfn.XLOOKUP(D701,Setup!$E$15:$E$79,Setup!$F$15:$F$79),"Miscellaneous"))</f>
        <v/>
      </c>
      <c r="I701" t="str">
        <f>IF(A701="","",IFERROR(_xlfn.XLOOKUP(D701,Setup!$E$15:$E$79,Setup!$G$15:$G$79),"Uncategorized"))</f>
        <v/>
      </c>
      <c r="J701" t="str">
        <f t="shared" si="56"/>
        <v/>
      </c>
      <c r="K701" s="4" t="str">
        <f t="shared" si="57"/>
        <v/>
      </c>
      <c r="L701" s="47">
        <f t="shared" si="58"/>
        <v>0</v>
      </c>
      <c r="M701" s="47">
        <f t="shared" si="59"/>
        <v>0</v>
      </c>
      <c r="N701" t="str">
        <f>IF(A701="","",IF(D701="Category Pending","Needs categorization",IF(COUNTIFS($A$2:A701,A701,$B$2:B701,B701,$E$2:E701,E701)&gt;1,"Possible duplicate","")))</f>
        <v/>
      </c>
    </row>
    <row r="702" spans="3:14" x14ac:dyDescent="0.3">
      <c r="C702" s="16"/>
      <c r="G702" s="5" t="str">
        <f t="shared" si="55"/>
        <v/>
      </c>
      <c r="H702" t="str">
        <f>IF(A702="","",IFERROR(_xlfn.XLOOKUP(D702,Setup!$E$15:$E$79,Setup!$F$15:$F$79),"Miscellaneous"))</f>
        <v/>
      </c>
      <c r="I702" t="str">
        <f>IF(A702="","",IFERROR(_xlfn.XLOOKUP(D702,Setup!$E$15:$E$79,Setup!$G$15:$G$79),"Uncategorized"))</f>
        <v/>
      </c>
      <c r="J702" t="str">
        <f t="shared" si="56"/>
        <v/>
      </c>
      <c r="K702" s="4" t="str">
        <f t="shared" si="57"/>
        <v/>
      </c>
      <c r="L702" s="47">
        <f t="shared" si="58"/>
        <v>0</v>
      </c>
      <c r="M702" s="47">
        <f t="shared" si="59"/>
        <v>0</v>
      </c>
      <c r="N702" t="str">
        <f>IF(A702="","",IF(D702="Category Pending","Needs categorization",IF(COUNTIFS($A$2:A702,A702,$B$2:B702,B702,$E$2:E702,E702)&gt;1,"Possible duplicate","")))</f>
        <v/>
      </c>
    </row>
    <row r="703" spans="3:14" x14ac:dyDescent="0.3">
      <c r="C703" s="16"/>
      <c r="G703" s="5" t="str">
        <f t="shared" si="55"/>
        <v/>
      </c>
      <c r="H703" t="str">
        <f>IF(A703="","",IFERROR(_xlfn.XLOOKUP(D703,Setup!$E$15:$E$79,Setup!$F$15:$F$79),"Miscellaneous"))</f>
        <v/>
      </c>
      <c r="I703" t="str">
        <f>IF(A703="","",IFERROR(_xlfn.XLOOKUP(D703,Setup!$E$15:$E$79,Setup!$G$15:$G$79),"Uncategorized"))</f>
        <v/>
      </c>
      <c r="J703" t="str">
        <f t="shared" si="56"/>
        <v/>
      </c>
      <c r="K703" s="4" t="str">
        <f t="shared" si="57"/>
        <v/>
      </c>
      <c r="L703" s="47">
        <f t="shared" si="58"/>
        <v>0</v>
      </c>
      <c r="M703" s="47">
        <f t="shared" si="59"/>
        <v>0</v>
      </c>
      <c r="N703" t="str">
        <f>IF(A703="","",IF(D703="Category Pending","Needs categorization",IF(COUNTIFS($A$2:A703,A703,$B$2:B703,B703,$E$2:E703,E703)&gt;1,"Possible duplicate","")))</f>
        <v/>
      </c>
    </row>
    <row r="704" spans="3:14" x14ac:dyDescent="0.3">
      <c r="C704" s="16"/>
      <c r="G704" s="5" t="str">
        <f t="shared" si="55"/>
        <v/>
      </c>
      <c r="H704" t="str">
        <f>IF(A704="","",IFERROR(_xlfn.XLOOKUP(D704,Setup!$E$15:$E$79,Setup!$F$15:$F$79),"Miscellaneous"))</f>
        <v/>
      </c>
      <c r="I704" t="str">
        <f>IF(A704="","",IFERROR(_xlfn.XLOOKUP(D704,Setup!$E$15:$E$79,Setup!$G$15:$G$79),"Uncategorized"))</f>
        <v/>
      </c>
      <c r="J704" t="str">
        <f t="shared" si="56"/>
        <v/>
      </c>
      <c r="K704" s="4" t="str">
        <f t="shared" si="57"/>
        <v/>
      </c>
      <c r="L704" s="47">
        <f t="shared" si="58"/>
        <v>0</v>
      </c>
      <c r="M704" s="47">
        <f t="shared" si="59"/>
        <v>0</v>
      </c>
      <c r="N704" t="str">
        <f>IF(A704="","",IF(D704="Category Pending","Needs categorization",IF(COUNTIFS($A$2:A704,A704,$B$2:B704,B704,$E$2:E704,E704)&gt;1,"Possible duplicate","")))</f>
        <v/>
      </c>
    </row>
    <row r="705" spans="3:14" x14ac:dyDescent="0.3">
      <c r="C705" s="16"/>
      <c r="G705" s="5" t="str">
        <f t="shared" si="55"/>
        <v/>
      </c>
      <c r="H705" t="str">
        <f>IF(A705="","",IFERROR(_xlfn.XLOOKUP(D705,Setup!$E$15:$E$79,Setup!$F$15:$F$79),"Miscellaneous"))</f>
        <v/>
      </c>
      <c r="I705" t="str">
        <f>IF(A705="","",IFERROR(_xlfn.XLOOKUP(D705,Setup!$E$15:$E$79,Setup!$G$15:$G$79),"Uncategorized"))</f>
        <v/>
      </c>
      <c r="J705" t="str">
        <f t="shared" si="56"/>
        <v/>
      </c>
      <c r="K705" s="4" t="str">
        <f t="shared" si="57"/>
        <v/>
      </c>
      <c r="L705" s="47">
        <f t="shared" si="58"/>
        <v>0</v>
      </c>
      <c r="M705" s="47">
        <f t="shared" si="59"/>
        <v>0</v>
      </c>
      <c r="N705" t="str">
        <f>IF(A705="","",IF(D705="Category Pending","Needs categorization",IF(COUNTIFS($A$2:A705,A705,$B$2:B705,B705,$E$2:E705,E705)&gt;1,"Possible duplicate","")))</f>
        <v/>
      </c>
    </row>
    <row r="706" spans="3:14" x14ac:dyDescent="0.3">
      <c r="C706" s="16"/>
      <c r="G706" s="5" t="str">
        <f t="shared" si="55"/>
        <v/>
      </c>
      <c r="H706" t="str">
        <f>IF(A706="","",IFERROR(_xlfn.XLOOKUP(D706,Setup!$E$15:$E$79,Setup!$F$15:$F$79),"Miscellaneous"))</f>
        <v/>
      </c>
      <c r="I706" t="str">
        <f>IF(A706="","",IFERROR(_xlfn.XLOOKUP(D706,Setup!$E$15:$E$79,Setup!$G$15:$G$79),"Uncategorized"))</f>
        <v/>
      </c>
      <c r="J706" t="str">
        <f t="shared" si="56"/>
        <v/>
      </c>
      <c r="K706" s="4" t="str">
        <f t="shared" si="57"/>
        <v/>
      </c>
      <c r="L706" s="47">
        <f t="shared" si="58"/>
        <v>0</v>
      </c>
      <c r="M706" s="47">
        <f t="shared" si="59"/>
        <v>0</v>
      </c>
      <c r="N706" t="str">
        <f>IF(A706="","",IF(D706="Category Pending","Needs categorization",IF(COUNTIFS($A$2:A706,A706,$B$2:B706,B706,$E$2:E706,E706)&gt;1,"Possible duplicate","")))</f>
        <v/>
      </c>
    </row>
    <row r="707" spans="3:14" x14ac:dyDescent="0.3">
      <c r="C707" s="16"/>
      <c r="G707" s="5" t="str">
        <f t="shared" si="55"/>
        <v/>
      </c>
      <c r="H707" t="str">
        <f>IF(A707="","",IFERROR(_xlfn.XLOOKUP(D707,Setup!$E$15:$E$79,Setup!$F$15:$F$79),"Miscellaneous"))</f>
        <v/>
      </c>
      <c r="I707" t="str">
        <f>IF(A707="","",IFERROR(_xlfn.XLOOKUP(D707,Setup!$E$15:$E$79,Setup!$G$15:$G$79),"Uncategorized"))</f>
        <v/>
      </c>
      <c r="J707" t="str">
        <f t="shared" si="56"/>
        <v/>
      </c>
      <c r="K707" s="4" t="str">
        <f t="shared" si="57"/>
        <v/>
      </c>
      <c r="L707" s="47">
        <f t="shared" si="58"/>
        <v>0</v>
      </c>
      <c r="M707" s="47">
        <f t="shared" si="59"/>
        <v>0</v>
      </c>
      <c r="N707" t="str">
        <f>IF(A707="","",IF(D707="Category Pending","Needs categorization",IF(COUNTIFS($A$2:A707,A707,$B$2:B707,B707,$E$2:E707,E707)&gt;1,"Possible duplicate","")))</f>
        <v/>
      </c>
    </row>
    <row r="708" spans="3:14" x14ac:dyDescent="0.3">
      <c r="C708" s="16"/>
      <c r="G708" s="5" t="str">
        <f t="shared" si="55"/>
        <v/>
      </c>
      <c r="H708" t="str">
        <f>IF(A708="","",IFERROR(_xlfn.XLOOKUP(D708,Setup!$E$15:$E$79,Setup!$F$15:$F$79),"Miscellaneous"))</f>
        <v/>
      </c>
      <c r="I708" t="str">
        <f>IF(A708="","",IFERROR(_xlfn.XLOOKUP(D708,Setup!$E$15:$E$79,Setup!$G$15:$G$79),"Uncategorized"))</f>
        <v/>
      </c>
      <c r="J708" t="str">
        <f t="shared" si="56"/>
        <v/>
      </c>
      <c r="K708" s="4" t="str">
        <f t="shared" si="57"/>
        <v/>
      </c>
      <c r="L708" s="47">
        <f t="shared" si="58"/>
        <v>0</v>
      </c>
      <c r="M708" s="47">
        <f t="shared" si="59"/>
        <v>0</v>
      </c>
      <c r="N708" t="str">
        <f>IF(A708="","",IF(D708="Category Pending","Needs categorization",IF(COUNTIFS($A$2:A708,A708,$B$2:B708,B708,$E$2:E708,E708)&gt;1,"Possible duplicate","")))</f>
        <v/>
      </c>
    </row>
    <row r="709" spans="3:14" x14ac:dyDescent="0.3">
      <c r="C709" s="16"/>
      <c r="G709" s="5" t="str">
        <f t="shared" si="55"/>
        <v/>
      </c>
      <c r="H709" t="str">
        <f>IF(A709="","",IFERROR(_xlfn.XLOOKUP(D709,Setup!$E$15:$E$79,Setup!$F$15:$F$79),"Miscellaneous"))</f>
        <v/>
      </c>
      <c r="I709" t="str">
        <f>IF(A709="","",IFERROR(_xlfn.XLOOKUP(D709,Setup!$E$15:$E$79,Setup!$G$15:$G$79),"Uncategorized"))</f>
        <v/>
      </c>
      <c r="J709" t="str">
        <f t="shared" si="56"/>
        <v/>
      </c>
      <c r="K709" s="4" t="str">
        <f t="shared" si="57"/>
        <v/>
      </c>
      <c r="L709" s="47">
        <f t="shared" si="58"/>
        <v>0</v>
      </c>
      <c r="M709" s="47">
        <f t="shared" si="59"/>
        <v>0</v>
      </c>
      <c r="N709" t="str">
        <f>IF(A709="","",IF(D709="Category Pending","Needs categorization",IF(COUNTIFS($A$2:A709,A709,$B$2:B709,B709,$E$2:E709,E709)&gt;1,"Possible duplicate","")))</f>
        <v/>
      </c>
    </row>
    <row r="710" spans="3:14" x14ac:dyDescent="0.3">
      <c r="C710" s="16"/>
      <c r="G710" s="5" t="str">
        <f t="shared" si="55"/>
        <v/>
      </c>
      <c r="H710" t="str">
        <f>IF(A710="","",IFERROR(_xlfn.XLOOKUP(D710,Setup!$E$15:$E$79,Setup!$F$15:$F$79),"Miscellaneous"))</f>
        <v/>
      </c>
      <c r="I710" t="str">
        <f>IF(A710="","",IFERROR(_xlfn.XLOOKUP(D710,Setup!$E$15:$E$79,Setup!$G$15:$G$79),"Uncategorized"))</f>
        <v/>
      </c>
      <c r="J710" t="str">
        <f t="shared" si="56"/>
        <v/>
      </c>
      <c r="K710" s="4" t="str">
        <f t="shared" si="57"/>
        <v/>
      </c>
      <c r="L710" s="47">
        <f t="shared" si="58"/>
        <v>0</v>
      </c>
      <c r="M710" s="47">
        <f t="shared" si="59"/>
        <v>0</v>
      </c>
      <c r="N710" t="str">
        <f>IF(A710="","",IF(D710="Category Pending","Needs categorization",IF(COUNTIFS($A$2:A710,A710,$B$2:B710,B710,$E$2:E710,E710)&gt;1,"Possible duplicate","")))</f>
        <v/>
      </c>
    </row>
    <row r="711" spans="3:14" x14ac:dyDescent="0.3">
      <c r="C711" s="16"/>
      <c r="G711" s="5" t="str">
        <f t="shared" si="55"/>
        <v/>
      </c>
      <c r="H711" t="str">
        <f>IF(A711="","",IFERROR(_xlfn.XLOOKUP(D711,Setup!$E$15:$E$79,Setup!$F$15:$F$79),"Miscellaneous"))</f>
        <v/>
      </c>
      <c r="I711" t="str">
        <f>IF(A711="","",IFERROR(_xlfn.XLOOKUP(D711,Setup!$E$15:$E$79,Setup!$G$15:$G$79),"Uncategorized"))</f>
        <v/>
      </c>
      <c r="J711" t="str">
        <f t="shared" si="56"/>
        <v/>
      </c>
      <c r="K711" s="4" t="str">
        <f t="shared" si="57"/>
        <v/>
      </c>
      <c r="L711" s="47">
        <f t="shared" si="58"/>
        <v>0</v>
      </c>
      <c r="M711" s="47">
        <f t="shared" si="59"/>
        <v>0</v>
      </c>
      <c r="N711" t="str">
        <f>IF(A711="","",IF(D711="Category Pending","Needs categorization",IF(COUNTIFS($A$2:A711,A711,$B$2:B711,B711,$E$2:E711,E711)&gt;1,"Possible duplicate","")))</f>
        <v/>
      </c>
    </row>
    <row r="712" spans="3:14" x14ac:dyDescent="0.3">
      <c r="C712" s="16"/>
      <c r="G712" s="5" t="str">
        <f t="shared" si="55"/>
        <v/>
      </c>
      <c r="H712" t="str">
        <f>IF(A712="","",IFERROR(_xlfn.XLOOKUP(D712,Setup!$E$15:$E$79,Setup!$F$15:$F$79),"Miscellaneous"))</f>
        <v/>
      </c>
      <c r="I712" t="str">
        <f>IF(A712="","",IFERROR(_xlfn.XLOOKUP(D712,Setup!$E$15:$E$79,Setup!$G$15:$G$79),"Uncategorized"))</f>
        <v/>
      </c>
      <c r="J712" t="str">
        <f t="shared" si="56"/>
        <v/>
      </c>
      <c r="K712" s="4" t="str">
        <f t="shared" si="57"/>
        <v/>
      </c>
      <c r="L712" s="47">
        <f t="shared" si="58"/>
        <v>0</v>
      </c>
      <c r="M712" s="47">
        <f t="shared" si="59"/>
        <v>0</v>
      </c>
      <c r="N712" t="str">
        <f>IF(A712="","",IF(D712="Category Pending","Needs categorization",IF(COUNTIFS($A$2:A712,A712,$B$2:B712,B712,$E$2:E712,E712)&gt;1,"Possible duplicate","")))</f>
        <v/>
      </c>
    </row>
    <row r="713" spans="3:14" x14ac:dyDescent="0.3">
      <c r="C713" s="16"/>
      <c r="G713" s="5" t="str">
        <f t="shared" si="55"/>
        <v/>
      </c>
      <c r="H713" t="str">
        <f>IF(A713="","",IFERROR(_xlfn.XLOOKUP(D713,Setup!$E$15:$E$79,Setup!$F$15:$F$79),"Miscellaneous"))</f>
        <v/>
      </c>
      <c r="I713" t="str">
        <f>IF(A713="","",IFERROR(_xlfn.XLOOKUP(D713,Setup!$E$15:$E$79,Setup!$G$15:$G$79),"Uncategorized"))</f>
        <v/>
      </c>
      <c r="J713" t="str">
        <f t="shared" si="56"/>
        <v/>
      </c>
      <c r="K713" s="4" t="str">
        <f t="shared" si="57"/>
        <v/>
      </c>
      <c r="L713" s="47">
        <f t="shared" si="58"/>
        <v>0</v>
      </c>
      <c r="M713" s="47">
        <f t="shared" si="59"/>
        <v>0</v>
      </c>
      <c r="N713" t="str">
        <f>IF(A713="","",IF(D713="Category Pending","Needs categorization",IF(COUNTIFS($A$2:A713,A713,$B$2:B713,B713,$E$2:E713,E713)&gt;1,"Possible duplicate","")))</f>
        <v/>
      </c>
    </row>
    <row r="714" spans="3:14" x14ac:dyDescent="0.3">
      <c r="C714" s="16"/>
      <c r="G714" s="5" t="str">
        <f t="shared" si="55"/>
        <v/>
      </c>
      <c r="H714" t="str">
        <f>IF(A714="","",IFERROR(_xlfn.XLOOKUP(D714,Setup!$E$15:$E$79,Setup!$F$15:$F$79),"Miscellaneous"))</f>
        <v/>
      </c>
      <c r="I714" t="str">
        <f>IF(A714="","",IFERROR(_xlfn.XLOOKUP(D714,Setup!$E$15:$E$79,Setup!$G$15:$G$79),"Uncategorized"))</f>
        <v/>
      </c>
      <c r="J714" t="str">
        <f t="shared" si="56"/>
        <v/>
      </c>
      <c r="K714" s="4" t="str">
        <f t="shared" si="57"/>
        <v/>
      </c>
      <c r="L714" s="47">
        <f t="shared" si="58"/>
        <v>0</v>
      </c>
      <c r="M714" s="47">
        <f t="shared" si="59"/>
        <v>0</v>
      </c>
      <c r="N714" t="str">
        <f>IF(A714="","",IF(D714="Category Pending","Needs categorization",IF(COUNTIFS($A$2:A714,A714,$B$2:B714,B714,$E$2:E714,E714)&gt;1,"Possible duplicate","")))</f>
        <v/>
      </c>
    </row>
    <row r="715" spans="3:14" x14ac:dyDescent="0.3">
      <c r="C715" s="16"/>
      <c r="G715" s="5" t="str">
        <f t="shared" si="55"/>
        <v/>
      </c>
      <c r="H715" t="str">
        <f>IF(A715="","",IFERROR(_xlfn.XLOOKUP(D715,Setup!$E$15:$E$79,Setup!$F$15:$F$79),"Miscellaneous"))</f>
        <v/>
      </c>
      <c r="I715" t="str">
        <f>IF(A715="","",IFERROR(_xlfn.XLOOKUP(D715,Setup!$E$15:$E$79,Setup!$G$15:$G$79),"Uncategorized"))</f>
        <v/>
      </c>
      <c r="J715" t="str">
        <f t="shared" si="56"/>
        <v/>
      </c>
      <c r="K715" s="4" t="str">
        <f t="shared" si="57"/>
        <v/>
      </c>
      <c r="L715" s="47">
        <f t="shared" si="58"/>
        <v>0</v>
      </c>
      <c r="M715" s="47">
        <f t="shared" si="59"/>
        <v>0</v>
      </c>
      <c r="N715" t="str">
        <f>IF(A715="","",IF(D715="Category Pending","Needs categorization",IF(COUNTIFS($A$2:A715,A715,$B$2:B715,B715,$E$2:E715,E715)&gt;1,"Possible duplicate","")))</f>
        <v/>
      </c>
    </row>
    <row r="716" spans="3:14" x14ac:dyDescent="0.3">
      <c r="C716" s="16"/>
      <c r="G716" s="5" t="str">
        <f t="shared" si="55"/>
        <v/>
      </c>
      <c r="H716" t="str">
        <f>IF(A716="","",IFERROR(_xlfn.XLOOKUP(D716,Setup!$E$15:$E$79,Setup!$F$15:$F$79),"Miscellaneous"))</f>
        <v/>
      </c>
      <c r="I716" t="str">
        <f>IF(A716="","",IFERROR(_xlfn.XLOOKUP(D716,Setup!$E$15:$E$79,Setup!$G$15:$G$79),"Uncategorized"))</f>
        <v/>
      </c>
      <c r="J716" t="str">
        <f t="shared" si="56"/>
        <v/>
      </c>
      <c r="K716" s="4" t="str">
        <f t="shared" si="57"/>
        <v/>
      </c>
      <c r="L716" s="47">
        <f t="shared" si="58"/>
        <v>0</v>
      </c>
      <c r="M716" s="47">
        <f t="shared" si="59"/>
        <v>0</v>
      </c>
      <c r="N716" t="str">
        <f>IF(A716="","",IF(D716="Category Pending","Needs categorization",IF(COUNTIFS($A$2:A716,A716,$B$2:B716,B716,$E$2:E716,E716)&gt;1,"Possible duplicate","")))</f>
        <v/>
      </c>
    </row>
    <row r="717" spans="3:14" x14ac:dyDescent="0.3">
      <c r="C717" s="16"/>
      <c r="G717" s="5" t="str">
        <f t="shared" si="55"/>
        <v/>
      </c>
      <c r="H717" t="str">
        <f>IF(A717="","",IFERROR(_xlfn.XLOOKUP(D717,Setup!$E$15:$E$79,Setup!$F$15:$F$79),"Miscellaneous"))</f>
        <v/>
      </c>
      <c r="I717" t="str">
        <f>IF(A717="","",IFERROR(_xlfn.XLOOKUP(D717,Setup!$E$15:$E$79,Setup!$G$15:$G$79),"Uncategorized"))</f>
        <v/>
      </c>
      <c r="J717" t="str">
        <f t="shared" si="56"/>
        <v/>
      </c>
      <c r="K717" s="4" t="str">
        <f t="shared" si="57"/>
        <v/>
      </c>
      <c r="L717" s="47">
        <f t="shared" si="58"/>
        <v>0</v>
      </c>
      <c r="M717" s="47">
        <f t="shared" si="59"/>
        <v>0</v>
      </c>
      <c r="N717" t="str">
        <f>IF(A717="","",IF(D717="Category Pending","Needs categorization",IF(COUNTIFS($A$2:A717,A717,$B$2:B717,B717,$E$2:E717,E717)&gt;1,"Possible duplicate","")))</f>
        <v/>
      </c>
    </row>
    <row r="718" spans="3:14" x14ac:dyDescent="0.3">
      <c r="C718" s="16"/>
      <c r="G718" s="5" t="str">
        <f t="shared" si="55"/>
        <v/>
      </c>
      <c r="H718" t="str">
        <f>IF(A718="","",IFERROR(_xlfn.XLOOKUP(D718,Setup!$E$15:$E$79,Setup!$F$15:$F$79),"Miscellaneous"))</f>
        <v/>
      </c>
      <c r="I718" t="str">
        <f>IF(A718="","",IFERROR(_xlfn.XLOOKUP(D718,Setup!$E$15:$E$79,Setup!$G$15:$G$79),"Uncategorized"))</f>
        <v/>
      </c>
      <c r="J718" t="str">
        <f t="shared" si="56"/>
        <v/>
      </c>
      <c r="K718" s="4" t="str">
        <f t="shared" si="57"/>
        <v/>
      </c>
      <c r="L718" s="47">
        <f t="shared" si="58"/>
        <v>0</v>
      </c>
      <c r="M718" s="47">
        <f t="shared" si="59"/>
        <v>0</v>
      </c>
      <c r="N718" t="str">
        <f>IF(A718="","",IF(D718="Category Pending","Needs categorization",IF(COUNTIFS($A$2:A718,A718,$B$2:B718,B718,$E$2:E718,E718)&gt;1,"Possible duplicate","")))</f>
        <v/>
      </c>
    </row>
    <row r="719" spans="3:14" x14ac:dyDescent="0.3">
      <c r="C719" s="16"/>
      <c r="G719" s="5" t="str">
        <f t="shared" si="55"/>
        <v/>
      </c>
      <c r="H719" t="str">
        <f>IF(A719="","",IFERROR(_xlfn.XLOOKUP(D719,Setup!$E$15:$E$79,Setup!$F$15:$F$79),"Miscellaneous"))</f>
        <v/>
      </c>
      <c r="I719" t="str">
        <f>IF(A719="","",IFERROR(_xlfn.XLOOKUP(D719,Setup!$E$15:$E$79,Setup!$G$15:$G$79),"Uncategorized"))</f>
        <v/>
      </c>
      <c r="J719" t="str">
        <f t="shared" si="56"/>
        <v/>
      </c>
      <c r="K719" s="4" t="str">
        <f t="shared" si="57"/>
        <v/>
      </c>
      <c r="L719" s="47">
        <f t="shared" si="58"/>
        <v>0</v>
      </c>
      <c r="M719" s="47">
        <f t="shared" si="59"/>
        <v>0</v>
      </c>
      <c r="N719" t="str">
        <f>IF(A719="","",IF(D719="Category Pending","Needs categorization",IF(COUNTIFS($A$2:A719,A719,$B$2:B719,B719,$E$2:E719,E719)&gt;1,"Possible duplicate","")))</f>
        <v/>
      </c>
    </row>
    <row r="720" spans="3:14" x14ac:dyDescent="0.3">
      <c r="C720" s="16"/>
      <c r="G720" s="5" t="str">
        <f t="shared" si="55"/>
        <v/>
      </c>
      <c r="H720" t="str">
        <f>IF(A720="","",IFERROR(_xlfn.XLOOKUP(D720,Setup!$E$15:$E$79,Setup!$F$15:$F$79),"Miscellaneous"))</f>
        <v/>
      </c>
      <c r="I720" t="str">
        <f>IF(A720="","",IFERROR(_xlfn.XLOOKUP(D720,Setup!$E$15:$E$79,Setup!$G$15:$G$79),"Uncategorized"))</f>
        <v/>
      </c>
      <c r="J720" t="str">
        <f t="shared" si="56"/>
        <v/>
      </c>
      <c r="K720" s="4" t="str">
        <f t="shared" si="57"/>
        <v/>
      </c>
      <c r="L720" s="47">
        <f t="shared" si="58"/>
        <v>0</v>
      </c>
      <c r="M720" s="47">
        <f t="shared" si="59"/>
        <v>0</v>
      </c>
      <c r="N720" t="str">
        <f>IF(A720="","",IF(D720="Category Pending","Needs categorization",IF(COUNTIFS($A$2:A720,A720,$B$2:B720,B720,$E$2:E720,E720)&gt;1,"Possible duplicate","")))</f>
        <v/>
      </c>
    </row>
    <row r="721" spans="3:14" x14ac:dyDescent="0.3">
      <c r="C721" s="16"/>
      <c r="G721" s="5" t="str">
        <f t="shared" si="55"/>
        <v/>
      </c>
      <c r="H721" t="str">
        <f>IF(A721="","",IFERROR(_xlfn.XLOOKUP(D721,Setup!$E$15:$E$79,Setup!$F$15:$F$79),"Miscellaneous"))</f>
        <v/>
      </c>
      <c r="I721" t="str">
        <f>IF(A721="","",IFERROR(_xlfn.XLOOKUP(D721,Setup!$E$15:$E$79,Setup!$G$15:$G$79),"Uncategorized"))</f>
        <v/>
      </c>
      <c r="J721" t="str">
        <f t="shared" si="56"/>
        <v/>
      </c>
      <c r="K721" s="4" t="str">
        <f t="shared" si="57"/>
        <v/>
      </c>
      <c r="L721" s="47">
        <f t="shared" si="58"/>
        <v>0</v>
      </c>
      <c r="M721" s="47">
        <f t="shared" si="59"/>
        <v>0</v>
      </c>
      <c r="N721" t="str">
        <f>IF(A721="","",IF(D721="Category Pending","Needs categorization",IF(COUNTIFS($A$2:A721,A721,$B$2:B721,B721,$E$2:E721,E721)&gt;1,"Possible duplicate","")))</f>
        <v/>
      </c>
    </row>
    <row r="722" spans="3:14" x14ac:dyDescent="0.3">
      <c r="C722" s="16"/>
      <c r="G722" s="5" t="str">
        <f t="shared" si="55"/>
        <v/>
      </c>
      <c r="H722" t="str">
        <f>IF(A722="","",IFERROR(_xlfn.XLOOKUP(D722,Setup!$E$15:$E$79,Setup!$F$15:$F$79),"Miscellaneous"))</f>
        <v/>
      </c>
      <c r="I722" t="str">
        <f>IF(A722="","",IFERROR(_xlfn.XLOOKUP(D722,Setup!$E$15:$E$79,Setup!$G$15:$G$79),"Uncategorized"))</f>
        <v/>
      </c>
      <c r="J722" t="str">
        <f t="shared" si="56"/>
        <v/>
      </c>
      <c r="K722" s="4" t="str">
        <f t="shared" si="57"/>
        <v/>
      </c>
      <c r="L722" s="47">
        <f t="shared" si="58"/>
        <v>0</v>
      </c>
      <c r="M722" s="47">
        <f t="shared" si="59"/>
        <v>0</v>
      </c>
      <c r="N722" t="str">
        <f>IF(A722="","",IF(D722="Category Pending","Needs categorization",IF(COUNTIFS($A$2:A722,A722,$B$2:B722,B722,$E$2:E722,E722)&gt;1,"Possible duplicate","")))</f>
        <v/>
      </c>
    </row>
    <row r="723" spans="3:14" x14ac:dyDescent="0.3">
      <c r="C723" s="16"/>
      <c r="G723" s="5" t="str">
        <f t="shared" si="55"/>
        <v/>
      </c>
      <c r="H723" t="str">
        <f>IF(A723="","",IFERROR(_xlfn.XLOOKUP(D723,Setup!$E$15:$E$79,Setup!$F$15:$F$79),"Miscellaneous"))</f>
        <v/>
      </c>
      <c r="I723" t="str">
        <f>IF(A723="","",IFERROR(_xlfn.XLOOKUP(D723,Setup!$E$15:$E$79,Setup!$G$15:$G$79),"Uncategorized"))</f>
        <v/>
      </c>
      <c r="J723" t="str">
        <f t="shared" si="56"/>
        <v/>
      </c>
      <c r="K723" s="4" t="str">
        <f t="shared" si="57"/>
        <v/>
      </c>
      <c r="L723" s="47">
        <f t="shared" si="58"/>
        <v>0</v>
      </c>
      <c r="M723" s="47">
        <f t="shared" si="59"/>
        <v>0</v>
      </c>
      <c r="N723" t="str">
        <f>IF(A723="","",IF(D723="Category Pending","Needs categorization",IF(COUNTIFS($A$2:A723,A723,$B$2:B723,B723,$E$2:E723,E723)&gt;1,"Possible duplicate","")))</f>
        <v/>
      </c>
    </row>
    <row r="724" spans="3:14" x14ac:dyDescent="0.3">
      <c r="C724" s="16"/>
      <c r="G724" s="5" t="str">
        <f t="shared" si="55"/>
        <v/>
      </c>
      <c r="H724" t="str">
        <f>IF(A724="","",IFERROR(_xlfn.XLOOKUP(D724,Setup!$E$15:$E$79,Setup!$F$15:$F$79),"Miscellaneous"))</f>
        <v/>
      </c>
      <c r="I724" t="str">
        <f>IF(A724="","",IFERROR(_xlfn.XLOOKUP(D724,Setup!$E$15:$E$79,Setup!$G$15:$G$79),"Uncategorized"))</f>
        <v/>
      </c>
      <c r="J724" t="str">
        <f t="shared" si="56"/>
        <v/>
      </c>
      <c r="K724" s="4" t="str">
        <f t="shared" si="57"/>
        <v/>
      </c>
      <c r="L724" s="47">
        <f t="shared" si="58"/>
        <v>0</v>
      </c>
      <c r="M724" s="47">
        <f t="shared" si="59"/>
        <v>0</v>
      </c>
      <c r="N724" t="str">
        <f>IF(A724="","",IF(D724="Category Pending","Needs categorization",IF(COUNTIFS($A$2:A724,A724,$B$2:B724,B724,$E$2:E724,E724)&gt;1,"Possible duplicate","")))</f>
        <v/>
      </c>
    </row>
    <row r="725" spans="3:14" x14ac:dyDescent="0.3">
      <c r="C725" s="16"/>
      <c r="G725" s="5" t="str">
        <f t="shared" si="55"/>
        <v/>
      </c>
      <c r="H725" t="str">
        <f>IF(A725="","",IFERROR(_xlfn.XLOOKUP(D725,Setup!$E$15:$E$79,Setup!$F$15:$F$79),"Miscellaneous"))</f>
        <v/>
      </c>
      <c r="I725" t="str">
        <f>IF(A725="","",IFERROR(_xlfn.XLOOKUP(D725,Setup!$E$15:$E$79,Setup!$G$15:$G$79),"Uncategorized"))</f>
        <v/>
      </c>
      <c r="J725" t="str">
        <f t="shared" si="56"/>
        <v/>
      </c>
      <c r="K725" s="4" t="str">
        <f t="shared" si="57"/>
        <v/>
      </c>
      <c r="L725" s="47">
        <f t="shared" si="58"/>
        <v>0</v>
      </c>
      <c r="M725" s="47">
        <f t="shared" si="59"/>
        <v>0</v>
      </c>
      <c r="N725" t="str">
        <f>IF(A725="","",IF(D725="Category Pending","Needs categorization",IF(COUNTIFS($A$2:A725,A725,$B$2:B725,B725,$E$2:E725,E725)&gt;1,"Possible duplicate","")))</f>
        <v/>
      </c>
    </row>
    <row r="726" spans="3:14" x14ac:dyDescent="0.3">
      <c r="C726" s="16"/>
      <c r="G726" s="5" t="str">
        <f t="shared" si="55"/>
        <v/>
      </c>
      <c r="H726" t="str">
        <f>IF(A726="","",IFERROR(_xlfn.XLOOKUP(D726,Setup!$E$15:$E$79,Setup!$F$15:$F$79),"Miscellaneous"))</f>
        <v/>
      </c>
      <c r="I726" t="str">
        <f>IF(A726="","",IFERROR(_xlfn.XLOOKUP(D726,Setup!$E$15:$E$79,Setup!$G$15:$G$79),"Uncategorized"))</f>
        <v/>
      </c>
      <c r="J726" t="str">
        <f t="shared" si="56"/>
        <v/>
      </c>
      <c r="K726" s="4" t="str">
        <f t="shared" si="57"/>
        <v/>
      </c>
      <c r="L726" s="47">
        <f t="shared" si="58"/>
        <v>0</v>
      </c>
      <c r="M726" s="47">
        <f t="shared" si="59"/>
        <v>0</v>
      </c>
      <c r="N726" t="str">
        <f>IF(A726="","",IF(D726="Category Pending","Needs categorization",IF(COUNTIFS($A$2:A726,A726,$B$2:B726,B726,$E$2:E726,E726)&gt;1,"Possible duplicate","")))</f>
        <v/>
      </c>
    </row>
    <row r="727" spans="3:14" x14ac:dyDescent="0.3">
      <c r="C727" s="16"/>
      <c r="G727" s="5" t="str">
        <f t="shared" si="55"/>
        <v/>
      </c>
      <c r="H727" t="str">
        <f>IF(A727="","",IFERROR(_xlfn.XLOOKUP(D727,Setup!$E$15:$E$79,Setup!$F$15:$F$79),"Miscellaneous"))</f>
        <v/>
      </c>
      <c r="I727" t="str">
        <f>IF(A727="","",IFERROR(_xlfn.XLOOKUP(D727,Setup!$E$15:$E$79,Setup!$G$15:$G$79),"Uncategorized"))</f>
        <v/>
      </c>
      <c r="J727" t="str">
        <f t="shared" si="56"/>
        <v/>
      </c>
      <c r="K727" s="4" t="str">
        <f t="shared" si="57"/>
        <v/>
      </c>
      <c r="L727" s="47">
        <f t="shared" si="58"/>
        <v>0</v>
      </c>
      <c r="M727" s="47">
        <f t="shared" si="59"/>
        <v>0</v>
      </c>
      <c r="N727" t="str">
        <f>IF(A727="","",IF(D727="Category Pending","Needs categorization",IF(COUNTIFS($A$2:A727,A727,$B$2:B727,B727,$E$2:E727,E727)&gt;1,"Possible duplicate","")))</f>
        <v/>
      </c>
    </row>
    <row r="728" spans="3:14" x14ac:dyDescent="0.3">
      <c r="C728" s="16"/>
      <c r="G728" s="5" t="str">
        <f t="shared" si="55"/>
        <v/>
      </c>
      <c r="H728" t="str">
        <f>IF(A728="","",IFERROR(_xlfn.XLOOKUP(D728,Setup!$E$15:$E$79,Setup!$F$15:$F$79),"Miscellaneous"))</f>
        <v/>
      </c>
      <c r="I728" t="str">
        <f>IF(A728="","",IFERROR(_xlfn.XLOOKUP(D728,Setup!$E$15:$E$79,Setup!$G$15:$G$79),"Uncategorized"))</f>
        <v/>
      </c>
      <c r="J728" t="str">
        <f t="shared" si="56"/>
        <v/>
      </c>
      <c r="K728" s="4" t="str">
        <f t="shared" si="57"/>
        <v/>
      </c>
      <c r="L728" s="47">
        <f t="shared" si="58"/>
        <v>0</v>
      </c>
      <c r="M728" s="47">
        <f t="shared" si="59"/>
        <v>0</v>
      </c>
      <c r="N728" t="str">
        <f>IF(A728="","",IF(D728="Category Pending","Needs categorization",IF(COUNTIFS($A$2:A728,A728,$B$2:B728,B728,$E$2:E728,E728)&gt;1,"Possible duplicate","")))</f>
        <v/>
      </c>
    </row>
    <row r="729" spans="3:14" x14ac:dyDescent="0.3">
      <c r="C729" s="16"/>
      <c r="G729" s="5" t="str">
        <f t="shared" si="55"/>
        <v/>
      </c>
      <c r="H729" t="str">
        <f>IF(A729="","",IFERROR(_xlfn.XLOOKUP(D729,Setup!$E$15:$E$79,Setup!$F$15:$F$79),"Miscellaneous"))</f>
        <v/>
      </c>
      <c r="I729" t="str">
        <f>IF(A729="","",IFERROR(_xlfn.XLOOKUP(D729,Setup!$E$15:$E$79,Setup!$G$15:$G$79),"Uncategorized"))</f>
        <v/>
      </c>
      <c r="J729" t="str">
        <f t="shared" si="56"/>
        <v/>
      </c>
      <c r="K729" s="4" t="str">
        <f t="shared" si="57"/>
        <v/>
      </c>
      <c r="L729" s="47">
        <f t="shared" si="58"/>
        <v>0</v>
      </c>
      <c r="M729" s="47">
        <f t="shared" si="59"/>
        <v>0</v>
      </c>
      <c r="N729" t="str">
        <f>IF(A729="","",IF(D729="Category Pending","Needs categorization",IF(COUNTIFS($A$2:A729,A729,$B$2:B729,B729,$E$2:E729,E729)&gt;1,"Possible duplicate","")))</f>
        <v/>
      </c>
    </row>
    <row r="730" spans="3:14" x14ac:dyDescent="0.3">
      <c r="C730" s="16"/>
      <c r="G730" s="5" t="str">
        <f t="shared" si="55"/>
        <v/>
      </c>
      <c r="H730" t="str">
        <f>IF(A730="","",IFERROR(_xlfn.XLOOKUP(D730,Setup!$E$15:$E$79,Setup!$F$15:$F$79),"Miscellaneous"))</f>
        <v/>
      </c>
      <c r="I730" t="str">
        <f>IF(A730="","",IFERROR(_xlfn.XLOOKUP(D730,Setup!$E$15:$E$79,Setup!$G$15:$G$79),"Uncategorized"))</f>
        <v/>
      </c>
      <c r="J730" t="str">
        <f t="shared" si="56"/>
        <v/>
      </c>
      <c r="K730" s="4" t="str">
        <f t="shared" si="57"/>
        <v/>
      </c>
      <c r="L730" s="47">
        <f t="shared" si="58"/>
        <v>0</v>
      </c>
      <c r="M730" s="47">
        <f t="shared" si="59"/>
        <v>0</v>
      </c>
      <c r="N730" t="str">
        <f>IF(A730="","",IF(D730="Category Pending","Needs categorization",IF(COUNTIFS($A$2:A730,A730,$B$2:B730,B730,$E$2:E730,E730)&gt;1,"Possible duplicate","")))</f>
        <v/>
      </c>
    </row>
    <row r="731" spans="3:14" x14ac:dyDescent="0.3">
      <c r="C731" s="16"/>
      <c r="G731" s="5" t="str">
        <f t="shared" si="55"/>
        <v/>
      </c>
      <c r="H731" t="str">
        <f>IF(A731="","",IFERROR(_xlfn.XLOOKUP(D731,Setup!$E$15:$E$79,Setup!$F$15:$F$79),"Miscellaneous"))</f>
        <v/>
      </c>
      <c r="I731" t="str">
        <f>IF(A731="","",IFERROR(_xlfn.XLOOKUP(D731,Setup!$E$15:$E$79,Setup!$G$15:$G$79),"Uncategorized"))</f>
        <v/>
      </c>
      <c r="J731" t="str">
        <f t="shared" si="56"/>
        <v/>
      </c>
      <c r="K731" s="4" t="str">
        <f t="shared" si="57"/>
        <v/>
      </c>
      <c r="L731" s="47">
        <f t="shared" si="58"/>
        <v>0</v>
      </c>
      <c r="M731" s="47">
        <f t="shared" si="59"/>
        <v>0</v>
      </c>
      <c r="N731" t="str">
        <f>IF(A731="","",IF(D731="Category Pending","Needs categorization",IF(COUNTIFS($A$2:A731,A731,$B$2:B731,B731,$E$2:E731,E731)&gt;1,"Possible duplicate","")))</f>
        <v/>
      </c>
    </row>
    <row r="732" spans="3:14" x14ac:dyDescent="0.3">
      <c r="C732" s="16"/>
      <c r="G732" s="5" t="str">
        <f t="shared" si="55"/>
        <v/>
      </c>
      <c r="H732" t="str">
        <f>IF(A732="","",IFERROR(_xlfn.XLOOKUP(D732,Setup!$E$15:$E$79,Setup!$F$15:$F$79),"Miscellaneous"))</f>
        <v/>
      </c>
      <c r="I732" t="str">
        <f>IF(A732="","",IFERROR(_xlfn.XLOOKUP(D732,Setup!$E$15:$E$79,Setup!$G$15:$G$79),"Uncategorized"))</f>
        <v/>
      </c>
      <c r="J732" t="str">
        <f t="shared" si="56"/>
        <v/>
      </c>
      <c r="K732" s="4" t="str">
        <f t="shared" si="57"/>
        <v/>
      </c>
      <c r="L732" s="47">
        <f t="shared" si="58"/>
        <v>0</v>
      </c>
      <c r="M732" s="47">
        <f t="shared" si="59"/>
        <v>0</v>
      </c>
      <c r="N732" t="str">
        <f>IF(A732="","",IF(D732="Category Pending","Needs categorization",IF(COUNTIFS($A$2:A732,A732,$B$2:B732,B732,$E$2:E732,E732)&gt;1,"Possible duplicate","")))</f>
        <v/>
      </c>
    </row>
    <row r="733" spans="3:14" x14ac:dyDescent="0.3">
      <c r="C733" s="16"/>
      <c r="G733" s="5" t="str">
        <f t="shared" si="55"/>
        <v/>
      </c>
      <c r="H733" t="str">
        <f>IF(A733="","",IFERROR(_xlfn.XLOOKUP(D733,Setup!$E$15:$E$79,Setup!$F$15:$F$79),"Miscellaneous"))</f>
        <v/>
      </c>
      <c r="I733" t="str">
        <f>IF(A733="","",IFERROR(_xlfn.XLOOKUP(D733,Setup!$E$15:$E$79,Setup!$G$15:$G$79),"Uncategorized"))</f>
        <v/>
      </c>
      <c r="J733" t="str">
        <f t="shared" si="56"/>
        <v/>
      </c>
      <c r="K733" s="4" t="str">
        <f t="shared" si="57"/>
        <v/>
      </c>
      <c r="L733" s="47">
        <f t="shared" si="58"/>
        <v>0</v>
      </c>
      <c r="M733" s="47">
        <f t="shared" si="59"/>
        <v>0</v>
      </c>
      <c r="N733" t="str">
        <f>IF(A733="","",IF(D733="Category Pending","Needs categorization",IF(COUNTIFS($A$2:A733,A733,$B$2:B733,B733,$E$2:E733,E733)&gt;1,"Possible duplicate","")))</f>
        <v/>
      </c>
    </row>
    <row r="734" spans="3:14" x14ac:dyDescent="0.3">
      <c r="C734" s="16"/>
      <c r="G734" s="5" t="str">
        <f t="shared" si="55"/>
        <v/>
      </c>
      <c r="H734" t="str">
        <f>IF(A734="","",IFERROR(_xlfn.XLOOKUP(D734,Setup!$E$15:$E$79,Setup!$F$15:$F$79),"Miscellaneous"))</f>
        <v/>
      </c>
      <c r="I734" t="str">
        <f>IF(A734="","",IFERROR(_xlfn.XLOOKUP(D734,Setup!$E$15:$E$79,Setup!$G$15:$G$79),"Uncategorized"))</f>
        <v/>
      </c>
      <c r="J734" t="str">
        <f t="shared" si="56"/>
        <v/>
      </c>
      <c r="K734" s="4" t="str">
        <f t="shared" si="57"/>
        <v/>
      </c>
      <c r="L734" s="47">
        <f t="shared" si="58"/>
        <v>0</v>
      </c>
      <c r="M734" s="47">
        <f t="shared" si="59"/>
        <v>0</v>
      </c>
      <c r="N734" t="str">
        <f>IF(A734="","",IF(D734="Category Pending","Needs categorization",IF(COUNTIFS($A$2:A734,A734,$B$2:B734,B734,$E$2:E734,E734)&gt;1,"Possible duplicate","")))</f>
        <v/>
      </c>
    </row>
    <row r="735" spans="3:14" x14ac:dyDescent="0.3">
      <c r="C735" s="16"/>
      <c r="G735" s="5" t="str">
        <f t="shared" si="55"/>
        <v/>
      </c>
      <c r="H735" t="str">
        <f>IF(A735="","",IFERROR(_xlfn.XLOOKUP(D735,Setup!$E$15:$E$79,Setup!$F$15:$F$79),"Miscellaneous"))</f>
        <v/>
      </c>
      <c r="I735" t="str">
        <f>IF(A735="","",IFERROR(_xlfn.XLOOKUP(D735,Setup!$E$15:$E$79,Setup!$G$15:$G$79),"Uncategorized"))</f>
        <v/>
      </c>
      <c r="J735" t="str">
        <f t="shared" si="56"/>
        <v/>
      </c>
      <c r="K735" s="4" t="str">
        <f t="shared" si="57"/>
        <v/>
      </c>
      <c r="L735" s="47">
        <f t="shared" si="58"/>
        <v>0</v>
      </c>
      <c r="M735" s="47">
        <f t="shared" si="59"/>
        <v>0</v>
      </c>
      <c r="N735" t="str">
        <f>IF(A735="","",IF(D735="Category Pending","Needs categorization",IF(COUNTIFS($A$2:A735,A735,$B$2:B735,B735,$E$2:E735,E735)&gt;1,"Possible duplicate","")))</f>
        <v/>
      </c>
    </row>
    <row r="736" spans="3:14" x14ac:dyDescent="0.3">
      <c r="C736" s="16"/>
      <c r="G736" s="5" t="str">
        <f t="shared" si="55"/>
        <v/>
      </c>
      <c r="H736" t="str">
        <f>IF(A736="","",IFERROR(_xlfn.XLOOKUP(D736,Setup!$E$15:$E$79,Setup!$F$15:$F$79),"Miscellaneous"))</f>
        <v/>
      </c>
      <c r="I736" t="str">
        <f>IF(A736="","",IFERROR(_xlfn.XLOOKUP(D736,Setup!$E$15:$E$79,Setup!$G$15:$G$79),"Uncategorized"))</f>
        <v/>
      </c>
      <c r="J736" t="str">
        <f t="shared" si="56"/>
        <v/>
      </c>
      <c r="K736" s="4" t="str">
        <f t="shared" si="57"/>
        <v/>
      </c>
      <c r="L736" s="47">
        <f t="shared" si="58"/>
        <v>0</v>
      </c>
      <c r="M736" s="47">
        <f t="shared" si="59"/>
        <v>0</v>
      </c>
      <c r="N736" t="str">
        <f>IF(A736="","",IF(D736="Category Pending","Needs categorization",IF(COUNTIFS($A$2:A736,A736,$B$2:B736,B736,$E$2:E736,E736)&gt;1,"Possible duplicate","")))</f>
        <v/>
      </c>
    </row>
    <row r="737" spans="3:14" x14ac:dyDescent="0.3">
      <c r="C737" s="16"/>
      <c r="G737" s="5" t="str">
        <f t="shared" ref="G737:G800" si="60">IF(A737="","","Checking")</f>
        <v/>
      </c>
      <c r="H737" t="str">
        <f>IF(A737="","",IFERROR(_xlfn.XLOOKUP(D737,Setup!$E$15:$E$79,Setup!$F$15:$F$79),"Miscellaneous"))</f>
        <v/>
      </c>
      <c r="I737" t="str">
        <f>IF(A737="","",IFERROR(_xlfn.XLOOKUP(D737,Setup!$E$15:$E$79,Setup!$G$15:$G$79),"Uncategorized"))</f>
        <v/>
      </c>
      <c r="J737" t="str">
        <f t="shared" ref="J737:J800" si="61">IF(A737="","",IF(OR(H737="Transfers",H737="Income",D737="Transfer",D737="Category Pending"),"No","Yes"))</f>
        <v/>
      </c>
      <c r="K737" s="4" t="str">
        <f t="shared" ref="K737:K800" si="62">IF(A737="","",IF(A737&gt;=46232,TEXT(DATE(YEAR(A737),MONTH(A737)+1,1),"mmmm yyyy"),TEXT(DATE(YEAR(A737),MONTH(A737),1),"mmmm yyyy")))</f>
        <v/>
      </c>
      <c r="L737" s="47">
        <f t="shared" ref="L737:L800" si="63">IF(AND(J737="Yes",E737&lt;0),-E737,0)</f>
        <v>0</v>
      </c>
      <c r="M737" s="47">
        <f t="shared" ref="M737:M800" si="64">IF(AND(J737="Yes",E737&gt;0),E737,0)</f>
        <v>0</v>
      </c>
      <c r="N737" t="str">
        <f>IF(A737="","",IF(D737="Category Pending","Needs categorization",IF(COUNTIFS($A$2:A737,A737,$B$2:B737,B737,$E$2:E737,E737)&gt;1,"Possible duplicate","")))</f>
        <v/>
      </c>
    </row>
    <row r="738" spans="3:14" x14ac:dyDescent="0.3">
      <c r="C738" s="16"/>
      <c r="G738" s="5" t="str">
        <f t="shared" si="60"/>
        <v/>
      </c>
      <c r="H738" t="str">
        <f>IF(A738="","",IFERROR(_xlfn.XLOOKUP(D738,Setup!$E$15:$E$79,Setup!$F$15:$F$79),"Miscellaneous"))</f>
        <v/>
      </c>
      <c r="I738" t="str">
        <f>IF(A738="","",IFERROR(_xlfn.XLOOKUP(D738,Setup!$E$15:$E$79,Setup!$G$15:$G$79),"Uncategorized"))</f>
        <v/>
      </c>
      <c r="J738" t="str">
        <f t="shared" si="61"/>
        <v/>
      </c>
      <c r="K738" s="4" t="str">
        <f t="shared" si="62"/>
        <v/>
      </c>
      <c r="L738" s="47">
        <f t="shared" si="63"/>
        <v>0</v>
      </c>
      <c r="M738" s="47">
        <f t="shared" si="64"/>
        <v>0</v>
      </c>
      <c r="N738" t="str">
        <f>IF(A738="","",IF(D738="Category Pending","Needs categorization",IF(COUNTIFS($A$2:A738,A738,$B$2:B738,B738,$E$2:E738,E738)&gt;1,"Possible duplicate","")))</f>
        <v/>
      </c>
    </row>
    <row r="739" spans="3:14" x14ac:dyDescent="0.3">
      <c r="C739" s="16"/>
      <c r="G739" s="5" t="str">
        <f t="shared" si="60"/>
        <v/>
      </c>
      <c r="H739" t="str">
        <f>IF(A739="","",IFERROR(_xlfn.XLOOKUP(D739,Setup!$E$15:$E$79,Setup!$F$15:$F$79),"Miscellaneous"))</f>
        <v/>
      </c>
      <c r="I739" t="str">
        <f>IF(A739="","",IFERROR(_xlfn.XLOOKUP(D739,Setup!$E$15:$E$79,Setup!$G$15:$G$79),"Uncategorized"))</f>
        <v/>
      </c>
      <c r="J739" t="str">
        <f t="shared" si="61"/>
        <v/>
      </c>
      <c r="K739" s="4" t="str">
        <f t="shared" si="62"/>
        <v/>
      </c>
      <c r="L739" s="47">
        <f t="shared" si="63"/>
        <v>0</v>
      </c>
      <c r="M739" s="47">
        <f t="shared" si="64"/>
        <v>0</v>
      </c>
      <c r="N739" t="str">
        <f>IF(A739="","",IF(D739="Category Pending","Needs categorization",IF(COUNTIFS($A$2:A739,A739,$B$2:B739,B739,$E$2:E739,E739)&gt;1,"Possible duplicate","")))</f>
        <v/>
      </c>
    </row>
    <row r="740" spans="3:14" x14ac:dyDescent="0.3">
      <c r="C740" s="16"/>
      <c r="G740" s="5" t="str">
        <f t="shared" si="60"/>
        <v/>
      </c>
      <c r="H740" t="str">
        <f>IF(A740="","",IFERROR(_xlfn.XLOOKUP(D740,Setup!$E$15:$E$79,Setup!$F$15:$F$79),"Miscellaneous"))</f>
        <v/>
      </c>
      <c r="I740" t="str">
        <f>IF(A740="","",IFERROR(_xlfn.XLOOKUP(D740,Setup!$E$15:$E$79,Setup!$G$15:$G$79),"Uncategorized"))</f>
        <v/>
      </c>
      <c r="J740" t="str">
        <f t="shared" si="61"/>
        <v/>
      </c>
      <c r="K740" s="4" t="str">
        <f t="shared" si="62"/>
        <v/>
      </c>
      <c r="L740" s="47">
        <f t="shared" si="63"/>
        <v>0</v>
      </c>
      <c r="M740" s="47">
        <f t="shared" si="64"/>
        <v>0</v>
      </c>
      <c r="N740" t="str">
        <f>IF(A740="","",IF(D740="Category Pending","Needs categorization",IF(COUNTIFS($A$2:A740,A740,$B$2:B740,B740,$E$2:E740,E740)&gt;1,"Possible duplicate","")))</f>
        <v/>
      </c>
    </row>
    <row r="741" spans="3:14" x14ac:dyDescent="0.3">
      <c r="C741" s="16"/>
      <c r="G741" s="5" t="str">
        <f t="shared" si="60"/>
        <v/>
      </c>
      <c r="H741" t="str">
        <f>IF(A741="","",IFERROR(_xlfn.XLOOKUP(D741,Setup!$E$15:$E$79,Setup!$F$15:$F$79),"Miscellaneous"))</f>
        <v/>
      </c>
      <c r="I741" t="str">
        <f>IF(A741="","",IFERROR(_xlfn.XLOOKUP(D741,Setup!$E$15:$E$79,Setup!$G$15:$G$79),"Uncategorized"))</f>
        <v/>
      </c>
      <c r="J741" t="str">
        <f t="shared" si="61"/>
        <v/>
      </c>
      <c r="K741" s="4" t="str">
        <f t="shared" si="62"/>
        <v/>
      </c>
      <c r="L741" s="47">
        <f t="shared" si="63"/>
        <v>0</v>
      </c>
      <c r="M741" s="47">
        <f t="shared" si="64"/>
        <v>0</v>
      </c>
      <c r="N741" t="str">
        <f>IF(A741="","",IF(D741="Category Pending","Needs categorization",IF(COUNTIFS($A$2:A741,A741,$B$2:B741,B741,$E$2:E741,E741)&gt;1,"Possible duplicate","")))</f>
        <v/>
      </c>
    </row>
    <row r="742" spans="3:14" x14ac:dyDescent="0.3">
      <c r="C742" s="16"/>
      <c r="G742" s="5" t="str">
        <f t="shared" si="60"/>
        <v/>
      </c>
      <c r="H742" t="str">
        <f>IF(A742="","",IFERROR(_xlfn.XLOOKUP(D742,Setup!$E$15:$E$79,Setup!$F$15:$F$79),"Miscellaneous"))</f>
        <v/>
      </c>
      <c r="I742" t="str">
        <f>IF(A742="","",IFERROR(_xlfn.XLOOKUP(D742,Setup!$E$15:$E$79,Setup!$G$15:$G$79),"Uncategorized"))</f>
        <v/>
      </c>
      <c r="J742" t="str">
        <f t="shared" si="61"/>
        <v/>
      </c>
      <c r="K742" s="4" t="str">
        <f t="shared" si="62"/>
        <v/>
      </c>
      <c r="L742" s="47">
        <f t="shared" si="63"/>
        <v>0</v>
      </c>
      <c r="M742" s="47">
        <f t="shared" si="64"/>
        <v>0</v>
      </c>
      <c r="N742" t="str">
        <f>IF(A742="","",IF(D742="Category Pending","Needs categorization",IF(COUNTIFS($A$2:A742,A742,$B$2:B742,B742,$E$2:E742,E742)&gt;1,"Possible duplicate","")))</f>
        <v/>
      </c>
    </row>
    <row r="743" spans="3:14" x14ac:dyDescent="0.3">
      <c r="C743" s="16"/>
      <c r="G743" s="5" t="str">
        <f t="shared" si="60"/>
        <v/>
      </c>
      <c r="H743" t="str">
        <f>IF(A743="","",IFERROR(_xlfn.XLOOKUP(D743,Setup!$E$15:$E$79,Setup!$F$15:$F$79),"Miscellaneous"))</f>
        <v/>
      </c>
      <c r="I743" t="str">
        <f>IF(A743="","",IFERROR(_xlfn.XLOOKUP(D743,Setup!$E$15:$E$79,Setup!$G$15:$G$79),"Uncategorized"))</f>
        <v/>
      </c>
      <c r="J743" t="str">
        <f t="shared" si="61"/>
        <v/>
      </c>
      <c r="K743" s="4" t="str">
        <f t="shared" si="62"/>
        <v/>
      </c>
      <c r="L743" s="47">
        <f t="shared" si="63"/>
        <v>0</v>
      </c>
      <c r="M743" s="47">
        <f t="shared" si="64"/>
        <v>0</v>
      </c>
      <c r="N743" t="str">
        <f>IF(A743="","",IF(D743="Category Pending","Needs categorization",IF(COUNTIFS($A$2:A743,A743,$B$2:B743,B743,$E$2:E743,E743)&gt;1,"Possible duplicate","")))</f>
        <v/>
      </c>
    </row>
    <row r="744" spans="3:14" x14ac:dyDescent="0.3">
      <c r="C744" s="16"/>
      <c r="G744" s="5" t="str">
        <f t="shared" si="60"/>
        <v/>
      </c>
      <c r="H744" t="str">
        <f>IF(A744="","",IFERROR(_xlfn.XLOOKUP(D744,Setup!$E$15:$E$79,Setup!$F$15:$F$79),"Miscellaneous"))</f>
        <v/>
      </c>
      <c r="I744" t="str">
        <f>IF(A744="","",IFERROR(_xlfn.XLOOKUP(D744,Setup!$E$15:$E$79,Setup!$G$15:$G$79),"Uncategorized"))</f>
        <v/>
      </c>
      <c r="J744" t="str">
        <f t="shared" si="61"/>
        <v/>
      </c>
      <c r="K744" s="4" t="str">
        <f t="shared" si="62"/>
        <v/>
      </c>
      <c r="L744" s="47">
        <f t="shared" si="63"/>
        <v>0</v>
      </c>
      <c r="M744" s="47">
        <f t="shared" si="64"/>
        <v>0</v>
      </c>
      <c r="N744" t="str">
        <f>IF(A744="","",IF(D744="Category Pending","Needs categorization",IF(COUNTIFS($A$2:A744,A744,$B$2:B744,B744,$E$2:E744,E744)&gt;1,"Possible duplicate","")))</f>
        <v/>
      </c>
    </row>
    <row r="745" spans="3:14" x14ac:dyDescent="0.3">
      <c r="C745" s="16"/>
      <c r="G745" s="5" t="str">
        <f t="shared" si="60"/>
        <v/>
      </c>
      <c r="H745" t="str">
        <f>IF(A745="","",IFERROR(_xlfn.XLOOKUP(D745,Setup!$E$15:$E$79,Setup!$F$15:$F$79),"Miscellaneous"))</f>
        <v/>
      </c>
      <c r="I745" t="str">
        <f>IF(A745="","",IFERROR(_xlfn.XLOOKUP(D745,Setup!$E$15:$E$79,Setup!$G$15:$G$79),"Uncategorized"))</f>
        <v/>
      </c>
      <c r="J745" t="str">
        <f t="shared" si="61"/>
        <v/>
      </c>
      <c r="K745" s="4" t="str">
        <f t="shared" si="62"/>
        <v/>
      </c>
      <c r="L745" s="47">
        <f t="shared" si="63"/>
        <v>0</v>
      </c>
      <c r="M745" s="47">
        <f t="shared" si="64"/>
        <v>0</v>
      </c>
      <c r="N745" t="str">
        <f>IF(A745="","",IF(D745="Category Pending","Needs categorization",IF(COUNTIFS($A$2:A745,A745,$B$2:B745,B745,$E$2:E745,E745)&gt;1,"Possible duplicate","")))</f>
        <v/>
      </c>
    </row>
    <row r="746" spans="3:14" x14ac:dyDescent="0.3">
      <c r="C746" s="16"/>
      <c r="G746" s="5" t="str">
        <f t="shared" si="60"/>
        <v/>
      </c>
      <c r="H746" t="str">
        <f>IF(A746="","",IFERROR(_xlfn.XLOOKUP(D746,Setup!$E$15:$E$79,Setup!$F$15:$F$79),"Miscellaneous"))</f>
        <v/>
      </c>
      <c r="I746" t="str">
        <f>IF(A746="","",IFERROR(_xlfn.XLOOKUP(D746,Setup!$E$15:$E$79,Setup!$G$15:$G$79),"Uncategorized"))</f>
        <v/>
      </c>
      <c r="J746" t="str">
        <f t="shared" si="61"/>
        <v/>
      </c>
      <c r="K746" s="4" t="str">
        <f t="shared" si="62"/>
        <v/>
      </c>
      <c r="L746" s="47">
        <f t="shared" si="63"/>
        <v>0</v>
      </c>
      <c r="M746" s="47">
        <f t="shared" si="64"/>
        <v>0</v>
      </c>
      <c r="N746" t="str">
        <f>IF(A746="","",IF(D746="Category Pending","Needs categorization",IF(COUNTIFS($A$2:A746,A746,$B$2:B746,B746,$E$2:E746,E746)&gt;1,"Possible duplicate","")))</f>
        <v/>
      </c>
    </row>
    <row r="747" spans="3:14" x14ac:dyDescent="0.3">
      <c r="C747" s="16"/>
      <c r="G747" s="5" t="str">
        <f t="shared" si="60"/>
        <v/>
      </c>
      <c r="H747" t="str">
        <f>IF(A747="","",IFERROR(_xlfn.XLOOKUP(D747,Setup!$E$15:$E$79,Setup!$F$15:$F$79),"Miscellaneous"))</f>
        <v/>
      </c>
      <c r="I747" t="str">
        <f>IF(A747="","",IFERROR(_xlfn.XLOOKUP(D747,Setup!$E$15:$E$79,Setup!$G$15:$G$79),"Uncategorized"))</f>
        <v/>
      </c>
      <c r="J747" t="str">
        <f t="shared" si="61"/>
        <v/>
      </c>
      <c r="K747" s="4" t="str">
        <f t="shared" si="62"/>
        <v/>
      </c>
      <c r="L747" s="47">
        <f t="shared" si="63"/>
        <v>0</v>
      </c>
      <c r="M747" s="47">
        <f t="shared" si="64"/>
        <v>0</v>
      </c>
      <c r="N747" t="str">
        <f>IF(A747="","",IF(D747="Category Pending","Needs categorization",IF(COUNTIFS($A$2:A747,A747,$B$2:B747,B747,$E$2:E747,E747)&gt;1,"Possible duplicate","")))</f>
        <v/>
      </c>
    </row>
    <row r="748" spans="3:14" x14ac:dyDescent="0.3">
      <c r="C748" s="16"/>
      <c r="G748" s="5" t="str">
        <f t="shared" si="60"/>
        <v/>
      </c>
      <c r="H748" t="str">
        <f>IF(A748="","",IFERROR(_xlfn.XLOOKUP(D748,Setup!$E$15:$E$79,Setup!$F$15:$F$79),"Miscellaneous"))</f>
        <v/>
      </c>
      <c r="I748" t="str">
        <f>IF(A748="","",IFERROR(_xlfn.XLOOKUP(D748,Setup!$E$15:$E$79,Setup!$G$15:$G$79),"Uncategorized"))</f>
        <v/>
      </c>
      <c r="J748" t="str">
        <f t="shared" si="61"/>
        <v/>
      </c>
      <c r="K748" s="4" t="str">
        <f t="shared" si="62"/>
        <v/>
      </c>
      <c r="L748" s="47">
        <f t="shared" si="63"/>
        <v>0</v>
      </c>
      <c r="M748" s="47">
        <f t="shared" si="64"/>
        <v>0</v>
      </c>
      <c r="N748" t="str">
        <f>IF(A748="","",IF(D748="Category Pending","Needs categorization",IF(COUNTIFS($A$2:A748,A748,$B$2:B748,B748,$E$2:E748,E748)&gt;1,"Possible duplicate","")))</f>
        <v/>
      </c>
    </row>
    <row r="749" spans="3:14" x14ac:dyDescent="0.3">
      <c r="C749" s="16"/>
      <c r="G749" s="5" t="str">
        <f t="shared" si="60"/>
        <v/>
      </c>
      <c r="H749" t="str">
        <f>IF(A749="","",IFERROR(_xlfn.XLOOKUP(D749,Setup!$E$15:$E$79,Setup!$F$15:$F$79),"Miscellaneous"))</f>
        <v/>
      </c>
      <c r="I749" t="str">
        <f>IF(A749="","",IFERROR(_xlfn.XLOOKUP(D749,Setup!$E$15:$E$79,Setup!$G$15:$G$79),"Uncategorized"))</f>
        <v/>
      </c>
      <c r="J749" t="str">
        <f t="shared" si="61"/>
        <v/>
      </c>
      <c r="K749" s="4" t="str">
        <f t="shared" si="62"/>
        <v/>
      </c>
      <c r="L749" s="47">
        <f t="shared" si="63"/>
        <v>0</v>
      </c>
      <c r="M749" s="47">
        <f t="shared" si="64"/>
        <v>0</v>
      </c>
      <c r="N749" t="str">
        <f>IF(A749="","",IF(D749="Category Pending","Needs categorization",IF(COUNTIFS($A$2:A749,A749,$B$2:B749,B749,$E$2:E749,E749)&gt;1,"Possible duplicate","")))</f>
        <v/>
      </c>
    </row>
    <row r="750" spans="3:14" x14ac:dyDescent="0.3">
      <c r="C750" s="16"/>
      <c r="G750" s="5" t="str">
        <f t="shared" si="60"/>
        <v/>
      </c>
      <c r="H750" t="str">
        <f>IF(A750="","",IFERROR(_xlfn.XLOOKUP(D750,Setup!$E$15:$E$79,Setup!$F$15:$F$79),"Miscellaneous"))</f>
        <v/>
      </c>
      <c r="I750" t="str">
        <f>IF(A750="","",IFERROR(_xlfn.XLOOKUP(D750,Setup!$E$15:$E$79,Setup!$G$15:$G$79),"Uncategorized"))</f>
        <v/>
      </c>
      <c r="J750" t="str">
        <f t="shared" si="61"/>
        <v/>
      </c>
      <c r="K750" s="4" t="str">
        <f t="shared" si="62"/>
        <v/>
      </c>
      <c r="L750" s="47">
        <f t="shared" si="63"/>
        <v>0</v>
      </c>
      <c r="M750" s="47">
        <f t="shared" si="64"/>
        <v>0</v>
      </c>
      <c r="N750" t="str">
        <f>IF(A750="","",IF(D750="Category Pending","Needs categorization",IF(COUNTIFS($A$2:A750,A750,$B$2:B750,B750,$E$2:E750,E750)&gt;1,"Possible duplicate","")))</f>
        <v/>
      </c>
    </row>
    <row r="751" spans="3:14" x14ac:dyDescent="0.3">
      <c r="C751" s="16"/>
      <c r="G751" s="5" t="str">
        <f t="shared" si="60"/>
        <v/>
      </c>
      <c r="H751" t="str">
        <f>IF(A751="","",IFERROR(_xlfn.XLOOKUP(D751,Setup!$E$15:$E$79,Setup!$F$15:$F$79),"Miscellaneous"))</f>
        <v/>
      </c>
      <c r="I751" t="str">
        <f>IF(A751="","",IFERROR(_xlfn.XLOOKUP(D751,Setup!$E$15:$E$79,Setup!$G$15:$G$79),"Uncategorized"))</f>
        <v/>
      </c>
      <c r="J751" t="str">
        <f t="shared" si="61"/>
        <v/>
      </c>
      <c r="K751" s="4" t="str">
        <f t="shared" si="62"/>
        <v/>
      </c>
      <c r="L751" s="47">
        <f t="shared" si="63"/>
        <v>0</v>
      </c>
      <c r="M751" s="47">
        <f t="shared" si="64"/>
        <v>0</v>
      </c>
      <c r="N751" t="str">
        <f>IF(A751="","",IF(D751="Category Pending","Needs categorization",IF(COUNTIFS($A$2:A751,A751,$B$2:B751,B751,$E$2:E751,E751)&gt;1,"Possible duplicate","")))</f>
        <v/>
      </c>
    </row>
    <row r="752" spans="3:14" x14ac:dyDescent="0.3">
      <c r="C752" s="16"/>
      <c r="G752" s="5" t="str">
        <f t="shared" si="60"/>
        <v/>
      </c>
      <c r="H752" t="str">
        <f>IF(A752="","",IFERROR(_xlfn.XLOOKUP(D752,Setup!$E$15:$E$79,Setup!$F$15:$F$79),"Miscellaneous"))</f>
        <v/>
      </c>
      <c r="I752" t="str">
        <f>IF(A752="","",IFERROR(_xlfn.XLOOKUP(D752,Setup!$E$15:$E$79,Setup!$G$15:$G$79),"Uncategorized"))</f>
        <v/>
      </c>
      <c r="J752" t="str">
        <f t="shared" si="61"/>
        <v/>
      </c>
      <c r="K752" s="4" t="str">
        <f t="shared" si="62"/>
        <v/>
      </c>
      <c r="L752" s="47">
        <f t="shared" si="63"/>
        <v>0</v>
      </c>
      <c r="M752" s="47">
        <f t="shared" si="64"/>
        <v>0</v>
      </c>
      <c r="N752" t="str">
        <f>IF(A752="","",IF(D752="Category Pending","Needs categorization",IF(COUNTIFS($A$2:A752,A752,$B$2:B752,B752,$E$2:E752,E752)&gt;1,"Possible duplicate","")))</f>
        <v/>
      </c>
    </row>
    <row r="753" spans="3:14" x14ac:dyDescent="0.3">
      <c r="C753" s="16"/>
      <c r="G753" s="5" t="str">
        <f t="shared" si="60"/>
        <v/>
      </c>
      <c r="H753" t="str">
        <f>IF(A753="","",IFERROR(_xlfn.XLOOKUP(D753,Setup!$E$15:$E$79,Setup!$F$15:$F$79),"Miscellaneous"))</f>
        <v/>
      </c>
      <c r="I753" t="str">
        <f>IF(A753="","",IFERROR(_xlfn.XLOOKUP(D753,Setup!$E$15:$E$79,Setup!$G$15:$G$79),"Uncategorized"))</f>
        <v/>
      </c>
      <c r="J753" t="str">
        <f t="shared" si="61"/>
        <v/>
      </c>
      <c r="K753" s="4" t="str">
        <f t="shared" si="62"/>
        <v/>
      </c>
      <c r="L753" s="47">
        <f t="shared" si="63"/>
        <v>0</v>
      </c>
      <c r="M753" s="47">
        <f t="shared" si="64"/>
        <v>0</v>
      </c>
      <c r="N753" t="str">
        <f>IF(A753="","",IF(D753="Category Pending","Needs categorization",IF(COUNTIFS($A$2:A753,A753,$B$2:B753,B753,$E$2:E753,E753)&gt;1,"Possible duplicate","")))</f>
        <v/>
      </c>
    </row>
    <row r="754" spans="3:14" x14ac:dyDescent="0.3">
      <c r="C754" s="16"/>
      <c r="G754" s="5" t="str">
        <f t="shared" si="60"/>
        <v/>
      </c>
      <c r="H754" t="str">
        <f>IF(A754="","",IFERROR(_xlfn.XLOOKUP(D754,Setup!$E$15:$E$79,Setup!$F$15:$F$79),"Miscellaneous"))</f>
        <v/>
      </c>
      <c r="I754" t="str">
        <f>IF(A754="","",IFERROR(_xlfn.XLOOKUP(D754,Setup!$E$15:$E$79,Setup!$G$15:$G$79),"Uncategorized"))</f>
        <v/>
      </c>
      <c r="J754" t="str">
        <f t="shared" si="61"/>
        <v/>
      </c>
      <c r="K754" s="4" t="str">
        <f t="shared" si="62"/>
        <v/>
      </c>
      <c r="L754" s="47">
        <f t="shared" si="63"/>
        <v>0</v>
      </c>
      <c r="M754" s="47">
        <f t="shared" si="64"/>
        <v>0</v>
      </c>
      <c r="N754" t="str">
        <f>IF(A754="","",IF(D754="Category Pending","Needs categorization",IF(COUNTIFS($A$2:A754,A754,$B$2:B754,B754,$E$2:E754,E754)&gt;1,"Possible duplicate","")))</f>
        <v/>
      </c>
    </row>
    <row r="755" spans="3:14" x14ac:dyDescent="0.3">
      <c r="C755" s="16"/>
      <c r="G755" s="5" t="str">
        <f t="shared" si="60"/>
        <v/>
      </c>
      <c r="H755" t="str">
        <f>IF(A755="","",IFERROR(_xlfn.XLOOKUP(D755,Setup!$E$15:$E$79,Setup!$F$15:$F$79),"Miscellaneous"))</f>
        <v/>
      </c>
      <c r="I755" t="str">
        <f>IF(A755="","",IFERROR(_xlfn.XLOOKUP(D755,Setup!$E$15:$E$79,Setup!$G$15:$G$79),"Uncategorized"))</f>
        <v/>
      </c>
      <c r="J755" t="str">
        <f t="shared" si="61"/>
        <v/>
      </c>
      <c r="K755" s="4" t="str">
        <f t="shared" si="62"/>
        <v/>
      </c>
      <c r="L755" s="47">
        <f t="shared" si="63"/>
        <v>0</v>
      </c>
      <c r="M755" s="47">
        <f t="shared" si="64"/>
        <v>0</v>
      </c>
      <c r="N755" t="str">
        <f>IF(A755="","",IF(D755="Category Pending","Needs categorization",IF(COUNTIFS($A$2:A755,A755,$B$2:B755,B755,$E$2:E755,E755)&gt;1,"Possible duplicate","")))</f>
        <v/>
      </c>
    </row>
    <row r="756" spans="3:14" x14ac:dyDescent="0.3">
      <c r="C756" s="16"/>
      <c r="G756" s="5" t="str">
        <f t="shared" si="60"/>
        <v/>
      </c>
      <c r="H756" t="str">
        <f>IF(A756="","",IFERROR(_xlfn.XLOOKUP(D756,Setup!$E$15:$E$79,Setup!$F$15:$F$79),"Miscellaneous"))</f>
        <v/>
      </c>
      <c r="I756" t="str">
        <f>IF(A756="","",IFERROR(_xlfn.XLOOKUP(D756,Setup!$E$15:$E$79,Setup!$G$15:$G$79),"Uncategorized"))</f>
        <v/>
      </c>
      <c r="J756" t="str">
        <f t="shared" si="61"/>
        <v/>
      </c>
      <c r="K756" s="4" t="str">
        <f t="shared" si="62"/>
        <v/>
      </c>
      <c r="L756" s="47">
        <f t="shared" si="63"/>
        <v>0</v>
      </c>
      <c r="M756" s="47">
        <f t="shared" si="64"/>
        <v>0</v>
      </c>
      <c r="N756" t="str">
        <f>IF(A756="","",IF(D756="Category Pending","Needs categorization",IF(COUNTIFS($A$2:A756,A756,$B$2:B756,B756,$E$2:E756,E756)&gt;1,"Possible duplicate","")))</f>
        <v/>
      </c>
    </row>
    <row r="757" spans="3:14" x14ac:dyDescent="0.3">
      <c r="C757" s="16"/>
      <c r="G757" s="5" t="str">
        <f t="shared" si="60"/>
        <v/>
      </c>
      <c r="H757" t="str">
        <f>IF(A757="","",IFERROR(_xlfn.XLOOKUP(D757,Setup!$E$15:$E$79,Setup!$F$15:$F$79),"Miscellaneous"))</f>
        <v/>
      </c>
      <c r="I757" t="str">
        <f>IF(A757="","",IFERROR(_xlfn.XLOOKUP(D757,Setup!$E$15:$E$79,Setup!$G$15:$G$79),"Uncategorized"))</f>
        <v/>
      </c>
      <c r="J757" t="str">
        <f t="shared" si="61"/>
        <v/>
      </c>
      <c r="K757" s="4" t="str">
        <f t="shared" si="62"/>
        <v/>
      </c>
      <c r="L757" s="47">
        <f t="shared" si="63"/>
        <v>0</v>
      </c>
      <c r="M757" s="47">
        <f t="shared" si="64"/>
        <v>0</v>
      </c>
      <c r="N757" t="str">
        <f>IF(A757="","",IF(D757="Category Pending","Needs categorization",IF(COUNTIFS($A$2:A757,A757,$B$2:B757,B757,$E$2:E757,E757)&gt;1,"Possible duplicate","")))</f>
        <v/>
      </c>
    </row>
    <row r="758" spans="3:14" x14ac:dyDescent="0.3">
      <c r="C758" s="16"/>
      <c r="G758" s="5" t="str">
        <f t="shared" si="60"/>
        <v/>
      </c>
      <c r="H758" t="str">
        <f>IF(A758="","",IFERROR(_xlfn.XLOOKUP(D758,Setup!$E$15:$E$79,Setup!$F$15:$F$79),"Miscellaneous"))</f>
        <v/>
      </c>
      <c r="I758" t="str">
        <f>IF(A758="","",IFERROR(_xlfn.XLOOKUP(D758,Setup!$E$15:$E$79,Setup!$G$15:$G$79),"Uncategorized"))</f>
        <v/>
      </c>
      <c r="J758" t="str">
        <f t="shared" si="61"/>
        <v/>
      </c>
      <c r="K758" s="4" t="str">
        <f t="shared" si="62"/>
        <v/>
      </c>
      <c r="L758" s="47">
        <f t="shared" si="63"/>
        <v>0</v>
      </c>
      <c r="M758" s="47">
        <f t="shared" si="64"/>
        <v>0</v>
      </c>
      <c r="N758" t="str">
        <f>IF(A758="","",IF(D758="Category Pending","Needs categorization",IF(COUNTIFS($A$2:A758,A758,$B$2:B758,B758,$E$2:E758,E758)&gt;1,"Possible duplicate","")))</f>
        <v/>
      </c>
    </row>
    <row r="759" spans="3:14" x14ac:dyDescent="0.3">
      <c r="C759" s="16"/>
      <c r="G759" s="5" t="str">
        <f t="shared" si="60"/>
        <v/>
      </c>
      <c r="H759" t="str">
        <f>IF(A759="","",IFERROR(_xlfn.XLOOKUP(D759,Setup!$E$15:$E$79,Setup!$F$15:$F$79),"Miscellaneous"))</f>
        <v/>
      </c>
      <c r="I759" t="str">
        <f>IF(A759="","",IFERROR(_xlfn.XLOOKUP(D759,Setup!$E$15:$E$79,Setup!$G$15:$G$79),"Uncategorized"))</f>
        <v/>
      </c>
      <c r="J759" t="str">
        <f t="shared" si="61"/>
        <v/>
      </c>
      <c r="K759" s="4" t="str">
        <f t="shared" si="62"/>
        <v/>
      </c>
      <c r="L759" s="47">
        <f t="shared" si="63"/>
        <v>0</v>
      </c>
      <c r="M759" s="47">
        <f t="shared" si="64"/>
        <v>0</v>
      </c>
      <c r="N759" t="str">
        <f>IF(A759="","",IF(D759="Category Pending","Needs categorization",IF(COUNTIFS($A$2:A759,A759,$B$2:B759,B759,$E$2:E759,E759)&gt;1,"Possible duplicate","")))</f>
        <v/>
      </c>
    </row>
    <row r="760" spans="3:14" x14ac:dyDescent="0.3">
      <c r="C760" s="16"/>
      <c r="G760" s="5" t="str">
        <f t="shared" si="60"/>
        <v/>
      </c>
      <c r="H760" t="str">
        <f>IF(A760="","",IFERROR(_xlfn.XLOOKUP(D760,Setup!$E$15:$E$79,Setup!$F$15:$F$79),"Miscellaneous"))</f>
        <v/>
      </c>
      <c r="I760" t="str">
        <f>IF(A760="","",IFERROR(_xlfn.XLOOKUP(D760,Setup!$E$15:$E$79,Setup!$G$15:$G$79),"Uncategorized"))</f>
        <v/>
      </c>
      <c r="J760" t="str">
        <f t="shared" si="61"/>
        <v/>
      </c>
      <c r="K760" s="4" t="str">
        <f t="shared" si="62"/>
        <v/>
      </c>
      <c r="L760" s="47">
        <f t="shared" si="63"/>
        <v>0</v>
      </c>
      <c r="M760" s="47">
        <f t="shared" si="64"/>
        <v>0</v>
      </c>
      <c r="N760" t="str">
        <f>IF(A760="","",IF(D760="Category Pending","Needs categorization",IF(COUNTIFS($A$2:A760,A760,$B$2:B760,B760,$E$2:E760,E760)&gt;1,"Possible duplicate","")))</f>
        <v/>
      </c>
    </row>
    <row r="761" spans="3:14" x14ac:dyDescent="0.3">
      <c r="C761" s="16"/>
      <c r="G761" s="5" t="str">
        <f t="shared" si="60"/>
        <v/>
      </c>
      <c r="H761" t="str">
        <f>IF(A761="","",IFERROR(_xlfn.XLOOKUP(D761,Setup!$E$15:$E$79,Setup!$F$15:$F$79),"Miscellaneous"))</f>
        <v/>
      </c>
      <c r="I761" t="str">
        <f>IF(A761="","",IFERROR(_xlfn.XLOOKUP(D761,Setup!$E$15:$E$79,Setup!$G$15:$G$79),"Uncategorized"))</f>
        <v/>
      </c>
      <c r="J761" t="str">
        <f t="shared" si="61"/>
        <v/>
      </c>
      <c r="K761" s="4" t="str">
        <f t="shared" si="62"/>
        <v/>
      </c>
      <c r="L761" s="47">
        <f t="shared" si="63"/>
        <v>0</v>
      </c>
      <c r="M761" s="47">
        <f t="shared" si="64"/>
        <v>0</v>
      </c>
      <c r="N761" t="str">
        <f>IF(A761="","",IF(D761="Category Pending","Needs categorization",IF(COUNTIFS($A$2:A761,A761,$B$2:B761,B761,$E$2:E761,E761)&gt;1,"Possible duplicate","")))</f>
        <v/>
      </c>
    </row>
    <row r="762" spans="3:14" x14ac:dyDescent="0.3">
      <c r="C762" s="16"/>
      <c r="G762" s="5" t="str">
        <f t="shared" si="60"/>
        <v/>
      </c>
      <c r="H762" t="str">
        <f>IF(A762="","",IFERROR(_xlfn.XLOOKUP(D762,Setup!$E$15:$E$79,Setup!$F$15:$F$79),"Miscellaneous"))</f>
        <v/>
      </c>
      <c r="I762" t="str">
        <f>IF(A762="","",IFERROR(_xlfn.XLOOKUP(D762,Setup!$E$15:$E$79,Setup!$G$15:$G$79),"Uncategorized"))</f>
        <v/>
      </c>
      <c r="J762" t="str">
        <f t="shared" si="61"/>
        <v/>
      </c>
      <c r="K762" s="4" t="str">
        <f t="shared" si="62"/>
        <v/>
      </c>
      <c r="L762" s="47">
        <f t="shared" si="63"/>
        <v>0</v>
      </c>
      <c r="M762" s="47">
        <f t="shared" si="64"/>
        <v>0</v>
      </c>
      <c r="N762" t="str">
        <f>IF(A762="","",IF(D762="Category Pending","Needs categorization",IF(COUNTIFS($A$2:A762,A762,$B$2:B762,B762,$E$2:E762,E762)&gt;1,"Possible duplicate","")))</f>
        <v/>
      </c>
    </row>
    <row r="763" spans="3:14" x14ac:dyDescent="0.3">
      <c r="C763" s="16"/>
      <c r="G763" s="5" t="str">
        <f t="shared" si="60"/>
        <v/>
      </c>
      <c r="H763" t="str">
        <f>IF(A763="","",IFERROR(_xlfn.XLOOKUP(D763,Setup!$E$15:$E$79,Setup!$F$15:$F$79),"Miscellaneous"))</f>
        <v/>
      </c>
      <c r="I763" t="str">
        <f>IF(A763="","",IFERROR(_xlfn.XLOOKUP(D763,Setup!$E$15:$E$79,Setup!$G$15:$G$79),"Uncategorized"))</f>
        <v/>
      </c>
      <c r="J763" t="str">
        <f t="shared" si="61"/>
        <v/>
      </c>
      <c r="K763" s="4" t="str">
        <f t="shared" si="62"/>
        <v/>
      </c>
      <c r="L763" s="47">
        <f t="shared" si="63"/>
        <v>0</v>
      </c>
      <c r="M763" s="47">
        <f t="shared" si="64"/>
        <v>0</v>
      </c>
      <c r="N763" t="str">
        <f>IF(A763="","",IF(D763="Category Pending","Needs categorization",IF(COUNTIFS($A$2:A763,A763,$B$2:B763,B763,$E$2:E763,E763)&gt;1,"Possible duplicate","")))</f>
        <v/>
      </c>
    </row>
    <row r="764" spans="3:14" x14ac:dyDescent="0.3">
      <c r="C764" s="16"/>
      <c r="G764" s="5" t="str">
        <f t="shared" si="60"/>
        <v/>
      </c>
      <c r="H764" t="str">
        <f>IF(A764="","",IFERROR(_xlfn.XLOOKUP(D764,Setup!$E$15:$E$79,Setup!$F$15:$F$79),"Miscellaneous"))</f>
        <v/>
      </c>
      <c r="I764" t="str">
        <f>IF(A764="","",IFERROR(_xlfn.XLOOKUP(D764,Setup!$E$15:$E$79,Setup!$G$15:$G$79),"Uncategorized"))</f>
        <v/>
      </c>
      <c r="J764" t="str">
        <f t="shared" si="61"/>
        <v/>
      </c>
      <c r="K764" s="4" t="str">
        <f t="shared" si="62"/>
        <v/>
      </c>
      <c r="L764" s="47">
        <f t="shared" si="63"/>
        <v>0</v>
      </c>
      <c r="M764" s="47">
        <f t="shared" si="64"/>
        <v>0</v>
      </c>
      <c r="N764" t="str">
        <f>IF(A764="","",IF(D764="Category Pending","Needs categorization",IF(COUNTIFS($A$2:A764,A764,$B$2:B764,B764,$E$2:E764,E764)&gt;1,"Possible duplicate","")))</f>
        <v/>
      </c>
    </row>
    <row r="765" spans="3:14" x14ac:dyDescent="0.3">
      <c r="C765" s="16"/>
      <c r="G765" s="5" t="str">
        <f t="shared" si="60"/>
        <v/>
      </c>
      <c r="H765" t="str">
        <f>IF(A765="","",IFERROR(_xlfn.XLOOKUP(D765,Setup!$E$15:$E$79,Setup!$F$15:$F$79),"Miscellaneous"))</f>
        <v/>
      </c>
      <c r="I765" t="str">
        <f>IF(A765="","",IFERROR(_xlfn.XLOOKUP(D765,Setup!$E$15:$E$79,Setup!$G$15:$G$79),"Uncategorized"))</f>
        <v/>
      </c>
      <c r="J765" t="str">
        <f t="shared" si="61"/>
        <v/>
      </c>
      <c r="K765" s="4" t="str">
        <f t="shared" si="62"/>
        <v/>
      </c>
      <c r="L765" s="47">
        <f t="shared" si="63"/>
        <v>0</v>
      </c>
      <c r="M765" s="47">
        <f t="shared" si="64"/>
        <v>0</v>
      </c>
      <c r="N765" t="str">
        <f>IF(A765="","",IF(D765="Category Pending","Needs categorization",IF(COUNTIFS($A$2:A765,A765,$B$2:B765,B765,$E$2:E765,E765)&gt;1,"Possible duplicate","")))</f>
        <v/>
      </c>
    </row>
    <row r="766" spans="3:14" x14ac:dyDescent="0.3">
      <c r="C766" s="16"/>
      <c r="G766" s="5" t="str">
        <f t="shared" si="60"/>
        <v/>
      </c>
      <c r="H766" t="str">
        <f>IF(A766="","",IFERROR(_xlfn.XLOOKUP(D766,Setup!$E$15:$E$79,Setup!$F$15:$F$79),"Miscellaneous"))</f>
        <v/>
      </c>
      <c r="I766" t="str">
        <f>IF(A766="","",IFERROR(_xlfn.XLOOKUP(D766,Setup!$E$15:$E$79,Setup!$G$15:$G$79),"Uncategorized"))</f>
        <v/>
      </c>
      <c r="J766" t="str">
        <f t="shared" si="61"/>
        <v/>
      </c>
      <c r="K766" s="4" t="str">
        <f t="shared" si="62"/>
        <v/>
      </c>
      <c r="L766" s="47">
        <f t="shared" si="63"/>
        <v>0</v>
      </c>
      <c r="M766" s="47">
        <f t="shared" si="64"/>
        <v>0</v>
      </c>
      <c r="N766" t="str">
        <f>IF(A766="","",IF(D766="Category Pending","Needs categorization",IF(COUNTIFS($A$2:A766,A766,$B$2:B766,B766,$E$2:E766,E766)&gt;1,"Possible duplicate","")))</f>
        <v/>
      </c>
    </row>
    <row r="767" spans="3:14" x14ac:dyDescent="0.3">
      <c r="C767" s="16"/>
      <c r="G767" s="5" t="str">
        <f t="shared" si="60"/>
        <v/>
      </c>
      <c r="H767" t="str">
        <f>IF(A767="","",IFERROR(_xlfn.XLOOKUP(D767,Setup!$E$15:$E$79,Setup!$F$15:$F$79),"Miscellaneous"))</f>
        <v/>
      </c>
      <c r="I767" t="str">
        <f>IF(A767="","",IFERROR(_xlfn.XLOOKUP(D767,Setup!$E$15:$E$79,Setup!$G$15:$G$79),"Uncategorized"))</f>
        <v/>
      </c>
      <c r="J767" t="str">
        <f t="shared" si="61"/>
        <v/>
      </c>
      <c r="K767" s="4" t="str">
        <f t="shared" si="62"/>
        <v/>
      </c>
      <c r="L767" s="47">
        <f t="shared" si="63"/>
        <v>0</v>
      </c>
      <c r="M767" s="47">
        <f t="shared" si="64"/>
        <v>0</v>
      </c>
      <c r="N767" t="str">
        <f>IF(A767="","",IF(D767="Category Pending","Needs categorization",IF(COUNTIFS($A$2:A767,A767,$B$2:B767,B767,$E$2:E767,E767)&gt;1,"Possible duplicate","")))</f>
        <v/>
      </c>
    </row>
    <row r="768" spans="3:14" x14ac:dyDescent="0.3">
      <c r="C768" s="16"/>
      <c r="G768" s="5" t="str">
        <f t="shared" si="60"/>
        <v/>
      </c>
      <c r="H768" t="str">
        <f>IF(A768="","",IFERROR(_xlfn.XLOOKUP(D768,Setup!$E$15:$E$79,Setup!$F$15:$F$79),"Miscellaneous"))</f>
        <v/>
      </c>
      <c r="I768" t="str">
        <f>IF(A768="","",IFERROR(_xlfn.XLOOKUP(D768,Setup!$E$15:$E$79,Setup!$G$15:$G$79),"Uncategorized"))</f>
        <v/>
      </c>
      <c r="J768" t="str">
        <f t="shared" si="61"/>
        <v/>
      </c>
      <c r="K768" s="4" t="str">
        <f t="shared" si="62"/>
        <v/>
      </c>
      <c r="L768" s="47">
        <f t="shared" si="63"/>
        <v>0</v>
      </c>
      <c r="M768" s="47">
        <f t="shared" si="64"/>
        <v>0</v>
      </c>
      <c r="N768" t="str">
        <f>IF(A768="","",IF(D768="Category Pending","Needs categorization",IF(COUNTIFS($A$2:A768,A768,$B$2:B768,B768,$E$2:E768,E768)&gt;1,"Possible duplicate","")))</f>
        <v/>
      </c>
    </row>
    <row r="769" spans="3:14" x14ac:dyDescent="0.3">
      <c r="C769" s="16"/>
      <c r="G769" s="5" t="str">
        <f t="shared" si="60"/>
        <v/>
      </c>
      <c r="H769" t="str">
        <f>IF(A769="","",IFERROR(_xlfn.XLOOKUP(D769,Setup!$E$15:$E$79,Setup!$F$15:$F$79),"Miscellaneous"))</f>
        <v/>
      </c>
      <c r="I769" t="str">
        <f>IF(A769="","",IFERROR(_xlfn.XLOOKUP(D769,Setup!$E$15:$E$79,Setup!$G$15:$G$79),"Uncategorized"))</f>
        <v/>
      </c>
      <c r="J769" t="str">
        <f t="shared" si="61"/>
        <v/>
      </c>
      <c r="K769" s="4" t="str">
        <f t="shared" si="62"/>
        <v/>
      </c>
      <c r="L769" s="47">
        <f t="shared" si="63"/>
        <v>0</v>
      </c>
      <c r="M769" s="47">
        <f t="shared" si="64"/>
        <v>0</v>
      </c>
      <c r="N769" t="str">
        <f>IF(A769="","",IF(D769="Category Pending","Needs categorization",IF(COUNTIFS($A$2:A769,A769,$B$2:B769,B769,$E$2:E769,E769)&gt;1,"Possible duplicate","")))</f>
        <v/>
      </c>
    </row>
    <row r="770" spans="3:14" x14ac:dyDescent="0.3">
      <c r="C770" s="16"/>
      <c r="G770" s="5" t="str">
        <f t="shared" si="60"/>
        <v/>
      </c>
      <c r="H770" t="str">
        <f>IF(A770="","",IFERROR(_xlfn.XLOOKUP(D770,Setup!$E$15:$E$79,Setup!$F$15:$F$79),"Miscellaneous"))</f>
        <v/>
      </c>
      <c r="I770" t="str">
        <f>IF(A770="","",IFERROR(_xlfn.XLOOKUP(D770,Setup!$E$15:$E$79,Setup!$G$15:$G$79),"Uncategorized"))</f>
        <v/>
      </c>
      <c r="J770" t="str">
        <f t="shared" si="61"/>
        <v/>
      </c>
      <c r="K770" s="4" t="str">
        <f t="shared" si="62"/>
        <v/>
      </c>
      <c r="L770" s="47">
        <f t="shared" si="63"/>
        <v>0</v>
      </c>
      <c r="M770" s="47">
        <f t="shared" si="64"/>
        <v>0</v>
      </c>
      <c r="N770" t="str">
        <f>IF(A770="","",IF(D770="Category Pending","Needs categorization",IF(COUNTIFS($A$2:A770,A770,$B$2:B770,B770,$E$2:E770,E770)&gt;1,"Possible duplicate","")))</f>
        <v/>
      </c>
    </row>
    <row r="771" spans="3:14" x14ac:dyDescent="0.3">
      <c r="C771" s="16"/>
      <c r="G771" s="5" t="str">
        <f t="shared" si="60"/>
        <v/>
      </c>
      <c r="H771" t="str">
        <f>IF(A771="","",IFERROR(_xlfn.XLOOKUP(D771,Setup!$E$15:$E$79,Setup!$F$15:$F$79),"Miscellaneous"))</f>
        <v/>
      </c>
      <c r="I771" t="str">
        <f>IF(A771="","",IFERROR(_xlfn.XLOOKUP(D771,Setup!$E$15:$E$79,Setup!$G$15:$G$79),"Uncategorized"))</f>
        <v/>
      </c>
      <c r="J771" t="str">
        <f t="shared" si="61"/>
        <v/>
      </c>
      <c r="K771" s="4" t="str">
        <f t="shared" si="62"/>
        <v/>
      </c>
      <c r="L771" s="47">
        <f t="shared" si="63"/>
        <v>0</v>
      </c>
      <c r="M771" s="47">
        <f t="shared" si="64"/>
        <v>0</v>
      </c>
      <c r="N771" t="str">
        <f>IF(A771="","",IF(D771="Category Pending","Needs categorization",IF(COUNTIFS($A$2:A771,A771,$B$2:B771,B771,$E$2:E771,E771)&gt;1,"Possible duplicate","")))</f>
        <v/>
      </c>
    </row>
    <row r="772" spans="3:14" x14ac:dyDescent="0.3">
      <c r="C772" s="16"/>
      <c r="G772" s="5" t="str">
        <f t="shared" si="60"/>
        <v/>
      </c>
      <c r="H772" t="str">
        <f>IF(A772="","",IFERROR(_xlfn.XLOOKUP(D772,Setup!$E$15:$E$79,Setup!$F$15:$F$79),"Miscellaneous"))</f>
        <v/>
      </c>
      <c r="I772" t="str">
        <f>IF(A772="","",IFERROR(_xlfn.XLOOKUP(D772,Setup!$E$15:$E$79,Setup!$G$15:$G$79),"Uncategorized"))</f>
        <v/>
      </c>
      <c r="J772" t="str">
        <f t="shared" si="61"/>
        <v/>
      </c>
      <c r="K772" s="4" t="str">
        <f t="shared" si="62"/>
        <v/>
      </c>
      <c r="L772" s="47">
        <f t="shared" si="63"/>
        <v>0</v>
      </c>
      <c r="M772" s="47">
        <f t="shared" si="64"/>
        <v>0</v>
      </c>
      <c r="N772" t="str">
        <f>IF(A772="","",IF(D772="Category Pending","Needs categorization",IF(COUNTIFS($A$2:A772,A772,$B$2:B772,B772,$E$2:E772,E772)&gt;1,"Possible duplicate","")))</f>
        <v/>
      </c>
    </row>
    <row r="773" spans="3:14" x14ac:dyDescent="0.3">
      <c r="C773" s="16"/>
      <c r="G773" s="5" t="str">
        <f t="shared" si="60"/>
        <v/>
      </c>
      <c r="H773" t="str">
        <f>IF(A773="","",IFERROR(_xlfn.XLOOKUP(D773,Setup!$E$15:$E$79,Setup!$F$15:$F$79),"Miscellaneous"))</f>
        <v/>
      </c>
      <c r="I773" t="str">
        <f>IF(A773="","",IFERROR(_xlfn.XLOOKUP(D773,Setup!$E$15:$E$79,Setup!$G$15:$G$79),"Uncategorized"))</f>
        <v/>
      </c>
      <c r="J773" t="str">
        <f t="shared" si="61"/>
        <v/>
      </c>
      <c r="K773" s="4" t="str">
        <f t="shared" si="62"/>
        <v/>
      </c>
      <c r="L773" s="47">
        <f t="shared" si="63"/>
        <v>0</v>
      </c>
      <c r="M773" s="47">
        <f t="shared" si="64"/>
        <v>0</v>
      </c>
      <c r="N773" t="str">
        <f>IF(A773="","",IF(D773="Category Pending","Needs categorization",IF(COUNTIFS($A$2:A773,A773,$B$2:B773,B773,$E$2:E773,E773)&gt;1,"Possible duplicate","")))</f>
        <v/>
      </c>
    </row>
    <row r="774" spans="3:14" x14ac:dyDescent="0.3">
      <c r="C774" s="16"/>
      <c r="G774" s="5" t="str">
        <f t="shared" si="60"/>
        <v/>
      </c>
      <c r="H774" t="str">
        <f>IF(A774="","",IFERROR(_xlfn.XLOOKUP(D774,Setup!$E$15:$E$79,Setup!$F$15:$F$79),"Miscellaneous"))</f>
        <v/>
      </c>
      <c r="I774" t="str">
        <f>IF(A774="","",IFERROR(_xlfn.XLOOKUP(D774,Setup!$E$15:$E$79,Setup!$G$15:$G$79),"Uncategorized"))</f>
        <v/>
      </c>
      <c r="J774" t="str">
        <f t="shared" si="61"/>
        <v/>
      </c>
      <c r="K774" s="4" t="str">
        <f t="shared" si="62"/>
        <v/>
      </c>
      <c r="L774" s="47">
        <f t="shared" si="63"/>
        <v>0</v>
      </c>
      <c r="M774" s="47">
        <f t="shared" si="64"/>
        <v>0</v>
      </c>
      <c r="N774" t="str">
        <f>IF(A774="","",IF(D774="Category Pending","Needs categorization",IF(COUNTIFS($A$2:A774,A774,$B$2:B774,B774,$E$2:E774,E774)&gt;1,"Possible duplicate","")))</f>
        <v/>
      </c>
    </row>
    <row r="775" spans="3:14" x14ac:dyDescent="0.3">
      <c r="C775" s="16"/>
      <c r="G775" s="5" t="str">
        <f t="shared" si="60"/>
        <v/>
      </c>
      <c r="H775" t="str">
        <f>IF(A775="","",IFERROR(_xlfn.XLOOKUP(D775,Setup!$E$15:$E$79,Setup!$F$15:$F$79),"Miscellaneous"))</f>
        <v/>
      </c>
      <c r="I775" t="str">
        <f>IF(A775="","",IFERROR(_xlfn.XLOOKUP(D775,Setup!$E$15:$E$79,Setup!$G$15:$G$79),"Uncategorized"))</f>
        <v/>
      </c>
      <c r="J775" t="str">
        <f t="shared" si="61"/>
        <v/>
      </c>
      <c r="K775" s="4" t="str">
        <f t="shared" si="62"/>
        <v/>
      </c>
      <c r="L775" s="47">
        <f t="shared" si="63"/>
        <v>0</v>
      </c>
      <c r="M775" s="47">
        <f t="shared" si="64"/>
        <v>0</v>
      </c>
      <c r="N775" t="str">
        <f>IF(A775="","",IF(D775="Category Pending","Needs categorization",IF(COUNTIFS($A$2:A775,A775,$B$2:B775,B775,$E$2:E775,E775)&gt;1,"Possible duplicate","")))</f>
        <v/>
      </c>
    </row>
    <row r="776" spans="3:14" x14ac:dyDescent="0.3">
      <c r="C776" s="16"/>
      <c r="G776" s="5" t="str">
        <f t="shared" si="60"/>
        <v/>
      </c>
      <c r="H776" t="str">
        <f>IF(A776="","",IFERROR(_xlfn.XLOOKUP(D776,Setup!$E$15:$E$79,Setup!$F$15:$F$79),"Miscellaneous"))</f>
        <v/>
      </c>
      <c r="I776" t="str">
        <f>IF(A776="","",IFERROR(_xlfn.XLOOKUP(D776,Setup!$E$15:$E$79,Setup!$G$15:$G$79),"Uncategorized"))</f>
        <v/>
      </c>
      <c r="J776" t="str">
        <f t="shared" si="61"/>
        <v/>
      </c>
      <c r="K776" s="4" t="str">
        <f t="shared" si="62"/>
        <v/>
      </c>
      <c r="L776" s="47">
        <f t="shared" si="63"/>
        <v>0</v>
      </c>
      <c r="M776" s="47">
        <f t="shared" si="64"/>
        <v>0</v>
      </c>
      <c r="N776" t="str">
        <f>IF(A776="","",IF(D776="Category Pending","Needs categorization",IF(COUNTIFS($A$2:A776,A776,$B$2:B776,B776,$E$2:E776,E776)&gt;1,"Possible duplicate","")))</f>
        <v/>
      </c>
    </row>
    <row r="777" spans="3:14" x14ac:dyDescent="0.3">
      <c r="C777" s="16"/>
      <c r="G777" s="5" t="str">
        <f t="shared" si="60"/>
        <v/>
      </c>
      <c r="H777" t="str">
        <f>IF(A777="","",IFERROR(_xlfn.XLOOKUP(D777,Setup!$E$15:$E$79,Setup!$F$15:$F$79),"Miscellaneous"))</f>
        <v/>
      </c>
      <c r="I777" t="str">
        <f>IF(A777="","",IFERROR(_xlfn.XLOOKUP(D777,Setup!$E$15:$E$79,Setup!$G$15:$G$79),"Uncategorized"))</f>
        <v/>
      </c>
      <c r="J777" t="str">
        <f t="shared" si="61"/>
        <v/>
      </c>
      <c r="K777" s="4" t="str">
        <f t="shared" si="62"/>
        <v/>
      </c>
      <c r="L777" s="47">
        <f t="shared" si="63"/>
        <v>0</v>
      </c>
      <c r="M777" s="47">
        <f t="shared" si="64"/>
        <v>0</v>
      </c>
      <c r="N777" t="str">
        <f>IF(A777="","",IF(D777="Category Pending","Needs categorization",IF(COUNTIFS($A$2:A777,A777,$B$2:B777,B777,$E$2:E777,E777)&gt;1,"Possible duplicate","")))</f>
        <v/>
      </c>
    </row>
    <row r="778" spans="3:14" x14ac:dyDescent="0.3">
      <c r="C778" s="16"/>
      <c r="G778" s="5" t="str">
        <f t="shared" si="60"/>
        <v/>
      </c>
      <c r="H778" t="str">
        <f>IF(A778="","",IFERROR(_xlfn.XLOOKUP(D778,Setup!$E$15:$E$79,Setup!$F$15:$F$79),"Miscellaneous"))</f>
        <v/>
      </c>
      <c r="I778" t="str">
        <f>IF(A778="","",IFERROR(_xlfn.XLOOKUP(D778,Setup!$E$15:$E$79,Setup!$G$15:$G$79),"Uncategorized"))</f>
        <v/>
      </c>
      <c r="J778" t="str">
        <f t="shared" si="61"/>
        <v/>
      </c>
      <c r="K778" s="4" t="str">
        <f t="shared" si="62"/>
        <v/>
      </c>
      <c r="L778" s="47">
        <f t="shared" si="63"/>
        <v>0</v>
      </c>
      <c r="M778" s="47">
        <f t="shared" si="64"/>
        <v>0</v>
      </c>
      <c r="N778" t="str">
        <f>IF(A778="","",IF(D778="Category Pending","Needs categorization",IF(COUNTIFS($A$2:A778,A778,$B$2:B778,B778,$E$2:E778,E778)&gt;1,"Possible duplicate","")))</f>
        <v/>
      </c>
    </row>
    <row r="779" spans="3:14" x14ac:dyDescent="0.3">
      <c r="C779" s="16"/>
      <c r="G779" s="5" t="str">
        <f t="shared" si="60"/>
        <v/>
      </c>
      <c r="H779" t="str">
        <f>IF(A779="","",IFERROR(_xlfn.XLOOKUP(D779,Setup!$E$15:$E$79,Setup!$F$15:$F$79),"Miscellaneous"))</f>
        <v/>
      </c>
      <c r="I779" t="str">
        <f>IF(A779="","",IFERROR(_xlfn.XLOOKUP(D779,Setup!$E$15:$E$79,Setup!$G$15:$G$79),"Uncategorized"))</f>
        <v/>
      </c>
      <c r="J779" t="str">
        <f t="shared" si="61"/>
        <v/>
      </c>
      <c r="K779" s="4" t="str">
        <f t="shared" si="62"/>
        <v/>
      </c>
      <c r="L779" s="47">
        <f t="shared" si="63"/>
        <v>0</v>
      </c>
      <c r="M779" s="47">
        <f t="shared" si="64"/>
        <v>0</v>
      </c>
      <c r="N779" t="str">
        <f>IF(A779="","",IF(D779="Category Pending","Needs categorization",IF(COUNTIFS($A$2:A779,A779,$B$2:B779,B779,$E$2:E779,E779)&gt;1,"Possible duplicate","")))</f>
        <v/>
      </c>
    </row>
    <row r="780" spans="3:14" x14ac:dyDescent="0.3">
      <c r="C780" s="16"/>
      <c r="G780" s="5" t="str">
        <f t="shared" si="60"/>
        <v/>
      </c>
      <c r="H780" t="str">
        <f>IF(A780="","",IFERROR(_xlfn.XLOOKUP(D780,Setup!$E$15:$E$79,Setup!$F$15:$F$79),"Miscellaneous"))</f>
        <v/>
      </c>
      <c r="I780" t="str">
        <f>IF(A780="","",IFERROR(_xlfn.XLOOKUP(D780,Setup!$E$15:$E$79,Setup!$G$15:$G$79),"Uncategorized"))</f>
        <v/>
      </c>
      <c r="J780" t="str">
        <f t="shared" si="61"/>
        <v/>
      </c>
      <c r="K780" s="4" t="str">
        <f t="shared" si="62"/>
        <v/>
      </c>
      <c r="L780" s="47">
        <f t="shared" si="63"/>
        <v>0</v>
      </c>
      <c r="M780" s="47">
        <f t="shared" si="64"/>
        <v>0</v>
      </c>
      <c r="N780" t="str">
        <f>IF(A780="","",IF(D780="Category Pending","Needs categorization",IF(COUNTIFS($A$2:A780,A780,$B$2:B780,B780,$E$2:E780,E780)&gt;1,"Possible duplicate","")))</f>
        <v/>
      </c>
    </row>
    <row r="781" spans="3:14" x14ac:dyDescent="0.3">
      <c r="C781" s="16"/>
      <c r="G781" s="5" t="str">
        <f t="shared" si="60"/>
        <v/>
      </c>
      <c r="H781" t="str">
        <f>IF(A781="","",IFERROR(_xlfn.XLOOKUP(D781,Setup!$E$15:$E$79,Setup!$F$15:$F$79),"Miscellaneous"))</f>
        <v/>
      </c>
      <c r="I781" t="str">
        <f>IF(A781="","",IFERROR(_xlfn.XLOOKUP(D781,Setup!$E$15:$E$79,Setup!$G$15:$G$79),"Uncategorized"))</f>
        <v/>
      </c>
      <c r="J781" t="str">
        <f t="shared" si="61"/>
        <v/>
      </c>
      <c r="K781" s="4" t="str">
        <f t="shared" si="62"/>
        <v/>
      </c>
      <c r="L781" s="47">
        <f t="shared" si="63"/>
        <v>0</v>
      </c>
      <c r="M781" s="47">
        <f t="shared" si="64"/>
        <v>0</v>
      </c>
      <c r="N781" t="str">
        <f>IF(A781="","",IF(D781="Category Pending","Needs categorization",IF(COUNTIFS($A$2:A781,A781,$B$2:B781,B781,$E$2:E781,E781)&gt;1,"Possible duplicate","")))</f>
        <v/>
      </c>
    </row>
    <row r="782" spans="3:14" x14ac:dyDescent="0.3">
      <c r="C782" s="16"/>
      <c r="G782" s="5" t="str">
        <f t="shared" si="60"/>
        <v/>
      </c>
      <c r="H782" t="str">
        <f>IF(A782="","",IFERROR(_xlfn.XLOOKUP(D782,Setup!$E$15:$E$79,Setup!$F$15:$F$79),"Miscellaneous"))</f>
        <v/>
      </c>
      <c r="I782" t="str">
        <f>IF(A782="","",IFERROR(_xlfn.XLOOKUP(D782,Setup!$E$15:$E$79,Setup!$G$15:$G$79),"Uncategorized"))</f>
        <v/>
      </c>
      <c r="J782" t="str">
        <f t="shared" si="61"/>
        <v/>
      </c>
      <c r="K782" s="4" t="str">
        <f t="shared" si="62"/>
        <v/>
      </c>
      <c r="L782" s="47">
        <f t="shared" si="63"/>
        <v>0</v>
      </c>
      <c r="M782" s="47">
        <f t="shared" si="64"/>
        <v>0</v>
      </c>
      <c r="N782" t="str">
        <f>IF(A782="","",IF(D782="Category Pending","Needs categorization",IF(COUNTIFS($A$2:A782,A782,$B$2:B782,B782,$E$2:E782,E782)&gt;1,"Possible duplicate","")))</f>
        <v/>
      </c>
    </row>
    <row r="783" spans="3:14" x14ac:dyDescent="0.3">
      <c r="C783" s="16"/>
      <c r="G783" s="5" t="str">
        <f t="shared" si="60"/>
        <v/>
      </c>
      <c r="H783" t="str">
        <f>IF(A783="","",IFERROR(_xlfn.XLOOKUP(D783,Setup!$E$15:$E$79,Setup!$F$15:$F$79),"Miscellaneous"))</f>
        <v/>
      </c>
      <c r="I783" t="str">
        <f>IF(A783="","",IFERROR(_xlfn.XLOOKUP(D783,Setup!$E$15:$E$79,Setup!$G$15:$G$79),"Uncategorized"))</f>
        <v/>
      </c>
      <c r="J783" t="str">
        <f t="shared" si="61"/>
        <v/>
      </c>
      <c r="K783" s="4" t="str">
        <f t="shared" si="62"/>
        <v/>
      </c>
      <c r="L783" s="47">
        <f t="shared" si="63"/>
        <v>0</v>
      </c>
      <c r="M783" s="47">
        <f t="shared" si="64"/>
        <v>0</v>
      </c>
      <c r="N783" t="str">
        <f>IF(A783="","",IF(D783="Category Pending","Needs categorization",IF(COUNTIFS($A$2:A783,A783,$B$2:B783,B783,$E$2:E783,E783)&gt;1,"Possible duplicate","")))</f>
        <v/>
      </c>
    </row>
    <row r="784" spans="3:14" x14ac:dyDescent="0.3">
      <c r="C784" s="16"/>
      <c r="G784" s="5" t="str">
        <f t="shared" si="60"/>
        <v/>
      </c>
      <c r="H784" t="str">
        <f>IF(A784="","",IFERROR(_xlfn.XLOOKUP(D784,Setup!$E$15:$E$79,Setup!$F$15:$F$79),"Miscellaneous"))</f>
        <v/>
      </c>
      <c r="I784" t="str">
        <f>IF(A784="","",IFERROR(_xlfn.XLOOKUP(D784,Setup!$E$15:$E$79,Setup!$G$15:$G$79),"Uncategorized"))</f>
        <v/>
      </c>
      <c r="J784" t="str">
        <f t="shared" si="61"/>
        <v/>
      </c>
      <c r="K784" s="4" t="str">
        <f t="shared" si="62"/>
        <v/>
      </c>
      <c r="L784" s="47">
        <f t="shared" si="63"/>
        <v>0</v>
      </c>
      <c r="M784" s="47">
        <f t="shared" si="64"/>
        <v>0</v>
      </c>
      <c r="N784" t="str">
        <f>IF(A784="","",IF(D784="Category Pending","Needs categorization",IF(COUNTIFS($A$2:A784,A784,$B$2:B784,B784,$E$2:E784,E784)&gt;1,"Possible duplicate","")))</f>
        <v/>
      </c>
    </row>
    <row r="785" spans="3:14" x14ac:dyDescent="0.3">
      <c r="C785" s="16"/>
      <c r="G785" s="5" t="str">
        <f t="shared" si="60"/>
        <v/>
      </c>
      <c r="H785" t="str">
        <f>IF(A785="","",IFERROR(_xlfn.XLOOKUP(D785,Setup!$E$15:$E$79,Setup!$F$15:$F$79),"Miscellaneous"))</f>
        <v/>
      </c>
      <c r="I785" t="str">
        <f>IF(A785="","",IFERROR(_xlfn.XLOOKUP(D785,Setup!$E$15:$E$79,Setup!$G$15:$G$79),"Uncategorized"))</f>
        <v/>
      </c>
      <c r="J785" t="str">
        <f t="shared" si="61"/>
        <v/>
      </c>
      <c r="K785" s="4" t="str">
        <f t="shared" si="62"/>
        <v/>
      </c>
      <c r="L785" s="47">
        <f t="shared" si="63"/>
        <v>0</v>
      </c>
      <c r="M785" s="47">
        <f t="shared" si="64"/>
        <v>0</v>
      </c>
      <c r="N785" t="str">
        <f>IF(A785="","",IF(D785="Category Pending","Needs categorization",IF(COUNTIFS($A$2:A785,A785,$B$2:B785,B785,$E$2:E785,E785)&gt;1,"Possible duplicate","")))</f>
        <v/>
      </c>
    </row>
    <row r="786" spans="3:14" x14ac:dyDescent="0.3">
      <c r="C786" s="16"/>
      <c r="G786" s="5" t="str">
        <f t="shared" si="60"/>
        <v/>
      </c>
      <c r="H786" t="str">
        <f>IF(A786="","",IFERROR(_xlfn.XLOOKUP(D786,Setup!$E$15:$E$79,Setup!$F$15:$F$79),"Miscellaneous"))</f>
        <v/>
      </c>
      <c r="I786" t="str">
        <f>IF(A786="","",IFERROR(_xlfn.XLOOKUP(D786,Setup!$E$15:$E$79,Setup!$G$15:$G$79),"Uncategorized"))</f>
        <v/>
      </c>
      <c r="J786" t="str">
        <f t="shared" si="61"/>
        <v/>
      </c>
      <c r="K786" s="4" t="str">
        <f t="shared" si="62"/>
        <v/>
      </c>
      <c r="L786" s="47">
        <f t="shared" si="63"/>
        <v>0</v>
      </c>
      <c r="M786" s="47">
        <f t="shared" si="64"/>
        <v>0</v>
      </c>
      <c r="N786" t="str">
        <f>IF(A786="","",IF(D786="Category Pending","Needs categorization",IF(COUNTIFS($A$2:A786,A786,$B$2:B786,B786,$E$2:E786,E786)&gt;1,"Possible duplicate","")))</f>
        <v/>
      </c>
    </row>
    <row r="787" spans="3:14" x14ac:dyDescent="0.3">
      <c r="C787" s="16"/>
      <c r="G787" s="5" t="str">
        <f t="shared" si="60"/>
        <v/>
      </c>
      <c r="H787" t="str">
        <f>IF(A787="","",IFERROR(_xlfn.XLOOKUP(D787,Setup!$E$15:$E$79,Setup!$F$15:$F$79),"Miscellaneous"))</f>
        <v/>
      </c>
      <c r="I787" t="str">
        <f>IF(A787="","",IFERROR(_xlfn.XLOOKUP(D787,Setup!$E$15:$E$79,Setup!$G$15:$G$79),"Uncategorized"))</f>
        <v/>
      </c>
      <c r="J787" t="str">
        <f t="shared" si="61"/>
        <v/>
      </c>
      <c r="K787" s="4" t="str">
        <f t="shared" si="62"/>
        <v/>
      </c>
      <c r="L787" s="47">
        <f t="shared" si="63"/>
        <v>0</v>
      </c>
      <c r="M787" s="47">
        <f t="shared" si="64"/>
        <v>0</v>
      </c>
      <c r="N787" t="str">
        <f>IF(A787="","",IF(D787="Category Pending","Needs categorization",IF(COUNTIFS($A$2:A787,A787,$B$2:B787,B787,$E$2:E787,E787)&gt;1,"Possible duplicate","")))</f>
        <v/>
      </c>
    </row>
    <row r="788" spans="3:14" x14ac:dyDescent="0.3">
      <c r="C788" s="16"/>
      <c r="G788" s="5" t="str">
        <f t="shared" si="60"/>
        <v/>
      </c>
      <c r="H788" t="str">
        <f>IF(A788="","",IFERROR(_xlfn.XLOOKUP(D788,Setup!$E$15:$E$79,Setup!$F$15:$F$79),"Miscellaneous"))</f>
        <v/>
      </c>
      <c r="I788" t="str">
        <f>IF(A788="","",IFERROR(_xlfn.XLOOKUP(D788,Setup!$E$15:$E$79,Setup!$G$15:$G$79),"Uncategorized"))</f>
        <v/>
      </c>
      <c r="J788" t="str">
        <f t="shared" si="61"/>
        <v/>
      </c>
      <c r="K788" s="4" t="str">
        <f t="shared" si="62"/>
        <v/>
      </c>
      <c r="L788" s="47">
        <f t="shared" si="63"/>
        <v>0</v>
      </c>
      <c r="M788" s="47">
        <f t="shared" si="64"/>
        <v>0</v>
      </c>
      <c r="N788" t="str">
        <f>IF(A788="","",IF(D788="Category Pending","Needs categorization",IF(COUNTIFS($A$2:A788,A788,$B$2:B788,B788,$E$2:E788,E788)&gt;1,"Possible duplicate","")))</f>
        <v/>
      </c>
    </row>
    <row r="789" spans="3:14" x14ac:dyDescent="0.3">
      <c r="C789" s="16"/>
      <c r="G789" s="5" t="str">
        <f t="shared" si="60"/>
        <v/>
      </c>
      <c r="H789" t="str">
        <f>IF(A789="","",IFERROR(_xlfn.XLOOKUP(D789,Setup!$E$15:$E$79,Setup!$F$15:$F$79),"Miscellaneous"))</f>
        <v/>
      </c>
      <c r="I789" t="str">
        <f>IF(A789="","",IFERROR(_xlfn.XLOOKUP(D789,Setup!$E$15:$E$79,Setup!$G$15:$G$79),"Uncategorized"))</f>
        <v/>
      </c>
      <c r="J789" t="str">
        <f t="shared" si="61"/>
        <v/>
      </c>
      <c r="K789" s="4" t="str">
        <f t="shared" si="62"/>
        <v/>
      </c>
      <c r="L789" s="47">
        <f t="shared" si="63"/>
        <v>0</v>
      </c>
      <c r="M789" s="47">
        <f t="shared" si="64"/>
        <v>0</v>
      </c>
      <c r="N789" t="str">
        <f>IF(A789="","",IF(D789="Category Pending","Needs categorization",IF(COUNTIFS($A$2:A789,A789,$B$2:B789,B789,$E$2:E789,E789)&gt;1,"Possible duplicate","")))</f>
        <v/>
      </c>
    </row>
    <row r="790" spans="3:14" x14ac:dyDescent="0.3">
      <c r="C790" s="16"/>
      <c r="G790" s="5" t="str">
        <f t="shared" si="60"/>
        <v/>
      </c>
      <c r="H790" t="str">
        <f>IF(A790="","",IFERROR(_xlfn.XLOOKUP(D790,Setup!$E$15:$E$79,Setup!$F$15:$F$79),"Miscellaneous"))</f>
        <v/>
      </c>
      <c r="I790" t="str">
        <f>IF(A790="","",IFERROR(_xlfn.XLOOKUP(D790,Setup!$E$15:$E$79,Setup!$G$15:$G$79),"Uncategorized"))</f>
        <v/>
      </c>
      <c r="J790" t="str">
        <f t="shared" si="61"/>
        <v/>
      </c>
      <c r="K790" s="4" t="str">
        <f t="shared" si="62"/>
        <v/>
      </c>
      <c r="L790" s="47">
        <f t="shared" si="63"/>
        <v>0</v>
      </c>
      <c r="M790" s="47">
        <f t="shared" si="64"/>
        <v>0</v>
      </c>
      <c r="N790" t="str">
        <f>IF(A790="","",IF(D790="Category Pending","Needs categorization",IF(COUNTIFS($A$2:A790,A790,$B$2:B790,B790,$E$2:E790,E790)&gt;1,"Possible duplicate","")))</f>
        <v/>
      </c>
    </row>
    <row r="791" spans="3:14" x14ac:dyDescent="0.3">
      <c r="C791" s="16"/>
      <c r="G791" s="5" t="str">
        <f t="shared" si="60"/>
        <v/>
      </c>
      <c r="H791" t="str">
        <f>IF(A791="","",IFERROR(_xlfn.XLOOKUP(D791,Setup!$E$15:$E$79,Setup!$F$15:$F$79),"Miscellaneous"))</f>
        <v/>
      </c>
      <c r="I791" t="str">
        <f>IF(A791="","",IFERROR(_xlfn.XLOOKUP(D791,Setup!$E$15:$E$79,Setup!$G$15:$G$79),"Uncategorized"))</f>
        <v/>
      </c>
      <c r="J791" t="str">
        <f t="shared" si="61"/>
        <v/>
      </c>
      <c r="K791" s="4" t="str">
        <f t="shared" si="62"/>
        <v/>
      </c>
      <c r="L791" s="47">
        <f t="shared" si="63"/>
        <v>0</v>
      </c>
      <c r="M791" s="47">
        <f t="shared" si="64"/>
        <v>0</v>
      </c>
      <c r="N791" t="str">
        <f>IF(A791="","",IF(D791="Category Pending","Needs categorization",IF(COUNTIFS($A$2:A791,A791,$B$2:B791,B791,$E$2:E791,E791)&gt;1,"Possible duplicate","")))</f>
        <v/>
      </c>
    </row>
    <row r="792" spans="3:14" x14ac:dyDescent="0.3">
      <c r="C792" s="16"/>
      <c r="G792" s="5" t="str">
        <f t="shared" si="60"/>
        <v/>
      </c>
      <c r="H792" t="str">
        <f>IF(A792="","",IFERROR(_xlfn.XLOOKUP(D792,Setup!$E$15:$E$79,Setup!$F$15:$F$79),"Miscellaneous"))</f>
        <v/>
      </c>
      <c r="I792" t="str">
        <f>IF(A792="","",IFERROR(_xlfn.XLOOKUP(D792,Setup!$E$15:$E$79,Setup!$G$15:$G$79),"Uncategorized"))</f>
        <v/>
      </c>
      <c r="J792" t="str">
        <f t="shared" si="61"/>
        <v/>
      </c>
      <c r="K792" s="4" t="str">
        <f t="shared" si="62"/>
        <v/>
      </c>
      <c r="L792" s="47">
        <f t="shared" si="63"/>
        <v>0</v>
      </c>
      <c r="M792" s="47">
        <f t="shared" si="64"/>
        <v>0</v>
      </c>
      <c r="N792" t="str">
        <f>IF(A792="","",IF(D792="Category Pending","Needs categorization",IF(COUNTIFS($A$2:A792,A792,$B$2:B792,B792,$E$2:E792,E792)&gt;1,"Possible duplicate","")))</f>
        <v/>
      </c>
    </row>
    <row r="793" spans="3:14" x14ac:dyDescent="0.3">
      <c r="C793" s="16"/>
      <c r="G793" s="5" t="str">
        <f t="shared" si="60"/>
        <v/>
      </c>
      <c r="H793" t="str">
        <f>IF(A793="","",IFERROR(_xlfn.XLOOKUP(D793,Setup!$E$15:$E$79,Setup!$F$15:$F$79),"Miscellaneous"))</f>
        <v/>
      </c>
      <c r="I793" t="str">
        <f>IF(A793="","",IFERROR(_xlfn.XLOOKUP(D793,Setup!$E$15:$E$79,Setup!$G$15:$G$79),"Uncategorized"))</f>
        <v/>
      </c>
      <c r="J793" t="str">
        <f t="shared" si="61"/>
        <v/>
      </c>
      <c r="K793" s="4" t="str">
        <f t="shared" si="62"/>
        <v/>
      </c>
      <c r="L793" s="47">
        <f t="shared" si="63"/>
        <v>0</v>
      </c>
      <c r="M793" s="47">
        <f t="shared" si="64"/>
        <v>0</v>
      </c>
      <c r="N793" t="str">
        <f>IF(A793="","",IF(D793="Category Pending","Needs categorization",IF(COUNTIFS($A$2:A793,A793,$B$2:B793,B793,$E$2:E793,E793)&gt;1,"Possible duplicate","")))</f>
        <v/>
      </c>
    </row>
    <row r="794" spans="3:14" x14ac:dyDescent="0.3">
      <c r="C794" s="16"/>
      <c r="G794" s="5" t="str">
        <f t="shared" si="60"/>
        <v/>
      </c>
      <c r="H794" t="str">
        <f>IF(A794="","",IFERROR(_xlfn.XLOOKUP(D794,Setup!$E$15:$E$79,Setup!$F$15:$F$79),"Miscellaneous"))</f>
        <v/>
      </c>
      <c r="I794" t="str">
        <f>IF(A794="","",IFERROR(_xlfn.XLOOKUP(D794,Setup!$E$15:$E$79,Setup!$G$15:$G$79),"Uncategorized"))</f>
        <v/>
      </c>
      <c r="J794" t="str">
        <f t="shared" si="61"/>
        <v/>
      </c>
      <c r="K794" s="4" t="str">
        <f t="shared" si="62"/>
        <v/>
      </c>
      <c r="L794" s="47">
        <f t="shared" si="63"/>
        <v>0</v>
      </c>
      <c r="M794" s="47">
        <f t="shared" si="64"/>
        <v>0</v>
      </c>
      <c r="N794" t="str">
        <f>IF(A794="","",IF(D794="Category Pending","Needs categorization",IF(COUNTIFS($A$2:A794,A794,$B$2:B794,B794,$E$2:E794,E794)&gt;1,"Possible duplicate","")))</f>
        <v/>
      </c>
    </row>
    <row r="795" spans="3:14" x14ac:dyDescent="0.3">
      <c r="C795" s="16"/>
      <c r="G795" s="5" t="str">
        <f t="shared" si="60"/>
        <v/>
      </c>
      <c r="H795" t="str">
        <f>IF(A795="","",IFERROR(_xlfn.XLOOKUP(D795,Setup!$E$15:$E$79,Setup!$F$15:$F$79),"Miscellaneous"))</f>
        <v/>
      </c>
      <c r="I795" t="str">
        <f>IF(A795="","",IFERROR(_xlfn.XLOOKUP(D795,Setup!$E$15:$E$79,Setup!$G$15:$G$79),"Uncategorized"))</f>
        <v/>
      </c>
      <c r="J795" t="str">
        <f t="shared" si="61"/>
        <v/>
      </c>
      <c r="K795" s="4" t="str">
        <f t="shared" si="62"/>
        <v/>
      </c>
      <c r="L795" s="47">
        <f t="shared" si="63"/>
        <v>0</v>
      </c>
      <c r="M795" s="47">
        <f t="shared" si="64"/>
        <v>0</v>
      </c>
      <c r="N795" t="str">
        <f>IF(A795="","",IF(D795="Category Pending","Needs categorization",IF(COUNTIFS($A$2:A795,A795,$B$2:B795,B795,$E$2:E795,E795)&gt;1,"Possible duplicate","")))</f>
        <v/>
      </c>
    </row>
    <row r="796" spans="3:14" x14ac:dyDescent="0.3">
      <c r="C796" s="16"/>
      <c r="G796" s="5" t="str">
        <f t="shared" si="60"/>
        <v/>
      </c>
      <c r="H796" t="str">
        <f>IF(A796="","",IFERROR(_xlfn.XLOOKUP(D796,Setup!$E$15:$E$79,Setup!$F$15:$F$79),"Miscellaneous"))</f>
        <v/>
      </c>
      <c r="I796" t="str">
        <f>IF(A796="","",IFERROR(_xlfn.XLOOKUP(D796,Setup!$E$15:$E$79,Setup!$G$15:$G$79),"Uncategorized"))</f>
        <v/>
      </c>
      <c r="J796" t="str">
        <f t="shared" si="61"/>
        <v/>
      </c>
      <c r="K796" s="4" t="str">
        <f t="shared" si="62"/>
        <v/>
      </c>
      <c r="L796" s="47">
        <f t="shared" si="63"/>
        <v>0</v>
      </c>
      <c r="M796" s="47">
        <f t="shared" si="64"/>
        <v>0</v>
      </c>
      <c r="N796" t="str">
        <f>IF(A796="","",IF(D796="Category Pending","Needs categorization",IF(COUNTIFS($A$2:A796,A796,$B$2:B796,B796,$E$2:E796,E796)&gt;1,"Possible duplicate","")))</f>
        <v/>
      </c>
    </row>
    <row r="797" spans="3:14" x14ac:dyDescent="0.3">
      <c r="C797" s="16"/>
      <c r="G797" s="5" t="str">
        <f t="shared" si="60"/>
        <v/>
      </c>
      <c r="H797" t="str">
        <f>IF(A797="","",IFERROR(_xlfn.XLOOKUP(D797,Setup!$E$15:$E$79,Setup!$F$15:$F$79),"Miscellaneous"))</f>
        <v/>
      </c>
      <c r="I797" t="str">
        <f>IF(A797="","",IFERROR(_xlfn.XLOOKUP(D797,Setup!$E$15:$E$79,Setup!$G$15:$G$79),"Uncategorized"))</f>
        <v/>
      </c>
      <c r="J797" t="str">
        <f t="shared" si="61"/>
        <v/>
      </c>
      <c r="K797" s="4" t="str">
        <f t="shared" si="62"/>
        <v/>
      </c>
      <c r="L797" s="47">
        <f t="shared" si="63"/>
        <v>0</v>
      </c>
      <c r="M797" s="47">
        <f t="shared" si="64"/>
        <v>0</v>
      </c>
      <c r="N797" t="str">
        <f>IF(A797="","",IF(D797="Category Pending","Needs categorization",IF(COUNTIFS($A$2:A797,A797,$B$2:B797,B797,$E$2:E797,E797)&gt;1,"Possible duplicate","")))</f>
        <v/>
      </c>
    </row>
    <row r="798" spans="3:14" x14ac:dyDescent="0.3">
      <c r="C798" s="16"/>
      <c r="G798" s="5" t="str">
        <f t="shared" si="60"/>
        <v/>
      </c>
      <c r="H798" t="str">
        <f>IF(A798="","",IFERROR(_xlfn.XLOOKUP(D798,Setup!$E$15:$E$79,Setup!$F$15:$F$79),"Miscellaneous"))</f>
        <v/>
      </c>
      <c r="I798" t="str">
        <f>IF(A798="","",IFERROR(_xlfn.XLOOKUP(D798,Setup!$E$15:$E$79,Setup!$G$15:$G$79),"Uncategorized"))</f>
        <v/>
      </c>
      <c r="J798" t="str">
        <f t="shared" si="61"/>
        <v/>
      </c>
      <c r="K798" s="4" t="str">
        <f t="shared" si="62"/>
        <v/>
      </c>
      <c r="L798" s="47">
        <f t="shared" si="63"/>
        <v>0</v>
      </c>
      <c r="M798" s="47">
        <f t="shared" si="64"/>
        <v>0</v>
      </c>
      <c r="N798" t="str">
        <f>IF(A798="","",IF(D798="Category Pending","Needs categorization",IF(COUNTIFS($A$2:A798,A798,$B$2:B798,B798,$E$2:E798,E798)&gt;1,"Possible duplicate","")))</f>
        <v/>
      </c>
    </row>
    <row r="799" spans="3:14" x14ac:dyDescent="0.3">
      <c r="C799" s="16"/>
      <c r="G799" s="5" t="str">
        <f t="shared" si="60"/>
        <v/>
      </c>
      <c r="H799" t="str">
        <f>IF(A799="","",IFERROR(_xlfn.XLOOKUP(D799,Setup!$E$15:$E$79,Setup!$F$15:$F$79),"Miscellaneous"))</f>
        <v/>
      </c>
      <c r="I799" t="str">
        <f>IF(A799="","",IFERROR(_xlfn.XLOOKUP(D799,Setup!$E$15:$E$79,Setup!$G$15:$G$79),"Uncategorized"))</f>
        <v/>
      </c>
      <c r="J799" t="str">
        <f t="shared" si="61"/>
        <v/>
      </c>
      <c r="K799" s="4" t="str">
        <f t="shared" si="62"/>
        <v/>
      </c>
      <c r="L799" s="47">
        <f t="shared" si="63"/>
        <v>0</v>
      </c>
      <c r="M799" s="47">
        <f t="shared" si="64"/>
        <v>0</v>
      </c>
      <c r="N799" t="str">
        <f>IF(A799="","",IF(D799="Category Pending","Needs categorization",IF(COUNTIFS($A$2:A799,A799,$B$2:B799,B799,$E$2:E799,E799)&gt;1,"Possible duplicate","")))</f>
        <v/>
      </c>
    </row>
    <row r="800" spans="3:14" x14ac:dyDescent="0.3">
      <c r="C800" s="16"/>
      <c r="G800" s="5" t="str">
        <f t="shared" si="60"/>
        <v/>
      </c>
      <c r="H800" t="str">
        <f>IF(A800="","",IFERROR(_xlfn.XLOOKUP(D800,Setup!$E$15:$E$79,Setup!$F$15:$F$79),"Miscellaneous"))</f>
        <v/>
      </c>
      <c r="I800" t="str">
        <f>IF(A800="","",IFERROR(_xlfn.XLOOKUP(D800,Setup!$E$15:$E$79,Setup!$G$15:$G$79),"Uncategorized"))</f>
        <v/>
      </c>
      <c r="J800" t="str">
        <f t="shared" si="61"/>
        <v/>
      </c>
      <c r="K800" s="4" t="str">
        <f t="shared" si="62"/>
        <v/>
      </c>
      <c r="L800" s="47">
        <f t="shared" si="63"/>
        <v>0</v>
      </c>
      <c r="M800" s="47">
        <f t="shared" si="64"/>
        <v>0</v>
      </c>
      <c r="N800" t="str">
        <f>IF(A800="","",IF(D800="Category Pending","Needs categorization",IF(COUNTIFS($A$2:A800,A800,$B$2:B800,B800,$E$2:E800,E800)&gt;1,"Possible duplicate","")))</f>
        <v/>
      </c>
    </row>
    <row r="801" spans="3:14" x14ac:dyDescent="0.3">
      <c r="C801" s="16"/>
      <c r="G801" s="5" t="str">
        <f t="shared" ref="G801:G864" si="65">IF(A801="","","Checking")</f>
        <v/>
      </c>
      <c r="H801" t="str">
        <f>IF(A801="","",IFERROR(_xlfn.XLOOKUP(D801,Setup!$E$15:$E$79,Setup!$F$15:$F$79),"Miscellaneous"))</f>
        <v/>
      </c>
      <c r="I801" t="str">
        <f>IF(A801="","",IFERROR(_xlfn.XLOOKUP(D801,Setup!$E$15:$E$79,Setup!$G$15:$G$79),"Uncategorized"))</f>
        <v/>
      </c>
      <c r="J801" t="str">
        <f t="shared" ref="J801:J864" si="66">IF(A801="","",IF(OR(H801="Transfers",H801="Income",D801="Transfer",D801="Category Pending"),"No","Yes"))</f>
        <v/>
      </c>
      <c r="K801" s="4" t="str">
        <f t="shared" ref="K801:K864" si="67">IF(A801="","",IF(A801&gt;=46232,TEXT(DATE(YEAR(A801),MONTH(A801)+1,1),"mmmm yyyy"),TEXT(DATE(YEAR(A801),MONTH(A801),1),"mmmm yyyy")))</f>
        <v/>
      </c>
      <c r="L801" s="47">
        <f t="shared" ref="L801:L864" si="68">IF(AND(J801="Yes",E801&lt;0),-E801,0)</f>
        <v>0</v>
      </c>
      <c r="M801" s="47">
        <f t="shared" ref="M801:M864" si="69">IF(AND(J801="Yes",E801&gt;0),E801,0)</f>
        <v>0</v>
      </c>
      <c r="N801" t="str">
        <f>IF(A801="","",IF(D801="Category Pending","Needs categorization",IF(COUNTIFS($A$2:A801,A801,$B$2:B801,B801,$E$2:E801,E801)&gt;1,"Possible duplicate","")))</f>
        <v/>
      </c>
    </row>
    <row r="802" spans="3:14" x14ac:dyDescent="0.3">
      <c r="C802" s="16"/>
      <c r="G802" s="5" t="str">
        <f t="shared" si="65"/>
        <v/>
      </c>
      <c r="H802" t="str">
        <f>IF(A802="","",IFERROR(_xlfn.XLOOKUP(D802,Setup!$E$15:$E$79,Setup!$F$15:$F$79),"Miscellaneous"))</f>
        <v/>
      </c>
      <c r="I802" t="str">
        <f>IF(A802="","",IFERROR(_xlfn.XLOOKUP(D802,Setup!$E$15:$E$79,Setup!$G$15:$G$79),"Uncategorized"))</f>
        <v/>
      </c>
      <c r="J802" t="str">
        <f t="shared" si="66"/>
        <v/>
      </c>
      <c r="K802" s="4" t="str">
        <f t="shared" si="67"/>
        <v/>
      </c>
      <c r="L802" s="47">
        <f t="shared" si="68"/>
        <v>0</v>
      </c>
      <c r="M802" s="47">
        <f t="shared" si="69"/>
        <v>0</v>
      </c>
      <c r="N802" t="str">
        <f>IF(A802="","",IF(D802="Category Pending","Needs categorization",IF(COUNTIFS($A$2:A802,A802,$B$2:B802,B802,$E$2:E802,E802)&gt;1,"Possible duplicate","")))</f>
        <v/>
      </c>
    </row>
    <row r="803" spans="3:14" x14ac:dyDescent="0.3">
      <c r="C803" s="16"/>
      <c r="G803" s="5" t="str">
        <f t="shared" si="65"/>
        <v/>
      </c>
      <c r="H803" t="str">
        <f>IF(A803="","",IFERROR(_xlfn.XLOOKUP(D803,Setup!$E$15:$E$79,Setup!$F$15:$F$79),"Miscellaneous"))</f>
        <v/>
      </c>
      <c r="I803" t="str">
        <f>IF(A803="","",IFERROR(_xlfn.XLOOKUP(D803,Setup!$E$15:$E$79,Setup!$G$15:$G$79),"Uncategorized"))</f>
        <v/>
      </c>
      <c r="J803" t="str">
        <f t="shared" si="66"/>
        <v/>
      </c>
      <c r="K803" s="4" t="str">
        <f t="shared" si="67"/>
        <v/>
      </c>
      <c r="L803" s="47">
        <f t="shared" si="68"/>
        <v>0</v>
      </c>
      <c r="M803" s="47">
        <f t="shared" si="69"/>
        <v>0</v>
      </c>
      <c r="N803" t="str">
        <f>IF(A803="","",IF(D803="Category Pending","Needs categorization",IF(COUNTIFS($A$2:A803,A803,$B$2:B803,B803,$E$2:E803,E803)&gt;1,"Possible duplicate","")))</f>
        <v/>
      </c>
    </row>
    <row r="804" spans="3:14" x14ac:dyDescent="0.3">
      <c r="C804" s="16"/>
      <c r="G804" s="5" t="str">
        <f t="shared" si="65"/>
        <v/>
      </c>
      <c r="H804" t="str">
        <f>IF(A804="","",IFERROR(_xlfn.XLOOKUP(D804,Setup!$E$15:$E$79,Setup!$F$15:$F$79),"Miscellaneous"))</f>
        <v/>
      </c>
      <c r="I804" t="str">
        <f>IF(A804="","",IFERROR(_xlfn.XLOOKUP(D804,Setup!$E$15:$E$79,Setup!$G$15:$G$79),"Uncategorized"))</f>
        <v/>
      </c>
      <c r="J804" t="str">
        <f t="shared" si="66"/>
        <v/>
      </c>
      <c r="K804" s="4" t="str">
        <f t="shared" si="67"/>
        <v/>
      </c>
      <c r="L804" s="47">
        <f t="shared" si="68"/>
        <v>0</v>
      </c>
      <c r="M804" s="47">
        <f t="shared" si="69"/>
        <v>0</v>
      </c>
      <c r="N804" t="str">
        <f>IF(A804="","",IF(D804="Category Pending","Needs categorization",IF(COUNTIFS($A$2:A804,A804,$B$2:B804,B804,$E$2:E804,E804)&gt;1,"Possible duplicate","")))</f>
        <v/>
      </c>
    </row>
    <row r="805" spans="3:14" x14ac:dyDescent="0.3">
      <c r="C805" s="16"/>
      <c r="G805" s="5" t="str">
        <f t="shared" si="65"/>
        <v/>
      </c>
      <c r="H805" t="str">
        <f>IF(A805="","",IFERROR(_xlfn.XLOOKUP(D805,Setup!$E$15:$E$79,Setup!$F$15:$F$79),"Miscellaneous"))</f>
        <v/>
      </c>
      <c r="I805" t="str">
        <f>IF(A805="","",IFERROR(_xlfn.XLOOKUP(D805,Setup!$E$15:$E$79,Setup!$G$15:$G$79),"Uncategorized"))</f>
        <v/>
      </c>
      <c r="J805" t="str">
        <f t="shared" si="66"/>
        <v/>
      </c>
      <c r="K805" s="4" t="str">
        <f t="shared" si="67"/>
        <v/>
      </c>
      <c r="L805" s="47">
        <f t="shared" si="68"/>
        <v>0</v>
      </c>
      <c r="M805" s="47">
        <f t="shared" si="69"/>
        <v>0</v>
      </c>
      <c r="N805" t="str">
        <f>IF(A805="","",IF(D805="Category Pending","Needs categorization",IF(COUNTIFS($A$2:A805,A805,$B$2:B805,B805,$E$2:E805,E805)&gt;1,"Possible duplicate","")))</f>
        <v/>
      </c>
    </row>
    <row r="806" spans="3:14" x14ac:dyDescent="0.3">
      <c r="C806" s="16"/>
      <c r="G806" s="5" t="str">
        <f t="shared" si="65"/>
        <v/>
      </c>
      <c r="H806" t="str">
        <f>IF(A806="","",IFERROR(_xlfn.XLOOKUP(D806,Setup!$E$15:$E$79,Setup!$F$15:$F$79),"Miscellaneous"))</f>
        <v/>
      </c>
      <c r="I806" t="str">
        <f>IF(A806="","",IFERROR(_xlfn.XLOOKUP(D806,Setup!$E$15:$E$79,Setup!$G$15:$G$79),"Uncategorized"))</f>
        <v/>
      </c>
      <c r="J806" t="str">
        <f t="shared" si="66"/>
        <v/>
      </c>
      <c r="K806" s="4" t="str">
        <f t="shared" si="67"/>
        <v/>
      </c>
      <c r="L806" s="47">
        <f t="shared" si="68"/>
        <v>0</v>
      </c>
      <c r="M806" s="47">
        <f t="shared" si="69"/>
        <v>0</v>
      </c>
      <c r="N806" t="str">
        <f>IF(A806="","",IF(D806="Category Pending","Needs categorization",IF(COUNTIFS($A$2:A806,A806,$B$2:B806,B806,$E$2:E806,E806)&gt;1,"Possible duplicate","")))</f>
        <v/>
      </c>
    </row>
    <row r="807" spans="3:14" x14ac:dyDescent="0.3">
      <c r="C807" s="16"/>
      <c r="G807" s="5" t="str">
        <f t="shared" si="65"/>
        <v/>
      </c>
      <c r="H807" t="str">
        <f>IF(A807="","",IFERROR(_xlfn.XLOOKUP(D807,Setup!$E$15:$E$79,Setup!$F$15:$F$79),"Miscellaneous"))</f>
        <v/>
      </c>
      <c r="I807" t="str">
        <f>IF(A807="","",IFERROR(_xlfn.XLOOKUP(D807,Setup!$E$15:$E$79,Setup!$G$15:$G$79),"Uncategorized"))</f>
        <v/>
      </c>
      <c r="J807" t="str">
        <f t="shared" si="66"/>
        <v/>
      </c>
      <c r="K807" s="4" t="str">
        <f t="shared" si="67"/>
        <v/>
      </c>
      <c r="L807" s="47">
        <f t="shared" si="68"/>
        <v>0</v>
      </c>
      <c r="M807" s="47">
        <f t="shared" si="69"/>
        <v>0</v>
      </c>
      <c r="N807" t="str">
        <f>IF(A807="","",IF(D807="Category Pending","Needs categorization",IF(COUNTIFS($A$2:A807,A807,$B$2:B807,B807,$E$2:E807,E807)&gt;1,"Possible duplicate","")))</f>
        <v/>
      </c>
    </row>
    <row r="808" spans="3:14" x14ac:dyDescent="0.3">
      <c r="C808" s="16"/>
      <c r="G808" s="5" t="str">
        <f t="shared" si="65"/>
        <v/>
      </c>
      <c r="H808" t="str">
        <f>IF(A808="","",IFERROR(_xlfn.XLOOKUP(D808,Setup!$E$15:$E$79,Setup!$F$15:$F$79),"Miscellaneous"))</f>
        <v/>
      </c>
      <c r="I808" t="str">
        <f>IF(A808="","",IFERROR(_xlfn.XLOOKUP(D808,Setup!$E$15:$E$79,Setup!$G$15:$G$79),"Uncategorized"))</f>
        <v/>
      </c>
      <c r="J808" t="str">
        <f t="shared" si="66"/>
        <v/>
      </c>
      <c r="K808" s="4" t="str">
        <f t="shared" si="67"/>
        <v/>
      </c>
      <c r="L808" s="47">
        <f t="shared" si="68"/>
        <v>0</v>
      </c>
      <c r="M808" s="47">
        <f t="shared" si="69"/>
        <v>0</v>
      </c>
      <c r="N808" t="str">
        <f>IF(A808="","",IF(D808="Category Pending","Needs categorization",IF(COUNTIFS($A$2:A808,A808,$B$2:B808,B808,$E$2:E808,E808)&gt;1,"Possible duplicate","")))</f>
        <v/>
      </c>
    </row>
    <row r="809" spans="3:14" x14ac:dyDescent="0.3">
      <c r="C809" s="16"/>
      <c r="G809" s="5" t="str">
        <f t="shared" si="65"/>
        <v/>
      </c>
      <c r="H809" t="str">
        <f>IF(A809="","",IFERROR(_xlfn.XLOOKUP(D809,Setup!$E$15:$E$79,Setup!$F$15:$F$79),"Miscellaneous"))</f>
        <v/>
      </c>
      <c r="I809" t="str">
        <f>IF(A809="","",IFERROR(_xlfn.XLOOKUP(D809,Setup!$E$15:$E$79,Setup!$G$15:$G$79),"Uncategorized"))</f>
        <v/>
      </c>
      <c r="J809" t="str">
        <f t="shared" si="66"/>
        <v/>
      </c>
      <c r="K809" s="4" t="str">
        <f t="shared" si="67"/>
        <v/>
      </c>
      <c r="L809" s="47">
        <f t="shared" si="68"/>
        <v>0</v>
      </c>
      <c r="M809" s="47">
        <f t="shared" si="69"/>
        <v>0</v>
      </c>
      <c r="N809" t="str">
        <f>IF(A809="","",IF(D809="Category Pending","Needs categorization",IF(COUNTIFS($A$2:A809,A809,$B$2:B809,B809,$E$2:E809,E809)&gt;1,"Possible duplicate","")))</f>
        <v/>
      </c>
    </row>
    <row r="810" spans="3:14" x14ac:dyDescent="0.3">
      <c r="C810" s="16"/>
      <c r="G810" s="5" t="str">
        <f t="shared" si="65"/>
        <v/>
      </c>
      <c r="H810" t="str">
        <f>IF(A810="","",IFERROR(_xlfn.XLOOKUP(D810,Setup!$E$15:$E$79,Setup!$F$15:$F$79),"Miscellaneous"))</f>
        <v/>
      </c>
      <c r="I810" t="str">
        <f>IF(A810="","",IFERROR(_xlfn.XLOOKUP(D810,Setup!$E$15:$E$79,Setup!$G$15:$G$79),"Uncategorized"))</f>
        <v/>
      </c>
      <c r="J810" t="str">
        <f t="shared" si="66"/>
        <v/>
      </c>
      <c r="K810" s="4" t="str">
        <f t="shared" si="67"/>
        <v/>
      </c>
      <c r="L810" s="47">
        <f t="shared" si="68"/>
        <v>0</v>
      </c>
      <c r="M810" s="47">
        <f t="shared" si="69"/>
        <v>0</v>
      </c>
      <c r="N810" t="str">
        <f>IF(A810="","",IF(D810="Category Pending","Needs categorization",IF(COUNTIFS($A$2:A810,A810,$B$2:B810,B810,$E$2:E810,E810)&gt;1,"Possible duplicate","")))</f>
        <v/>
      </c>
    </row>
    <row r="811" spans="3:14" x14ac:dyDescent="0.3">
      <c r="C811" s="16"/>
      <c r="G811" s="5" t="str">
        <f t="shared" si="65"/>
        <v/>
      </c>
      <c r="H811" t="str">
        <f>IF(A811="","",IFERROR(_xlfn.XLOOKUP(D811,Setup!$E$15:$E$79,Setup!$F$15:$F$79),"Miscellaneous"))</f>
        <v/>
      </c>
      <c r="I811" t="str">
        <f>IF(A811="","",IFERROR(_xlfn.XLOOKUP(D811,Setup!$E$15:$E$79,Setup!$G$15:$G$79),"Uncategorized"))</f>
        <v/>
      </c>
      <c r="J811" t="str">
        <f t="shared" si="66"/>
        <v/>
      </c>
      <c r="K811" s="4" t="str">
        <f t="shared" si="67"/>
        <v/>
      </c>
      <c r="L811" s="47">
        <f t="shared" si="68"/>
        <v>0</v>
      </c>
      <c r="M811" s="47">
        <f t="shared" si="69"/>
        <v>0</v>
      </c>
      <c r="N811" t="str">
        <f>IF(A811="","",IF(D811="Category Pending","Needs categorization",IF(COUNTIFS($A$2:A811,A811,$B$2:B811,B811,$E$2:E811,E811)&gt;1,"Possible duplicate","")))</f>
        <v/>
      </c>
    </row>
    <row r="812" spans="3:14" x14ac:dyDescent="0.3">
      <c r="C812" s="16"/>
      <c r="G812" s="5" t="str">
        <f t="shared" si="65"/>
        <v/>
      </c>
      <c r="H812" t="str">
        <f>IF(A812="","",IFERROR(_xlfn.XLOOKUP(D812,Setup!$E$15:$E$79,Setup!$F$15:$F$79),"Miscellaneous"))</f>
        <v/>
      </c>
      <c r="I812" t="str">
        <f>IF(A812="","",IFERROR(_xlfn.XLOOKUP(D812,Setup!$E$15:$E$79,Setup!$G$15:$G$79),"Uncategorized"))</f>
        <v/>
      </c>
      <c r="J812" t="str">
        <f t="shared" si="66"/>
        <v/>
      </c>
      <c r="K812" s="4" t="str">
        <f t="shared" si="67"/>
        <v/>
      </c>
      <c r="L812" s="47">
        <f t="shared" si="68"/>
        <v>0</v>
      </c>
      <c r="M812" s="47">
        <f t="shared" si="69"/>
        <v>0</v>
      </c>
      <c r="N812" t="str">
        <f>IF(A812="","",IF(D812="Category Pending","Needs categorization",IF(COUNTIFS($A$2:A812,A812,$B$2:B812,B812,$E$2:E812,E812)&gt;1,"Possible duplicate","")))</f>
        <v/>
      </c>
    </row>
    <row r="813" spans="3:14" x14ac:dyDescent="0.3">
      <c r="C813" s="16"/>
      <c r="G813" s="5" t="str">
        <f t="shared" si="65"/>
        <v/>
      </c>
      <c r="H813" t="str">
        <f>IF(A813="","",IFERROR(_xlfn.XLOOKUP(D813,Setup!$E$15:$E$79,Setup!$F$15:$F$79),"Miscellaneous"))</f>
        <v/>
      </c>
      <c r="I813" t="str">
        <f>IF(A813="","",IFERROR(_xlfn.XLOOKUP(D813,Setup!$E$15:$E$79,Setup!$G$15:$G$79),"Uncategorized"))</f>
        <v/>
      </c>
      <c r="J813" t="str">
        <f t="shared" si="66"/>
        <v/>
      </c>
      <c r="K813" s="4" t="str">
        <f t="shared" si="67"/>
        <v/>
      </c>
      <c r="L813" s="47">
        <f t="shared" si="68"/>
        <v>0</v>
      </c>
      <c r="M813" s="47">
        <f t="shared" si="69"/>
        <v>0</v>
      </c>
      <c r="N813" t="str">
        <f>IF(A813="","",IF(D813="Category Pending","Needs categorization",IF(COUNTIFS($A$2:A813,A813,$B$2:B813,B813,$E$2:E813,E813)&gt;1,"Possible duplicate","")))</f>
        <v/>
      </c>
    </row>
    <row r="814" spans="3:14" x14ac:dyDescent="0.3">
      <c r="C814" s="16"/>
      <c r="G814" s="5" t="str">
        <f t="shared" si="65"/>
        <v/>
      </c>
      <c r="H814" t="str">
        <f>IF(A814="","",IFERROR(_xlfn.XLOOKUP(D814,Setup!$E$15:$E$79,Setup!$F$15:$F$79),"Miscellaneous"))</f>
        <v/>
      </c>
      <c r="I814" t="str">
        <f>IF(A814="","",IFERROR(_xlfn.XLOOKUP(D814,Setup!$E$15:$E$79,Setup!$G$15:$G$79),"Uncategorized"))</f>
        <v/>
      </c>
      <c r="J814" t="str">
        <f t="shared" si="66"/>
        <v/>
      </c>
      <c r="K814" s="4" t="str">
        <f t="shared" si="67"/>
        <v/>
      </c>
      <c r="L814" s="47">
        <f t="shared" si="68"/>
        <v>0</v>
      </c>
      <c r="M814" s="47">
        <f t="shared" si="69"/>
        <v>0</v>
      </c>
      <c r="N814" t="str">
        <f>IF(A814="","",IF(D814="Category Pending","Needs categorization",IF(COUNTIFS($A$2:A814,A814,$B$2:B814,B814,$E$2:E814,E814)&gt;1,"Possible duplicate","")))</f>
        <v/>
      </c>
    </row>
    <row r="815" spans="3:14" x14ac:dyDescent="0.3">
      <c r="C815" s="16"/>
      <c r="G815" s="5" t="str">
        <f t="shared" si="65"/>
        <v/>
      </c>
      <c r="H815" t="str">
        <f>IF(A815="","",IFERROR(_xlfn.XLOOKUP(D815,Setup!$E$15:$E$79,Setup!$F$15:$F$79),"Miscellaneous"))</f>
        <v/>
      </c>
      <c r="I815" t="str">
        <f>IF(A815="","",IFERROR(_xlfn.XLOOKUP(D815,Setup!$E$15:$E$79,Setup!$G$15:$G$79),"Uncategorized"))</f>
        <v/>
      </c>
      <c r="J815" t="str">
        <f t="shared" si="66"/>
        <v/>
      </c>
      <c r="K815" s="4" t="str">
        <f t="shared" si="67"/>
        <v/>
      </c>
      <c r="L815" s="47">
        <f t="shared" si="68"/>
        <v>0</v>
      </c>
      <c r="M815" s="47">
        <f t="shared" si="69"/>
        <v>0</v>
      </c>
      <c r="N815" t="str">
        <f>IF(A815="","",IF(D815="Category Pending","Needs categorization",IF(COUNTIFS($A$2:A815,A815,$B$2:B815,B815,$E$2:E815,E815)&gt;1,"Possible duplicate","")))</f>
        <v/>
      </c>
    </row>
    <row r="816" spans="3:14" x14ac:dyDescent="0.3">
      <c r="C816" s="16"/>
      <c r="G816" s="5" t="str">
        <f t="shared" si="65"/>
        <v/>
      </c>
      <c r="H816" t="str">
        <f>IF(A816="","",IFERROR(_xlfn.XLOOKUP(D816,Setup!$E$15:$E$79,Setup!$F$15:$F$79),"Miscellaneous"))</f>
        <v/>
      </c>
      <c r="I816" t="str">
        <f>IF(A816="","",IFERROR(_xlfn.XLOOKUP(D816,Setup!$E$15:$E$79,Setup!$G$15:$G$79),"Uncategorized"))</f>
        <v/>
      </c>
      <c r="J816" t="str">
        <f t="shared" si="66"/>
        <v/>
      </c>
      <c r="K816" s="4" t="str">
        <f t="shared" si="67"/>
        <v/>
      </c>
      <c r="L816" s="47">
        <f t="shared" si="68"/>
        <v>0</v>
      </c>
      <c r="M816" s="47">
        <f t="shared" si="69"/>
        <v>0</v>
      </c>
      <c r="N816" t="str">
        <f>IF(A816="","",IF(D816="Category Pending","Needs categorization",IF(COUNTIFS($A$2:A816,A816,$B$2:B816,B816,$E$2:E816,E816)&gt;1,"Possible duplicate","")))</f>
        <v/>
      </c>
    </row>
    <row r="817" spans="3:14" x14ac:dyDescent="0.3">
      <c r="C817" s="16"/>
      <c r="G817" s="5" t="str">
        <f t="shared" si="65"/>
        <v/>
      </c>
      <c r="H817" t="str">
        <f>IF(A817="","",IFERROR(_xlfn.XLOOKUP(D817,Setup!$E$15:$E$79,Setup!$F$15:$F$79),"Miscellaneous"))</f>
        <v/>
      </c>
      <c r="I817" t="str">
        <f>IF(A817="","",IFERROR(_xlfn.XLOOKUP(D817,Setup!$E$15:$E$79,Setup!$G$15:$G$79),"Uncategorized"))</f>
        <v/>
      </c>
      <c r="J817" t="str">
        <f t="shared" si="66"/>
        <v/>
      </c>
      <c r="K817" s="4" t="str">
        <f t="shared" si="67"/>
        <v/>
      </c>
      <c r="L817" s="47">
        <f t="shared" si="68"/>
        <v>0</v>
      </c>
      <c r="M817" s="47">
        <f t="shared" si="69"/>
        <v>0</v>
      </c>
      <c r="N817" t="str">
        <f>IF(A817="","",IF(D817="Category Pending","Needs categorization",IF(COUNTIFS($A$2:A817,A817,$B$2:B817,B817,$E$2:E817,E817)&gt;1,"Possible duplicate","")))</f>
        <v/>
      </c>
    </row>
    <row r="818" spans="3:14" x14ac:dyDescent="0.3">
      <c r="C818" s="16"/>
      <c r="G818" s="5" t="str">
        <f t="shared" si="65"/>
        <v/>
      </c>
      <c r="H818" t="str">
        <f>IF(A818="","",IFERROR(_xlfn.XLOOKUP(D818,Setup!$E$15:$E$79,Setup!$F$15:$F$79),"Miscellaneous"))</f>
        <v/>
      </c>
      <c r="I818" t="str">
        <f>IF(A818="","",IFERROR(_xlfn.XLOOKUP(D818,Setup!$E$15:$E$79,Setup!$G$15:$G$79),"Uncategorized"))</f>
        <v/>
      </c>
      <c r="J818" t="str">
        <f t="shared" si="66"/>
        <v/>
      </c>
      <c r="K818" s="4" t="str">
        <f t="shared" si="67"/>
        <v/>
      </c>
      <c r="L818" s="47">
        <f t="shared" si="68"/>
        <v>0</v>
      </c>
      <c r="M818" s="47">
        <f t="shared" si="69"/>
        <v>0</v>
      </c>
      <c r="N818" t="str">
        <f>IF(A818="","",IF(D818="Category Pending","Needs categorization",IF(COUNTIFS($A$2:A818,A818,$B$2:B818,B818,$E$2:E818,E818)&gt;1,"Possible duplicate","")))</f>
        <v/>
      </c>
    </row>
    <row r="819" spans="3:14" x14ac:dyDescent="0.3">
      <c r="C819" s="16"/>
      <c r="G819" s="5" t="str">
        <f t="shared" si="65"/>
        <v/>
      </c>
      <c r="H819" t="str">
        <f>IF(A819="","",IFERROR(_xlfn.XLOOKUP(D819,Setup!$E$15:$E$79,Setup!$F$15:$F$79),"Miscellaneous"))</f>
        <v/>
      </c>
      <c r="I819" t="str">
        <f>IF(A819="","",IFERROR(_xlfn.XLOOKUP(D819,Setup!$E$15:$E$79,Setup!$G$15:$G$79),"Uncategorized"))</f>
        <v/>
      </c>
      <c r="J819" t="str">
        <f t="shared" si="66"/>
        <v/>
      </c>
      <c r="K819" s="4" t="str">
        <f t="shared" si="67"/>
        <v/>
      </c>
      <c r="L819" s="47">
        <f t="shared" si="68"/>
        <v>0</v>
      </c>
      <c r="M819" s="47">
        <f t="shared" si="69"/>
        <v>0</v>
      </c>
      <c r="N819" t="str">
        <f>IF(A819="","",IF(D819="Category Pending","Needs categorization",IF(COUNTIFS($A$2:A819,A819,$B$2:B819,B819,$E$2:E819,E819)&gt;1,"Possible duplicate","")))</f>
        <v/>
      </c>
    </row>
    <row r="820" spans="3:14" x14ac:dyDescent="0.3">
      <c r="C820" s="16"/>
      <c r="G820" s="5" t="str">
        <f t="shared" si="65"/>
        <v/>
      </c>
      <c r="H820" t="str">
        <f>IF(A820="","",IFERROR(_xlfn.XLOOKUP(D820,Setup!$E$15:$E$79,Setup!$F$15:$F$79),"Miscellaneous"))</f>
        <v/>
      </c>
      <c r="I820" t="str">
        <f>IF(A820="","",IFERROR(_xlfn.XLOOKUP(D820,Setup!$E$15:$E$79,Setup!$G$15:$G$79),"Uncategorized"))</f>
        <v/>
      </c>
      <c r="J820" t="str">
        <f t="shared" si="66"/>
        <v/>
      </c>
      <c r="K820" s="4" t="str">
        <f t="shared" si="67"/>
        <v/>
      </c>
      <c r="L820" s="47">
        <f t="shared" si="68"/>
        <v>0</v>
      </c>
      <c r="M820" s="47">
        <f t="shared" si="69"/>
        <v>0</v>
      </c>
      <c r="N820" t="str">
        <f>IF(A820="","",IF(D820="Category Pending","Needs categorization",IF(COUNTIFS($A$2:A820,A820,$B$2:B820,B820,$E$2:E820,E820)&gt;1,"Possible duplicate","")))</f>
        <v/>
      </c>
    </row>
    <row r="821" spans="3:14" x14ac:dyDescent="0.3">
      <c r="C821" s="16"/>
      <c r="G821" s="5" t="str">
        <f t="shared" si="65"/>
        <v/>
      </c>
      <c r="H821" t="str">
        <f>IF(A821="","",IFERROR(_xlfn.XLOOKUP(D821,Setup!$E$15:$E$79,Setup!$F$15:$F$79),"Miscellaneous"))</f>
        <v/>
      </c>
      <c r="I821" t="str">
        <f>IF(A821="","",IFERROR(_xlfn.XLOOKUP(D821,Setup!$E$15:$E$79,Setup!$G$15:$G$79),"Uncategorized"))</f>
        <v/>
      </c>
      <c r="J821" t="str">
        <f t="shared" si="66"/>
        <v/>
      </c>
      <c r="K821" s="4" t="str">
        <f t="shared" si="67"/>
        <v/>
      </c>
      <c r="L821" s="47">
        <f t="shared" si="68"/>
        <v>0</v>
      </c>
      <c r="M821" s="47">
        <f t="shared" si="69"/>
        <v>0</v>
      </c>
      <c r="N821" t="str">
        <f>IF(A821="","",IF(D821="Category Pending","Needs categorization",IF(COUNTIFS($A$2:A821,A821,$B$2:B821,B821,$E$2:E821,E821)&gt;1,"Possible duplicate","")))</f>
        <v/>
      </c>
    </row>
    <row r="822" spans="3:14" x14ac:dyDescent="0.3">
      <c r="C822" s="16"/>
      <c r="G822" s="5" t="str">
        <f t="shared" si="65"/>
        <v/>
      </c>
      <c r="H822" t="str">
        <f>IF(A822="","",IFERROR(_xlfn.XLOOKUP(D822,Setup!$E$15:$E$79,Setup!$F$15:$F$79),"Miscellaneous"))</f>
        <v/>
      </c>
      <c r="I822" t="str">
        <f>IF(A822="","",IFERROR(_xlfn.XLOOKUP(D822,Setup!$E$15:$E$79,Setup!$G$15:$G$79),"Uncategorized"))</f>
        <v/>
      </c>
      <c r="J822" t="str">
        <f t="shared" si="66"/>
        <v/>
      </c>
      <c r="K822" s="4" t="str">
        <f t="shared" si="67"/>
        <v/>
      </c>
      <c r="L822" s="47">
        <f t="shared" si="68"/>
        <v>0</v>
      </c>
      <c r="M822" s="47">
        <f t="shared" si="69"/>
        <v>0</v>
      </c>
      <c r="N822" t="str">
        <f>IF(A822="","",IF(D822="Category Pending","Needs categorization",IF(COUNTIFS($A$2:A822,A822,$B$2:B822,B822,$E$2:E822,E822)&gt;1,"Possible duplicate","")))</f>
        <v/>
      </c>
    </row>
    <row r="823" spans="3:14" x14ac:dyDescent="0.3">
      <c r="C823" s="16"/>
      <c r="G823" s="5" t="str">
        <f t="shared" si="65"/>
        <v/>
      </c>
      <c r="H823" t="str">
        <f>IF(A823="","",IFERROR(_xlfn.XLOOKUP(D823,Setup!$E$15:$E$79,Setup!$F$15:$F$79),"Miscellaneous"))</f>
        <v/>
      </c>
      <c r="I823" t="str">
        <f>IF(A823="","",IFERROR(_xlfn.XLOOKUP(D823,Setup!$E$15:$E$79,Setup!$G$15:$G$79),"Uncategorized"))</f>
        <v/>
      </c>
      <c r="J823" t="str">
        <f t="shared" si="66"/>
        <v/>
      </c>
      <c r="K823" s="4" t="str">
        <f t="shared" si="67"/>
        <v/>
      </c>
      <c r="L823" s="47">
        <f t="shared" si="68"/>
        <v>0</v>
      </c>
      <c r="M823" s="47">
        <f t="shared" si="69"/>
        <v>0</v>
      </c>
      <c r="N823" t="str">
        <f>IF(A823="","",IF(D823="Category Pending","Needs categorization",IF(COUNTIFS($A$2:A823,A823,$B$2:B823,B823,$E$2:E823,E823)&gt;1,"Possible duplicate","")))</f>
        <v/>
      </c>
    </row>
    <row r="824" spans="3:14" x14ac:dyDescent="0.3">
      <c r="C824" s="16"/>
      <c r="G824" s="5" t="str">
        <f t="shared" si="65"/>
        <v/>
      </c>
      <c r="H824" t="str">
        <f>IF(A824="","",IFERROR(_xlfn.XLOOKUP(D824,Setup!$E$15:$E$79,Setup!$F$15:$F$79),"Miscellaneous"))</f>
        <v/>
      </c>
      <c r="I824" t="str">
        <f>IF(A824="","",IFERROR(_xlfn.XLOOKUP(D824,Setup!$E$15:$E$79,Setup!$G$15:$G$79),"Uncategorized"))</f>
        <v/>
      </c>
      <c r="J824" t="str">
        <f t="shared" si="66"/>
        <v/>
      </c>
      <c r="K824" s="4" t="str">
        <f t="shared" si="67"/>
        <v/>
      </c>
      <c r="L824" s="47">
        <f t="shared" si="68"/>
        <v>0</v>
      </c>
      <c r="M824" s="47">
        <f t="shared" si="69"/>
        <v>0</v>
      </c>
      <c r="N824" t="str">
        <f>IF(A824="","",IF(D824="Category Pending","Needs categorization",IF(COUNTIFS($A$2:A824,A824,$B$2:B824,B824,$E$2:E824,E824)&gt;1,"Possible duplicate","")))</f>
        <v/>
      </c>
    </row>
    <row r="825" spans="3:14" x14ac:dyDescent="0.3">
      <c r="C825" s="16"/>
      <c r="G825" s="5" t="str">
        <f t="shared" si="65"/>
        <v/>
      </c>
      <c r="H825" t="str">
        <f>IF(A825="","",IFERROR(_xlfn.XLOOKUP(D825,Setup!$E$15:$E$79,Setup!$F$15:$F$79),"Miscellaneous"))</f>
        <v/>
      </c>
      <c r="I825" t="str">
        <f>IF(A825="","",IFERROR(_xlfn.XLOOKUP(D825,Setup!$E$15:$E$79,Setup!$G$15:$G$79),"Uncategorized"))</f>
        <v/>
      </c>
      <c r="J825" t="str">
        <f t="shared" si="66"/>
        <v/>
      </c>
      <c r="K825" s="4" t="str">
        <f t="shared" si="67"/>
        <v/>
      </c>
      <c r="L825" s="47">
        <f t="shared" si="68"/>
        <v>0</v>
      </c>
      <c r="M825" s="47">
        <f t="shared" si="69"/>
        <v>0</v>
      </c>
      <c r="N825" t="str">
        <f>IF(A825="","",IF(D825="Category Pending","Needs categorization",IF(COUNTIFS($A$2:A825,A825,$B$2:B825,B825,$E$2:E825,E825)&gt;1,"Possible duplicate","")))</f>
        <v/>
      </c>
    </row>
    <row r="826" spans="3:14" x14ac:dyDescent="0.3">
      <c r="C826" s="16"/>
      <c r="G826" s="5" t="str">
        <f t="shared" si="65"/>
        <v/>
      </c>
      <c r="H826" t="str">
        <f>IF(A826="","",IFERROR(_xlfn.XLOOKUP(D826,Setup!$E$15:$E$79,Setup!$F$15:$F$79),"Miscellaneous"))</f>
        <v/>
      </c>
      <c r="I826" t="str">
        <f>IF(A826="","",IFERROR(_xlfn.XLOOKUP(D826,Setup!$E$15:$E$79,Setup!$G$15:$G$79),"Uncategorized"))</f>
        <v/>
      </c>
      <c r="J826" t="str">
        <f t="shared" si="66"/>
        <v/>
      </c>
      <c r="K826" s="4" t="str">
        <f t="shared" si="67"/>
        <v/>
      </c>
      <c r="L826" s="47">
        <f t="shared" si="68"/>
        <v>0</v>
      </c>
      <c r="M826" s="47">
        <f t="shared" si="69"/>
        <v>0</v>
      </c>
      <c r="N826" t="str">
        <f>IF(A826="","",IF(D826="Category Pending","Needs categorization",IF(COUNTIFS($A$2:A826,A826,$B$2:B826,B826,$E$2:E826,E826)&gt;1,"Possible duplicate","")))</f>
        <v/>
      </c>
    </row>
    <row r="827" spans="3:14" x14ac:dyDescent="0.3">
      <c r="C827" s="16"/>
      <c r="G827" s="5" t="str">
        <f t="shared" si="65"/>
        <v/>
      </c>
      <c r="H827" t="str">
        <f>IF(A827="","",IFERROR(_xlfn.XLOOKUP(D827,Setup!$E$15:$E$79,Setup!$F$15:$F$79),"Miscellaneous"))</f>
        <v/>
      </c>
      <c r="I827" t="str">
        <f>IF(A827="","",IFERROR(_xlfn.XLOOKUP(D827,Setup!$E$15:$E$79,Setup!$G$15:$G$79),"Uncategorized"))</f>
        <v/>
      </c>
      <c r="J827" t="str">
        <f t="shared" si="66"/>
        <v/>
      </c>
      <c r="K827" s="4" t="str">
        <f t="shared" si="67"/>
        <v/>
      </c>
      <c r="L827" s="47">
        <f t="shared" si="68"/>
        <v>0</v>
      </c>
      <c r="M827" s="47">
        <f t="shared" si="69"/>
        <v>0</v>
      </c>
      <c r="N827" t="str">
        <f>IF(A827="","",IF(D827="Category Pending","Needs categorization",IF(COUNTIFS($A$2:A827,A827,$B$2:B827,B827,$E$2:E827,E827)&gt;1,"Possible duplicate","")))</f>
        <v/>
      </c>
    </row>
    <row r="828" spans="3:14" x14ac:dyDescent="0.3">
      <c r="C828" s="16"/>
      <c r="G828" s="5" t="str">
        <f t="shared" si="65"/>
        <v/>
      </c>
      <c r="H828" t="str">
        <f>IF(A828="","",IFERROR(_xlfn.XLOOKUP(D828,Setup!$E$15:$E$79,Setup!$F$15:$F$79),"Miscellaneous"))</f>
        <v/>
      </c>
      <c r="I828" t="str">
        <f>IF(A828="","",IFERROR(_xlfn.XLOOKUP(D828,Setup!$E$15:$E$79,Setup!$G$15:$G$79),"Uncategorized"))</f>
        <v/>
      </c>
      <c r="J828" t="str">
        <f t="shared" si="66"/>
        <v/>
      </c>
      <c r="K828" s="4" t="str">
        <f t="shared" si="67"/>
        <v/>
      </c>
      <c r="L828" s="47">
        <f t="shared" si="68"/>
        <v>0</v>
      </c>
      <c r="M828" s="47">
        <f t="shared" si="69"/>
        <v>0</v>
      </c>
      <c r="N828" t="str">
        <f>IF(A828="","",IF(D828="Category Pending","Needs categorization",IF(COUNTIFS($A$2:A828,A828,$B$2:B828,B828,$E$2:E828,E828)&gt;1,"Possible duplicate","")))</f>
        <v/>
      </c>
    </row>
    <row r="829" spans="3:14" x14ac:dyDescent="0.3">
      <c r="C829" s="16"/>
      <c r="G829" s="5" t="str">
        <f t="shared" si="65"/>
        <v/>
      </c>
      <c r="H829" t="str">
        <f>IF(A829="","",IFERROR(_xlfn.XLOOKUP(D829,Setup!$E$15:$E$79,Setup!$F$15:$F$79),"Miscellaneous"))</f>
        <v/>
      </c>
      <c r="I829" t="str">
        <f>IF(A829="","",IFERROR(_xlfn.XLOOKUP(D829,Setup!$E$15:$E$79,Setup!$G$15:$G$79),"Uncategorized"))</f>
        <v/>
      </c>
      <c r="J829" t="str">
        <f t="shared" si="66"/>
        <v/>
      </c>
      <c r="K829" s="4" t="str">
        <f t="shared" si="67"/>
        <v/>
      </c>
      <c r="L829" s="47">
        <f t="shared" si="68"/>
        <v>0</v>
      </c>
      <c r="M829" s="47">
        <f t="shared" si="69"/>
        <v>0</v>
      </c>
      <c r="N829" t="str">
        <f>IF(A829="","",IF(D829="Category Pending","Needs categorization",IF(COUNTIFS($A$2:A829,A829,$B$2:B829,B829,$E$2:E829,E829)&gt;1,"Possible duplicate","")))</f>
        <v/>
      </c>
    </row>
    <row r="830" spans="3:14" x14ac:dyDescent="0.3">
      <c r="C830" s="16"/>
      <c r="G830" s="5" t="str">
        <f t="shared" si="65"/>
        <v/>
      </c>
      <c r="H830" t="str">
        <f>IF(A830="","",IFERROR(_xlfn.XLOOKUP(D830,Setup!$E$15:$E$79,Setup!$F$15:$F$79),"Miscellaneous"))</f>
        <v/>
      </c>
      <c r="I830" t="str">
        <f>IF(A830="","",IFERROR(_xlfn.XLOOKUP(D830,Setup!$E$15:$E$79,Setup!$G$15:$G$79),"Uncategorized"))</f>
        <v/>
      </c>
      <c r="J830" t="str">
        <f t="shared" si="66"/>
        <v/>
      </c>
      <c r="K830" s="4" t="str">
        <f t="shared" si="67"/>
        <v/>
      </c>
      <c r="L830" s="47">
        <f t="shared" si="68"/>
        <v>0</v>
      </c>
      <c r="M830" s="47">
        <f t="shared" si="69"/>
        <v>0</v>
      </c>
      <c r="N830" t="str">
        <f>IF(A830="","",IF(D830="Category Pending","Needs categorization",IF(COUNTIFS($A$2:A830,A830,$B$2:B830,B830,$E$2:E830,E830)&gt;1,"Possible duplicate","")))</f>
        <v/>
      </c>
    </row>
    <row r="831" spans="3:14" x14ac:dyDescent="0.3">
      <c r="C831" s="16"/>
      <c r="G831" s="5" t="str">
        <f t="shared" si="65"/>
        <v/>
      </c>
      <c r="H831" t="str">
        <f>IF(A831="","",IFERROR(_xlfn.XLOOKUP(D831,Setup!$E$15:$E$79,Setup!$F$15:$F$79),"Miscellaneous"))</f>
        <v/>
      </c>
      <c r="I831" t="str">
        <f>IF(A831="","",IFERROR(_xlfn.XLOOKUP(D831,Setup!$E$15:$E$79,Setup!$G$15:$G$79),"Uncategorized"))</f>
        <v/>
      </c>
      <c r="J831" t="str">
        <f t="shared" si="66"/>
        <v/>
      </c>
      <c r="K831" s="4" t="str">
        <f t="shared" si="67"/>
        <v/>
      </c>
      <c r="L831" s="47">
        <f t="shared" si="68"/>
        <v>0</v>
      </c>
      <c r="M831" s="47">
        <f t="shared" si="69"/>
        <v>0</v>
      </c>
      <c r="N831" t="str">
        <f>IF(A831="","",IF(D831="Category Pending","Needs categorization",IF(COUNTIFS($A$2:A831,A831,$B$2:B831,B831,$E$2:E831,E831)&gt;1,"Possible duplicate","")))</f>
        <v/>
      </c>
    </row>
    <row r="832" spans="3:14" x14ac:dyDescent="0.3">
      <c r="C832" s="16"/>
      <c r="G832" s="5" t="str">
        <f t="shared" si="65"/>
        <v/>
      </c>
      <c r="H832" t="str">
        <f>IF(A832="","",IFERROR(_xlfn.XLOOKUP(D832,Setup!$E$15:$E$79,Setup!$F$15:$F$79),"Miscellaneous"))</f>
        <v/>
      </c>
      <c r="I832" t="str">
        <f>IF(A832="","",IFERROR(_xlfn.XLOOKUP(D832,Setup!$E$15:$E$79,Setup!$G$15:$G$79),"Uncategorized"))</f>
        <v/>
      </c>
      <c r="J832" t="str">
        <f t="shared" si="66"/>
        <v/>
      </c>
      <c r="K832" s="4" t="str">
        <f t="shared" si="67"/>
        <v/>
      </c>
      <c r="L832" s="47">
        <f t="shared" si="68"/>
        <v>0</v>
      </c>
      <c r="M832" s="47">
        <f t="shared" si="69"/>
        <v>0</v>
      </c>
      <c r="N832" t="str">
        <f>IF(A832="","",IF(D832="Category Pending","Needs categorization",IF(COUNTIFS($A$2:A832,A832,$B$2:B832,B832,$E$2:E832,E832)&gt;1,"Possible duplicate","")))</f>
        <v/>
      </c>
    </row>
    <row r="833" spans="3:14" x14ac:dyDescent="0.3">
      <c r="C833" s="16"/>
      <c r="G833" s="5" t="str">
        <f t="shared" si="65"/>
        <v/>
      </c>
      <c r="H833" t="str">
        <f>IF(A833="","",IFERROR(_xlfn.XLOOKUP(D833,Setup!$E$15:$E$79,Setup!$F$15:$F$79),"Miscellaneous"))</f>
        <v/>
      </c>
      <c r="I833" t="str">
        <f>IF(A833="","",IFERROR(_xlfn.XLOOKUP(D833,Setup!$E$15:$E$79,Setup!$G$15:$G$79),"Uncategorized"))</f>
        <v/>
      </c>
      <c r="J833" t="str">
        <f t="shared" si="66"/>
        <v/>
      </c>
      <c r="K833" s="4" t="str">
        <f t="shared" si="67"/>
        <v/>
      </c>
      <c r="L833" s="47">
        <f t="shared" si="68"/>
        <v>0</v>
      </c>
      <c r="M833" s="47">
        <f t="shared" si="69"/>
        <v>0</v>
      </c>
      <c r="N833" t="str">
        <f>IF(A833="","",IF(D833="Category Pending","Needs categorization",IF(COUNTIFS($A$2:A833,A833,$B$2:B833,B833,$E$2:E833,E833)&gt;1,"Possible duplicate","")))</f>
        <v/>
      </c>
    </row>
    <row r="834" spans="3:14" x14ac:dyDescent="0.3">
      <c r="C834" s="16"/>
      <c r="G834" s="5" t="str">
        <f t="shared" si="65"/>
        <v/>
      </c>
      <c r="H834" t="str">
        <f>IF(A834="","",IFERROR(_xlfn.XLOOKUP(D834,Setup!$E$15:$E$79,Setup!$F$15:$F$79),"Miscellaneous"))</f>
        <v/>
      </c>
      <c r="I834" t="str">
        <f>IF(A834="","",IFERROR(_xlfn.XLOOKUP(D834,Setup!$E$15:$E$79,Setup!$G$15:$G$79),"Uncategorized"))</f>
        <v/>
      </c>
      <c r="J834" t="str">
        <f t="shared" si="66"/>
        <v/>
      </c>
      <c r="K834" s="4" t="str">
        <f t="shared" si="67"/>
        <v/>
      </c>
      <c r="L834" s="47">
        <f t="shared" si="68"/>
        <v>0</v>
      </c>
      <c r="M834" s="47">
        <f t="shared" si="69"/>
        <v>0</v>
      </c>
      <c r="N834" t="str">
        <f>IF(A834="","",IF(D834="Category Pending","Needs categorization",IF(COUNTIFS($A$2:A834,A834,$B$2:B834,B834,$E$2:E834,E834)&gt;1,"Possible duplicate","")))</f>
        <v/>
      </c>
    </row>
    <row r="835" spans="3:14" x14ac:dyDescent="0.3">
      <c r="C835" s="16"/>
      <c r="G835" s="5" t="str">
        <f t="shared" si="65"/>
        <v/>
      </c>
      <c r="H835" t="str">
        <f>IF(A835="","",IFERROR(_xlfn.XLOOKUP(D835,Setup!$E$15:$E$79,Setup!$F$15:$F$79),"Miscellaneous"))</f>
        <v/>
      </c>
      <c r="I835" t="str">
        <f>IF(A835="","",IFERROR(_xlfn.XLOOKUP(D835,Setup!$E$15:$E$79,Setup!$G$15:$G$79),"Uncategorized"))</f>
        <v/>
      </c>
      <c r="J835" t="str">
        <f t="shared" si="66"/>
        <v/>
      </c>
      <c r="K835" s="4" t="str">
        <f t="shared" si="67"/>
        <v/>
      </c>
      <c r="L835" s="47">
        <f t="shared" si="68"/>
        <v>0</v>
      </c>
      <c r="M835" s="47">
        <f t="shared" si="69"/>
        <v>0</v>
      </c>
      <c r="N835" t="str">
        <f>IF(A835="","",IF(D835="Category Pending","Needs categorization",IF(COUNTIFS($A$2:A835,A835,$B$2:B835,B835,$E$2:E835,E835)&gt;1,"Possible duplicate","")))</f>
        <v/>
      </c>
    </row>
    <row r="836" spans="3:14" x14ac:dyDescent="0.3">
      <c r="C836" s="16"/>
      <c r="G836" s="5" t="str">
        <f t="shared" si="65"/>
        <v/>
      </c>
      <c r="H836" t="str">
        <f>IF(A836="","",IFERROR(_xlfn.XLOOKUP(D836,Setup!$E$15:$E$79,Setup!$F$15:$F$79),"Miscellaneous"))</f>
        <v/>
      </c>
      <c r="I836" t="str">
        <f>IF(A836="","",IFERROR(_xlfn.XLOOKUP(D836,Setup!$E$15:$E$79,Setup!$G$15:$G$79),"Uncategorized"))</f>
        <v/>
      </c>
      <c r="J836" t="str">
        <f t="shared" si="66"/>
        <v/>
      </c>
      <c r="K836" s="4" t="str">
        <f t="shared" si="67"/>
        <v/>
      </c>
      <c r="L836" s="47">
        <f t="shared" si="68"/>
        <v>0</v>
      </c>
      <c r="M836" s="47">
        <f t="shared" si="69"/>
        <v>0</v>
      </c>
      <c r="N836" t="str">
        <f>IF(A836="","",IF(D836="Category Pending","Needs categorization",IF(COUNTIFS($A$2:A836,A836,$B$2:B836,B836,$E$2:E836,E836)&gt;1,"Possible duplicate","")))</f>
        <v/>
      </c>
    </row>
    <row r="837" spans="3:14" x14ac:dyDescent="0.3">
      <c r="C837" s="16"/>
      <c r="G837" s="5" t="str">
        <f t="shared" si="65"/>
        <v/>
      </c>
      <c r="H837" t="str">
        <f>IF(A837="","",IFERROR(_xlfn.XLOOKUP(D837,Setup!$E$15:$E$79,Setup!$F$15:$F$79),"Miscellaneous"))</f>
        <v/>
      </c>
      <c r="I837" t="str">
        <f>IF(A837="","",IFERROR(_xlfn.XLOOKUP(D837,Setup!$E$15:$E$79,Setup!$G$15:$G$79),"Uncategorized"))</f>
        <v/>
      </c>
      <c r="J837" t="str">
        <f t="shared" si="66"/>
        <v/>
      </c>
      <c r="K837" s="4" t="str">
        <f t="shared" si="67"/>
        <v/>
      </c>
      <c r="L837" s="47">
        <f t="shared" si="68"/>
        <v>0</v>
      </c>
      <c r="M837" s="47">
        <f t="shared" si="69"/>
        <v>0</v>
      </c>
      <c r="N837" t="str">
        <f>IF(A837="","",IF(D837="Category Pending","Needs categorization",IF(COUNTIFS($A$2:A837,A837,$B$2:B837,B837,$E$2:E837,E837)&gt;1,"Possible duplicate","")))</f>
        <v/>
      </c>
    </row>
    <row r="838" spans="3:14" x14ac:dyDescent="0.3">
      <c r="C838" s="16"/>
      <c r="G838" s="5" t="str">
        <f t="shared" si="65"/>
        <v/>
      </c>
      <c r="H838" t="str">
        <f>IF(A838="","",IFERROR(_xlfn.XLOOKUP(D838,Setup!$E$15:$E$79,Setup!$F$15:$F$79),"Miscellaneous"))</f>
        <v/>
      </c>
      <c r="I838" t="str">
        <f>IF(A838="","",IFERROR(_xlfn.XLOOKUP(D838,Setup!$E$15:$E$79,Setup!$G$15:$G$79),"Uncategorized"))</f>
        <v/>
      </c>
      <c r="J838" t="str">
        <f t="shared" si="66"/>
        <v/>
      </c>
      <c r="K838" s="4" t="str">
        <f t="shared" si="67"/>
        <v/>
      </c>
      <c r="L838" s="47">
        <f t="shared" si="68"/>
        <v>0</v>
      </c>
      <c r="M838" s="47">
        <f t="shared" si="69"/>
        <v>0</v>
      </c>
      <c r="N838" t="str">
        <f>IF(A838="","",IF(D838="Category Pending","Needs categorization",IF(COUNTIFS($A$2:A838,A838,$B$2:B838,B838,$E$2:E838,E838)&gt;1,"Possible duplicate","")))</f>
        <v/>
      </c>
    </row>
    <row r="839" spans="3:14" x14ac:dyDescent="0.3">
      <c r="C839" s="16"/>
      <c r="G839" s="5" t="str">
        <f t="shared" si="65"/>
        <v/>
      </c>
      <c r="H839" t="str">
        <f>IF(A839="","",IFERROR(_xlfn.XLOOKUP(D839,Setup!$E$15:$E$79,Setup!$F$15:$F$79),"Miscellaneous"))</f>
        <v/>
      </c>
      <c r="I839" t="str">
        <f>IF(A839="","",IFERROR(_xlfn.XLOOKUP(D839,Setup!$E$15:$E$79,Setup!$G$15:$G$79),"Uncategorized"))</f>
        <v/>
      </c>
      <c r="J839" t="str">
        <f t="shared" si="66"/>
        <v/>
      </c>
      <c r="K839" s="4" t="str">
        <f t="shared" si="67"/>
        <v/>
      </c>
      <c r="L839" s="47">
        <f t="shared" si="68"/>
        <v>0</v>
      </c>
      <c r="M839" s="47">
        <f t="shared" si="69"/>
        <v>0</v>
      </c>
      <c r="N839" t="str">
        <f>IF(A839="","",IF(D839="Category Pending","Needs categorization",IF(COUNTIFS($A$2:A839,A839,$B$2:B839,B839,$E$2:E839,E839)&gt;1,"Possible duplicate","")))</f>
        <v/>
      </c>
    </row>
    <row r="840" spans="3:14" x14ac:dyDescent="0.3">
      <c r="C840" s="16"/>
      <c r="G840" s="5" t="str">
        <f t="shared" si="65"/>
        <v/>
      </c>
      <c r="H840" t="str">
        <f>IF(A840="","",IFERROR(_xlfn.XLOOKUP(D840,Setup!$E$15:$E$79,Setup!$F$15:$F$79),"Miscellaneous"))</f>
        <v/>
      </c>
      <c r="I840" t="str">
        <f>IF(A840="","",IFERROR(_xlfn.XLOOKUP(D840,Setup!$E$15:$E$79,Setup!$G$15:$G$79),"Uncategorized"))</f>
        <v/>
      </c>
      <c r="J840" t="str">
        <f t="shared" si="66"/>
        <v/>
      </c>
      <c r="K840" s="4" t="str">
        <f t="shared" si="67"/>
        <v/>
      </c>
      <c r="L840" s="47">
        <f t="shared" si="68"/>
        <v>0</v>
      </c>
      <c r="M840" s="47">
        <f t="shared" si="69"/>
        <v>0</v>
      </c>
      <c r="N840" t="str">
        <f>IF(A840="","",IF(D840="Category Pending","Needs categorization",IF(COUNTIFS($A$2:A840,A840,$B$2:B840,B840,$E$2:E840,E840)&gt;1,"Possible duplicate","")))</f>
        <v/>
      </c>
    </row>
    <row r="841" spans="3:14" x14ac:dyDescent="0.3">
      <c r="C841" s="16"/>
      <c r="G841" s="5" t="str">
        <f t="shared" si="65"/>
        <v/>
      </c>
      <c r="H841" t="str">
        <f>IF(A841="","",IFERROR(_xlfn.XLOOKUP(D841,Setup!$E$15:$E$79,Setup!$F$15:$F$79),"Miscellaneous"))</f>
        <v/>
      </c>
      <c r="I841" t="str">
        <f>IF(A841="","",IFERROR(_xlfn.XLOOKUP(D841,Setup!$E$15:$E$79,Setup!$G$15:$G$79),"Uncategorized"))</f>
        <v/>
      </c>
      <c r="J841" t="str">
        <f t="shared" si="66"/>
        <v/>
      </c>
      <c r="K841" s="4" t="str">
        <f t="shared" si="67"/>
        <v/>
      </c>
      <c r="L841" s="47">
        <f t="shared" si="68"/>
        <v>0</v>
      </c>
      <c r="M841" s="47">
        <f t="shared" si="69"/>
        <v>0</v>
      </c>
      <c r="N841" t="str">
        <f>IF(A841="","",IF(D841="Category Pending","Needs categorization",IF(COUNTIFS($A$2:A841,A841,$B$2:B841,B841,$E$2:E841,E841)&gt;1,"Possible duplicate","")))</f>
        <v/>
      </c>
    </row>
    <row r="842" spans="3:14" x14ac:dyDescent="0.3">
      <c r="C842" s="16"/>
      <c r="G842" s="5" t="str">
        <f t="shared" si="65"/>
        <v/>
      </c>
      <c r="H842" t="str">
        <f>IF(A842="","",IFERROR(_xlfn.XLOOKUP(D842,Setup!$E$15:$E$79,Setup!$F$15:$F$79),"Miscellaneous"))</f>
        <v/>
      </c>
      <c r="I842" t="str">
        <f>IF(A842="","",IFERROR(_xlfn.XLOOKUP(D842,Setup!$E$15:$E$79,Setup!$G$15:$G$79),"Uncategorized"))</f>
        <v/>
      </c>
      <c r="J842" t="str">
        <f t="shared" si="66"/>
        <v/>
      </c>
      <c r="K842" s="4" t="str">
        <f t="shared" si="67"/>
        <v/>
      </c>
      <c r="L842" s="47">
        <f t="shared" si="68"/>
        <v>0</v>
      </c>
      <c r="M842" s="47">
        <f t="shared" si="69"/>
        <v>0</v>
      </c>
      <c r="N842" t="str">
        <f>IF(A842="","",IF(D842="Category Pending","Needs categorization",IF(COUNTIFS($A$2:A842,A842,$B$2:B842,B842,$E$2:E842,E842)&gt;1,"Possible duplicate","")))</f>
        <v/>
      </c>
    </row>
    <row r="843" spans="3:14" x14ac:dyDescent="0.3">
      <c r="C843" s="16"/>
      <c r="G843" s="5" t="str">
        <f t="shared" si="65"/>
        <v/>
      </c>
      <c r="H843" t="str">
        <f>IF(A843="","",IFERROR(_xlfn.XLOOKUP(D843,Setup!$E$15:$E$79,Setup!$F$15:$F$79),"Miscellaneous"))</f>
        <v/>
      </c>
      <c r="I843" t="str">
        <f>IF(A843="","",IFERROR(_xlfn.XLOOKUP(D843,Setup!$E$15:$E$79,Setup!$G$15:$G$79),"Uncategorized"))</f>
        <v/>
      </c>
      <c r="J843" t="str">
        <f t="shared" si="66"/>
        <v/>
      </c>
      <c r="K843" s="4" t="str">
        <f t="shared" si="67"/>
        <v/>
      </c>
      <c r="L843" s="47">
        <f t="shared" si="68"/>
        <v>0</v>
      </c>
      <c r="M843" s="47">
        <f t="shared" si="69"/>
        <v>0</v>
      </c>
      <c r="N843" t="str">
        <f>IF(A843="","",IF(D843="Category Pending","Needs categorization",IF(COUNTIFS($A$2:A843,A843,$B$2:B843,B843,$E$2:E843,E843)&gt;1,"Possible duplicate","")))</f>
        <v/>
      </c>
    </row>
    <row r="844" spans="3:14" x14ac:dyDescent="0.3">
      <c r="C844" s="16"/>
      <c r="G844" s="5" t="str">
        <f t="shared" si="65"/>
        <v/>
      </c>
      <c r="H844" t="str">
        <f>IF(A844="","",IFERROR(_xlfn.XLOOKUP(D844,Setup!$E$15:$E$79,Setup!$F$15:$F$79),"Miscellaneous"))</f>
        <v/>
      </c>
      <c r="I844" t="str">
        <f>IF(A844="","",IFERROR(_xlfn.XLOOKUP(D844,Setup!$E$15:$E$79,Setup!$G$15:$G$79),"Uncategorized"))</f>
        <v/>
      </c>
      <c r="J844" t="str">
        <f t="shared" si="66"/>
        <v/>
      </c>
      <c r="K844" s="4" t="str">
        <f t="shared" si="67"/>
        <v/>
      </c>
      <c r="L844" s="47">
        <f t="shared" si="68"/>
        <v>0</v>
      </c>
      <c r="M844" s="47">
        <f t="shared" si="69"/>
        <v>0</v>
      </c>
      <c r="N844" t="str">
        <f>IF(A844="","",IF(D844="Category Pending","Needs categorization",IF(COUNTIFS($A$2:A844,A844,$B$2:B844,B844,$E$2:E844,E844)&gt;1,"Possible duplicate","")))</f>
        <v/>
      </c>
    </row>
    <row r="845" spans="3:14" x14ac:dyDescent="0.3">
      <c r="C845" s="16"/>
      <c r="G845" s="5" t="str">
        <f t="shared" si="65"/>
        <v/>
      </c>
      <c r="H845" t="str">
        <f>IF(A845="","",IFERROR(_xlfn.XLOOKUP(D845,Setup!$E$15:$E$79,Setup!$F$15:$F$79),"Miscellaneous"))</f>
        <v/>
      </c>
      <c r="I845" t="str">
        <f>IF(A845="","",IFERROR(_xlfn.XLOOKUP(D845,Setup!$E$15:$E$79,Setup!$G$15:$G$79),"Uncategorized"))</f>
        <v/>
      </c>
      <c r="J845" t="str">
        <f t="shared" si="66"/>
        <v/>
      </c>
      <c r="K845" s="4" t="str">
        <f t="shared" si="67"/>
        <v/>
      </c>
      <c r="L845" s="47">
        <f t="shared" si="68"/>
        <v>0</v>
      </c>
      <c r="M845" s="47">
        <f t="shared" si="69"/>
        <v>0</v>
      </c>
      <c r="N845" t="str">
        <f>IF(A845="","",IF(D845="Category Pending","Needs categorization",IF(COUNTIFS($A$2:A845,A845,$B$2:B845,B845,$E$2:E845,E845)&gt;1,"Possible duplicate","")))</f>
        <v/>
      </c>
    </row>
    <row r="846" spans="3:14" x14ac:dyDescent="0.3">
      <c r="C846" s="16"/>
      <c r="G846" s="5" t="str">
        <f t="shared" si="65"/>
        <v/>
      </c>
      <c r="H846" t="str">
        <f>IF(A846="","",IFERROR(_xlfn.XLOOKUP(D846,Setup!$E$15:$E$79,Setup!$F$15:$F$79),"Miscellaneous"))</f>
        <v/>
      </c>
      <c r="I846" t="str">
        <f>IF(A846="","",IFERROR(_xlfn.XLOOKUP(D846,Setup!$E$15:$E$79,Setup!$G$15:$G$79),"Uncategorized"))</f>
        <v/>
      </c>
      <c r="J846" t="str">
        <f t="shared" si="66"/>
        <v/>
      </c>
      <c r="K846" s="4" t="str">
        <f t="shared" si="67"/>
        <v/>
      </c>
      <c r="L846" s="47">
        <f t="shared" si="68"/>
        <v>0</v>
      </c>
      <c r="M846" s="47">
        <f t="shared" si="69"/>
        <v>0</v>
      </c>
      <c r="N846" t="str">
        <f>IF(A846="","",IF(D846="Category Pending","Needs categorization",IF(COUNTIFS($A$2:A846,A846,$B$2:B846,B846,$E$2:E846,E846)&gt;1,"Possible duplicate","")))</f>
        <v/>
      </c>
    </row>
    <row r="847" spans="3:14" x14ac:dyDescent="0.3">
      <c r="C847" s="16"/>
      <c r="G847" s="5" t="str">
        <f t="shared" si="65"/>
        <v/>
      </c>
      <c r="H847" t="str">
        <f>IF(A847="","",IFERROR(_xlfn.XLOOKUP(D847,Setup!$E$15:$E$79,Setup!$F$15:$F$79),"Miscellaneous"))</f>
        <v/>
      </c>
      <c r="I847" t="str">
        <f>IF(A847="","",IFERROR(_xlfn.XLOOKUP(D847,Setup!$E$15:$E$79,Setup!$G$15:$G$79),"Uncategorized"))</f>
        <v/>
      </c>
      <c r="J847" t="str">
        <f t="shared" si="66"/>
        <v/>
      </c>
      <c r="K847" s="4" t="str">
        <f t="shared" si="67"/>
        <v/>
      </c>
      <c r="L847" s="47">
        <f t="shared" si="68"/>
        <v>0</v>
      </c>
      <c r="M847" s="47">
        <f t="shared" si="69"/>
        <v>0</v>
      </c>
      <c r="N847" t="str">
        <f>IF(A847="","",IF(D847="Category Pending","Needs categorization",IF(COUNTIFS($A$2:A847,A847,$B$2:B847,B847,$E$2:E847,E847)&gt;1,"Possible duplicate","")))</f>
        <v/>
      </c>
    </row>
    <row r="848" spans="3:14" x14ac:dyDescent="0.3">
      <c r="C848" s="16"/>
      <c r="G848" s="5" t="str">
        <f t="shared" si="65"/>
        <v/>
      </c>
      <c r="H848" t="str">
        <f>IF(A848="","",IFERROR(_xlfn.XLOOKUP(D848,Setup!$E$15:$E$79,Setup!$F$15:$F$79),"Miscellaneous"))</f>
        <v/>
      </c>
      <c r="I848" t="str">
        <f>IF(A848="","",IFERROR(_xlfn.XLOOKUP(D848,Setup!$E$15:$E$79,Setup!$G$15:$G$79),"Uncategorized"))</f>
        <v/>
      </c>
      <c r="J848" t="str">
        <f t="shared" si="66"/>
        <v/>
      </c>
      <c r="K848" s="4" t="str">
        <f t="shared" si="67"/>
        <v/>
      </c>
      <c r="L848" s="47">
        <f t="shared" si="68"/>
        <v>0</v>
      </c>
      <c r="M848" s="47">
        <f t="shared" si="69"/>
        <v>0</v>
      </c>
      <c r="N848" t="str">
        <f>IF(A848="","",IF(D848="Category Pending","Needs categorization",IF(COUNTIFS($A$2:A848,A848,$B$2:B848,B848,$E$2:E848,E848)&gt;1,"Possible duplicate","")))</f>
        <v/>
      </c>
    </row>
    <row r="849" spans="3:14" x14ac:dyDescent="0.3">
      <c r="C849" s="16"/>
      <c r="G849" s="5" t="str">
        <f t="shared" si="65"/>
        <v/>
      </c>
      <c r="H849" t="str">
        <f>IF(A849="","",IFERROR(_xlfn.XLOOKUP(D849,Setup!$E$15:$E$79,Setup!$F$15:$F$79),"Miscellaneous"))</f>
        <v/>
      </c>
      <c r="I849" t="str">
        <f>IF(A849="","",IFERROR(_xlfn.XLOOKUP(D849,Setup!$E$15:$E$79,Setup!$G$15:$G$79),"Uncategorized"))</f>
        <v/>
      </c>
      <c r="J849" t="str">
        <f t="shared" si="66"/>
        <v/>
      </c>
      <c r="K849" s="4" t="str">
        <f t="shared" si="67"/>
        <v/>
      </c>
      <c r="L849" s="47">
        <f t="shared" si="68"/>
        <v>0</v>
      </c>
      <c r="M849" s="47">
        <f t="shared" si="69"/>
        <v>0</v>
      </c>
      <c r="N849" t="str">
        <f>IF(A849="","",IF(D849="Category Pending","Needs categorization",IF(COUNTIFS($A$2:A849,A849,$B$2:B849,B849,$E$2:E849,E849)&gt;1,"Possible duplicate","")))</f>
        <v/>
      </c>
    </row>
    <row r="850" spans="3:14" x14ac:dyDescent="0.3">
      <c r="C850" s="16"/>
      <c r="G850" s="5" t="str">
        <f t="shared" si="65"/>
        <v/>
      </c>
      <c r="H850" t="str">
        <f>IF(A850="","",IFERROR(_xlfn.XLOOKUP(D850,Setup!$E$15:$E$79,Setup!$F$15:$F$79),"Miscellaneous"))</f>
        <v/>
      </c>
      <c r="I850" t="str">
        <f>IF(A850="","",IFERROR(_xlfn.XLOOKUP(D850,Setup!$E$15:$E$79,Setup!$G$15:$G$79),"Uncategorized"))</f>
        <v/>
      </c>
      <c r="J850" t="str">
        <f t="shared" si="66"/>
        <v/>
      </c>
      <c r="K850" s="4" t="str">
        <f t="shared" si="67"/>
        <v/>
      </c>
      <c r="L850" s="47">
        <f t="shared" si="68"/>
        <v>0</v>
      </c>
      <c r="M850" s="47">
        <f t="shared" si="69"/>
        <v>0</v>
      </c>
      <c r="N850" t="str">
        <f>IF(A850="","",IF(D850="Category Pending","Needs categorization",IF(COUNTIFS($A$2:A850,A850,$B$2:B850,B850,$E$2:E850,E850)&gt;1,"Possible duplicate","")))</f>
        <v/>
      </c>
    </row>
    <row r="851" spans="3:14" x14ac:dyDescent="0.3">
      <c r="C851" s="16"/>
      <c r="G851" s="5" t="str">
        <f t="shared" si="65"/>
        <v/>
      </c>
      <c r="H851" t="str">
        <f>IF(A851="","",IFERROR(_xlfn.XLOOKUP(D851,Setup!$E$15:$E$79,Setup!$F$15:$F$79),"Miscellaneous"))</f>
        <v/>
      </c>
      <c r="I851" t="str">
        <f>IF(A851="","",IFERROR(_xlfn.XLOOKUP(D851,Setup!$E$15:$E$79,Setup!$G$15:$G$79),"Uncategorized"))</f>
        <v/>
      </c>
      <c r="J851" t="str">
        <f t="shared" si="66"/>
        <v/>
      </c>
      <c r="K851" s="4" t="str">
        <f t="shared" si="67"/>
        <v/>
      </c>
      <c r="L851" s="47">
        <f t="shared" si="68"/>
        <v>0</v>
      </c>
      <c r="M851" s="47">
        <f t="shared" si="69"/>
        <v>0</v>
      </c>
      <c r="N851" t="str">
        <f>IF(A851="","",IF(D851="Category Pending","Needs categorization",IF(COUNTIFS($A$2:A851,A851,$B$2:B851,B851,$E$2:E851,E851)&gt;1,"Possible duplicate","")))</f>
        <v/>
      </c>
    </row>
    <row r="852" spans="3:14" x14ac:dyDescent="0.3">
      <c r="C852" s="16"/>
      <c r="G852" s="5" t="str">
        <f t="shared" si="65"/>
        <v/>
      </c>
      <c r="H852" t="str">
        <f>IF(A852="","",IFERROR(_xlfn.XLOOKUP(D852,Setup!$E$15:$E$79,Setup!$F$15:$F$79),"Miscellaneous"))</f>
        <v/>
      </c>
      <c r="I852" t="str">
        <f>IF(A852="","",IFERROR(_xlfn.XLOOKUP(D852,Setup!$E$15:$E$79,Setup!$G$15:$G$79),"Uncategorized"))</f>
        <v/>
      </c>
      <c r="J852" t="str">
        <f t="shared" si="66"/>
        <v/>
      </c>
      <c r="K852" s="4" t="str">
        <f t="shared" si="67"/>
        <v/>
      </c>
      <c r="L852" s="47">
        <f t="shared" si="68"/>
        <v>0</v>
      </c>
      <c r="M852" s="47">
        <f t="shared" si="69"/>
        <v>0</v>
      </c>
      <c r="N852" t="str">
        <f>IF(A852="","",IF(D852="Category Pending","Needs categorization",IF(COUNTIFS($A$2:A852,A852,$B$2:B852,B852,$E$2:E852,E852)&gt;1,"Possible duplicate","")))</f>
        <v/>
      </c>
    </row>
    <row r="853" spans="3:14" x14ac:dyDescent="0.3">
      <c r="C853" s="16"/>
      <c r="G853" s="5" t="str">
        <f t="shared" si="65"/>
        <v/>
      </c>
      <c r="H853" t="str">
        <f>IF(A853="","",IFERROR(_xlfn.XLOOKUP(D853,Setup!$E$15:$E$79,Setup!$F$15:$F$79),"Miscellaneous"))</f>
        <v/>
      </c>
      <c r="I853" t="str">
        <f>IF(A853="","",IFERROR(_xlfn.XLOOKUP(D853,Setup!$E$15:$E$79,Setup!$G$15:$G$79),"Uncategorized"))</f>
        <v/>
      </c>
      <c r="J853" t="str">
        <f t="shared" si="66"/>
        <v/>
      </c>
      <c r="K853" s="4" t="str">
        <f t="shared" si="67"/>
        <v/>
      </c>
      <c r="L853" s="47">
        <f t="shared" si="68"/>
        <v>0</v>
      </c>
      <c r="M853" s="47">
        <f t="shared" si="69"/>
        <v>0</v>
      </c>
      <c r="N853" t="str">
        <f>IF(A853="","",IF(D853="Category Pending","Needs categorization",IF(COUNTIFS($A$2:A853,A853,$B$2:B853,B853,$E$2:E853,E853)&gt;1,"Possible duplicate","")))</f>
        <v/>
      </c>
    </row>
    <row r="854" spans="3:14" x14ac:dyDescent="0.3">
      <c r="C854" s="16"/>
      <c r="G854" s="5" t="str">
        <f t="shared" si="65"/>
        <v/>
      </c>
      <c r="H854" t="str">
        <f>IF(A854="","",IFERROR(_xlfn.XLOOKUP(D854,Setup!$E$15:$E$79,Setup!$F$15:$F$79),"Miscellaneous"))</f>
        <v/>
      </c>
      <c r="I854" t="str">
        <f>IF(A854="","",IFERROR(_xlfn.XLOOKUP(D854,Setup!$E$15:$E$79,Setup!$G$15:$G$79),"Uncategorized"))</f>
        <v/>
      </c>
      <c r="J854" t="str">
        <f t="shared" si="66"/>
        <v/>
      </c>
      <c r="K854" s="4" t="str">
        <f t="shared" si="67"/>
        <v/>
      </c>
      <c r="L854" s="47">
        <f t="shared" si="68"/>
        <v>0</v>
      </c>
      <c r="M854" s="47">
        <f t="shared" si="69"/>
        <v>0</v>
      </c>
      <c r="N854" t="str">
        <f>IF(A854="","",IF(D854="Category Pending","Needs categorization",IF(COUNTIFS($A$2:A854,A854,$B$2:B854,B854,$E$2:E854,E854)&gt;1,"Possible duplicate","")))</f>
        <v/>
      </c>
    </row>
    <row r="855" spans="3:14" x14ac:dyDescent="0.3">
      <c r="C855" s="16"/>
      <c r="G855" s="5" t="str">
        <f t="shared" si="65"/>
        <v/>
      </c>
      <c r="H855" t="str">
        <f>IF(A855="","",IFERROR(_xlfn.XLOOKUP(D855,Setup!$E$15:$E$79,Setup!$F$15:$F$79),"Miscellaneous"))</f>
        <v/>
      </c>
      <c r="I855" t="str">
        <f>IF(A855="","",IFERROR(_xlfn.XLOOKUP(D855,Setup!$E$15:$E$79,Setup!$G$15:$G$79),"Uncategorized"))</f>
        <v/>
      </c>
      <c r="J855" t="str">
        <f t="shared" si="66"/>
        <v/>
      </c>
      <c r="K855" s="4" t="str">
        <f t="shared" si="67"/>
        <v/>
      </c>
      <c r="L855" s="47">
        <f t="shared" si="68"/>
        <v>0</v>
      </c>
      <c r="M855" s="47">
        <f t="shared" si="69"/>
        <v>0</v>
      </c>
      <c r="N855" t="str">
        <f>IF(A855="","",IF(D855="Category Pending","Needs categorization",IF(COUNTIFS($A$2:A855,A855,$B$2:B855,B855,$E$2:E855,E855)&gt;1,"Possible duplicate","")))</f>
        <v/>
      </c>
    </row>
    <row r="856" spans="3:14" x14ac:dyDescent="0.3">
      <c r="C856" s="16"/>
      <c r="G856" s="5" t="str">
        <f t="shared" si="65"/>
        <v/>
      </c>
      <c r="H856" t="str">
        <f>IF(A856="","",IFERROR(_xlfn.XLOOKUP(D856,Setup!$E$15:$E$79,Setup!$F$15:$F$79),"Miscellaneous"))</f>
        <v/>
      </c>
      <c r="I856" t="str">
        <f>IF(A856="","",IFERROR(_xlfn.XLOOKUP(D856,Setup!$E$15:$E$79,Setup!$G$15:$G$79),"Uncategorized"))</f>
        <v/>
      </c>
      <c r="J856" t="str">
        <f t="shared" si="66"/>
        <v/>
      </c>
      <c r="K856" s="4" t="str">
        <f t="shared" si="67"/>
        <v/>
      </c>
      <c r="L856" s="47">
        <f t="shared" si="68"/>
        <v>0</v>
      </c>
      <c r="M856" s="47">
        <f t="shared" si="69"/>
        <v>0</v>
      </c>
      <c r="N856" t="str">
        <f>IF(A856="","",IF(D856="Category Pending","Needs categorization",IF(COUNTIFS($A$2:A856,A856,$B$2:B856,B856,$E$2:E856,E856)&gt;1,"Possible duplicate","")))</f>
        <v/>
      </c>
    </row>
    <row r="857" spans="3:14" x14ac:dyDescent="0.3">
      <c r="C857" s="16"/>
      <c r="G857" s="5" t="str">
        <f t="shared" si="65"/>
        <v/>
      </c>
      <c r="H857" t="str">
        <f>IF(A857="","",IFERROR(_xlfn.XLOOKUP(D857,Setup!$E$15:$E$79,Setup!$F$15:$F$79),"Miscellaneous"))</f>
        <v/>
      </c>
      <c r="I857" t="str">
        <f>IF(A857="","",IFERROR(_xlfn.XLOOKUP(D857,Setup!$E$15:$E$79,Setup!$G$15:$G$79),"Uncategorized"))</f>
        <v/>
      </c>
      <c r="J857" t="str">
        <f t="shared" si="66"/>
        <v/>
      </c>
      <c r="K857" s="4" t="str">
        <f t="shared" si="67"/>
        <v/>
      </c>
      <c r="L857" s="47">
        <f t="shared" si="68"/>
        <v>0</v>
      </c>
      <c r="M857" s="47">
        <f t="shared" si="69"/>
        <v>0</v>
      </c>
      <c r="N857" t="str">
        <f>IF(A857="","",IF(D857="Category Pending","Needs categorization",IF(COUNTIFS($A$2:A857,A857,$B$2:B857,B857,$E$2:E857,E857)&gt;1,"Possible duplicate","")))</f>
        <v/>
      </c>
    </row>
    <row r="858" spans="3:14" x14ac:dyDescent="0.3">
      <c r="C858" s="16"/>
      <c r="G858" s="5" t="str">
        <f t="shared" si="65"/>
        <v/>
      </c>
      <c r="H858" t="str">
        <f>IF(A858="","",IFERROR(_xlfn.XLOOKUP(D858,Setup!$E$15:$E$79,Setup!$F$15:$F$79),"Miscellaneous"))</f>
        <v/>
      </c>
      <c r="I858" t="str">
        <f>IF(A858="","",IFERROR(_xlfn.XLOOKUP(D858,Setup!$E$15:$E$79,Setup!$G$15:$G$79),"Uncategorized"))</f>
        <v/>
      </c>
      <c r="J858" t="str">
        <f t="shared" si="66"/>
        <v/>
      </c>
      <c r="K858" s="4" t="str">
        <f t="shared" si="67"/>
        <v/>
      </c>
      <c r="L858" s="47">
        <f t="shared" si="68"/>
        <v>0</v>
      </c>
      <c r="M858" s="47">
        <f t="shared" si="69"/>
        <v>0</v>
      </c>
      <c r="N858" t="str">
        <f>IF(A858="","",IF(D858="Category Pending","Needs categorization",IF(COUNTIFS($A$2:A858,A858,$B$2:B858,B858,$E$2:E858,E858)&gt;1,"Possible duplicate","")))</f>
        <v/>
      </c>
    </row>
    <row r="859" spans="3:14" x14ac:dyDescent="0.3">
      <c r="C859" s="16"/>
      <c r="G859" s="5" t="str">
        <f t="shared" si="65"/>
        <v/>
      </c>
      <c r="H859" t="str">
        <f>IF(A859="","",IFERROR(_xlfn.XLOOKUP(D859,Setup!$E$15:$E$79,Setup!$F$15:$F$79),"Miscellaneous"))</f>
        <v/>
      </c>
      <c r="I859" t="str">
        <f>IF(A859="","",IFERROR(_xlfn.XLOOKUP(D859,Setup!$E$15:$E$79,Setup!$G$15:$G$79),"Uncategorized"))</f>
        <v/>
      </c>
      <c r="J859" t="str">
        <f t="shared" si="66"/>
        <v/>
      </c>
      <c r="K859" s="4" t="str">
        <f t="shared" si="67"/>
        <v/>
      </c>
      <c r="L859" s="47">
        <f t="shared" si="68"/>
        <v>0</v>
      </c>
      <c r="M859" s="47">
        <f t="shared" si="69"/>
        <v>0</v>
      </c>
      <c r="N859" t="str">
        <f>IF(A859="","",IF(D859="Category Pending","Needs categorization",IF(COUNTIFS($A$2:A859,A859,$B$2:B859,B859,$E$2:E859,E859)&gt;1,"Possible duplicate","")))</f>
        <v/>
      </c>
    </row>
    <row r="860" spans="3:14" x14ac:dyDescent="0.3">
      <c r="C860" s="16"/>
      <c r="G860" s="5" t="str">
        <f t="shared" si="65"/>
        <v/>
      </c>
      <c r="H860" t="str">
        <f>IF(A860="","",IFERROR(_xlfn.XLOOKUP(D860,Setup!$E$15:$E$79,Setup!$F$15:$F$79),"Miscellaneous"))</f>
        <v/>
      </c>
      <c r="I860" t="str">
        <f>IF(A860="","",IFERROR(_xlfn.XLOOKUP(D860,Setup!$E$15:$E$79,Setup!$G$15:$G$79),"Uncategorized"))</f>
        <v/>
      </c>
      <c r="J860" t="str">
        <f t="shared" si="66"/>
        <v/>
      </c>
      <c r="K860" s="4" t="str">
        <f t="shared" si="67"/>
        <v/>
      </c>
      <c r="L860" s="47">
        <f t="shared" si="68"/>
        <v>0</v>
      </c>
      <c r="M860" s="47">
        <f t="shared" si="69"/>
        <v>0</v>
      </c>
      <c r="N860" t="str">
        <f>IF(A860="","",IF(D860="Category Pending","Needs categorization",IF(COUNTIFS($A$2:A860,A860,$B$2:B860,B860,$E$2:E860,E860)&gt;1,"Possible duplicate","")))</f>
        <v/>
      </c>
    </row>
    <row r="861" spans="3:14" x14ac:dyDescent="0.3">
      <c r="C861" s="16"/>
      <c r="G861" s="5" t="str">
        <f t="shared" si="65"/>
        <v/>
      </c>
      <c r="H861" t="str">
        <f>IF(A861="","",IFERROR(_xlfn.XLOOKUP(D861,Setup!$E$15:$E$79,Setup!$F$15:$F$79),"Miscellaneous"))</f>
        <v/>
      </c>
      <c r="I861" t="str">
        <f>IF(A861="","",IFERROR(_xlfn.XLOOKUP(D861,Setup!$E$15:$E$79,Setup!$G$15:$G$79),"Uncategorized"))</f>
        <v/>
      </c>
      <c r="J861" t="str">
        <f t="shared" si="66"/>
        <v/>
      </c>
      <c r="K861" s="4" t="str">
        <f t="shared" si="67"/>
        <v/>
      </c>
      <c r="L861" s="47">
        <f t="shared" si="68"/>
        <v>0</v>
      </c>
      <c r="M861" s="47">
        <f t="shared" si="69"/>
        <v>0</v>
      </c>
      <c r="N861" t="str">
        <f>IF(A861="","",IF(D861="Category Pending","Needs categorization",IF(COUNTIFS($A$2:A861,A861,$B$2:B861,B861,$E$2:E861,E861)&gt;1,"Possible duplicate","")))</f>
        <v/>
      </c>
    </row>
    <row r="862" spans="3:14" x14ac:dyDescent="0.3">
      <c r="C862" s="16"/>
      <c r="G862" s="5" t="str">
        <f t="shared" si="65"/>
        <v/>
      </c>
      <c r="H862" t="str">
        <f>IF(A862="","",IFERROR(_xlfn.XLOOKUP(D862,Setup!$E$15:$E$79,Setup!$F$15:$F$79),"Miscellaneous"))</f>
        <v/>
      </c>
      <c r="I862" t="str">
        <f>IF(A862="","",IFERROR(_xlfn.XLOOKUP(D862,Setup!$E$15:$E$79,Setup!$G$15:$G$79),"Uncategorized"))</f>
        <v/>
      </c>
      <c r="J862" t="str">
        <f t="shared" si="66"/>
        <v/>
      </c>
      <c r="K862" s="4" t="str">
        <f t="shared" si="67"/>
        <v/>
      </c>
      <c r="L862" s="47">
        <f t="shared" si="68"/>
        <v>0</v>
      </c>
      <c r="M862" s="47">
        <f t="shared" si="69"/>
        <v>0</v>
      </c>
      <c r="N862" t="str">
        <f>IF(A862="","",IF(D862="Category Pending","Needs categorization",IF(COUNTIFS($A$2:A862,A862,$B$2:B862,B862,$E$2:E862,E862)&gt;1,"Possible duplicate","")))</f>
        <v/>
      </c>
    </row>
    <row r="863" spans="3:14" x14ac:dyDescent="0.3">
      <c r="C863" s="16"/>
      <c r="G863" s="5" t="str">
        <f t="shared" si="65"/>
        <v/>
      </c>
      <c r="H863" t="str">
        <f>IF(A863="","",IFERROR(_xlfn.XLOOKUP(D863,Setup!$E$15:$E$79,Setup!$F$15:$F$79),"Miscellaneous"))</f>
        <v/>
      </c>
      <c r="I863" t="str">
        <f>IF(A863="","",IFERROR(_xlfn.XLOOKUP(D863,Setup!$E$15:$E$79,Setup!$G$15:$G$79),"Uncategorized"))</f>
        <v/>
      </c>
      <c r="J863" t="str">
        <f t="shared" si="66"/>
        <v/>
      </c>
      <c r="K863" s="4" t="str">
        <f t="shared" si="67"/>
        <v/>
      </c>
      <c r="L863" s="47">
        <f t="shared" si="68"/>
        <v>0</v>
      </c>
      <c r="M863" s="47">
        <f t="shared" si="69"/>
        <v>0</v>
      </c>
      <c r="N863" t="str">
        <f>IF(A863="","",IF(D863="Category Pending","Needs categorization",IF(COUNTIFS($A$2:A863,A863,$B$2:B863,B863,$E$2:E863,E863)&gt;1,"Possible duplicate","")))</f>
        <v/>
      </c>
    </row>
    <row r="864" spans="3:14" x14ac:dyDescent="0.3">
      <c r="C864" s="16"/>
      <c r="G864" s="5" t="str">
        <f t="shared" si="65"/>
        <v/>
      </c>
      <c r="H864" t="str">
        <f>IF(A864="","",IFERROR(_xlfn.XLOOKUP(D864,Setup!$E$15:$E$79,Setup!$F$15:$F$79),"Miscellaneous"))</f>
        <v/>
      </c>
      <c r="I864" t="str">
        <f>IF(A864="","",IFERROR(_xlfn.XLOOKUP(D864,Setup!$E$15:$E$79,Setup!$G$15:$G$79),"Uncategorized"))</f>
        <v/>
      </c>
      <c r="J864" t="str">
        <f t="shared" si="66"/>
        <v/>
      </c>
      <c r="K864" s="4" t="str">
        <f t="shared" si="67"/>
        <v/>
      </c>
      <c r="L864" s="47">
        <f t="shared" si="68"/>
        <v>0</v>
      </c>
      <c r="M864" s="47">
        <f t="shared" si="69"/>
        <v>0</v>
      </c>
      <c r="N864" t="str">
        <f>IF(A864="","",IF(D864="Category Pending","Needs categorization",IF(COUNTIFS($A$2:A864,A864,$B$2:B864,B864,$E$2:E864,E864)&gt;1,"Possible duplicate","")))</f>
        <v/>
      </c>
    </row>
    <row r="865" spans="3:14" x14ac:dyDescent="0.3">
      <c r="C865" s="16"/>
      <c r="G865" s="5" t="str">
        <f t="shared" ref="G865:G928" si="70">IF(A865="","","Checking")</f>
        <v/>
      </c>
      <c r="H865" t="str">
        <f>IF(A865="","",IFERROR(_xlfn.XLOOKUP(D865,Setup!$E$15:$E$79,Setup!$F$15:$F$79),"Miscellaneous"))</f>
        <v/>
      </c>
      <c r="I865" t="str">
        <f>IF(A865="","",IFERROR(_xlfn.XLOOKUP(D865,Setup!$E$15:$E$79,Setup!$G$15:$G$79),"Uncategorized"))</f>
        <v/>
      </c>
      <c r="J865" t="str">
        <f t="shared" ref="J865:J928" si="71">IF(A865="","",IF(OR(H865="Transfers",H865="Income",D865="Transfer",D865="Category Pending"),"No","Yes"))</f>
        <v/>
      </c>
      <c r="K865" s="4" t="str">
        <f t="shared" ref="K865:K928" si="72">IF(A865="","",IF(A865&gt;=46232,TEXT(DATE(YEAR(A865),MONTH(A865)+1,1),"mmmm yyyy"),TEXT(DATE(YEAR(A865),MONTH(A865),1),"mmmm yyyy")))</f>
        <v/>
      </c>
      <c r="L865" s="47">
        <f t="shared" ref="L865:L928" si="73">IF(AND(J865="Yes",E865&lt;0),-E865,0)</f>
        <v>0</v>
      </c>
      <c r="M865" s="47">
        <f t="shared" ref="M865:M928" si="74">IF(AND(J865="Yes",E865&gt;0),E865,0)</f>
        <v>0</v>
      </c>
      <c r="N865" t="str">
        <f>IF(A865="","",IF(D865="Category Pending","Needs categorization",IF(COUNTIFS($A$2:A865,A865,$B$2:B865,B865,$E$2:E865,E865)&gt;1,"Possible duplicate","")))</f>
        <v/>
      </c>
    </row>
    <row r="866" spans="3:14" x14ac:dyDescent="0.3">
      <c r="C866" s="16"/>
      <c r="G866" s="5" t="str">
        <f t="shared" si="70"/>
        <v/>
      </c>
      <c r="H866" t="str">
        <f>IF(A866="","",IFERROR(_xlfn.XLOOKUP(D866,Setup!$E$15:$E$79,Setup!$F$15:$F$79),"Miscellaneous"))</f>
        <v/>
      </c>
      <c r="I866" t="str">
        <f>IF(A866="","",IFERROR(_xlfn.XLOOKUP(D866,Setup!$E$15:$E$79,Setup!$G$15:$G$79),"Uncategorized"))</f>
        <v/>
      </c>
      <c r="J866" t="str">
        <f t="shared" si="71"/>
        <v/>
      </c>
      <c r="K866" s="4" t="str">
        <f t="shared" si="72"/>
        <v/>
      </c>
      <c r="L866" s="47">
        <f t="shared" si="73"/>
        <v>0</v>
      </c>
      <c r="M866" s="47">
        <f t="shared" si="74"/>
        <v>0</v>
      </c>
      <c r="N866" t="str">
        <f>IF(A866="","",IF(D866="Category Pending","Needs categorization",IF(COUNTIFS($A$2:A866,A866,$B$2:B866,B866,$E$2:E866,E866)&gt;1,"Possible duplicate","")))</f>
        <v/>
      </c>
    </row>
    <row r="867" spans="3:14" x14ac:dyDescent="0.3">
      <c r="C867" s="16"/>
      <c r="G867" s="5" t="str">
        <f t="shared" si="70"/>
        <v/>
      </c>
      <c r="H867" t="str">
        <f>IF(A867="","",IFERROR(_xlfn.XLOOKUP(D867,Setup!$E$15:$E$79,Setup!$F$15:$F$79),"Miscellaneous"))</f>
        <v/>
      </c>
      <c r="I867" t="str">
        <f>IF(A867="","",IFERROR(_xlfn.XLOOKUP(D867,Setup!$E$15:$E$79,Setup!$G$15:$G$79),"Uncategorized"))</f>
        <v/>
      </c>
      <c r="J867" t="str">
        <f t="shared" si="71"/>
        <v/>
      </c>
      <c r="K867" s="4" t="str">
        <f t="shared" si="72"/>
        <v/>
      </c>
      <c r="L867" s="47">
        <f t="shared" si="73"/>
        <v>0</v>
      </c>
      <c r="M867" s="47">
        <f t="shared" si="74"/>
        <v>0</v>
      </c>
      <c r="N867" t="str">
        <f>IF(A867="","",IF(D867="Category Pending","Needs categorization",IF(COUNTIFS($A$2:A867,A867,$B$2:B867,B867,$E$2:E867,E867)&gt;1,"Possible duplicate","")))</f>
        <v/>
      </c>
    </row>
    <row r="868" spans="3:14" x14ac:dyDescent="0.3">
      <c r="C868" s="16"/>
      <c r="G868" s="5" t="str">
        <f t="shared" si="70"/>
        <v/>
      </c>
      <c r="H868" t="str">
        <f>IF(A868="","",IFERROR(_xlfn.XLOOKUP(D868,Setup!$E$15:$E$79,Setup!$F$15:$F$79),"Miscellaneous"))</f>
        <v/>
      </c>
      <c r="I868" t="str">
        <f>IF(A868="","",IFERROR(_xlfn.XLOOKUP(D868,Setup!$E$15:$E$79,Setup!$G$15:$G$79),"Uncategorized"))</f>
        <v/>
      </c>
      <c r="J868" t="str">
        <f t="shared" si="71"/>
        <v/>
      </c>
      <c r="K868" s="4" t="str">
        <f t="shared" si="72"/>
        <v/>
      </c>
      <c r="L868" s="47">
        <f t="shared" si="73"/>
        <v>0</v>
      </c>
      <c r="M868" s="47">
        <f t="shared" si="74"/>
        <v>0</v>
      </c>
      <c r="N868" t="str">
        <f>IF(A868="","",IF(D868="Category Pending","Needs categorization",IF(COUNTIFS($A$2:A868,A868,$B$2:B868,B868,$E$2:E868,E868)&gt;1,"Possible duplicate","")))</f>
        <v/>
      </c>
    </row>
    <row r="869" spans="3:14" x14ac:dyDescent="0.3">
      <c r="C869" s="16"/>
      <c r="G869" s="5" t="str">
        <f t="shared" si="70"/>
        <v/>
      </c>
      <c r="H869" t="str">
        <f>IF(A869="","",IFERROR(_xlfn.XLOOKUP(D869,Setup!$E$15:$E$79,Setup!$F$15:$F$79),"Miscellaneous"))</f>
        <v/>
      </c>
      <c r="I869" t="str">
        <f>IF(A869="","",IFERROR(_xlfn.XLOOKUP(D869,Setup!$E$15:$E$79,Setup!$G$15:$G$79),"Uncategorized"))</f>
        <v/>
      </c>
      <c r="J869" t="str">
        <f t="shared" si="71"/>
        <v/>
      </c>
      <c r="K869" s="4" t="str">
        <f t="shared" si="72"/>
        <v/>
      </c>
      <c r="L869" s="47">
        <f t="shared" si="73"/>
        <v>0</v>
      </c>
      <c r="M869" s="47">
        <f t="shared" si="74"/>
        <v>0</v>
      </c>
      <c r="N869" t="str">
        <f>IF(A869="","",IF(D869="Category Pending","Needs categorization",IF(COUNTIFS($A$2:A869,A869,$B$2:B869,B869,$E$2:E869,E869)&gt;1,"Possible duplicate","")))</f>
        <v/>
      </c>
    </row>
    <row r="870" spans="3:14" x14ac:dyDescent="0.3">
      <c r="C870" s="16"/>
      <c r="G870" s="5" t="str">
        <f t="shared" si="70"/>
        <v/>
      </c>
      <c r="H870" t="str">
        <f>IF(A870="","",IFERROR(_xlfn.XLOOKUP(D870,Setup!$E$15:$E$79,Setup!$F$15:$F$79),"Miscellaneous"))</f>
        <v/>
      </c>
      <c r="I870" t="str">
        <f>IF(A870="","",IFERROR(_xlfn.XLOOKUP(D870,Setup!$E$15:$E$79,Setup!$G$15:$G$79),"Uncategorized"))</f>
        <v/>
      </c>
      <c r="J870" t="str">
        <f t="shared" si="71"/>
        <v/>
      </c>
      <c r="K870" s="4" t="str">
        <f t="shared" si="72"/>
        <v/>
      </c>
      <c r="L870" s="47">
        <f t="shared" si="73"/>
        <v>0</v>
      </c>
      <c r="M870" s="47">
        <f t="shared" si="74"/>
        <v>0</v>
      </c>
      <c r="N870" t="str">
        <f>IF(A870="","",IF(D870="Category Pending","Needs categorization",IF(COUNTIFS($A$2:A870,A870,$B$2:B870,B870,$E$2:E870,E870)&gt;1,"Possible duplicate","")))</f>
        <v/>
      </c>
    </row>
    <row r="871" spans="3:14" x14ac:dyDescent="0.3">
      <c r="C871" s="16"/>
      <c r="G871" s="5" t="str">
        <f t="shared" si="70"/>
        <v/>
      </c>
      <c r="H871" t="str">
        <f>IF(A871="","",IFERROR(_xlfn.XLOOKUP(D871,Setup!$E$15:$E$79,Setup!$F$15:$F$79),"Miscellaneous"))</f>
        <v/>
      </c>
      <c r="I871" t="str">
        <f>IF(A871="","",IFERROR(_xlfn.XLOOKUP(D871,Setup!$E$15:$E$79,Setup!$G$15:$G$79),"Uncategorized"))</f>
        <v/>
      </c>
      <c r="J871" t="str">
        <f t="shared" si="71"/>
        <v/>
      </c>
      <c r="K871" s="4" t="str">
        <f t="shared" si="72"/>
        <v/>
      </c>
      <c r="L871" s="47">
        <f t="shared" si="73"/>
        <v>0</v>
      </c>
      <c r="M871" s="47">
        <f t="shared" si="74"/>
        <v>0</v>
      </c>
      <c r="N871" t="str">
        <f>IF(A871="","",IF(D871="Category Pending","Needs categorization",IF(COUNTIFS($A$2:A871,A871,$B$2:B871,B871,$E$2:E871,E871)&gt;1,"Possible duplicate","")))</f>
        <v/>
      </c>
    </row>
    <row r="872" spans="3:14" x14ac:dyDescent="0.3">
      <c r="C872" s="16"/>
      <c r="G872" s="5" t="str">
        <f t="shared" si="70"/>
        <v/>
      </c>
      <c r="H872" t="str">
        <f>IF(A872="","",IFERROR(_xlfn.XLOOKUP(D872,Setup!$E$15:$E$79,Setup!$F$15:$F$79),"Miscellaneous"))</f>
        <v/>
      </c>
      <c r="I872" t="str">
        <f>IF(A872="","",IFERROR(_xlfn.XLOOKUP(D872,Setup!$E$15:$E$79,Setup!$G$15:$G$79),"Uncategorized"))</f>
        <v/>
      </c>
      <c r="J872" t="str">
        <f t="shared" si="71"/>
        <v/>
      </c>
      <c r="K872" s="4" t="str">
        <f t="shared" si="72"/>
        <v/>
      </c>
      <c r="L872" s="47">
        <f t="shared" si="73"/>
        <v>0</v>
      </c>
      <c r="M872" s="47">
        <f t="shared" si="74"/>
        <v>0</v>
      </c>
      <c r="N872" t="str">
        <f>IF(A872="","",IF(D872="Category Pending","Needs categorization",IF(COUNTIFS($A$2:A872,A872,$B$2:B872,B872,$E$2:E872,E872)&gt;1,"Possible duplicate","")))</f>
        <v/>
      </c>
    </row>
    <row r="873" spans="3:14" x14ac:dyDescent="0.3">
      <c r="C873" s="16"/>
      <c r="G873" s="5" t="str">
        <f t="shared" si="70"/>
        <v/>
      </c>
      <c r="H873" t="str">
        <f>IF(A873="","",IFERROR(_xlfn.XLOOKUP(D873,Setup!$E$15:$E$79,Setup!$F$15:$F$79),"Miscellaneous"))</f>
        <v/>
      </c>
      <c r="I873" t="str">
        <f>IF(A873="","",IFERROR(_xlfn.XLOOKUP(D873,Setup!$E$15:$E$79,Setup!$G$15:$G$79),"Uncategorized"))</f>
        <v/>
      </c>
      <c r="J873" t="str">
        <f t="shared" si="71"/>
        <v/>
      </c>
      <c r="K873" s="4" t="str">
        <f t="shared" si="72"/>
        <v/>
      </c>
      <c r="L873" s="47">
        <f t="shared" si="73"/>
        <v>0</v>
      </c>
      <c r="M873" s="47">
        <f t="shared" si="74"/>
        <v>0</v>
      </c>
      <c r="N873" t="str">
        <f>IF(A873="","",IF(D873="Category Pending","Needs categorization",IF(COUNTIFS($A$2:A873,A873,$B$2:B873,B873,$E$2:E873,E873)&gt;1,"Possible duplicate","")))</f>
        <v/>
      </c>
    </row>
    <row r="874" spans="3:14" x14ac:dyDescent="0.3">
      <c r="C874" s="16"/>
      <c r="G874" s="5" t="str">
        <f t="shared" si="70"/>
        <v/>
      </c>
      <c r="H874" t="str">
        <f>IF(A874="","",IFERROR(_xlfn.XLOOKUP(D874,Setup!$E$15:$E$79,Setup!$F$15:$F$79),"Miscellaneous"))</f>
        <v/>
      </c>
      <c r="I874" t="str">
        <f>IF(A874="","",IFERROR(_xlfn.XLOOKUP(D874,Setup!$E$15:$E$79,Setup!$G$15:$G$79),"Uncategorized"))</f>
        <v/>
      </c>
      <c r="J874" t="str">
        <f t="shared" si="71"/>
        <v/>
      </c>
      <c r="K874" s="4" t="str">
        <f t="shared" si="72"/>
        <v/>
      </c>
      <c r="L874" s="47">
        <f t="shared" si="73"/>
        <v>0</v>
      </c>
      <c r="M874" s="47">
        <f t="shared" si="74"/>
        <v>0</v>
      </c>
      <c r="N874" t="str">
        <f>IF(A874="","",IF(D874="Category Pending","Needs categorization",IF(COUNTIFS($A$2:A874,A874,$B$2:B874,B874,$E$2:E874,E874)&gt;1,"Possible duplicate","")))</f>
        <v/>
      </c>
    </row>
    <row r="875" spans="3:14" x14ac:dyDescent="0.3">
      <c r="C875" s="16"/>
      <c r="G875" s="5" t="str">
        <f t="shared" si="70"/>
        <v/>
      </c>
      <c r="H875" t="str">
        <f>IF(A875="","",IFERROR(_xlfn.XLOOKUP(D875,Setup!$E$15:$E$79,Setup!$F$15:$F$79),"Miscellaneous"))</f>
        <v/>
      </c>
      <c r="I875" t="str">
        <f>IF(A875="","",IFERROR(_xlfn.XLOOKUP(D875,Setup!$E$15:$E$79,Setup!$G$15:$G$79),"Uncategorized"))</f>
        <v/>
      </c>
      <c r="J875" t="str">
        <f t="shared" si="71"/>
        <v/>
      </c>
      <c r="K875" s="4" t="str">
        <f t="shared" si="72"/>
        <v/>
      </c>
      <c r="L875" s="47">
        <f t="shared" si="73"/>
        <v>0</v>
      </c>
      <c r="M875" s="47">
        <f t="shared" si="74"/>
        <v>0</v>
      </c>
      <c r="N875" t="str">
        <f>IF(A875="","",IF(D875="Category Pending","Needs categorization",IF(COUNTIFS($A$2:A875,A875,$B$2:B875,B875,$E$2:E875,E875)&gt;1,"Possible duplicate","")))</f>
        <v/>
      </c>
    </row>
    <row r="876" spans="3:14" x14ac:dyDescent="0.3">
      <c r="C876" s="16"/>
      <c r="G876" s="5" t="str">
        <f t="shared" si="70"/>
        <v/>
      </c>
      <c r="H876" t="str">
        <f>IF(A876="","",IFERROR(_xlfn.XLOOKUP(D876,Setup!$E$15:$E$79,Setup!$F$15:$F$79),"Miscellaneous"))</f>
        <v/>
      </c>
      <c r="I876" t="str">
        <f>IF(A876="","",IFERROR(_xlfn.XLOOKUP(D876,Setup!$E$15:$E$79,Setup!$G$15:$G$79),"Uncategorized"))</f>
        <v/>
      </c>
      <c r="J876" t="str">
        <f t="shared" si="71"/>
        <v/>
      </c>
      <c r="K876" s="4" t="str">
        <f t="shared" si="72"/>
        <v/>
      </c>
      <c r="L876" s="47">
        <f t="shared" si="73"/>
        <v>0</v>
      </c>
      <c r="M876" s="47">
        <f t="shared" si="74"/>
        <v>0</v>
      </c>
      <c r="N876" t="str">
        <f>IF(A876="","",IF(D876="Category Pending","Needs categorization",IF(COUNTIFS($A$2:A876,A876,$B$2:B876,B876,$E$2:E876,E876)&gt;1,"Possible duplicate","")))</f>
        <v/>
      </c>
    </row>
    <row r="877" spans="3:14" x14ac:dyDescent="0.3">
      <c r="C877" s="16"/>
      <c r="G877" s="5" t="str">
        <f t="shared" si="70"/>
        <v/>
      </c>
      <c r="H877" t="str">
        <f>IF(A877="","",IFERROR(_xlfn.XLOOKUP(D877,Setup!$E$15:$E$79,Setup!$F$15:$F$79),"Miscellaneous"))</f>
        <v/>
      </c>
      <c r="I877" t="str">
        <f>IF(A877="","",IFERROR(_xlfn.XLOOKUP(D877,Setup!$E$15:$E$79,Setup!$G$15:$G$79),"Uncategorized"))</f>
        <v/>
      </c>
      <c r="J877" t="str">
        <f t="shared" si="71"/>
        <v/>
      </c>
      <c r="K877" s="4" t="str">
        <f t="shared" si="72"/>
        <v/>
      </c>
      <c r="L877" s="47">
        <f t="shared" si="73"/>
        <v>0</v>
      </c>
      <c r="M877" s="47">
        <f t="shared" si="74"/>
        <v>0</v>
      </c>
      <c r="N877" t="str">
        <f>IF(A877="","",IF(D877="Category Pending","Needs categorization",IF(COUNTIFS($A$2:A877,A877,$B$2:B877,B877,$E$2:E877,E877)&gt;1,"Possible duplicate","")))</f>
        <v/>
      </c>
    </row>
    <row r="878" spans="3:14" x14ac:dyDescent="0.3">
      <c r="C878" s="16"/>
      <c r="G878" s="5" t="str">
        <f t="shared" si="70"/>
        <v/>
      </c>
      <c r="H878" t="str">
        <f>IF(A878="","",IFERROR(_xlfn.XLOOKUP(D878,Setup!$E$15:$E$79,Setup!$F$15:$F$79),"Miscellaneous"))</f>
        <v/>
      </c>
      <c r="I878" t="str">
        <f>IF(A878="","",IFERROR(_xlfn.XLOOKUP(D878,Setup!$E$15:$E$79,Setup!$G$15:$G$79),"Uncategorized"))</f>
        <v/>
      </c>
      <c r="J878" t="str">
        <f t="shared" si="71"/>
        <v/>
      </c>
      <c r="K878" s="4" t="str">
        <f t="shared" si="72"/>
        <v/>
      </c>
      <c r="L878" s="47">
        <f t="shared" si="73"/>
        <v>0</v>
      </c>
      <c r="M878" s="47">
        <f t="shared" si="74"/>
        <v>0</v>
      </c>
      <c r="N878" t="str">
        <f>IF(A878="","",IF(D878="Category Pending","Needs categorization",IF(COUNTIFS($A$2:A878,A878,$B$2:B878,B878,$E$2:E878,E878)&gt;1,"Possible duplicate","")))</f>
        <v/>
      </c>
    </row>
    <row r="879" spans="3:14" x14ac:dyDescent="0.3">
      <c r="C879" s="16"/>
      <c r="G879" s="5" t="str">
        <f t="shared" si="70"/>
        <v/>
      </c>
      <c r="H879" t="str">
        <f>IF(A879="","",IFERROR(_xlfn.XLOOKUP(D879,Setup!$E$15:$E$79,Setup!$F$15:$F$79),"Miscellaneous"))</f>
        <v/>
      </c>
      <c r="I879" t="str">
        <f>IF(A879="","",IFERROR(_xlfn.XLOOKUP(D879,Setup!$E$15:$E$79,Setup!$G$15:$G$79),"Uncategorized"))</f>
        <v/>
      </c>
      <c r="J879" t="str">
        <f t="shared" si="71"/>
        <v/>
      </c>
      <c r="K879" s="4" t="str">
        <f t="shared" si="72"/>
        <v/>
      </c>
      <c r="L879" s="47">
        <f t="shared" si="73"/>
        <v>0</v>
      </c>
      <c r="M879" s="47">
        <f t="shared" si="74"/>
        <v>0</v>
      </c>
      <c r="N879" t="str">
        <f>IF(A879="","",IF(D879="Category Pending","Needs categorization",IF(COUNTIFS($A$2:A879,A879,$B$2:B879,B879,$E$2:E879,E879)&gt;1,"Possible duplicate","")))</f>
        <v/>
      </c>
    </row>
    <row r="880" spans="3:14" x14ac:dyDescent="0.3">
      <c r="C880" s="16"/>
      <c r="G880" s="5" t="str">
        <f t="shared" si="70"/>
        <v/>
      </c>
      <c r="H880" t="str">
        <f>IF(A880="","",IFERROR(_xlfn.XLOOKUP(D880,Setup!$E$15:$E$79,Setup!$F$15:$F$79),"Miscellaneous"))</f>
        <v/>
      </c>
      <c r="I880" t="str">
        <f>IF(A880="","",IFERROR(_xlfn.XLOOKUP(D880,Setup!$E$15:$E$79,Setup!$G$15:$G$79),"Uncategorized"))</f>
        <v/>
      </c>
      <c r="J880" t="str">
        <f t="shared" si="71"/>
        <v/>
      </c>
      <c r="K880" s="4" t="str">
        <f t="shared" si="72"/>
        <v/>
      </c>
      <c r="L880" s="47">
        <f t="shared" si="73"/>
        <v>0</v>
      </c>
      <c r="M880" s="47">
        <f t="shared" si="74"/>
        <v>0</v>
      </c>
      <c r="N880" t="str">
        <f>IF(A880="","",IF(D880="Category Pending","Needs categorization",IF(COUNTIFS($A$2:A880,A880,$B$2:B880,B880,$E$2:E880,E880)&gt;1,"Possible duplicate","")))</f>
        <v/>
      </c>
    </row>
    <row r="881" spans="3:14" x14ac:dyDescent="0.3">
      <c r="C881" s="16"/>
      <c r="G881" s="5" t="str">
        <f t="shared" si="70"/>
        <v/>
      </c>
      <c r="H881" t="str">
        <f>IF(A881="","",IFERROR(_xlfn.XLOOKUP(D881,Setup!$E$15:$E$79,Setup!$F$15:$F$79),"Miscellaneous"))</f>
        <v/>
      </c>
      <c r="I881" t="str">
        <f>IF(A881="","",IFERROR(_xlfn.XLOOKUP(D881,Setup!$E$15:$E$79,Setup!$G$15:$G$79),"Uncategorized"))</f>
        <v/>
      </c>
      <c r="J881" t="str">
        <f t="shared" si="71"/>
        <v/>
      </c>
      <c r="K881" s="4" t="str">
        <f t="shared" si="72"/>
        <v/>
      </c>
      <c r="L881" s="47">
        <f t="shared" si="73"/>
        <v>0</v>
      </c>
      <c r="M881" s="47">
        <f t="shared" si="74"/>
        <v>0</v>
      </c>
      <c r="N881" t="str">
        <f>IF(A881="","",IF(D881="Category Pending","Needs categorization",IF(COUNTIFS($A$2:A881,A881,$B$2:B881,B881,$E$2:E881,E881)&gt;1,"Possible duplicate","")))</f>
        <v/>
      </c>
    </row>
    <row r="882" spans="3:14" x14ac:dyDescent="0.3">
      <c r="C882" s="16"/>
      <c r="G882" s="5" t="str">
        <f t="shared" si="70"/>
        <v/>
      </c>
      <c r="H882" t="str">
        <f>IF(A882="","",IFERROR(_xlfn.XLOOKUP(D882,Setup!$E$15:$E$79,Setup!$F$15:$F$79),"Miscellaneous"))</f>
        <v/>
      </c>
      <c r="I882" t="str">
        <f>IF(A882="","",IFERROR(_xlfn.XLOOKUP(D882,Setup!$E$15:$E$79,Setup!$G$15:$G$79),"Uncategorized"))</f>
        <v/>
      </c>
      <c r="J882" t="str">
        <f t="shared" si="71"/>
        <v/>
      </c>
      <c r="K882" s="4" t="str">
        <f t="shared" si="72"/>
        <v/>
      </c>
      <c r="L882" s="47">
        <f t="shared" si="73"/>
        <v>0</v>
      </c>
      <c r="M882" s="47">
        <f t="shared" si="74"/>
        <v>0</v>
      </c>
      <c r="N882" t="str">
        <f>IF(A882="","",IF(D882="Category Pending","Needs categorization",IF(COUNTIFS($A$2:A882,A882,$B$2:B882,B882,$E$2:E882,E882)&gt;1,"Possible duplicate","")))</f>
        <v/>
      </c>
    </row>
    <row r="883" spans="3:14" x14ac:dyDescent="0.3">
      <c r="C883" s="16"/>
      <c r="G883" s="5" t="str">
        <f t="shared" si="70"/>
        <v/>
      </c>
      <c r="H883" t="str">
        <f>IF(A883="","",IFERROR(_xlfn.XLOOKUP(D883,Setup!$E$15:$E$79,Setup!$F$15:$F$79),"Miscellaneous"))</f>
        <v/>
      </c>
      <c r="I883" t="str">
        <f>IF(A883="","",IFERROR(_xlfn.XLOOKUP(D883,Setup!$E$15:$E$79,Setup!$G$15:$G$79),"Uncategorized"))</f>
        <v/>
      </c>
      <c r="J883" t="str">
        <f t="shared" si="71"/>
        <v/>
      </c>
      <c r="K883" s="4" t="str">
        <f t="shared" si="72"/>
        <v/>
      </c>
      <c r="L883" s="47">
        <f t="shared" si="73"/>
        <v>0</v>
      </c>
      <c r="M883" s="47">
        <f t="shared" si="74"/>
        <v>0</v>
      </c>
      <c r="N883" t="str">
        <f>IF(A883="","",IF(D883="Category Pending","Needs categorization",IF(COUNTIFS($A$2:A883,A883,$B$2:B883,B883,$E$2:E883,E883)&gt;1,"Possible duplicate","")))</f>
        <v/>
      </c>
    </row>
    <row r="884" spans="3:14" x14ac:dyDescent="0.3">
      <c r="C884" s="16"/>
      <c r="G884" s="5" t="str">
        <f t="shared" si="70"/>
        <v/>
      </c>
      <c r="H884" t="str">
        <f>IF(A884="","",IFERROR(_xlfn.XLOOKUP(D884,Setup!$E$15:$E$79,Setup!$F$15:$F$79),"Miscellaneous"))</f>
        <v/>
      </c>
      <c r="I884" t="str">
        <f>IF(A884="","",IFERROR(_xlfn.XLOOKUP(D884,Setup!$E$15:$E$79,Setup!$G$15:$G$79),"Uncategorized"))</f>
        <v/>
      </c>
      <c r="J884" t="str">
        <f t="shared" si="71"/>
        <v/>
      </c>
      <c r="K884" s="4" t="str">
        <f t="shared" si="72"/>
        <v/>
      </c>
      <c r="L884" s="47">
        <f t="shared" si="73"/>
        <v>0</v>
      </c>
      <c r="M884" s="47">
        <f t="shared" si="74"/>
        <v>0</v>
      </c>
      <c r="N884" t="str">
        <f>IF(A884="","",IF(D884="Category Pending","Needs categorization",IF(COUNTIFS($A$2:A884,A884,$B$2:B884,B884,$E$2:E884,E884)&gt;1,"Possible duplicate","")))</f>
        <v/>
      </c>
    </row>
    <row r="885" spans="3:14" x14ac:dyDescent="0.3">
      <c r="C885" s="16"/>
      <c r="G885" s="5" t="str">
        <f t="shared" si="70"/>
        <v/>
      </c>
      <c r="H885" t="str">
        <f>IF(A885="","",IFERROR(_xlfn.XLOOKUP(D885,Setup!$E$15:$E$79,Setup!$F$15:$F$79),"Miscellaneous"))</f>
        <v/>
      </c>
      <c r="I885" t="str">
        <f>IF(A885="","",IFERROR(_xlfn.XLOOKUP(D885,Setup!$E$15:$E$79,Setup!$G$15:$G$79),"Uncategorized"))</f>
        <v/>
      </c>
      <c r="J885" t="str">
        <f t="shared" si="71"/>
        <v/>
      </c>
      <c r="K885" s="4" t="str">
        <f t="shared" si="72"/>
        <v/>
      </c>
      <c r="L885" s="47">
        <f t="shared" si="73"/>
        <v>0</v>
      </c>
      <c r="M885" s="47">
        <f t="shared" si="74"/>
        <v>0</v>
      </c>
      <c r="N885" t="str">
        <f>IF(A885="","",IF(D885="Category Pending","Needs categorization",IF(COUNTIFS($A$2:A885,A885,$B$2:B885,B885,$E$2:E885,E885)&gt;1,"Possible duplicate","")))</f>
        <v/>
      </c>
    </row>
    <row r="886" spans="3:14" x14ac:dyDescent="0.3">
      <c r="C886" s="16"/>
      <c r="G886" s="5" t="str">
        <f t="shared" si="70"/>
        <v/>
      </c>
      <c r="H886" t="str">
        <f>IF(A886="","",IFERROR(_xlfn.XLOOKUP(D886,Setup!$E$15:$E$79,Setup!$F$15:$F$79),"Miscellaneous"))</f>
        <v/>
      </c>
      <c r="I886" t="str">
        <f>IF(A886="","",IFERROR(_xlfn.XLOOKUP(D886,Setup!$E$15:$E$79,Setup!$G$15:$G$79),"Uncategorized"))</f>
        <v/>
      </c>
      <c r="J886" t="str">
        <f t="shared" si="71"/>
        <v/>
      </c>
      <c r="K886" s="4" t="str">
        <f t="shared" si="72"/>
        <v/>
      </c>
      <c r="L886" s="47">
        <f t="shared" si="73"/>
        <v>0</v>
      </c>
      <c r="M886" s="47">
        <f t="shared" si="74"/>
        <v>0</v>
      </c>
      <c r="N886" t="str">
        <f>IF(A886="","",IF(D886="Category Pending","Needs categorization",IF(COUNTIFS($A$2:A886,A886,$B$2:B886,B886,$E$2:E886,E886)&gt;1,"Possible duplicate","")))</f>
        <v/>
      </c>
    </row>
    <row r="887" spans="3:14" x14ac:dyDescent="0.3">
      <c r="C887" s="16"/>
      <c r="G887" s="5" t="str">
        <f t="shared" si="70"/>
        <v/>
      </c>
      <c r="H887" t="str">
        <f>IF(A887="","",IFERROR(_xlfn.XLOOKUP(D887,Setup!$E$15:$E$79,Setup!$F$15:$F$79),"Miscellaneous"))</f>
        <v/>
      </c>
      <c r="I887" t="str">
        <f>IF(A887="","",IFERROR(_xlfn.XLOOKUP(D887,Setup!$E$15:$E$79,Setup!$G$15:$G$79),"Uncategorized"))</f>
        <v/>
      </c>
      <c r="J887" t="str">
        <f t="shared" si="71"/>
        <v/>
      </c>
      <c r="K887" s="4" t="str">
        <f t="shared" si="72"/>
        <v/>
      </c>
      <c r="L887" s="47">
        <f t="shared" si="73"/>
        <v>0</v>
      </c>
      <c r="M887" s="47">
        <f t="shared" si="74"/>
        <v>0</v>
      </c>
      <c r="N887" t="str">
        <f>IF(A887="","",IF(D887="Category Pending","Needs categorization",IF(COUNTIFS($A$2:A887,A887,$B$2:B887,B887,$E$2:E887,E887)&gt;1,"Possible duplicate","")))</f>
        <v/>
      </c>
    </row>
    <row r="888" spans="3:14" x14ac:dyDescent="0.3">
      <c r="C888" s="16"/>
      <c r="G888" s="5" t="str">
        <f t="shared" si="70"/>
        <v/>
      </c>
      <c r="H888" t="str">
        <f>IF(A888="","",IFERROR(_xlfn.XLOOKUP(D888,Setup!$E$15:$E$79,Setup!$F$15:$F$79),"Miscellaneous"))</f>
        <v/>
      </c>
      <c r="I888" t="str">
        <f>IF(A888="","",IFERROR(_xlfn.XLOOKUP(D888,Setup!$E$15:$E$79,Setup!$G$15:$G$79),"Uncategorized"))</f>
        <v/>
      </c>
      <c r="J888" t="str">
        <f t="shared" si="71"/>
        <v/>
      </c>
      <c r="K888" s="4" t="str">
        <f t="shared" si="72"/>
        <v/>
      </c>
      <c r="L888" s="47">
        <f t="shared" si="73"/>
        <v>0</v>
      </c>
      <c r="M888" s="47">
        <f t="shared" si="74"/>
        <v>0</v>
      </c>
      <c r="N888" t="str">
        <f>IF(A888="","",IF(D888="Category Pending","Needs categorization",IF(COUNTIFS($A$2:A888,A888,$B$2:B888,B888,$E$2:E888,E888)&gt;1,"Possible duplicate","")))</f>
        <v/>
      </c>
    </row>
    <row r="889" spans="3:14" x14ac:dyDescent="0.3">
      <c r="C889" s="16"/>
      <c r="G889" s="5" t="str">
        <f t="shared" si="70"/>
        <v/>
      </c>
      <c r="H889" t="str">
        <f>IF(A889="","",IFERROR(_xlfn.XLOOKUP(D889,Setup!$E$15:$E$79,Setup!$F$15:$F$79),"Miscellaneous"))</f>
        <v/>
      </c>
      <c r="I889" t="str">
        <f>IF(A889="","",IFERROR(_xlfn.XLOOKUP(D889,Setup!$E$15:$E$79,Setup!$G$15:$G$79),"Uncategorized"))</f>
        <v/>
      </c>
      <c r="J889" t="str">
        <f t="shared" si="71"/>
        <v/>
      </c>
      <c r="K889" s="4" t="str">
        <f t="shared" si="72"/>
        <v/>
      </c>
      <c r="L889" s="47">
        <f t="shared" si="73"/>
        <v>0</v>
      </c>
      <c r="M889" s="47">
        <f t="shared" si="74"/>
        <v>0</v>
      </c>
      <c r="N889" t="str">
        <f>IF(A889="","",IF(D889="Category Pending","Needs categorization",IF(COUNTIFS($A$2:A889,A889,$B$2:B889,B889,$E$2:E889,E889)&gt;1,"Possible duplicate","")))</f>
        <v/>
      </c>
    </row>
    <row r="890" spans="3:14" x14ac:dyDescent="0.3">
      <c r="C890" s="16"/>
      <c r="G890" s="5" t="str">
        <f t="shared" si="70"/>
        <v/>
      </c>
      <c r="H890" t="str">
        <f>IF(A890="","",IFERROR(_xlfn.XLOOKUP(D890,Setup!$E$15:$E$79,Setup!$F$15:$F$79),"Miscellaneous"))</f>
        <v/>
      </c>
      <c r="I890" t="str">
        <f>IF(A890="","",IFERROR(_xlfn.XLOOKUP(D890,Setup!$E$15:$E$79,Setup!$G$15:$G$79),"Uncategorized"))</f>
        <v/>
      </c>
      <c r="J890" t="str">
        <f t="shared" si="71"/>
        <v/>
      </c>
      <c r="K890" s="4" t="str">
        <f t="shared" si="72"/>
        <v/>
      </c>
      <c r="L890" s="47">
        <f t="shared" si="73"/>
        <v>0</v>
      </c>
      <c r="M890" s="47">
        <f t="shared" si="74"/>
        <v>0</v>
      </c>
      <c r="N890" t="str">
        <f>IF(A890="","",IF(D890="Category Pending","Needs categorization",IF(COUNTIFS($A$2:A890,A890,$B$2:B890,B890,$E$2:E890,E890)&gt;1,"Possible duplicate","")))</f>
        <v/>
      </c>
    </row>
    <row r="891" spans="3:14" x14ac:dyDescent="0.3">
      <c r="C891" s="16"/>
      <c r="G891" s="5" t="str">
        <f t="shared" si="70"/>
        <v/>
      </c>
      <c r="H891" t="str">
        <f>IF(A891="","",IFERROR(_xlfn.XLOOKUP(D891,Setup!$E$15:$E$79,Setup!$F$15:$F$79),"Miscellaneous"))</f>
        <v/>
      </c>
      <c r="I891" t="str">
        <f>IF(A891="","",IFERROR(_xlfn.XLOOKUP(D891,Setup!$E$15:$E$79,Setup!$G$15:$G$79),"Uncategorized"))</f>
        <v/>
      </c>
      <c r="J891" t="str">
        <f t="shared" si="71"/>
        <v/>
      </c>
      <c r="K891" s="4" t="str">
        <f t="shared" si="72"/>
        <v/>
      </c>
      <c r="L891" s="47">
        <f t="shared" si="73"/>
        <v>0</v>
      </c>
      <c r="M891" s="47">
        <f t="shared" si="74"/>
        <v>0</v>
      </c>
      <c r="N891" t="str">
        <f>IF(A891="","",IF(D891="Category Pending","Needs categorization",IF(COUNTIFS($A$2:A891,A891,$B$2:B891,B891,$E$2:E891,E891)&gt;1,"Possible duplicate","")))</f>
        <v/>
      </c>
    </row>
    <row r="892" spans="3:14" x14ac:dyDescent="0.3">
      <c r="C892" s="16"/>
      <c r="G892" s="5" t="str">
        <f t="shared" si="70"/>
        <v/>
      </c>
      <c r="H892" t="str">
        <f>IF(A892="","",IFERROR(_xlfn.XLOOKUP(D892,Setup!$E$15:$E$79,Setup!$F$15:$F$79),"Miscellaneous"))</f>
        <v/>
      </c>
      <c r="I892" t="str">
        <f>IF(A892="","",IFERROR(_xlfn.XLOOKUP(D892,Setup!$E$15:$E$79,Setup!$G$15:$G$79),"Uncategorized"))</f>
        <v/>
      </c>
      <c r="J892" t="str">
        <f t="shared" si="71"/>
        <v/>
      </c>
      <c r="K892" s="4" t="str">
        <f t="shared" si="72"/>
        <v/>
      </c>
      <c r="L892" s="47">
        <f t="shared" si="73"/>
        <v>0</v>
      </c>
      <c r="M892" s="47">
        <f t="shared" si="74"/>
        <v>0</v>
      </c>
      <c r="N892" t="str">
        <f>IF(A892="","",IF(D892="Category Pending","Needs categorization",IF(COUNTIFS($A$2:A892,A892,$B$2:B892,B892,$E$2:E892,E892)&gt;1,"Possible duplicate","")))</f>
        <v/>
      </c>
    </row>
    <row r="893" spans="3:14" x14ac:dyDescent="0.3">
      <c r="C893" s="16"/>
      <c r="G893" s="5" t="str">
        <f t="shared" si="70"/>
        <v/>
      </c>
      <c r="H893" t="str">
        <f>IF(A893="","",IFERROR(_xlfn.XLOOKUP(D893,Setup!$E$15:$E$79,Setup!$F$15:$F$79),"Miscellaneous"))</f>
        <v/>
      </c>
      <c r="I893" t="str">
        <f>IF(A893="","",IFERROR(_xlfn.XLOOKUP(D893,Setup!$E$15:$E$79,Setup!$G$15:$G$79),"Uncategorized"))</f>
        <v/>
      </c>
      <c r="J893" t="str">
        <f t="shared" si="71"/>
        <v/>
      </c>
      <c r="K893" s="4" t="str">
        <f t="shared" si="72"/>
        <v/>
      </c>
      <c r="L893" s="47">
        <f t="shared" si="73"/>
        <v>0</v>
      </c>
      <c r="M893" s="47">
        <f t="shared" si="74"/>
        <v>0</v>
      </c>
      <c r="N893" t="str">
        <f>IF(A893="","",IF(D893="Category Pending","Needs categorization",IF(COUNTIFS($A$2:A893,A893,$B$2:B893,B893,$E$2:E893,E893)&gt;1,"Possible duplicate","")))</f>
        <v/>
      </c>
    </row>
    <row r="894" spans="3:14" x14ac:dyDescent="0.3">
      <c r="C894" s="16"/>
      <c r="G894" s="5" t="str">
        <f t="shared" si="70"/>
        <v/>
      </c>
      <c r="H894" t="str">
        <f>IF(A894="","",IFERROR(_xlfn.XLOOKUP(D894,Setup!$E$15:$E$79,Setup!$F$15:$F$79),"Miscellaneous"))</f>
        <v/>
      </c>
      <c r="I894" t="str">
        <f>IF(A894="","",IFERROR(_xlfn.XLOOKUP(D894,Setup!$E$15:$E$79,Setup!$G$15:$G$79),"Uncategorized"))</f>
        <v/>
      </c>
      <c r="J894" t="str">
        <f t="shared" si="71"/>
        <v/>
      </c>
      <c r="K894" s="4" t="str">
        <f t="shared" si="72"/>
        <v/>
      </c>
      <c r="L894" s="47">
        <f t="shared" si="73"/>
        <v>0</v>
      </c>
      <c r="M894" s="47">
        <f t="shared" si="74"/>
        <v>0</v>
      </c>
      <c r="N894" t="str">
        <f>IF(A894="","",IF(D894="Category Pending","Needs categorization",IF(COUNTIFS($A$2:A894,A894,$B$2:B894,B894,$E$2:E894,E894)&gt;1,"Possible duplicate","")))</f>
        <v/>
      </c>
    </row>
    <row r="895" spans="3:14" x14ac:dyDescent="0.3">
      <c r="C895" s="16"/>
      <c r="G895" s="5" t="str">
        <f t="shared" si="70"/>
        <v/>
      </c>
      <c r="H895" t="str">
        <f>IF(A895="","",IFERROR(_xlfn.XLOOKUP(D895,Setup!$E$15:$E$79,Setup!$F$15:$F$79),"Miscellaneous"))</f>
        <v/>
      </c>
      <c r="I895" t="str">
        <f>IF(A895="","",IFERROR(_xlfn.XLOOKUP(D895,Setup!$E$15:$E$79,Setup!$G$15:$G$79),"Uncategorized"))</f>
        <v/>
      </c>
      <c r="J895" t="str">
        <f t="shared" si="71"/>
        <v/>
      </c>
      <c r="K895" s="4" t="str">
        <f t="shared" si="72"/>
        <v/>
      </c>
      <c r="L895" s="47">
        <f t="shared" si="73"/>
        <v>0</v>
      </c>
      <c r="M895" s="47">
        <f t="shared" si="74"/>
        <v>0</v>
      </c>
      <c r="N895" t="str">
        <f>IF(A895="","",IF(D895="Category Pending","Needs categorization",IF(COUNTIFS($A$2:A895,A895,$B$2:B895,B895,$E$2:E895,E895)&gt;1,"Possible duplicate","")))</f>
        <v/>
      </c>
    </row>
    <row r="896" spans="3:14" x14ac:dyDescent="0.3">
      <c r="C896" s="16"/>
      <c r="G896" s="5" t="str">
        <f t="shared" si="70"/>
        <v/>
      </c>
      <c r="H896" t="str">
        <f>IF(A896="","",IFERROR(_xlfn.XLOOKUP(D896,Setup!$E$15:$E$79,Setup!$F$15:$F$79),"Miscellaneous"))</f>
        <v/>
      </c>
      <c r="I896" t="str">
        <f>IF(A896="","",IFERROR(_xlfn.XLOOKUP(D896,Setup!$E$15:$E$79,Setup!$G$15:$G$79),"Uncategorized"))</f>
        <v/>
      </c>
      <c r="J896" t="str">
        <f t="shared" si="71"/>
        <v/>
      </c>
      <c r="K896" s="4" t="str">
        <f t="shared" si="72"/>
        <v/>
      </c>
      <c r="L896" s="47">
        <f t="shared" si="73"/>
        <v>0</v>
      </c>
      <c r="M896" s="47">
        <f t="shared" si="74"/>
        <v>0</v>
      </c>
      <c r="N896" t="str">
        <f>IF(A896="","",IF(D896="Category Pending","Needs categorization",IF(COUNTIFS($A$2:A896,A896,$B$2:B896,B896,$E$2:E896,E896)&gt;1,"Possible duplicate","")))</f>
        <v/>
      </c>
    </row>
    <row r="897" spans="3:14" x14ac:dyDescent="0.3">
      <c r="C897" s="16"/>
      <c r="G897" s="5" t="str">
        <f t="shared" si="70"/>
        <v/>
      </c>
      <c r="H897" t="str">
        <f>IF(A897="","",IFERROR(_xlfn.XLOOKUP(D897,Setup!$E$15:$E$79,Setup!$F$15:$F$79),"Miscellaneous"))</f>
        <v/>
      </c>
      <c r="I897" t="str">
        <f>IF(A897="","",IFERROR(_xlfn.XLOOKUP(D897,Setup!$E$15:$E$79,Setup!$G$15:$G$79),"Uncategorized"))</f>
        <v/>
      </c>
      <c r="J897" t="str">
        <f t="shared" si="71"/>
        <v/>
      </c>
      <c r="K897" s="4" t="str">
        <f t="shared" si="72"/>
        <v/>
      </c>
      <c r="L897" s="47">
        <f t="shared" si="73"/>
        <v>0</v>
      </c>
      <c r="M897" s="47">
        <f t="shared" si="74"/>
        <v>0</v>
      </c>
      <c r="N897" t="str">
        <f>IF(A897="","",IF(D897="Category Pending","Needs categorization",IF(COUNTIFS($A$2:A897,A897,$B$2:B897,B897,$E$2:E897,E897)&gt;1,"Possible duplicate","")))</f>
        <v/>
      </c>
    </row>
    <row r="898" spans="3:14" x14ac:dyDescent="0.3">
      <c r="C898" s="16"/>
      <c r="G898" s="5" t="str">
        <f t="shared" si="70"/>
        <v/>
      </c>
      <c r="H898" t="str">
        <f>IF(A898="","",IFERROR(_xlfn.XLOOKUP(D898,Setup!$E$15:$E$79,Setup!$F$15:$F$79),"Miscellaneous"))</f>
        <v/>
      </c>
      <c r="I898" t="str">
        <f>IF(A898="","",IFERROR(_xlfn.XLOOKUP(D898,Setup!$E$15:$E$79,Setup!$G$15:$G$79),"Uncategorized"))</f>
        <v/>
      </c>
      <c r="J898" t="str">
        <f t="shared" si="71"/>
        <v/>
      </c>
      <c r="K898" s="4" t="str">
        <f t="shared" si="72"/>
        <v/>
      </c>
      <c r="L898" s="47">
        <f t="shared" si="73"/>
        <v>0</v>
      </c>
      <c r="M898" s="47">
        <f t="shared" si="74"/>
        <v>0</v>
      </c>
      <c r="N898" t="str">
        <f>IF(A898="","",IF(D898="Category Pending","Needs categorization",IF(COUNTIFS($A$2:A898,A898,$B$2:B898,B898,$E$2:E898,E898)&gt;1,"Possible duplicate","")))</f>
        <v/>
      </c>
    </row>
    <row r="899" spans="3:14" x14ac:dyDescent="0.3">
      <c r="C899" s="16"/>
      <c r="G899" s="5" t="str">
        <f t="shared" si="70"/>
        <v/>
      </c>
      <c r="H899" t="str">
        <f>IF(A899="","",IFERROR(_xlfn.XLOOKUP(D899,Setup!$E$15:$E$79,Setup!$F$15:$F$79),"Miscellaneous"))</f>
        <v/>
      </c>
      <c r="I899" t="str">
        <f>IF(A899="","",IFERROR(_xlfn.XLOOKUP(D899,Setup!$E$15:$E$79,Setup!$G$15:$G$79),"Uncategorized"))</f>
        <v/>
      </c>
      <c r="J899" t="str">
        <f t="shared" si="71"/>
        <v/>
      </c>
      <c r="K899" s="4" t="str">
        <f t="shared" si="72"/>
        <v/>
      </c>
      <c r="L899" s="47">
        <f t="shared" si="73"/>
        <v>0</v>
      </c>
      <c r="M899" s="47">
        <f t="shared" si="74"/>
        <v>0</v>
      </c>
      <c r="N899" t="str">
        <f>IF(A899="","",IF(D899="Category Pending","Needs categorization",IF(COUNTIFS($A$2:A899,A899,$B$2:B899,B899,$E$2:E899,E899)&gt;1,"Possible duplicate","")))</f>
        <v/>
      </c>
    </row>
    <row r="900" spans="3:14" x14ac:dyDescent="0.3">
      <c r="C900" s="16"/>
      <c r="G900" s="5" t="str">
        <f t="shared" si="70"/>
        <v/>
      </c>
      <c r="H900" t="str">
        <f>IF(A900="","",IFERROR(_xlfn.XLOOKUP(D900,Setup!$E$15:$E$79,Setup!$F$15:$F$79),"Miscellaneous"))</f>
        <v/>
      </c>
      <c r="I900" t="str">
        <f>IF(A900="","",IFERROR(_xlfn.XLOOKUP(D900,Setup!$E$15:$E$79,Setup!$G$15:$G$79),"Uncategorized"))</f>
        <v/>
      </c>
      <c r="J900" t="str">
        <f t="shared" si="71"/>
        <v/>
      </c>
      <c r="K900" s="4" t="str">
        <f t="shared" si="72"/>
        <v/>
      </c>
      <c r="L900" s="47">
        <f t="shared" si="73"/>
        <v>0</v>
      </c>
      <c r="M900" s="47">
        <f t="shared" si="74"/>
        <v>0</v>
      </c>
      <c r="N900" t="str">
        <f>IF(A900="","",IF(D900="Category Pending","Needs categorization",IF(COUNTIFS($A$2:A900,A900,$B$2:B900,B900,$E$2:E900,E900)&gt;1,"Possible duplicate","")))</f>
        <v/>
      </c>
    </row>
    <row r="901" spans="3:14" x14ac:dyDescent="0.3">
      <c r="C901" s="16"/>
      <c r="G901" s="5" t="str">
        <f t="shared" si="70"/>
        <v/>
      </c>
      <c r="H901" t="str">
        <f>IF(A901="","",IFERROR(_xlfn.XLOOKUP(D901,Setup!$E$15:$E$79,Setup!$F$15:$F$79),"Miscellaneous"))</f>
        <v/>
      </c>
      <c r="I901" t="str">
        <f>IF(A901="","",IFERROR(_xlfn.XLOOKUP(D901,Setup!$E$15:$E$79,Setup!$G$15:$G$79),"Uncategorized"))</f>
        <v/>
      </c>
      <c r="J901" t="str">
        <f t="shared" si="71"/>
        <v/>
      </c>
      <c r="K901" s="4" t="str">
        <f t="shared" si="72"/>
        <v/>
      </c>
      <c r="L901" s="47">
        <f t="shared" si="73"/>
        <v>0</v>
      </c>
      <c r="M901" s="47">
        <f t="shared" si="74"/>
        <v>0</v>
      </c>
      <c r="N901" t="str">
        <f>IF(A901="","",IF(D901="Category Pending","Needs categorization",IF(COUNTIFS($A$2:A901,A901,$B$2:B901,B901,$E$2:E901,E901)&gt;1,"Possible duplicate","")))</f>
        <v/>
      </c>
    </row>
    <row r="902" spans="3:14" x14ac:dyDescent="0.3">
      <c r="C902" s="16"/>
      <c r="G902" s="5" t="str">
        <f t="shared" si="70"/>
        <v/>
      </c>
      <c r="H902" t="str">
        <f>IF(A902="","",IFERROR(_xlfn.XLOOKUP(D902,Setup!$E$15:$E$79,Setup!$F$15:$F$79),"Miscellaneous"))</f>
        <v/>
      </c>
      <c r="I902" t="str">
        <f>IF(A902="","",IFERROR(_xlfn.XLOOKUP(D902,Setup!$E$15:$E$79,Setup!$G$15:$G$79),"Uncategorized"))</f>
        <v/>
      </c>
      <c r="J902" t="str">
        <f t="shared" si="71"/>
        <v/>
      </c>
      <c r="K902" s="4" t="str">
        <f t="shared" si="72"/>
        <v/>
      </c>
      <c r="L902" s="47">
        <f t="shared" si="73"/>
        <v>0</v>
      </c>
      <c r="M902" s="47">
        <f t="shared" si="74"/>
        <v>0</v>
      </c>
      <c r="N902" t="str">
        <f>IF(A902="","",IF(D902="Category Pending","Needs categorization",IF(COUNTIFS($A$2:A902,A902,$B$2:B902,B902,$E$2:E902,E902)&gt;1,"Possible duplicate","")))</f>
        <v/>
      </c>
    </row>
    <row r="903" spans="3:14" x14ac:dyDescent="0.3">
      <c r="C903" s="16"/>
      <c r="G903" s="5" t="str">
        <f t="shared" si="70"/>
        <v/>
      </c>
      <c r="H903" t="str">
        <f>IF(A903="","",IFERROR(_xlfn.XLOOKUP(D903,Setup!$E$15:$E$79,Setup!$F$15:$F$79),"Miscellaneous"))</f>
        <v/>
      </c>
      <c r="I903" t="str">
        <f>IF(A903="","",IFERROR(_xlfn.XLOOKUP(D903,Setup!$E$15:$E$79,Setup!$G$15:$G$79),"Uncategorized"))</f>
        <v/>
      </c>
      <c r="J903" t="str">
        <f t="shared" si="71"/>
        <v/>
      </c>
      <c r="K903" s="4" t="str">
        <f t="shared" si="72"/>
        <v/>
      </c>
      <c r="L903" s="47">
        <f t="shared" si="73"/>
        <v>0</v>
      </c>
      <c r="M903" s="47">
        <f t="shared" si="74"/>
        <v>0</v>
      </c>
      <c r="N903" t="str">
        <f>IF(A903="","",IF(D903="Category Pending","Needs categorization",IF(COUNTIFS($A$2:A903,A903,$B$2:B903,B903,$E$2:E903,E903)&gt;1,"Possible duplicate","")))</f>
        <v/>
      </c>
    </row>
    <row r="904" spans="3:14" x14ac:dyDescent="0.3">
      <c r="C904" s="16"/>
      <c r="G904" s="5" t="str">
        <f t="shared" si="70"/>
        <v/>
      </c>
      <c r="H904" t="str">
        <f>IF(A904="","",IFERROR(_xlfn.XLOOKUP(D904,Setup!$E$15:$E$79,Setup!$F$15:$F$79),"Miscellaneous"))</f>
        <v/>
      </c>
      <c r="I904" t="str">
        <f>IF(A904="","",IFERROR(_xlfn.XLOOKUP(D904,Setup!$E$15:$E$79,Setup!$G$15:$G$79),"Uncategorized"))</f>
        <v/>
      </c>
      <c r="J904" t="str">
        <f t="shared" si="71"/>
        <v/>
      </c>
      <c r="K904" s="4" t="str">
        <f t="shared" si="72"/>
        <v/>
      </c>
      <c r="L904" s="47">
        <f t="shared" si="73"/>
        <v>0</v>
      </c>
      <c r="M904" s="47">
        <f t="shared" si="74"/>
        <v>0</v>
      </c>
      <c r="N904" t="str">
        <f>IF(A904="","",IF(D904="Category Pending","Needs categorization",IF(COUNTIFS($A$2:A904,A904,$B$2:B904,B904,$E$2:E904,E904)&gt;1,"Possible duplicate","")))</f>
        <v/>
      </c>
    </row>
    <row r="905" spans="3:14" x14ac:dyDescent="0.3">
      <c r="C905" s="16"/>
      <c r="G905" s="5" t="str">
        <f t="shared" si="70"/>
        <v/>
      </c>
      <c r="H905" t="str">
        <f>IF(A905="","",IFERROR(_xlfn.XLOOKUP(D905,Setup!$E$15:$E$79,Setup!$F$15:$F$79),"Miscellaneous"))</f>
        <v/>
      </c>
      <c r="I905" t="str">
        <f>IF(A905="","",IFERROR(_xlfn.XLOOKUP(D905,Setup!$E$15:$E$79,Setup!$G$15:$G$79),"Uncategorized"))</f>
        <v/>
      </c>
      <c r="J905" t="str">
        <f t="shared" si="71"/>
        <v/>
      </c>
      <c r="K905" s="4" t="str">
        <f t="shared" si="72"/>
        <v/>
      </c>
      <c r="L905" s="47">
        <f t="shared" si="73"/>
        <v>0</v>
      </c>
      <c r="M905" s="47">
        <f t="shared" si="74"/>
        <v>0</v>
      </c>
      <c r="N905" t="str">
        <f>IF(A905="","",IF(D905="Category Pending","Needs categorization",IF(COUNTIFS($A$2:A905,A905,$B$2:B905,B905,$E$2:E905,E905)&gt;1,"Possible duplicate","")))</f>
        <v/>
      </c>
    </row>
    <row r="906" spans="3:14" x14ac:dyDescent="0.3">
      <c r="C906" s="16"/>
      <c r="G906" s="5" t="str">
        <f t="shared" si="70"/>
        <v/>
      </c>
      <c r="H906" t="str">
        <f>IF(A906="","",IFERROR(_xlfn.XLOOKUP(D906,Setup!$E$15:$E$79,Setup!$F$15:$F$79),"Miscellaneous"))</f>
        <v/>
      </c>
      <c r="I906" t="str">
        <f>IF(A906="","",IFERROR(_xlfn.XLOOKUP(D906,Setup!$E$15:$E$79,Setup!$G$15:$G$79),"Uncategorized"))</f>
        <v/>
      </c>
      <c r="J906" t="str">
        <f t="shared" si="71"/>
        <v/>
      </c>
      <c r="K906" s="4" t="str">
        <f t="shared" si="72"/>
        <v/>
      </c>
      <c r="L906" s="47">
        <f t="shared" si="73"/>
        <v>0</v>
      </c>
      <c r="M906" s="47">
        <f t="shared" si="74"/>
        <v>0</v>
      </c>
      <c r="N906" t="str">
        <f>IF(A906="","",IF(D906="Category Pending","Needs categorization",IF(COUNTIFS($A$2:A906,A906,$B$2:B906,B906,$E$2:E906,E906)&gt;1,"Possible duplicate","")))</f>
        <v/>
      </c>
    </row>
    <row r="907" spans="3:14" x14ac:dyDescent="0.3">
      <c r="C907" s="16"/>
      <c r="G907" s="5" t="str">
        <f t="shared" si="70"/>
        <v/>
      </c>
      <c r="H907" t="str">
        <f>IF(A907="","",IFERROR(_xlfn.XLOOKUP(D907,Setup!$E$15:$E$79,Setup!$F$15:$F$79),"Miscellaneous"))</f>
        <v/>
      </c>
      <c r="I907" t="str">
        <f>IF(A907="","",IFERROR(_xlfn.XLOOKUP(D907,Setup!$E$15:$E$79,Setup!$G$15:$G$79),"Uncategorized"))</f>
        <v/>
      </c>
      <c r="J907" t="str">
        <f t="shared" si="71"/>
        <v/>
      </c>
      <c r="K907" s="4" t="str">
        <f t="shared" si="72"/>
        <v/>
      </c>
      <c r="L907" s="47">
        <f t="shared" si="73"/>
        <v>0</v>
      </c>
      <c r="M907" s="47">
        <f t="shared" si="74"/>
        <v>0</v>
      </c>
      <c r="N907" t="str">
        <f>IF(A907="","",IF(D907="Category Pending","Needs categorization",IF(COUNTIFS($A$2:A907,A907,$B$2:B907,B907,$E$2:E907,E907)&gt;1,"Possible duplicate","")))</f>
        <v/>
      </c>
    </row>
    <row r="908" spans="3:14" x14ac:dyDescent="0.3">
      <c r="C908" s="16"/>
      <c r="G908" s="5" t="str">
        <f t="shared" si="70"/>
        <v/>
      </c>
      <c r="H908" t="str">
        <f>IF(A908="","",IFERROR(_xlfn.XLOOKUP(D908,Setup!$E$15:$E$79,Setup!$F$15:$F$79),"Miscellaneous"))</f>
        <v/>
      </c>
      <c r="I908" t="str">
        <f>IF(A908="","",IFERROR(_xlfn.XLOOKUP(D908,Setup!$E$15:$E$79,Setup!$G$15:$G$79),"Uncategorized"))</f>
        <v/>
      </c>
      <c r="J908" t="str">
        <f t="shared" si="71"/>
        <v/>
      </c>
      <c r="K908" s="4" t="str">
        <f t="shared" si="72"/>
        <v/>
      </c>
      <c r="L908" s="47">
        <f t="shared" si="73"/>
        <v>0</v>
      </c>
      <c r="M908" s="47">
        <f t="shared" si="74"/>
        <v>0</v>
      </c>
      <c r="N908" t="str">
        <f>IF(A908="","",IF(D908="Category Pending","Needs categorization",IF(COUNTIFS($A$2:A908,A908,$B$2:B908,B908,$E$2:E908,E908)&gt;1,"Possible duplicate","")))</f>
        <v/>
      </c>
    </row>
    <row r="909" spans="3:14" x14ac:dyDescent="0.3">
      <c r="C909" s="16"/>
      <c r="G909" s="5" t="str">
        <f t="shared" si="70"/>
        <v/>
      </c>
      <c r="H909" t="str">
        <f>IF(A909="","",IFERROR(_xlfn.XLOOKUP(D909,Setup!$E$15:$E$79,Setup!$F$15:$F$79),"Miscellaneous"))</f>
        <v/>
      </c>
      <c r="I909" t="str">
        <f>IF(A909="","",IFERROR(_xlfn.XLOOKUP(D909,Setup!$E$15:$E$79,Setup!$G$15:$G$79),"Uncategorized"))</f>
        <v/>
      </c>
      <c r="J909" t="str">
        <f t="shared" si="71"/>
        <v/>
      </c>
      <c r="K909" s="4" t="str">
        <f t="shared" si="72"/>
        <v/>
      </c>
      <c r="L909" s="47">
        <f t="shared" si="73"/>
        <v>0</v>
      </c>
      <c r="M909" s="47">
        <f t="shared" si="74"/>
        <v>0</v>
      </c>
      <c r="N909" t="str">
        <f>IF(A909="","",IF(D909="Category Pending","Needs categorization",IF(COUNTIFS($A$2:A909,A909,$B$2:B909,B909,$E$2:E909,E909)&gt;1,"Possible duplicate","")))</f>
        <v/>
      </c>
    </row>
    <row r="910" spans="3:14" x14ac:dyDescent="0.3">
      <c r="C910" s="16"/>
      <c r="G910" s="5" t="str">
        <f t="shared" si="70"/>
        <v/>
      </c>
      <c r="H910" t="str">
        <f>IF(A910="","",IFERROR(_xlfn.XLOOKUP(D910,Setup!$E$15:$E$79,Setup!$F$15:$F$79),"Miscellaneous"))</f>
        <v/>
      </c>
      <c r="I910" t="str">
        <f>IF(A910="","",IFERROR(_xlfn.XLOOKUP(D910,Setup!$E$15:$E$79,Setup!$G$15:$G$79),"Uncategorized"))</f>
        <v/>
      </c>
      <c r="J910" t="str">
        <f t="shared" si="71"/>
        <v/>
      </c>
      <c r="K910" s="4" t="str">
        <f t="shared" si="72"/>
        <v/>
      </c>
      <c r="L910" s="47">
        <f t="shared" si="73"/>
        <v>0</v>
      </c>
      <c r="M910" s="47">
        <f t="shared" si="74"/>
        <v>0</v>
      </c>
      <c r="N910" t="str">
        <f>IF(A910="","",IF(D910="Category Pending","Needs categorization",IF(COUNTIFS($A$2:A910,A910,$B$2:B910,B910,$E$2:E910,E910)&gt;1,"Possible duplicate","")))</f>
        <v/>
      </c>
    </row>
    <row r="911" spans="3:14" x14ac:dyDescent="0.3">
      <c r="C911" s="16"/>
      <c r="G911" s="5" t="str">
        <f t="shared" si="70"/>
        <v/>
      </c>
      <c r="H911" t="str">
        <f>IF(A911="","",IFERROR(_xlfn.XLOOKUP(D911,Setup!$E$15:$E$79,Setup!$F$15:$F$79),"Miscellaneous"))</f>
        <v/>
      </c>
      <c r="I911" t="str">
        <f>IF(A911="","",IFERROR(_xlfn.XLOOKUP(D911,Setup!$E$15:$E$79,Setup!$G$15:$G$79),"Uncategorized"))</f>
        <v/>
      </c>
      <c r="J911" t="str">
        <f t="shared" si="71"/>
        <v/>
      </c>
      <c r="K911" s="4" t="str">
        <f t="shared" si="72"/>
        <v/>
      </c>
      <c r="L911" s="47">
        <f t="shared" si="73"/>
        <v>0</v>
      </c>
      <c r="M911" s="47">
        <f t="shared" si="74"/>
        <v>0</v>
      </c>
      <c r="N911" t="str">
        <f>IF(A911="","",IF(D911="Category Pending","Needs categorization",IF(COUNTIFS($A$2:A911,A911,$B$2:B911,B911,$E$2:E911,E911)&gt;1,"Possible duplicate","")))</f>
        <v/>
      </c>
    </row>
    <row r="912" spans="3:14" x14ac:dyDescent="0.3">
      <c r="C912" s="16"/>
      <c r="G912" s="5" t="str">
        <f t="shared" si="70"/>
        <v/>
      </c>
      <c r="H912" t="str">
        <f>IF(A912="","",IFERROR(_xlfn.XLOOKUP(D912,Setup!$E$15:$E$79,Setup!$F$15:$F$79),"Miscellaneous"))</f>
        <v/>
      </c>
      <c r="I912" t="str">
        <f>IF(A912="","",IFERROR(_xlfn.XLOOKUP(D912,Setup!$E$15:$E$79,Setup!$G$15:$G$79),"Uncategorized"))</f>
        <v/>
      </c>
      <c r="J912" t="str">
        <f t="shared" si="71"/>
        <v/>
      </c>
      <c r="K912" s="4" t="str">
        <f t="shared" si="72"/>
        <v/>
      </c>
      <c r="L912" s="47">
        <f t="shared" si="73"/>
        <v>0</v>
      </c>
      <c r="M912" s="47">
        <f t="shared" si="74"/>
        <v>0</v>
      </c>
      <c r="N912" t="str">
        <f>IF(A912="","",IF(D912="Category Pending","Needs categorization",IF(COUNTIFS($A$2:A912,A912,$B$2:B912,B912,$E$2:E912,E912)&gt;1,"Possible duplicate","")))</f>
        <v/>
      </c>
    </row>
    <row r="913" spans="3:14" x14ac:dyDescent="0.3">
      <c r="C913" s="16"/>
      <c r="G913" s="5" t="str">
        <f t="shared" si="70"/>
        <v/>
      </c>
      <c r="H913" t="str">
        <f>IF(A913="","",IFERROR(_xlfn.XLOOKUP(D913,Setup!$E$15:$E$79,Setup!$F$15:$F$79),"Miscellaneous"))</f>
        <v/>
      </c>
      <c r="I913" t="str">
        <f>IF(A913="","",IFERROR(_xlfn.XLOOKUP(D913,Setup!$E$15:$E$79,Setup!$G$15:$G$79),"Uncategorized"))</f>
        <v/>
      </c>
      <c r="J913" t="str">
        <f t="shared" si="71"/>
        <v/>
      </c>
      <c r="K913" s="4" t="str">
        <f t="shared" si="72"/>
        <v/>
      </c>
      <c r="L913" s="47">
        <f t="shared" si="73"/>
        <v>0</v>
      </c>
      <c r="M913" s="47">
        <f t="shared" si="74"/>
        <v>0</v>
      </c>
      <c r="N913" t="str">
        <f>IF(A913="","",IF(D913="Category Pending","Needs categorization",IF(COUNTIFS($A$2:A913,A913,$B$2:B913,B913,$E$2:E913,E913)&gt;1,"Possible duplicate","")))</f>
        <v/>
      </c>
    </row>
    <row r="914" spans="3:14" x14ac:dyDescent="0.3">
      <c r="C914" s="16"/>
      <c r="G914" s="5" t="str">
        <f t="shared" si="70"/>
        <v/>
      </c>
      <c r="H914" t="str">
        <f>IF(A914="","",IFERROR(_xlfn.XLOOKUP(D914,Setup!$E$15:$E$79,Setup!$F$15:$F$79),"Miscellaneous"))</f>
        <v/>
      </c>
      <c r="I914" t="str">
        <f>IF(A914="","",IFERROR(_xlfn.XLOOKUP(D914,Setup!$E$15:$E$79,Setup!$G$15:$G$79),"Uncategorized"))</f>
        <v/>
      </c>
      <c r="J914" t="str">
        <f t="shared" si="71"/>
        <v/>
      </c>
      <c r="K914" s="4" t="str">
        <f t="shared" si="72"/>
        <v/>
      </c>
      <c r="L914" s="47">
        <f t="shared" si="73"/>
        <v>0</v>
      </c>
      <c r="M914" s="47">
        <f t="shared" si="74"/>
        <v>0</v>
      </c>
      <c r="N914" t="str">
        <f>IF(A914="","",IF(D914="Category Pending","Needs categorization",IF(COUNTIFS($A$2:A914,A914,$B$2:B914,B914,$E$2:E914,E914)&gt;1,"Possible duplicate","")))</f>
        <v/>
      </c>
    </row>
    <row r="915" spans="3:14" x14ac:dyDescent="0.3">
      <c r="C915" s="16"/>
      <c r="G915" s="5" t="str">
        <f t="shared" si="70"/>
        <v/>
      </c>
      <c r="H915" t="str">
        <f>IF(A915="","",IFERROR(_xlfn.XLOOKUP(D915,Setup!$E$15:$E$79,Setup!$F$15:$F$79),"Miscellaneous"))</f>
        <v/>
      </c>
      <c r="I915" t="str">
        <f>IF(A915="","",IFERROR(_xlfn.XLOOKUP(D915,Setup!$E$15:$E$79,Setup!$G$15:$G$79),"Uncategorized"))</f>
        <v/>
      </c>
      <c r="J915" t="str">
        <f t="shared" si="71"/>
        <v/>
      </c>
      <c r="K915" s="4" t="str">
        <f t="shared" si="72"/>
        <v/>
      </c>
      <c r="L915" s="47">
        <f t="shared" si="73"/>
        <v>0</v>
      </c>
      <c r="M915" s="47">
        <f t="shared" si="74"/>
        <v>0</v>
      </c>
      <c r="N915" t="str">
        <f>IF(A915="","",IF(D915="Category Pending","Needs categorization",IF(COUNTIFS($A$2:A915,A915,$B$2:B915,B915,$E$2:E915,E915)&gt;1,"Possible duplicate","")))</f>
        <v/>
      </c>
    </row>
    <row r="916" spans="3:14" x14ac:dyDescent="0.3">
      <c r="C916" s="16"/>
      <c r="G916" s="5" t="str">
        <f t="shared" si="70"/>
        <v/>
      </c>
      <c r="H916" t="str">
        <f>IF(A916="","",IFERROR(_xlfn.XLOOKUP(D916,Setup!$E$15:$E$79,Setup!$F$15:$F$79),"Miscellaneous"))</f>
        <v/>
      </c>
      <c r="I916" t="str">
        <f>IF(A916="","",IFERROR(_xlfn.XLOOKUP(D916,Setup!$E$15:$E$79,Setup!$G$15:$G$79),"Uncategorized"))</f>
        <v/>
      </c>
      <c r="J916" t="str">
        <f t="shared" si="71"/>
        <v/>
      </c>
      <c r="K916" s="4" t="str">
        <f t="shared" si="72"/>
        <v/>
      </c>
      <c r="L916" s="47">
        <f t="shared" si="73"/>
        <v>0</v>
      </c>
      <c r="M916" s="47">
        <f t="shared" si="74"/>
        <v>0</v>
      </c>
      <c r="N916" t="str">
        <f>IF(A916="","",IF(D916="Category Pending","Needs categorization",IF(COUNTIFS($A$2:A916,A916,$B$2:B916,B916,$E$2:E916,E916)&gt;1,"Possible duplicate","")))</f>
        <v/>
      </c>
    </row>
    <row r="917" spans="3:14" x14ac:dyDescent="0.3">
      <c r="C917" s="16"/>
      <c r="G917" s="5" t="str">
        <f t="shared" si="70"/>
        <v/>
      </c>
      <c r="H917" t="str">
        <f>IF(A917="","",IFERROR(_xlfn.XLOOKUP(D917,Setup!$E$15:$E$79,Setup!$F$15:$F$79),"Miscellaneous"))</f>
        <v/>
      </c>
      <c r="I917" t="str">
        <f>IF(A917="","",IFERROR(_xlfn.XLOOKUP(D917,Setup!$E$15:$E$79,Setup!$G$15:$G$79),"Uncategorized"))</f>
        <v/>
      </c>
      <c r="J917" t="str">
        <f t="shared" si="71"/>
        <v/>
      </c>
      <c r="K917" s="4" t="str">
        <f t="shared" si="72"/>
        <v/>
      </c>
      <c r="L917" s="47">
        <f t="shared" si="73"/>
        <v>0</v>
      </c>
      <c r="M917" s="47">
        <f t="shared" si="74"/>
        <v>0</v>
      </c>
      <c r="N917" t="str">
        <f>IF(A917="","",IF(D917="Category Pending","Needs categorization",IF(COUNTIFS($A$2:A917,A917,$B$2:B917,B917,$E$2:E917,E917)&gt;1,"Possible duplicate","")))</f>
        <v/>
      </c>
    </row>
    <row r="918" spans="3:14" x14ac:dyDescent="0.3">
      <c r="C918" s="16"/>
      <c r="G918" s="5" t="str">
        <f t="shared" si="70"/>
        <v/>
      </c>
      <c r="H918" t="str">
        <f>IF(A918="","",IFERROR(_xlfn.XLOOKUP(D918,Setup!$E$15:$E$79,Setup!$F$15:$F$79),"Miscellaneous"))</f>
        <v/>
      </c>
      <c r="I918" t="str">
        <f>IF(A918="","",IFERROR(_xlfn.XLOOKUP(D918,Setup!$E$15:$E$79,Setup!$G$15:$G$79),"Uncategorized"))</f>
        <v/>
      </c>
      <c r="J918" t="str">
        <f t="shared" si="71"/>
        <v/>
      </c>
      <c r="K918" s="4" t="str">
        <f t="shared" si="72"/>
        <v/>
      </c>
      <c r="L918" s="47">
        <f t="shared" si="73"/>
        <v>0</v>
      </c>
      <c r="M918" s="47">
        <f t="shared" si="74"/>
        <v>0</v>
      </c>
      <c r="N918" t="str">
        <f>IF(A918="","",IF(D918="Category Pending","Needs categorization",IF(COUNTIFS($A$2:A918,A918,$B$2:B918,B918,$E$2:E918,E918)&gt;1,"Possible duplicate","")))</f>
        <v/>
      </c>
    </row>
    <row r="919" spans="3:14" x14ac:dyDescent="0.3">
      <c r="C919" s="16"/>
      <c r="G919" s="5" t="str">
        <f t="shared" si="70"/>
        <v/>
      </c>
      <c r="H919" t="str">
        <f>IF(A919="","",IFERROR(_xlfn.XLOOKUP(D919,Setup!$E$15:$E$79,Setup!$F$15:$F$79),"Miscellaneous"))</f>
        <v/>
      </c>
      <c r="I919" t="str">
        <f>IF(A919="","",IFERROR(_xlfn.XLOOKUP(D919,Setup!$E$15:$E$79,Setup!$G$15:$G$79),"Uncategorized"))</f>
        <v/>
      </c>
      <c r="J919" t="str">
        <f t="shared" si="71"/>
        <v/>
      </c>
      <c r="K919" s="4" t="str">
        <f t="shared" si="72"/>
        <v/>
      </c>
      <c r="L919" s="47">
        <f t="shared" si="73"/>
        <v>0</v>
      </c>
      <c r="M919" s="47">
        <f t="shared" si="74"/>
        <v>0</v>
      </c>
      <c r="N919" t="str">
        <f>IF(A919="","",IF(D919="Category Pending","Needs categorization",IF(COUNTIFS($A$2:A919,A919,$B$2:B919,B919,$E$2:E919,E919)&gt;1,"Possible duplicate","")))</f>
        <v/>
      </c>
    </row>
    <row r="920" spans="3:14" x14ac:dyDescent="0.3">
      <c r="C920" s="16"/>
      <c r="G920" s="5" t="str">
        <f t="shared" si="70"/>
        <v/>
      </c>
      <c r="H920" t="str">
        <f>IF(A920="","",IFERROR(_xlfn.XLOOKUP(D920,Setup!$E$15:$E$79,Setup!$F$15:$F$79),"Miscellaneous"))</f>
        <v/>
      </c>
      <c r="I920" t="str">
        <f>IF(A920="","",IFERROR(_xlfn.XLOOKUP(D920,Setup!$E$15:$E$79,Setup!$G$15:$G$79),"Uncategorized"))</f>
        <v/>
      </c>
      <c r="J920" t="str">
        <f t="shared" si="71"/>
        <v/>
      </c>
      <c r="K920" s="4" t="str">
        <f t="shared" si="72"/>
        <v/>
      </c>
      <c r="L920" s="47">
        <f t="shared" si="73"/>
        <v>0</v>
      </c>
      <c r="M920" s="47">
        <f t="shared" si="74"/>
        <v>0</v>
      </c>
      <c r="N920" t="str">
        <f>IF(A920="","",IF(D920="Category Pending","Needs categorization",IF(COUNTIFS($A$2:A920,A920,$B$2:B920,B920,$E$2:E920,E920)&gt;1,"Possible duplicate","")))</f>
        <v/>
      </c>
    </row>
    <row r="921" spans="3:14" x14ac:dyDescent="0.3">
      <c r="C921" s="16"/>
      <c r="G921" s="5" t="str">
        <f t="shared" si="70"/>
        <v/>
      </c>
      <c r="H921" t="str">
        <f>IF(A921="","",IFERROR(_xlfn.XLOOKUP(D921,Setup!$E$15:$E$79,Setup!$F$15:$F$79),"Miscellaneous"))</f>
        <v/>
      </c>
      <c r="I921" t="str">
        <f>IF(A921="","",IFERROR(_xlfn.XLOOKUP(D921,Setup!$E$15:$E$79,Setup!$G$15:$G$79),"Uncategorized"))</f>
        <v/>
      </c>
      <c r="J921" t="str">
        <f t="shared" si="71"/>
        <v/>
      </c>
      <c r="K921" s="4" t="str">
        <f t="shared" si="72"/>
        <v/>
      </c>
      <c r="L921" s="47">
        <f t="shared" si="73"/>
        <v>0</v>
      </c>
      <c r="M921" s="47">
        <f t="shared" si="74"/>
        <v>0</v>
      </c>
      <c r="N921" t="str">
        <f>IF(A921="","",IF(D921="Category Pending","Needs categorization",IF(COUNTIFS($A$2:A921,A921,$B$2:B921,B921,$E$2:E921,E921)&gt;1,"Possible duplicate","")))</f>
        <v/>
      </c>
    </row>
    <row r="922" spans="3:14" x14ac:dyDescent="0.3">
      <c r="C922" s="16"/>
      <c r="G922" s="5" t="str">
        <f t="shared" si="70"/>
        <v/>
      </c>
      <c r="H922" t="str">
        <f>IF(A922="","",IFERROR(_xlfn.XLOOKUP(D922,Setup!$E$15:$E$79,Setup!$F$15:$F$79),"Miscellaneous"))</f>
        <v/>
      </c>
      <c r="I922" t="str">
        <f>IF(A922="","",IFERROR(_xlfn.XLOOKUP(D922,Setup!$E$15:$E$79,Setup!$G$15:$G$79),"Uncategorized"))</f>
        <v/>
      </c>
      <c r="J922" t="str">
        <f t="shared" si="71"/>
        <v/>
      </c>
      <c r="K922" s="4" t="str">
        <f t="shared" si="72"/>
        <v/>
      </c>
      <c r="L922" s="47">
        <f t="shared" si="73"/>
        <v>0</v>
      </c>
      <c r="M922" s="47">
        <f t="shared" si="74"/>
        <v>0</v>
      </c>
      <c r="N922" t="str">
        <f>IF(A922="","",IF(D922="Category Pending","Needs categorization",IF(COUNTIFS($A$2:A922,A922,$B$2:B922,B922,$E$2:E922,E922)&gt;1,"Possible duplicate","")))</f>
        <v/>
      </c>
    </row>
    <row r="923" spans="3:14" x14ac:dyDescent="0.3">
      <c r="C923" s="16"/>
      <c r="G923" s="5" t="str">
        <f t="shared" si="70"/>
        <v/>
      </c>
      <c r="H923" t="str">
        <f>IF(A923="","",IFERROR(_xlfn.XLOOKUP(D923,Setup!$E$15:$E$79,Setup!$F$15:$F$79),"Miscellaneous"))</f>
        <v/>
      </c>
      <c r="I923" t="str">
        <f>IF(A923="","",IFERROR(_xlfn.XLOOKUP(D923,Setup!$E$15:$E$79,Setup!$G$15:$G$79),"Uncategorized"))</f>
        <v/>
      </c>
      <c r="J923" t="str">
        <f t="shared" si="71"/>
        <v/>
      </c>
      <c r="K923" s="4" t="str">
        <f t="shared" si="72"/>
        <v/>
      </c>
      <c r="L923" s="47">
        <f t="shared" si="73"/>
        <v>0</v>
      </c>
      <c r="M923" s="47">
        <f t="shared" si="74"/>
        <v>0</v>
      </c>
      <c r="N923" t="str">
        <f>IF(A923="","",IF(D923="Category Pending","Needs categorization",IF(COUNTIFS($A$2:A923,A923,$B$2:B923,B923,$E$2:E923,E923)&gt;1,"Possible duplicate","")))</f>
        <v/>
      </c>
    </row>
    <row r="924" spans="3:14" x14ac:dyDescent="0.3">
      <c r="C924" s="16"/>
      <c r="G924" s="5" t="str">
        <f t="shared" si="70"/>
        <v/>
      </c>
      <c r="H924" t="str">
        <f>IF(A924="","",IFERROR(_xlfn.XLOOKUP(D924,Setup!$E$15:$E$79,Setup!$F$15:$F$79),"Miscellaneous"))</f>
        <v/>
      </c>
      <c r="I924" t="str">
        <f>IF(A924="","",IFERROR(_xlfn.XLOOKUP(D924,Setup!$E$15:$E$79,Setup!$G$15:$G$79),"Uncategorized"))</f>
        <v/>
      </c>
      <c r="J924" t="str">
        <f t="shared" si="71"/>
        <v/>
      </c>
      <c r="K924" s="4" t="str">
        <f t="shared" si="72"/>
        <v/>
      </c>
      <c r="L924" s="47">
        <f t="shared" si="73"/>
        <v>0</v>
      </c>
      <c r="M924" s="47">
        <f t="shared" si="74"/>
        <v>0</v>
      </c>
      <c r="N924" t="str">
        <f>IF(A924="","",IF(D924="Category Pending","Needs categorization",IF(COUNTIFS($A$2:A924,A924,$B$2:B924,B924,$E$2:E924,E924)&gt;1,"Possible duplicate","")))</f>
        <v/>
      </c>
    </row>
    <row r="925" spans="3:14" x14ac:dyDescent="0.3">
      <c r="C925" s="16"/>
      <c r="G925" s="5" t="str">
        <f t="shared" si="70"/>
        <v/>
      </c>
      <c r="H925" t="str">
        <f>IF(A925="","",IFERROR(_xlfn.XLOOKUP(D925,Setup!$E$15:$E$79,Setup!$F$15:$F$79),"Miscellaneous"))</f>
        <v/>
      </c>
      <c r="I925" t="str">
        <f>IF(A925="","",IFERROR(_xlfn.XLOOKUP(D925,Setup!$E$15:$E$79,Setup!$G$15:$G$79),"Uncategorized"))</f>
        <v/>
      </c>
      <c r="J925" t="str">
        <f t="shared" si="71"/>
        <v/>
      </c>
      <c r="K925" s="4" t="str">
        <f t="shared" si="72"/>
        <v/>
      </c>
      <c r="L925" s="47">
        <f t="shared" si="73"/>
        <v>0</v>
      </c>
      <c r="M925" s="47">
        <f t="shared" si="74"/>
        <v>0</v>
      </c>
      <c r="N925" t="str">
        <f>IF(A925="","",IF(D925="Category Pending","Needs categorization",IF(COUNTIFS($A$2:A925,A925,$B$2:B925,B925,$E$2:E925,E925)&gt;1,"Possible duplicate","")))</f>
        <v/>
      </c>
    </row>
    <row r="926" spans="3:14" x14ac:dyDescent="0.3">
      <c r="C926" s="16"/>
      <c r="G926" s="5" t="str">
        <f t="shared" si="70"/>
        <v/>
      </c>
      <c r="H926" t="str">
        <f>IF(A926="","",IFERROR(_xlfn.XLOOKUP(D926,Setup!$E$15:$E$79,Setup!$F$15:$F$79),"Miscellaneous"))</f>
        <v/>
      </c>
      <c r="I926" t="str">
        <f>IF(A926="","",IFERROR(_xlfn.XLOOKUP(D926,Setup!$E$15:$E$79,Setup!$G$15:$G$79),"Uncategorized"))</f>
        <v/>
      </c>
      <c r="J926" t="str">
        <f t="shared" si="71"/>
        <v/>
      </c>
      <c r="K926" s="4" t="str">
        <f t="shared" si="72"/>
        <v/>
      </c>
      <c r="L926" s="47">
        <f t="shared" si="73"/>
        <v>0</v>
      </c>
      <c r="M926" s="47">
        <f t="shared" si="74"/>
        <v>0</v>
      </c>
      <c r="N926" t="str">
        <f>IF(A926="","",IF(D926="Category Pending","Needs categorization",IF(COUNTIFS($A$2:A926,A926,$B$2:B926,B926,$E$2:E926,E926)&gt;1,"Possible duplicate","")))</f>
        <v/>
      </c>
    </row>
    <row r="927" spans="3:14" x14ac:dyDescent="0.3">
      <c r="C927" s="16"/>
      <c r="G927" s="5" t="str">
        <f t="shared" si="70"/>
        <v/>
      </c>
      <c r="H927" t="str">
        <f>IF(A927="","",IFERROR(_xlfn.XLOOKUP(D927,Setup!$E$15:$E$79,Setup!$F$15:$F$79),"Miscellaneous"))</f>
        <v/>
      </c>
      <c r="I927" t="str">
        <f>IF(A927="","",IFERROR(_xlfn.XLOOKUP(D927,Setup!$E$15:$E$79,Setup!$G$15:$G$79),"Uncategorized"))</f>
        <v/>
      </c>
      <c r="J927" t="str">
        <f t="shared" si="71"/>
        <v/>
      </c>
      <c r="K927" s="4" t="str">
        <f t="shared" si="72"/>
        <v/>
      </c>
      <c r="L927" s="47">
        <f t="shared" si="73"/>
        <v>0</v>
      </c>
      <c r="M927" s="47">
        <f t="shared" si="74"/>
        <v>0</v>
      </c>
      <c r="N927" t="str">
        <f>IF(A927="","",IF(D927="Category Pending","Needs categorization",IF(COUNTIFS($A$2:A927,A927,$B$2:B927,B927,$E$2:E927,E927)&gt;1,"Possible duplicate","")))</f>
        <v/>
      </c>
    </row>
    <row r="928" spans="3:14" x14ac:dyDescent="0.3">
      <c r="C928" s="16"/>
      <c r="G928" s="5" t="str">
        <f t="shared" si="70"/>
        <v/>
      </c>
      <c r="H928" t="str">
        <f>IF(A928="","",IFERROR(_xlfn.XLOOKUP(D928,Setup!$E$15:$E$79,Setup!$F$15:$F$79),"Miscellaneous"))</f>
        <v/>
      </c>
      <c r="I928" t="str">
        <f>IF(A928="","",IFERROR(_xlfn.XLOOKUP(D928,Setup!$E$15:$E$79,Setup!$G$15:$G$79),"Uncategorized"))</f>
        <v/>
      </c>
      <c r="J928" t="str">
        <f t="shared" si="71"/>
        <v/>
      </c>
      <c r="K928" s="4" t="str">
        <f t="shared" si="72"/>
        <v/>
      </c>
      <c r="L928" s="47">
        <f t="shared" si="73"/>
        <v>0</v>
      </c>
      <c r="M928" s="47">
        <f t="shared" si="74"/>
        <v>0</v>
      </c>
      <c r="N928" t="str">
        <f>IF(A928="","",IF(D928="Category Pending","Needs categorization",IF(COUNTIFS($A$2:A928,A928,$B$2:B928,B928,$E$2:E928,E928)&gt;1,"Possible duplicate","")))</f>
        <v/>
      </c>
    </row>
    <row r="929" spans="3:14" x14ac:dyDescent="0.3">
      <c r="C929" s="16"/>
      <c r="G929" s="5" t="str">
        <f t="shared" ref="G929:G992" si="75">IF(A929="","","Checking")</f>
        <v/>
      </c>
      <c r="H929" t="str">
        <f>IF(A929="","",IFERROR(_xlfn.XLOOKUP(D929,Setup!$E$15:$E$79,Setup!$F$15:$F$79),"Miscellaneous"))</f>
        <v/>
      </c>
      <c r="I929" t="str">
        <f>IF(A929="","",IFERROR(_xlfn.XLOOKUP(D929,Setup!$E$15:$E$79,Setup!$G$15:$G$79),"Uncategorized"))</f>
        <v/>
      </c>
      <c r="J929" t="str">
        <f t="shared" ref="J929:J992" si="76">IF(A929="","",IF(OR(H929="Transfers",H929="Income",D929="Transfer",D929="Category Pending"),"No","Yes"))</f>
        <v/>
      </c>
      <c r="K929" s="4" t="str">
        <f t="shared" ref="K929:K992" si="77">IF(A929="","",IF(A929&gt;=46232,TEXT(DATE(YEAR(A929),MONTH(A929)+1,1),"mmmm yyyy"),TEXT(DATE(YEAR(A929),MONTH(A929),1),"mmmm yyyy")))</f>
        <v/>
      </c>
      <c r="L929" s="47">
        <f t="shared" ref="L929:L992" si="78">IF(AND(J929="Yes",E929&lt;0),-E929,0)</f>
        <v>0</v>
      </c>
      <c r="M929" s="47">
        <f t="shared" ref="M929:M992" si="79">IF(AND(J929="Yes",E929&gt;0),E929,0)</f>
        <v>0</v>
      </c>
      <c r="N929" t="str">
        <f>IF(A929="","",IF(D929="Category Pending","Needs categorization",IF(COUNTIFS($A$2:A929,A929,$B$2:B929,B929,$E$2:E929,E929)&gt;1,"Possible duplicate","")))</f>
        <v/>
      </c>
    </row>
    <row r="930" spans="3:14" x14ac:dyDescent="0.3">
      <c r="C930" s="16"/>
      <c r="G930" s="5" t="str">
        <f t="shared" si="75"/>
        <v/>
      </c>
      <c r="H930" t="str">
        <f>IF(A930="","",IFERROR(_xlfn.XLOOKUP(D930,Setup!$E$15:$E$79,Setup!$F$15:$F$79),"Miscellaneous"))</f>
        <v/>
      </c>
      <c r="I930" t="str">
        <f>IF(A930="","",IFERROR(_xlfn.XLOOKUP(D930,Setup!$E$15:$E$79,Setup!$G$15:$G$79),"Uncategorized"))</f>
        <v/>
      </c>
      <c r="J930" t="str">
        <f t="shared" si="76"/>
        <v/>
      </c>
      <c r="K930" s="4" t="str">
        <f t="shared" si="77"/>
        <v/>
      </c>
      <c r="L930" s="47">
        <f t="shared" si="78"/>
        <v>0</v>
      </c>
      <c r="M930" s="47">
        <f t="shared" si="79"/>
        <v>0</v>
      </c>
      <c r="N930" t="str">
        <f>IF(A930="","",IF(D930="Category Pending","Needs categorization",IF(COUNTIFS($A$2:A930,A930,$B$2:B930,B930,$E$2:E930,E930)&gt;1,"Possible duplicate","")))</f>
        <v/>
      </c>
    </row>
    <row r="931" spans="3:14" x14ac:dyDescent="0.3">
      <c r="C931" s="16"/>
      <c r="G931" s="5" t="str">
        <f t="shared" si="75"/>
        <v/>
      </c>
      <c r="H931" t="str">
        <f>IF(A931="","",IFERROR(_xlfn.XLOOKUP(D931,Setup!$E$15:$E$79,Setup!$F$15:$F$79),"Miscellaneous"))</f>
        <v/>
      </c>
      <c r="I931" t="str">
        <f>IF(A931="","",IFERROR(_xlfn.XLOOKUP(D931,Setup!$E$15:$E$79,Setup!$G$15:$G$79),"Uncategorized"))</f>
        <v/>
      </c>
      <c r="J931" t="str">
        <f t="shared" si="76"/>
        <v/>
      </c>
      <c r="K931" s="4" t="str">
        <f t="shared" si="77"/>
        <v/>
      </c>
      <c r="L931" s="47">
        <f t="shared" si="78"/>
        <v>0</v>
      </c>
      <c r="M931" s="47">
        <f t="shared" si="79"/>
        <v>0</v>
      </c>
      <c r="N931" t="str">
        <f>IF(A931="","",IF(D931="Category Pending","Needs categorization",IF(COUNTIFS($A$2:A931,A931,$B$2:B931,B931,$E$2:E931,E931)&gt;1,"Possible duplicate","")))</f>
        <v/>
      </c>
    </row>
    <row r="932" spans="3:14" x14ac:dyDescent="0.3">
      <c r="C932" s="16"/>
      <c r="G932" s="5" t="str">
        <f t="shared" si="75"/>
        <v/>
      </c>
      <c r="H932" t="str">
        <f>IF(A932="","",IFERROR(_xlfn.XLOOKUP(D932,Setup!$E$15:$E$79,Setup!$F$15:$F$79),"Miscellaneous"))</f>
        <v/>
      </c>
      <c r="I932" t="str">
        <f>IF(A932="","",IFERROR(_xlfn.XLOOKUP(D932,Setup!$E$15:$E$79,Setup!$G$15:$G$79),"Uncategorized"))</f>
        <v/>
      </c>
      <c r="J932" t="str">
        <f t="shared" si="76"/>
        <v/>
      </c>
      <c r="K932" s="4" t="str">
        <f t="shared" si="77"/>
        <v/>
      </c>
      <c r="L932" s="47">
        <f t="shared" si="78"/>
        <v>0</v>
      </c>
      <c r="M932" s="47">
        <f t="shared" si="79"/>
        <v>0</v>
      </c>
      <c r="N932" t="str">
        <f>IF(A932="","",IF(D932="Category Pending","Needs categorization",IF(COUNTIFS($A$2:A932,A932,$B$2:B932,B932,$E$2:E932,E932)&gt;1,"Possible duplicate","")))</f>
        <v/>
      </c>
    </row>
    <row r="933" spans="3:14" x14ac:dyDescent="0.3">
      <c r="C933" s="16"/>
      <c r="G933" s="5" t="str">
        <f t="shared" si="75"/>
        <v/>
      </c>
      <c r="H933" t="str">
        <f>IF(A933="","",IFERROR(_xlfn.XLOOKUP(D933,Setup!$E$15:$E$79,Setup!$F$15:$F$79),"Miscellaneous"))</f>
        <v/>
      </c>
      <c r="I933" t="str">
        <f>IF(A933="","",IFERROR(_xlfn.XLOOKUP(D933,Setup!$E$15:$E$79,Setup!$G$15:$G$79),"Uncategorized"))</f>
        <v/>
      </c>
      <c r="J933" t="str">
        <f t="shared" si="76"/>
        <v/>
      </c>
      <c r="K933" s="4" t="str">
        <f t="shared" si="77"/>
        <v/>
      </c>
      <c r="L933" s="47">
        <f t="shared" si="78"/>
        <v>0</v>
      </c>
      <c r="M933" s="47">
        <f t="shared" si="79"/>
        <v>0</v>
      </c>
      <c r="N933" t="str">
        <f>IF(A933="","",IF(D933="Category Pending","Needs categorization",IF(COUNTIFS($A$2:A933,A933,$B$2:B933,B933,$E$2:E933,E933)&gt;1,"Possible duplicate","")))</f>
        <v/>
      </c>
    </row>
    <row r="934" spans="3:14" x14ac:dyDescent="0.3">
      <c r="C934" s="16"/>
      <c r="G934" s="5" t="str">
        <f t="shared" si="75"/>
        <v/>
      </c>
      <c r="H934" t="str">
        <f>IF(A934="","",IFERROR(_xlfn.XLOOKUP(D934,Setup!$E$15:$E$79,Setup!$F$15:$F$79),"Miscellaneous"))</f>
        <v/>
      </c>
      <c r="I934" t="str">
        <f>IF(A934="","",IFERROR(_xlfn.XLOOKUP(D934,Setup!$E$15:$E$79,Setup!$G$15:$G$79),"Uncategorized"))</f>
        <v/>
      </c>
      <c r="J934" t="str">
        <f t="shared" si="76"/>
        <v/>
      </c>
      <c r="K934" s="4" t="str">
        <f t="shared" si="77"/>
        <v/>
      </c>
      <c r="L934" s="47">
        <f t="shared" si="78"/>
        <v>0</v>
      </c>
      <c r="M934" s="47">
        <f t="shared" si="79"/>
        <v>0</v>
      </c>
      <c r="N934" t="str">
        <f>IF(A934="","",IF(D934="Category Pending","Needs categorization",IF(COUNTIFS($A$2:A934,A934,$B$2:B934,B934,$E$2:E934,E934)&gt;1,"Possible duplicate","")))</f>
        <v/>
      </c>
    </row>
    <row r="935" spans="3:14" x14ac:dyDescent="0.3">
      <c r="C935" s="16"/>
      <c r="G935" s="5" t="str">
        <f t="shared" si="75"/>
        <v/>
      </c>
      <c r="H935" t="str">
        <f>IF(A935="","",IFERROR(_xlfn.XLOOKUP(D935,Setup!$E$15:$E$79,Setup!$F$15:$F$79),"Miscellaneous"))</f>
        <v/>
      </c>
      <c r="I935" t="str">
        <f>IF(A935="","",IFERROR(_xlfn.XLOOKUP(D935,Setup!$E$15:$E$79,Setup!$G$15:$G$79),"Uncategorized"))</f>
        <v/>
      </c>
      <c r="J935" t="str">
        <f t="shared" si="76"/>
        <v/>
      </c>
      <c r="K935" s="4" t="str">
        <f t="shared" si="77"/>
        <v/>
      </c>
      <c r="L935" s="47">
        <f t="shared" si="78"/>
        <v>0</v>
      </c>
      <c r="M935" s="47">
        <f t="shared" si="79"/>
        <v>0</v>
      </c>
      <c r="N935" t="str">
        <f>IF(A935="","",IF(D935="Category Pending","Needs categorization",IF(COUNTIFS($A$2:A935,A935,$B$2:B935,B935,$E$2:E935,E935)&gt;1,"Possible duplicate","")))</f>
        <v/>
      </c>
    </row>
    <row r="936" spans="3:14" x14ac:dyDescent="0.3">
      <c r="C936" s="16"/>
      <c r="G936" s="5" t="str">
        <f t="shared" si="75"/>
        <v/>
      </c>
      <c r="H936" t="str">
        <f>IF(A936="","",IFERROR(_xlfn.XLOOKUP(D936,Setup!$E$15:$E$79,Setup!$F$15:$F$79),"Miscellaneous"))</f>
        <v/>
      </c>
      <c r="I936" t="str">
        <f>IF(A936="","",IFERROR(_xlfn.XLOOKUP(D936,Setup!$E$15:$E$79,Setup!$G$15:$G$79),"Uncategorized"))</f>
        <v/>
      </c>
      <c r="J936" t="str">
        <f t="shared" si="76"/>
        <v/>
      </c>
      <c r="K936" s="4" t="str">
        <f t="shared" si="77"/>
        <v/>
      </c>
      <c r="L936" s="47">
        <f t="shared" si="78"/>
        <v>0</v>
      </c>
      <c r="M936" s="47">
        <f t="shared" si="79"/>
        <v>0</v>
      </c>
      <c r="N936" t="str">
        <f>IF(A936="","",IF(D936="Category Pending","Needs categorization",IF(COUNTIFS($A$2:A936,A936,$B$2:B936,B936,$E$2:E936,E936)&gt;1,"Possible duplicate","")))</f>
        <v/>
      </c>
    </row>
    <row r="937" spans="3:14" x14ac:dyDescent="0.3">
      <c r="C937" s="16"/>
      <c r="G937" s="5" t="str">
        <f t="shared" si="75"/>
        <v/>
      </c>
      <c r="H937" t="str">
        <f>IF(A937="","",IFERROR(_xlfn.XLOOKUP(D937,Setup!$E$15:$E$79,Setup!$F$15:$F$79),"Miscellaneous"))</f>
        <v/>
      </c>
      <c r="I937" t="str">
        <f>IF(A937="","",IFERROR(_xlfn.XLOOKUP(D937,Setup!$E$15:$E$79,Setup!$G$15:$G$79),"Uncategorized"))</f>
        <v/>
      </c>
      <c r="J937" t="str">
        <f t="shared" si="76"/>
        <v/>
      </c>
      <c r="K937" s="4" t="str">
        <f t="shared" si="77"/>
        <v/>
      </c>
      <c r="L937" s="47">
        <f t="shared" si="78"/>
        <v>0</v>
      </c>
      <c r="M937" s="47">
        <f t="shared" si="79"/>
        <v>0</v>
      </c>
      <c r="N937" t="str">
        <f>IF(A937="","",IF(D937="Category Pending","Needs categorization",IF(COUNTIFS($A$2:A937,A937,$B$2:B937,B937,$E$2:E937,E937)&gt;1,"Possible duplicate","")))</f>
        <v/>
      </c>
    </row>
    <row r="938" spans="3:14" x14ac:dyDescent="0.3">
      <c r="C938" s="16"/>
      <c r="G938" s="5" t="str">
        <f t="shared" si="75"/>
        <v/>
      </c>
      <c r="H938" t="str">
        <f>IF(A938="","",IFERROR(_xlfn.XLOOKUP(D938,Setup!$E$15:$E$79,Setup!$F$15:$F$79),"Miscellaneous"))</f>
        <v/>
      </c>
      <c r="I938" t="str">
        <f>IF(A938="","",IFERROR(_xlfn.XLOOKUP(D938,Setup!$E$15:$E$79,Setup!$G$15:$G$79),"Uncategorized"))</f>
        <v/>
      </c>
      <c r="J938" t="str">
        <f t="shared" si="76"/>
        <v/>
      </c>
      <c r="K938" s="4" t="str">
        <f t="shared" si="77"/>
        <v/>
      </c>
      <c r="L938" s="47">
        <f t="shared" si="78"/>
        <v>0</v>
      </c>
      <c r="M938" s="47">
        <f t="shared" si="79"/>
        <v>0</v>
      </c>
      <c r="N938" t="str">
        <f>IF(A938="","",IF(D938="Category Pending","Needs categorization",IF(COUNTIFS($A$2:A938,A938,$B$2:B938,B938,$E$2:E938,E938)&gt;1,"Possible duplicate","")))</f>
        <v/>
      </c>
    </row>
    <row r="939" spans="3:14" x14ac:dyDescent="0.3">
      <c r="C939" s="16"/>
      <c r="G939" s="5" t="str">
        <f t="shared" si="75"/>
        <v/>
      </c>
      <c r="H939" t="str">
        <f>IF(A939="","",IFERROR(_xlfn.XLOOKUP(D939,Setup!$E$15:$E$79,Setup!$F$15:$F$79),"Miscellaneous"))</f>
        <v/>
      </c>
      <c r="I939" t="str">
        <f>IF(A939="","",IFERROR(_xlfn.XLOOKUP(D939,Setup!$E$15:$E$79,Setup!$G$15:$G$79),"Uncategorized"))</f>
        <v/>
      </c>
      <c r="J939" t="str">
        <f t="shared" si="76"/>
        <v/>
      </c>
      <c r="K939" s="4" t="str">
        <f t="shared" si="77"/>
        <v/>
      </c>
      <c r="L939" s="47">
        <f t="shared" si="78"/>
        <v>0</v>
      </c>
      <c r="M939" s="47">
        <f t="shared" si="79"/>
        <v>0</v>
      </c>
      <c r="N939" t="str">
        <f>IF(A939="","",IF(D939="Category Pending","Needs categorization",IF(COUNTIFS($A$2:A939,A939,$B$2:B939,B939,$E$2:E939,E939)&gt;1,"Possible duplicate","")))</f>
        <v/>
      </c>
    </row>
    <row r="940" spans="3:14" x14ac:dyDescent="0.3">
      <c r="C940" s="16"/>
      <c r="G940" s="5" t="str">
        <f t="shared" si="75"/>
        <v/>
      </c>
      <c r="H940" t="str">
        <f>IF(A940="","",IFERROR(_xlfn.XLOOKUP(D940,Setup!$E$15:$E$79,Setup!$F$15:$F$79),"Miscellaneous"))</f>
        <v/>
      </c>
      <c r="I940" t="str">
        <f>IF(A940="","",IFERROR(_xlfn.XLOOKUP(D940,Setup!$E$15:$E$79,Setup!$G$15:$G$79),"Uncategorized"))</f>
        <v/>
      </c>
      <c r="J940" t="str">
        <f t="shared" si="76"/>
        <v/>
      </c>
      <c r="K940" s="4" t="str">
        <f t="shared" si="77"/>
        <v/>
      </c>
      <c r="L940" s="47">
        <f t="shared" si="78"/>
        <v>0</v>
      </c>
      <c r="M940" s="47">
        <f t="shared" si="79"/>
        <v>0</v>
      </c>
      <c r="N940" t="str">
        <f>IF(A940="","",IF(D940="Category Pending","Needs categorization",IF(COUNTIFS($A$2:A940,A940,$B$2:B940,B940,$E$2:E940,E940)&gt;1,"Possible duplicate","")))</f>
        <v/>
      </c>
    </row>
    <row r="941" spans="3:14" x14ac:dyDescent="0.3">
      <c r="C941" s="16"/>
      <c r="G941" s="5" t="str">
        <f t="shared" si="75"/>
        <v/>
      </c>
      <c r="H941" t="str">
        <f>IF(A941="","",IFERROR(_xlfn.XLOOKUP(D941,Setup!$E$15:$E$79,Setup!$F$15:$F$79),"Miscellaneous"))</f>
        <v/>
      </c>
      <c r="I941" t="str">
        <f>IF(A941="","",IFERROR(_xlfn.XLOOKUP(D941,Setup!$E$15:$E$79,Setup!$G$15:$G$79),"Uncategorized"))</f>
        <v/>
      </c>
      <c r="J941" t="str">
        <f t="shared" si="76"/>
        <v/>
      </c>
      <c r="K941" s="4" t="str">
        <f t="shared" si="77"/>
        <v/>
      </c>
      <c r="L941" s="47">
        <f t="shared" si="78"/>
        <v>0</v>
      </c>
      <c r="M941" s="47">
        <f t="shared" si="79"/>
        <v>0</v>
      </c>
      <c r="N941" t="str">
        <f>IF(A941="","",IF(D941="Category Pending","Needs categorization",IF(COUNTIFS($A$2:A941,A941,$B$2:B941,B941,$E$2:E941,E941)&gt;1,"Possible duplicate","")))</f>
        <v/>
      </c>
    </row>
    <row r="942" spans="3:14" x14ac:dyDescent="0.3">
      <c r="C942" s="16"/>
      <c r="G942" s="5" t="str">
        <f t="shared" si="75"/>
        <v/>
      </c>
      <c r="H942" t="str">
        <f>IF(A942="","",IFERROR(_xlfn.XLOOKUP(D942,Setup!$E$15:$E$79,Setup!$F$15:$F$79),"Miscellaneous"))</f>
        <v/>
      </c>
      <c r="I942" t="str">
        <f>IF(A942="","",IFERROR(_xlfn.XLOOKUP(D942,Setup!$E$15:$E$79,Setup!$G$15:$G$79),"Uncategorized"))</f>
        <v/>
      </c>
      <c r="J942" t="str">
        <f t="shared" si="76"/>
        <v/>
      </c>
      <c r="K942" s="4" t="str">
        <f t="shared" si="77"/>
        <v/>
      </c>
      <c r="L942" s="47">
        <f t="shared" si="78"/>
        <v>0</v>
      </c>
      <c r="M942" s="47">
        <f t="shared" si="79"/>
        <v>0</v>
      </c>
      <c r="N942" t="str">
        <f>IF(A942="","",IF(D942="Category Pending","Needs categorization",IF(COUNTIFS($A$2:A942,A942,$B$2:B942,B942,$E$2:E942,E942)&gt;1,"Possible duplicate","")))</f>
        <v/>
      </c>
    </row>
    <row r="943" spans="3:14" x14ac:dyDescent="0.3">
      <c r="C943" s="16"/>
      <c r="G943" s="5" t="str">
        <f t="shared" si="75"/>
        <v/>
      </c>
      <c r="H943" t="str">
        <f>IF(A943="","",IFERROR(_xlfn.XLOOKUP(D943,Setup!$E$15:$E$79,Setup!$F$15:$F$79),"Miscellaneous"))</f>
        <v/>
      </c>
      <c r="I943" t="str">
        <f>IF(A943="","",IFERROR(_xlfn.XLOOKUP(D943,Setup!$E$15:$E$79,Setup!$G$15:$G$79),"Uncategorized"))</f>
        <v/>
      </c>
      <c r="J943" t="str">
        <f t="shared" si="76"/>
        <v/>
      </c>
      <c r="K943" s="4" t="str">
        <f t="shared" si="77"/>
        <v/>
      </c>
      <c r="L943" s="47">
        <f t="shared" si="78"/>
        <v>0</v>
      </c>
      <c r="M943" s="47">
        <f t="shared" si="79"/>
        <v>0</v>
      </c>
      <c r="N943" t="str">
        <f>IF(A943="","",IF(D943="Category Pending","Needs categorization",IF(COUNTIFS($A$2:A943,A943,$B$2:B943,B943,$E$2:E943,E943)&gt;1,"Possible duplicate","")))</f>
        <v/>
      </c>
    </row>
    <row r="944" spans="3:14" x14ac:dyDescent="0.3">
      <c r="C944" s="16"/>
      <c r="G944" s="5" t="str">
        <f t="shared" si="75"/>
        <v/>
      </c>
      <c r="H944" t="str">
        <f>IF(A944="","",IFERROR(_xlfn.XLOOKUP(D944,Setup!$E$15:$E$79,Setup!$F$15:$F$79),"Miscellaneous"))</f>
        <v/>
      </c>
      <c r="I944" t="str">
        <f>IF(A944="","",IFERROR(_xlfn.XLOOKUP(D944,Setup!$E$15:$E$79,Setup!$G$15:$G$79),"Uncategorized"))</f>
        <v/>
      </c>
      <c r="J944" t="str">
        <f t="shared" si="76"/>
        <v/>
      </c>
      <c r="K944" s="4" t="str">
        <f t="shared" si="77"/>
        <v/>
      </c>
      <c r="L944" s="47">
        <f t="shared" si="78"/>
        <v>0</v>
      </c>
      <c r="M944" s="47">
        <f t="shared" si="79"/>
        <v>0</v>
      </c>
      <c r="N944" t="str">
        <f>IF(A944="","",IF(D944="Category Pending","Needs categorization",IF(COUNTIFS($A$2:A944,A944,$B$2:B944,B944,$E$2:E944,E944)&gt;1,"Possible duplicate","")))</f>
        <v/>
      </c>
    </row>
    <row r="945" spans="3:14" x14ac:dyDescent="0.3">
      <c r="C945" s="16"/>
      <c r="G945" s="5" t="str">
        <f t="shared" si="75"/>
        <v/>
      </c>
      <c r="H945" t="str">
        <f>IF(A945="","",IFERROR(_xlfn.XLOOKUP(D945,Setup!$E$15:$E$79,Setup!$F$15:$F$79),"Miscellaneous"))</f>
        <v/>
      </c>
      <c r="I945" t="str">
        <f>IF(A945="","",IFERROR(_xlfn.XLOOKUP(D945,Setup!$E$15:$E$79,Setup!$G$15:$G$79),"Uncategorized"))</f>
        <v/>
      </c>
      <c r="J945" t="str">
        <f t="shared" si="76"/>
        <v/>
      </c>
      <c r="K945" s="4" t="str">
        <f t="shared" si="77"/>
        <v/>
      </c>
      <c r="L945" s="47">
        <f t="shared" si="78"/>
        <v>0</v>
      </c>
      <c r="M945" s="47">
        <f t="shared" si="79"/>
        <v>0</v>
      </c>
      <c r="N945" t="str">
        <f>IF(A945="","",IF(D945="Category Pending","Needs categorization",IF(COUNTIFS($A$2:A945,A945,$B$2:B945,B945,$E$2:E945,E945)&gt;1,"Possible duplicate","")))</f>
        <v/>
      </c>
    </row>
    <row r="946" spans="3:14" x14ac:dyDescent="0.3">
      <c r="C946" s="16"/>
      <c r="G946" s="5" t="str">
        <f t="shared" si="75"/>
        <v/>
      </c>
      <c r="H946" t="str">
        <f>IF(A946="","",IFERROR(_xlfn.XLOOKUP(D946,Setup!$E$15:$E$79,Setup!$F$15:$F$79),"Miscellaneous"))</f>
        <v/>
      </c>
      <c r="I946" t="str">
        <f>IF(A946="","",IFERROR(_xlfn.XLOOKUP(D946,Setup!$E$15:$E$79,Setup!$G$15:$G$79),"Uncategorized"))</f>
        <v/>
      </c>
      <c r="J946" t="str">
        <f t="shared" si="76"/>
        <v/>
      </c>
      <c r="K946" s="4" t="str">
        <f t="shared" si="77"/>
        <v/>
      </c>
      <c r="L946" s="47">
        <f t="shared" si="78"/>
        <v>0</v>
      </c>
      <c r="M946" s="47">
        <f t="shared" si="79"/>
        <v>0</v>
      </c>
      <c r="N946" t="str">
        <f>IF(A946="","",IF(D946="Category Pending","Needs categorization",IF(COUNTIFS($A$2:A946,A946,$B$2:B946,B946,$E$2:E946,E946)&gt;1,"Possible duplicate","")))</f>
        <v/>
      </c>
    </row>
    <row r="947" spans="3:14" x14ac:dyDescent="0.3">
      <c r="C947" s="16"/>
      <c r="G947" s="5" t="str">
        <f t="shared" si="75"/>
        <v/>
      </c>
      <c r="H947" t="str">
        <f>IF(A947="","",IFERROR(_xlfn.XLOOKUP(D947,Setup!$E$15:$E$79,Setup!$F$15:$F$79),"Miscellaneous"))</f>
        <v/>
      </c>
      <c r="I947" t="str">
        <f>IF(A947="","",IFERROR(_xlfn.XLOOKUP(D947,Setup!$E$15:$E$79,Setup!$G$15:$G$79),"Uncategorized"))</f>
        <v/>
      </c>
      <c r="J947" t="str">
        <f t="shared" si="76"/>
        <v/>
      </c>
      <c r="K947" s="4" t="str">
        <f t="shared" si="77"/>
        <v/>
      </c>
      <c r="L947" s="47">
        <f t="shared" si="78"/>
        <v>0</v>
      </c>
      <c r="M947" s="47">
        <f t="shared" si="79"/>
        <v>0</v>
      </c>
      <c r="N947" t="str">
        <f>IF(A947="","",IF(D947="Category Pending","Needs categorization",IF(COUNTIFS($A$2:A947,A947,$B$2:B947,B947,$E$2:E947,E947)&gt;1,"Possible duplicate","")))</f>
        <v/>
      </c>
    </row>
    <row r="948" spans="3:14" x14ac:dyDescent="0.3">
      <c r="C948" s="16"/>
      <c r="G948" s="5" t="str">
        <f t="shared" si="75"/>
        <v/>
      </c>
      <c r="H948" t="str">
        <f>IF(A948="","",IFERROR(_xlfn.XLOOKUP(D948,Setup!$E$15:$E$79,Setup!$F$15:$F$79),"Miscellaneous"))</f>
        <v/>
      </c>
      <c r="I948" t="str">
        <f>IF(A948="","",IFERROR(_xlfn.XLOOKUP(D948,Setup!$E$15:$E$79,Setup!$G$15:$G$79),"Uncategorized"))</f>
        <v/>
      </c>
      <c r="J948" t="str">
        <f t="shared" si="76"/>
        <v/>
      </c>
      <c r="K948" s="4" t="str">
        <f t="shared" si="77"/>
        <v/>
      </c>
      <c r="L948" s="47">
        <f t="shared" si="78"/>
        <v>0</v>
      </c>
      <c r="M948" s="47">
        <f t="shared" si="79"/>
        <v>0</v>
      </c>
      <c r="N948" t="str">
        <f>IF(A948="","",IF(D948="Category Pending","Needs categorization",IF(COUNTIFS($A$2:A948,A948,$B$2:B948,B948,$E$2:E948,E948)&gt;1,"Possible duplicate","")))</f>
        <v/>
      </c>
    </row>
    <row r="949" spans="3:14" x14ac:dyDescent="0.3">
      <c r="C949" s="16"/>
      <c r="G949" s="5" t="str">
        <f t="shared" si="75"/>
        <v/>
      </c>
      <c r="H949" t="str">
        <f>IF(A949="","",IFERROR(_xlfn.XLOOKUP(D949,Setup!$E$15:$E$79,Setup!$F$15:$F$79),"Miscellaneous"))</f>
        <v/>
      </c>
      <c r="I949" t="str">
        <f>IF(A949="","",IFERROR(_xlfn.XLOOKUP(D949,Setup!$E$15:$E$79,Setup!$G$15:$G$79),"Uncategorized"))</f>
        <v/>
      </c>
      <c r="J949" t="str">
        <f t="shared" si="76"/>
        <v/>
      </c>
      <c r="K949" s="4" t="str">
        <f t="shared" si="77"/>
        <v/>
      </c>
      <c r="L949" s="47">
        <f t="shared" si="78"/>
        <v>0</v>
      </c>
      <c r="M949" s="47">
        <f t="shared" si="79"/>
        <v>0</v>
      </c>
      <c r="N949" t="str">
        <f>IF(A949="","",IF(D949="Category Pending","Needs categorization",IF(COUNTIFS($A$2:A949,A949,$B$2:B949,B949,$E$2:E949,E949)&gt;1,"Possible duplicate","")))</f>
        <v/>
      </c>
    </row>
    <row r="950" spans="3:14" x14ac:dyDescent="0.3">
      <c r="C950" s="16"/>
      <c r="G950" s="5" t="str">
        <f t="shared" si="75"/>
        <v/>
      </c>
      <c r="H950" t="str">
        <f>IF(A950="","",IFERROR(_xlfn.XLOOKUP(D950,Setup!$E$15:$E$79,Setup!$F$15:$F$79),"Miscellaneous"))</f>
        <v/>
      </c>
      <c r="I950" t="str">
        <f>IF(A950="","",IFERROR(_xlfn.XLOOKUP(D950,Setup!$E$15:$E$79,Setup!$G$15:$G$79),"Uncategorized"))</f>
        <v/>
      </c>
      <c r="J950" t="str">
        <f t="shared" si="76"/>
        <v/>
      </c>
      <c r="K950" s="4" t="str">
        <f t="shared" si="77"/>
        <v/>
      </c>
      <c r="L950" s="47">
        <f t="shared" si="78"/>
        <v>0</v>
      </c>
      <c r="M950" s="47">
        <f t="shared" si="79"/>
        <v>0</v>
      </c>
      <c r="N950" t="str">
        <f>IF(A950="","",IF(D950="Category Pending","Needs categorization",IF(COUNTIFS($A$2:A950,A950,$B$2:B950,B950,$E$2:E950,E950)&gt;1,"Possible duplicate","")))</f>
        <v/>
      </c>
    </row>
    <row r="951" spans="3:14" x14ac:dyDescent="0.3">
      <c r="C951" s="16"/>
      <c r="G951" s="5" t="str">
        <f t="shared" si="75"/>
        <v/>
      </c>
      <c r="H951" t="str">
        <f>IF(A951="","",IFERROR(_xlfn.XLOOKUP(D951,Setup!$E$15:$E$79,Setup!$F$15:$F$79),"Miscellaneous"))</f>
        <v/>
      </c>
      <c r="I951" t="str">
        <f>IF(A951="","",IFERROR(_xlfn.XLOOKUP(D951,Setup!$E$15:$E$79,Setup!$G$15:$G$79),"Uncategorized"))</f>
        <v/>
      </c>
      <c r="J951" t="str">
        <f t="shared" si="76"/>
        <v/>
      </c>
      <c r="K951" s="4" t="str">
        <f t="shared" si="77"/>
        <v/>
      </c>
      <c r="L951" s="47">
        <f t="shared" si="78"/>
        <v>0</v>
      </c>
      <c r="M951" s="47">
        <f t="shared" si="79"/>
        <v>0</v>
      </c>
      <c r="N951" t="str">
        <f>IF(A951="","",IF(D951="Category Pending","Needs categorization",IF(COUNTIFS($A$2:A951,A951,$B$2:B951,B951,$E$2:E951,E951)&gt;1,"Possible duplicate","")))</f>
        <v/>
      </c>
    </row>
    <row r="952" spans="3:14" x14ac:dyDescent="0.3">
      <c r="C952" s="16"/>
      <c r="G952" s="5" t="str">
        <f t="shared" si="75"/>
        <v/>
      </c>
      <c r="H952" t="str">
        <f>IF(A952="","",IFERROR(_xlfn.XLOOKUP(D952,Setup!$E$15:$E$79,Setup!$F$15:$F$79),"Miscellaneous"))</f>
        <v/>
      </c>
      <c r="I952" t="str">
        <f>IF(A952="","",IFERROR(_xlfn.XLOOKUP(D952,Setup!$E$15:$E$79,Setup!$G$15:$G$79),"Uncategorized"))</f>
        <v/>
      </c>
      <c r="J952" t="str">
        <f t="shared" si="76"/>
        <v/>
      </c>
      <c r="K952" s="4" t="str">
        <f t="shared" si="77"/>
        <v/>
      </c>
      <c r="L952" s="47">
        <f t="shared" si="78"/>
        <v>0</v>
      </c>
      <c r="M952" s="47">
        <f t="shared" si="79"/>
        <v>0</v>
      </c>
      <c r="N952" t="str">
        <f>IF(A952="","",IF(D952="Category Pending","Needs categorization",IF(COUNTIFS($A$2:A952,A952,$B$2:B952,B952,$E$2:E952,E952)&gt;1,"Possible duplicate","")))</f>
        <v/>
      </c>
    </row>
    <row r="953" spans="3:14" x14ac:dyDescent="0.3">
      <c r="C953" s="16"/>
      <c r="G953" s="5" t="str">
        <f t="shared" si="75"/>
        <v/>
      </c>
      <c r="H953" t="str">
        <f>IF(A953="","",IFERROR(_xlfn.XLOOKUP(D953,Setup!$E$15:$E$79,Setup!$F$15:$F$79),"Miscellaneous"))</f>
        <v/>
      </c>
      <c r="I953" t="str">
        <f>IF(A953="","",IFERROR(_xlfn.XLOOKUP(D953,Setup!$E$15:$E$79,Setup!$G$15:$G$79),"Uncategorized"))</f>
        <v/>
      </c>
      <c r="J953" t="str">
        <f t="shared" si="76"/>
        <v/>
      </c>
      <c r="K953" s="4" t="str">
        <f t="shared" si="77"/>
        <v/>
      </c>
      <c r="L953" s="47">
        <f t="shared" si="78"/>
        <v>0</v>
      </c>
      <c r="M953" s="47">
        <f t="shared" si="79"/>
        <v>0</v>
      </c>
      <c r="N953" t="str">
        <f>IF(A953="","",IF(D953="Category Pending","Needs categorization",IF(COUNTIFS($A$2:A953,A953,$B$2:B953,B953,$E$2:E953,E953)&gt;1,"Possible duplicate","")))</f>
        <v/>
      </c>
    </row>
    <row r="954" spans="3:14" x14ac:dyDescent="0.3">
      <c r="C954" s="16"/>
      <c r="G954" s="5" t="str">
        <f t="shared" si="75"/>
        <v/>
      </c>
      <c r="H954" t="str">
        <f>IF(A954="","",IFERROR(_xlfn.XLOOKUP(D954,Setup!$E$15:$E$79,Setup!$F$15:$F$79),"Miscellaneous"))</f>
        <v/>
      </c>
      <c r="I954" t="str">
        <f>IF(A954="","",IFERROR(_xlfn.XLOOKUP(D954,Setup!$E$15:$E$79,Setup!$G$15:$G$79),"Uncategorized"))</f>
        <v/>
      </c>
      <c r="J954" t="str">
        <f t="shared" si="76"/>
        <v/>
      </c>
      <c r="K954" s="4" t="str">
        <f t="shared" si="77"/>
        <v/>
      </c>
      <c r="L954" s="47">
        <f t="shared" si="78"/>
        <v>0</v>
      </c>
      <c r="M954" s="47">
        <f t="shared" si="79"/>
        <v>0</v>
      </c>
      <c r="N954" t="str">
        <f>IF(A954="","",IF(D954="Category Pending","Needs categorization",IF(COUNTIFS($A$2:A954,A954,$B$2:B954,B954,$E$2:E954,E954)&gt;1,"Possible duplicate","")))</f>
        <v/>
      </c>
    </row>
    <row r="955" spans="3:14" x14ac:dyDescent="0.3">
      <c r="C955" s="16"/>
      <c r="G955" s="5" t="str">
        <f t="shared" si="75"/>
        <v/>
      </c>
      <c r="H955" t="str">
        <f>IF(A955="","",IFERROR(_xlfn.XLOOKUP(D955,Setup!$E$15:$E$79,Setup!$F$15:$F$79),"Miscellaneous"))</f>
        <v/>
      </c>
      <c r="I955" t="str">
        <f>IF(A955="","",IFERROR(_xlfn.XLOOKUP(D955,Setup!$E$15:$E$79,Setup!$G$15:$G$79),"Uncategorized"))</f>
        <v/>
      </c>
      <c r="J955" t="str">
        <f t="shared" si="76"/>
        <v/>
      </c>
      <c r="K955" s="4" t="str">
        <f t="shared" si="77"/>
        <v/>
      </c>
      <c r="L955" s="47">
        <f t="shared" si="78"/>
        <v>0</v>
      </c>
      <c r="M955" s="47">
        <f t="shared" si="79"/>
        <v>0</v>
      </c>
      <c r="N955" t="str">
        <f>IF(A955="","",IF(D955="Category Pending","Needs categorization",IF(COUNTIFS($A$2:A955,A955,$B$2:B955,B955,$E$2:E955,E955)&gt;1,"Possible duplicate","")))</f>
        <v/>
      </c>
    </row>
    <row r="956" spans="3:14" x14ac:dyDescent="0.3">
      <c r="C956" s="16"/>
      <c r="G956" s="5" t="str">
        <f t="shared" si="75"/>
        <v/>
      </c>
      <c r="H956" t="str">
        <f>IF(A956="","",IFERROR(_xlfn.XLOOKUP(D956,Setup!$E$15:$E$79,Setup!$F$15:$F$79),"Miscellaneous"))</f>
        <v/>
      </c>
      <c r="I956" t="str">
        <f>IF(A956="","",IFERROR(_xlfn.XLOOKUP(D956,Setup!$E$15:$E$79,Setup!$G$15:$G$79),"Uncategorized"))</f>
        <v/>
      </c>
      <c r="J956" t="str">
        <f t="shared" si="76"/>
        <v/>
      </c>
      <c r="K956" s="4" t="str">
        <f t="shared" si="77"/>
        <v/>
      </c>
      <c r="L956" s="47">
        <f t="shared" si="78"/>
        <v>0</v>
      </c>
      <c r="M956" s="47">
        <f t="shared" si="79"/>
        <v>0</v>
      </c>
      <c r="N956" t="str">
        <f>IF(A956="","",IF(D956="Category Pending","Needs categorization",IF(COUNTIFS($A$2:A956,A956,$B$2:B956,B956,$E$2:E956,E956)&gt;1,"Possible duplicate","")))</f>
        <v/>
      </c>
    </row>
    <row r="957" spans="3:14" x14ac:dyDescent="0.3">
      <c r="C957" s="16"/>
      <c r="G957" s="5" t="str">
        <f t="shared" si="75"/>
        <v/>
      </c>
      <c r="H957" t="str">
        <f>IF(A957="","",IFERROR(_xlfn.XLOOKUP(D957,Setup!$E$15:$E$79,Setup!$F$15:$F$79),"Miscellaneous"))</f>
        <v/>
      </c>
      <c r="I957" t="str">
        <f>IF(A957="","",IFERROR(_xlfn.XLOOKUP(D957,Setup!$E$15:$E$79,Setup!$G$15:$G$79),"Uncategorized"))</f>
        <v/>
      </c>
      <c r="J957" t="str">
        <f t="shared" si="76"/>
        <v/>
      </c>
      <c r="K957" s="4" t="str">
        <f t="shared" si="77"/>
        <v/>
      </c>
      <c r="L957" s="47">
        <f t="shared" si="78"/>
        <v>0</v>
      </c>
      <c r="M957" s="47">
        <f t="shared" si="79"/>
        <v>0</v>
      </c>
      <c r="N957" t="str">
        <f>IF(A957="","",IF(D957="Category Pending","Needs categorization",IF(COUNTIFS($A$2:A957,A957,$B$2:B957,B957,$E$2:E957,E957)&gt;1,"Possible duplicate","")))</f>
        <v/>
      </c>
    </row>
    <row r="958" spans="3:14" x14ac:dyDescent="0.3">
      <c r="C958" s="16"/>
      <c r="G958" s="5" t="str">
        <f t="shared" si="75"/>
        <v/>
      </c>
      <c r="H958" t="str">
        <f>IF(A958="","",IFERROR(_xlfn.XLOOKUP(D958,Setup!$E$15:$E$79,Setup!$F$15:$F$79),"Miscellaneous"))</f>
        <v/>
      </c>
      <c r="I958" t="str">
        <f>IF(A958="","",IFERROR(_xlfn.XLOOKUP(D958,Setup!$E$15:$E$79,Setup!$G$15:$G$79),"Uncategorized"))</f>
        <v/>
      </c>
      <c r="J958" t="str">
        <f t="shared" si="76"/>
        <v/>
      </c>
      <c r="K958" s="4" t="str">
        <f t="shared" si="77"/>
        <v/>
      </c>
      <c r="L958" s="47">
        <f t="shared" si="78"/>
        <v>0</v>
      </c>
      <c r="M958" s="47">
        <f t="shared" si="79"/>
        <v>0</v>
      </c>
      <c r="N958" t="str">
        <f>IF(A958="","",IF(D958="Category Pending","Needs categorization",IF(COUNTIFS($A$2:A958,A958,$B$2:B958,B958,$E$2:E958,E958)&gt;1,"Possible duplicate","")))</f>
        <v/>
      </c>
    </row>
    <row r="959" spans="3:14" x14ac:dyDescent="0.3">
      <c r="C959" s="16"/>
      <c r="G959" s="5" t="str">
        <f t="shared" si="75"/>
        <v/>
      </c>
      <c r="H959" t="str">
        <f>IF(A959="","",IFERROR(_xlfn.XLOOKUP(D959,Setup!$E$15:$E$79,Setup!$F$15:$F$79),"Miscellaneous"))</f>
        <v/>
      </c>
      <c r="I959" t="str">
        <f>IF(A959="","",IFERROR(_xlfn.XLOOKUP(D959,Setup!$E$15:$E$79,Setup!$G$15:$G$79),"Uncategorized"))</f>
        <v/>
      </c>
      <c r="J959" t="str">
        <f t="shared" si="76"/>
        <v/>
      </c>
      <c r="K959" s="4" t="str">
        <f t="shared" si="77"/>
        <v/>
      </c>
      <c r="L959" s="47">
        <f t="shared" si="78"/>
        <v>0</v>
      </c>
      <c r="M959" s="47">
        <f t="shared" si="79"/>
        <v>0</v>
      </c>
      <c r="N959" t="str">
        <f>IF(A959="","",IF(D959="Category Pending","Needs categorization",IF(COUNTIFS($A$2:A959,A959,$B$2:B959,B959,$E$2:E959,E959)&gt;1,"Possible duplicate","")))</f>
        <v/>
      </c>
    </row>
    <row r="960" spans="3:14" x14ac:dyDescent="0.3">
      <c r="C960" s="16"/>
      <c r="G960" s="5" t="str">
        <f t="shared" si="75"/>
        <v/>
      </c>
      <c r="H960" t="str">
        <f>IF(A960="","",IFERROR(_xlfn.XLOOKUP(D960,Setup!$E$15:$E$79,Setup!$F$15:$F$79),"Miscellaneous"))</f>
        <v/>
      </c>
      <c r="I960" t="str">
        <f>IF(A960="","",IFERROR(_xlfn.XLOOKUP(D960,Setup!$E$15:$E$79,Setup!$G$15:$G$79),"Uncategorized"))</f>
        <v/>
      </c>
      <c r="J960" t="str">
        <f t="shared" si="76"/>
        <v/>
      </c>
      <c r="K960" s="4" t="str">
        <f t="shared" si="77"/>
        <v/>
      </c>
      <c r="L960" s="47">
        <f t="shared" si="78"/>
        <v>0</v>
      </c>
      <c r="M960" s="47">
        <f t="shared" si="79"/>
        <v>0</v>
      </c>
      <c r="N960" t="str">
        <f>IF(A960="","",IF(D960="Category Pending","Needs categorization",IF(COUNTIFS($A$2:A960,A960,$B$2:B960,B960,$E$2:E960,E960)&gt;1,"Possible duplicate","")))</f>
        <v/>
      </c>
    </row>
    <row r="961" spans="3:14" x14ac:dyDescent="0.3">
      <c r="C961" s="16"/>
      <c r="G961" s="5" t="str">
        <f t="shared" si="75"/>
        <v/>
      </c>
      <c r="H961" t="str">
        <f>IF(A961="","",IFERROR(_xlfn.XLOOKUP(D961,Setup!$E$15:$E$79,Setup!$F$15:$F$79),"Miscellaneous"))</f>
        <v/>
      </c>
      <c r="I961" t="str">
        <f>IF(A961="","",IFERROR(_xlfn.XLOOKUP(D961,Setup!$E$15:$E$79,Setup!$G$15:$G$79),"Uncategorized"))</f>
        <v/>
      </c>
      <c r="J961" t="str">
        <f t="shared" si="76"/>
        <v/>
      </c>
      <c r="K961" s="4" t="str">
        <f t="shared" si="77"/>
        <v/>
      </c>
      <c r="L961" s="47">
        <f t="shared" si="78"/>
        <v>0</v>
      </c>
      <c r="M961" s="47">
        <f t="shared" si="79"/>
        <v>0</v>
      </c>
      <c r="N961" t="str">
        <f>IF(A961="","",IF(D961="Category Pending","Needs categorization",IF(COUNTIFS($A$2:A961,A961,$B$2:B961,B961,$E$2:E961,E961)&gt;1,"Possible duplicate","")))</f>
        <v/>
      </c>
    </row>
    <row r="962" spans="3:14" x14ac:dyDescent="0.3">
      <c r="C962" s="16"/>
      <c r="G962" s="5" t="str">
        <f t="shared" si="75"/>
        <v/>
      </c>
      <c r="H962" t="str">
        <f>IF(A962="","",IFERROR(_xlfn.XLOOKUP(D962,Setup!$E$15:$E$79,Setup!$F$15:$F$79),"Miscellaneous"))</f>
        <v/>
      </c>
      <c r="I962" t="str">
        <f>IF(A962="","",IFERROR(_xlfn.XLOOKUP(D962,Setup!$E$15:$E$79,Setup!$G$15:$G$79),"Uncategorized"))</f>
        <v/>
      </c>
      <c r="J962" t="str">
        <f t="shared" si="76"/>
        <v/>
      </c>
      <c r="K962" s="4" t="str">
        <f t="shared" si="77"/>
        <v/>
      </c>
      <c r="L962" s="47">
        <f t="shared" si="78"/>
        <v>0</v>
      </c>
      <c r="M962" s="47">
        <f t="shared" si="79"/>
        <v>0</v>
      </c>
      <c r="N962" t="str">
        <f>IF(A962="","",IF(D962="Category Pending","Needs categorization",IF(COUNTIFS($A$2:A962,A962,$B$2:B962,B962,$E$2:E962,E962)&gt;1,"Possible duplicate","")))</f>
        <v/>
      </c>
    </row>
    <row r="963" spans="3:14" x14ac:dyDescent="0.3">
      <c r="C963" s="16"/>
      <c r="G963" s="5" t="str">
        <f t="shared" si="75"/>
        <v/>
      </c>
      <c r="H963" t="str">
        <f>IF(A963="","",IFERROR(_xlfn.XLOOKUP(D963,Setup!$E$15:$E$79,Setup!$F$15:$F$79),"Miscellaneous"))</f>
        <v/>
      </c>
      <c r="I963" t="str">
        <f>IF(A963="","",IFERROR(_xlfn.XLOOKUP(D963,Setup!$E$15:$E$79,Setup!$G$15:$G$79),"Uncategorized"))</f>
        <v/>
      </c>
      <c r="J963" t="str">
        <f t="shared" si="76"/>
        <v/>
      </c>
      <c r="K963" s="4" t="str">
        <f t="shared" si="77"/>
        <v/>
      </c>
      <c r="L963" s="47">
        <f t="shared" si="78"/>
        <v>0</v>
      </c>
      <c r="M963" s="47">
        <f t="shared" si="79"/>
        <v>0</v>
      </c>
      <c r="N963" t="str">
        <f>IF(A963="","",IF(D963="Category Pending","Needs categorization",IF(COUNTIFS($A$2:A963,A963,$B$2:B963,B963,$E$2:E963,E963)&gt;1,"Possible duplicate","")))</f>
        <v/>
      </c>
    </row>
    <row r="964" spans="3:14" x14ac:dyDescent="0.3">
      <c r="C964" s="16"/>
      <c r="G964" s="5" t="str">
        <f t="shared" si="75"/>
        <v/>
      </c>
      <c r="H964" t="str">
        <f>IF(A964="","",IFERROR(_xlfn.XLOOKUP(D964,Setup!$E$15:$E$79,Setup!$F$15:$F$79),"Miscellaneous"))</f>
        <v/>
      </c>
      <c r="I964" t="str">
        <f>IF(A964="","",IFERROR(_xlfn.XLOOKUP(D964,Setup!$E$15:$E$79,Setup!$G$15:$G$79),"Uncategorized"))</f>
        <v/>
      </c>
      <c r="J964" t="str">
        <f t="shared" si="76"/>
        <v/>
      </c>
      <c r="K964" s="4" t="str">
        <f t="shared" si="77"/>
        <v/>
      </c>
      <c r="L964" s="47">
        <f t="shared" si="78"/>
        <v>0</v>
      </c>
      <c r="M964" s="47">
        <f t="shared" si="79"/>
        <v>0</v>
      </c>
      <c r="N964" t="str">
        <f>IF(A964="","",IF(D964="Category Pending","Needs categorization",IF(COUNTIFS($A$2:A964,A964,$B$2:B964,B964,$E$2:E964,E964)&gt;1,"Possible duplicate","")))</f>
        <v/>
      </c>
    </row>
    <row r="965" spans="3:14" x14ac:dyDescent="0.3">
      <c r="C965" s="16"/>
      <c r="G965" s="5" t="str">
        <f t="shared" si="75"/>
        <v/>
      </c>
      <c r="H965" t="str">
        <f>IF(A965="","",IFERROR(_xlfn.XLOOKUP(D965,Setup!$E$15:$E$79,Setup!$F$15:$F$79),"Miscellaneous"))</f>
        <v/>
      </c>
      <c r="I965" t="str">
        <f>IF(A965="","",IFERROR(_xlfn.XLOOKUP(D965,Setup!$E$15:$E$79,Setup!$G$15:$G$79),"Uncategorized"))</f>
        <v/>
      </c>
      <c r="J965" t="str">
        <f t="shared" si="76"/>
        <v/>
      </c>
      <c r="K965" s="4" t="str">
        <f t="shared" si="77"/>
        <v/>
      </c>
      <c r="L965" s="47">
        <f t="shared" si="78"/>
        <v>0</v>
      </c>
      <c r="M965" s="47">
        <f t="shared" si="79"/>
        <v>0</v>
      </c>
      <c r="N965" t="str">
        <f>IF(A965="","",IF(D965="Category Pending","Needs categorization",IF(COUNTIFS($A$2:A965,A965,$B$2:B965,B965,$E$2:E965,E965)&gt;1,"Possible duplicate","")))</f>
        <v/>
      </c>
    </row>
    <row r="966" spans="3:14" x14ac:dyDescent="0.3">
      <c r="C966" s="16"/>
      <c r="G966" s="5" t="str">
        <f t="shared" si="75"/>
        <v/>
      </c>
      <c r="H966" t="str">
        <f>IF(A966="","",IFERROR(_xlfn.XLOOKUP(D966,Setup!$E$15:$E$79,Setup!$F$15:$F$79),"Miscellaneous"))</f>
        <v/>
      </c>
      <c r="I966" t="str">
        <f>IF(A966="","",IFERROR(_xlfn.XLOOKUP(D966,Setup!$E$15:$E$79,Setup!$G$15:$G$79),"Uncategorized"))</f>
        <v/>
      </c>
      <c r="J966" t="str">
        <f t="shared" si="76"/>
        <v/>
      </c>
      <c r="K966" s="4" t="str">
        <f t="shared" si="77"/>
        <v/>
      </c>
      <c r="L966" s="47">
        <f t="shared" si="78"/>
        <v>0</v>
      </c>
      <c r="M966" s="47">
        <f t="shared" si="79"/>
        <v>0</v>
      </c>
      <c r="N966" t="str">
        <f>IF(A966="","",IF(D966="Category Pending","Needs categorization",IF(COUNTIFS($A$2:A966,A966,$B$2:B966,B966,$E$2:E966,E966)&gt;1,"Possible duplicate","")))</f>
        <v/>
      </c>
    </row>
    <row r="967" spans="3:14" x14ac:dyDescent="0.3">
      <c r="C967" s="16"/>
      <c r="G967" s="5" t="str">
        <f t="shared" si="75"/>
        <v/>
      </c>
      <c r="H967" t="str">
        <f>IF(A967="","",IFERROR(_xlfn.XLOOKUP(D967,Setup!$E$15:$E$79,Setup!$F$15:$F$79),"Miscellaneous"))</f>
        <v/>
      </c>
      <c r="I967" t="str">
        <f>IF(A967="","",IFERROR(_xlfn.XLOOKUP(D967,Setup!$E$15:$E$79,Setup!$G$15:$G$79),"Uncategorized"))</f>
        <v/>
      </c>
      <c r="J967" t="str">
        <f t="shared" si="76"/>
        <v/>
      </c>
      <c r="K967" s="4" t="str">
        <f t="shared" si="77"/>
        <v/>
      </c>
      <c r="L967" s="47">
        <f t="shared" si="78"/>
        <v>0</v>
      </c>
      <c r="M967" s="47">
        <f t="shared" si="79"/>
        <v>0</v>
      </c>
      <c r="N967" t="str">
        <f>IF(A967="","",IF(D967="Category Pending","Needs categorization",IF(COUNTIFS($A$2:A967,A967,$B$2:B967,B967,$E$2:E967,E967)&gt;1,"Possible duplicate","")))</f>
        <v/>
      </c>
    </row>
    <row r="968" spans="3:14" x14ac:dyDescent="0.3">
      <c r="C968" s="16"/>
      <c r="G968" s="5" t="str">
        <f t="shared" si="75"/>
        <v/>
      </c>
      <c r="H968" t="str">
        <f>IF(A968="","",IFERROR(_xlfn.XLOOKUP(D968,Setup!$E$15:$E$79,Setup!$F$15:$F$79),"Miscellaneous"))</f>
        <v/>
      </c>
      <c r="I968" t="str">
        <f>IF(A968="","",IFERROR(_xlfn.XLOOKUP(D968,Setup!$E$15:$E$79,Setup!$G$15:$G$79),"Uncategorized"))</f>
        <v/>
      </c>
      <c r="J968" t="str">
        <f t="shared" si="76"/>
        <v/>
      </c>
      <c r="K968" s="4" t="str">
        <f t="shared" si="77"/>
        <v/>
      </c>
      <c r="L968" s="47">
        <f t="shared" si="78"/>
        <v>0</v>
      </c>
      <c r="M968" s="47">
        <f t="shared" si="79"/>
        <v>0</v>
      </c>
      <c r="N968" t="str">
        <f>IF(A968="","",IF(D968="Category Pending","Needs categorization",IF(COUNTIFS($A$2:A968,A968,$B$2:B968,B968,$E$2:E968,E968)&gt;1,"Possible duplicate","")))</f>
        <v/>
      </c>
    </row>
    <row r="969" spans="3:14" x14ac:dyDescent="0.3">
      <c r="C969" s="16"/>
      <c r="G969" s="5" t="str">
        <f t="shared" si="75"/>
        <v/>
      </c>
      <c r="H969" t="str">
        <f>IF(A969="","",IFERROR(_xlfn.XLOOKUP(D969,Setup!$E$15:$E$79,Setup!$F$15:$F$79),"Miscellaneous"))</f>
        <v/>
      </c>
      <c r="I969" t="str">
        <f>IF(A969="","",IFERROR(_xlfn.XLOOKUP(D969,Setup!$E$15:$E$79,Setup!$G$15:$G$79),"Uncategorized"))</f>
        <v/>
      </c>
      <c r="J969" t="str">
        <f t="shared" si="76"/>
        <v/>
      </c>
      <c r="K969" s="4" t="str">
        <f t="shared" si="77"/>
        <v/>
      </c>
      <c r="L969" s="47">
        <f t="shared" si="78"/>
        <v>0</v>
      </c>
      <c r="M969" s="47">
        <f t="shared" si="79"/>
        <v>0</v>
      </c>
      <c r="N969" t="str">
        <f>IF(A969="","",IF(D969="Category Pending","Needs categorization",IF(COUNTIFS($A$2:A969,A969,$B$2:B969,B969,$E$2:E969,E969)&gt;1,"Possible duplicate","")))</f>
        <v/>
      </c>
    </row>
    <row r="970" spans="3:14" x14ac:dyDescent="0.3">
      <c r="C970" s="16"/>
      <c r="G970" s="5" t="str">
        <f t="shared" si="75"/>
        <v/>
      </c>
      <c r="H970" t="str">
        <f>IF(A970="","",IFERROR(_xlfn.XLOOKUP(D970,Setup!$E$15:$E$79,Setup!$F$15:$F$79),"Miscellaneous"))</f>
        <v/>
      </c>
      <c r="I970" t="str">
        <f>IF(A970="","",IFERROR(_xlfn.XLOOKUP(D970,Setup!$E$15:$E$79,Setup!$G$15:$G$79),"Uncategorized"))</f>
        <v/>
      </c>
      <c r="J970" t="str">
        <f t="shared" si="76"/>
        <v/>
      </c>
      <c r="K970" s="4" t="str">
        <f t="shared" si="77"/>
        <v/>
      </c>
      <c r="L970" s="47">
        <f t="shared" si="78"/>
        <v>0</v>
      </c>
      <c r="M970" s="47">
        <f t="shared" si="79"/>
        <v>0</v>
      </c>
      <c r="N970" t="str">
        <f>IF(A970="","",IF(D970="Category Pending","Needs categorization",IF(COUNTIFS($A$2:A970,A970,$B$2:B970,B970,$E$2:E970,E970)&gt;1,"Possible duplicate","")))</f>
        <v/>
      </c>
    </row>
    <row r="971" spans="3:14" x14ac:dyDescent="0.3">
      <c r="C971" s="16"/>
      <c r="G971" s="5" t="str">
        <f t="shared" si="75"/>
        <v/>
      </c>
      <c r="H971" t="str">
        <f>IF(A971="","",IFERROR(_xlfn.XLOOKUP(D971,Setup!$E$15:$E$79,Setup!$F$15:$F$79),"Miscellaneous"))</f>
        <v/>
      </c>
      <c r="I971" t="str">
        <f>IF(A971="","",IFERROR(_xlfn.XLOOKUP(D971,Setup!$E$15:$E$79,Setup!$G$15:$G$79),"Uncategorized"))</f>
        <v/>
      </c>
      <c r="J971" t="str">
        <f t="shared" si="76"/>
        <v/>
      </c>
      <c r="K971" s="4" t="str">
        <f t="shared" si="77"/>
        <v/>
      </c>
      <c r="L971" s="47">
        <f t="shared" si="78"/>
        <v>0</v>
      </c>
      <c r="M971" s="47">
        <f t="shared" si="79"/>
        <v>0</v>
      </c>
      <c r="N971" t="str">
        <f>IF(A971="","",IF(D971="Category Pending","Needs categorization",IF(COUNTIFS($A$2:A971,A971,$B$2:B971,B971,$E$2:E971,E971)&gt;1,"Possible duplicate","")))</f>
        <v/>
      </c>
    </row>
    <row r="972" spans="3:14" x14ac:dyDescent="0.3">
      <c r="C972" s="16"/>
      <c r="G972" s="5" t="str">
        <f t="shared" si="75"/>
        <v/>
      </c>
      <c r="H972" t="str">
        <f>IF(A972="","",IFERROR(_xlfn.XLOOKUP(D972,Setup!$E$15:$E$79,Setup!$F$15:$F$79),"Miscellaneous"))</f>
        <v/>
      </c>
      <c r="I972" t="str">
        <f>IF(A972="","",IFERROR(_xlfn.XLOOKUP(D972,Setup!$E$15:$E$79,Setup!$G$15:$G$79),"Uncategorized"))</f>
        <v/>
      </c>
      <c r="J972" t="str">
        <f t="shared" si="76"/>
        <v/>
      </c>
      <c r="K972" s="4" t="str">
        <f t="shared" si="77"/>
        <v/>
      </c>
      <c r="L972" s="47">
        <f t="shared" si="78"/>
        <v>0</v>
      </c>
      <c r="M972" s="47">
        <f t="shared" si="79"/>
        <v>0</v>
      </c>
      <c r="N972" t="str">
        <f>IF(A972="","",IF(D972="Category Pending","Needs categorization",IF(COUNTIFS($A$2:A972,A972,$B$2:B972,B972,$E$2:E972,E972)&gt;1,"Possible duplicate","")))</f>
        <v/>
      </c>
    </row>
    <row r="973" spans="3:14" x14ac:dyDescent="0.3">
      <c r="C973" s="16"/>
      <c r="G973" s="5" t="str">
        <f t="shared" si="75"/>
        <v/>
      </c>
      <c r="H973" t="str">
        <f>IF(A973="","",IFERROR(_xlfn.XLOOKUP(D973,Setup!$E$15:$E$79,Setup!$F$15:$F$79),"Miscellaneous"))</f>
        <v/>
      </c>
      <c r="I973" t="str">
        <f>IF(A973="","",IFERROR(_xlfn.XLOOKUP(D973,Setup!$E$15:$E$79,Setup!$G$15:$G$79),"Uncategorized"))</f>
        <v/>
      </c>
      <c r="J973" t="str">
        <f t="shared" si="76"/>
        <v/>
      </c>
      <c r="K973" s="4" t="str">
        <f t="shared" si="77"/>
        <v/>
      </c>
      <c r="L973" s="47">
        <f t="shared" si="78"/>
        <v>0</v>
      </c>
      <c r="M973" s="47">
        <f t="shared" si="79"/>
        <v>0</v>
      </c>
      <c r="N973" t="str">
        <f>IF(A973="","",IF(D973="Category Pending","Needs categorization",IF(COUNTIFS($A$2:A973,A973,$B$2:B973,B973,$E$2:E973,E973)&gt;1,"Possible duplicate","")))</f>
        <v/>
      </c>
    </row>
    <row r="974" spans="3:14" x14ac:dyDescent="0.3">
      <c r="C974" s="16"/>
      <c r="G974" s="5" t="str">
        <f t="shared" si="75"/>
        <v/>
      </c>
      <c r="H974" t="str">
        <f>IF(A974="","",IFERROR(_xlfn.XLOOKUP(D974,Setup!$E$15:$E$79,Setup!$F$15:$F$79),"Miscellaneous"))</f>
        <v/>
      </c>
      <c r="I974" t="str">
        <f>IF(A974="","",IFERROR(_xlfn.XLOOKUP(D974,Setup!$E$15:$E$79,Setup!$G$15:$G$79),"Uncategorized"))</f>
        <v/>
      </c>
      <c r="J974" t="str">
        <f t="shared" si="76"/>
        <v/>
      </c>
      <c r="K974" s="4" t="str">
        <f t="shared" si="77"/>
        <v/>
      </c>
      <c r="L974" s="47">
        <f t="shared" si="78"/>
        <v>0</v>
      </c>
      <c r="M974" s="47">
        <f t="shared" si="79"/>
        <v>0</v>
      </c>
      <c r="N974" t="str">
        <f>IF(A974="","",IF(D974="Category Pending","Needs categorization",IF(COUNTIFS($A$2:A974,A974,$B$2:B974,B974,$E$2:E974,E974)&gt;1,"Possible duplicate","")))</f>
        <v/>
      </c>
    </row>
    <row r="975" spans="3:14" x14ac:dyDescent="0.3">
      <c r="C975" s="16"/>
      <c r="G975" s="5" t="str">
        <f t="shared" si="75"/>
        <v/>
      </c>
      <c r="H975" t="str">
        <f>IF(A975="","",IFERROR(_xlfn.XLOOKUP(D975,Setup!$E$15:$E$79,Setup!$F$15:$F$79),"Miscellaneous"))</f>
        <v/>
      </c>
      <c r="I975" t="str">
        <f>IF(A975="","",IFERROR(_xlfn.XLOOKUP(D975,Setup!$E$15:$E$79,Setup!$G$15:$G$79),"Uncategorized"))</f>
        <v/>
      </c>
      <c r="J975" t="str">
        <f t="shared" si="76"/>
        <v/>
      </c>
      <c r="K975" s="4" t="str">
        <f t="shared" si="77"/>
        <v/>
      </c>
      <c r="L975" s="47">
        <f t="shared" si="78"/>
        <v>0</v>
      </c>
      <c r="M975" s="47">
        <f t="shared" si="79"/>
        <v>0</v>
      </c>
      <c r="N975" t="str">
        <f>IF(A975="","",IF(D975="Category Pending","Needs categorization",IF(COUNTIFS($A$2:A975,A975,$B$2:B975,B975,$E$2:E975,E975)&gt;1,"Possible duplicate","")))</f>
        <v/>
      </c>
    </row>
    <row r="976" spans="3:14" x14ac:dyDescent="0.3">
      <c r="C976" s="16"/>
      <c r="G976" s="5" t="str">
        <f t="shared" si="75"/>
        <v/>
      </c>
      <c r="H976" t="str">
        <f>IF(A976="","",IFERROR(_xlfn.XLOOKUP(D976,Setup!$E$15:$E$79,Setup!$F$15:$F$79),"Miscellaneous"))</f>
        <v/>
      </c>
      <c r="I976" t="str">
        <f>IF(A976="","",IFERROR(_xlfn.XLOOKUP(D976,Setup!$E$15:$E$79,Setup!$G$15:$G$79),"Uncategorized"))</f>
        <v/>
      </c>
      <c r="J976" t="str">
        <f t="shared" si="76"/>
        <v/>
      </c>
      <c r="K976" s="4" t="str">
        <f t="shared" si="77"/>
        <v/>
      </c>
      <c r="L976" s="47">
        <f t="shared" si="78"/>
        <v>0</v>
      </c>
      <c r="M976" s="47">
        <f t="shared" si="79"/>
        <v>0</v>
      </c>
      <c r="N976" t="str">
        <f>IF(A976="","",IF(D976="Category Pending","Needs categorization",IF(COUNTIFS($A$2:A976,A976,$B$2:B976,B976,$E$2:E976,E976)&gt;1,"Possible duplicate","")))</f>
        <v/>
      </c>
    </row>
    <row r="977" spans="3:14" x14ac:dyDescent="0.3">
      <c r="C977" s="16"/>
      <c r="G977" s="5" t="str">
        <f t="shared" si="75"/>
        <v/>
      </c>
      <c r="H977" t="str">
        <f>IF(A977="","",IFERROR(_xlfn.XLOOKUP(D977,Setup!$E$15:$E$79,Setup!$F$15:$F$79),"Miscellaneous"))</f>
        <v/>
      </c>
      <c r="I977" t="str">
        <f>IF(A977="","",IFERROR(_xlfn.XLOOKUP(D977,Setup!$E$15:$E$79,Setup!$G$15:$G$79),"Uncategorized"))</f>
        <v/>
      </c>
      <c r="J977" t="str">
        <f t="shared" si="76"/>
        <v/>
      </c>
      <c r="K977" s="4" t="str">
        <f t="shared" si="77"/>
        <v/>
      </c>
      <c r="L977" s="47">
        <f t="shared" si="78"/>
        <v>0</v>
      </c>
      <c r="M977" s="47">
        <f t="shared" si="79"/>
        <v>0</v>
      </c>
      <c r="N977" t="str">
        <f>IF(A977="","",IF(D977="Category Pending","Needs categorization",IF(COUNTIFS($A$2:A977,A977,$B$2:B977,B977,$E$2:E977,E977)&gt;1,"Possible duplicate","")))</f>
        <v/>
      </c>
    </row>
    <row r="978" spans="3:14" x14ac:dyDescent="0.3">
      <c r="C978" s="16"/>
      <c r="G978" s="5" t="str">
        <f t="shared" si="75"/>
        <v/>
      </c>
      <c r="H978" t="str">
        <f>IF(A978="","",IFERROR(_xlfn.XLOOKUP(D978,Setup!$E$15:$E$79,Setup!$F$15:$F$79),"Miscellaneous"))</f>
        <v/>
      </c>
      <c r="I978" t="str">
        <f>IF(A978="","",IFERROR(_xlfn.XLOOKUP(D978,Setup!$E$15:$E$79,Setup!$G$15:$G$79),"Uncategorized"))</f>
        <v/>
      </c>
      <c r="J978" t="str">
        <f t="shared" si="76"/>
        <v/>
      </c>
      <c r="K978" s="4" t="str">
        <f t="shared" si="77"/>
        <v/>
      </c>
      <c r="L978" s="47">
        <f t="shared" si="78"/>
        <v>0</v>
      </c>
      <c r="M978" s="47">
        <f t="shared" si="79"/>
        <v>0</v>
      </c>
      <c r="N978" t="str">
        <f>IF(A978="","",IF(D978="Category Pending","Needs categorization",IF(COUNTIFS($A$2:A978,A978,$B$2:B978,B978,$E$2:E978,E978)&gt;1,"Possible duplicate","")))</f>
        <v/>
      </c>
    </row>
    <row r="979" spans="3:14" x14ac:dyDescent="0.3">
      <c r="C979" s="16"/>
      <c r="G979" s="5" t="str">
        <f t="shared" si="75"/>
        <v/>
      </c>
      <c r="H979" t="str">
        <f>IF(A979="","",IFERROR(_xlfn.XLOOKUP(D979,Setup!$E$15:$E$79,Setup!$F$15:$F$79),"Miscellaneous"))</f>
        <v/>
      </c>
      <c r="I979" t="str">
        <f>IF(A979="","",IFERROR(_xlfn.XLOOKUP(D979,Setup!$E$15:$E$79,Setup!$G$15:$G$79),"Uncategorized"))</f>
        <v/>
      </c>
      <c r="J979" t="str">
        <f t="shared" si="76"/>
        <v/>
      </c>
      <c r="K979" s="4" t="str">
        <f t="shared" si="77"/>
        <v/>
      </c>
      <c r="L979" s="47">
        <f t="shared" si="78"/>
        <v>0</v>
      </c>
      <c r="M979" s="47">
        <f t="shared" si="79"/>
        <v>0</v>
      </c>
      <c r="N979" t="str">
        <f>IF(A979="","",IF(D979="Category Pending","Needs categorization",IF(COUNTIFS($A$2:A979,A979,$B$2:B979,B979,$E$2:E979,E979)&gt;1,"Possible duplicate","")))</f>
        <v/>
      </c>
    </row>
    <row r="980" spans="3:14" x14ac:dyDescent="0.3">
      <c r="C980" s="16"/>
      <c r="G980" s="5" t="str">
        <f t="shared" si="75"/>
        <v/>
      </c>
      <c r="H980" t="str">
        <f>IF(A980="","",IFERROR(_xlfn.XLOOKUP(D980,Setup!$E$15:$E$79,Setup!$F$15:$F$79),"Miscellaneous"))</f>
        <v/>
      </c>
      <c r="I980" t="str">
        <f>IF(A980="","",IFERROR(_xlfn.XLOOKUP(D980,Setup!$E$15:$E$79,Setup!$G$15:$G$79),"Uncategorized"))</f>
        <v/>
      </c>
      <c r="J980" t="str">
        <f t="shared" si="76"/>
        <v/>
      </c>
      <c r="K980" s="4" t="str">
        <f t="shared" si="77"/>
        <v/>
      </c>
      <c r="L980" s="47">
        <f t="shared" si="78"/>
        <v>0</v>
      </c>
      <c r="M980" s="47">
        <f t="shared" si="79"/>
        <v>0</v>
      </c>
      <c r="N980" t="str">
        <f>IF(A980="","",IF(D980="Category Pending","Needs categorization",IF(COUNTIFS($A$2:A980,A980,$B$2:B980,B980,$E$2:E980,E980)&gt;1,"Possible duplicate","")))</f>
        <v/>
      </c>
    </row>
    <row r="981" spans="3:14" x14ac:dyDescent="0.3">
      <c r="C981" s="16"/>
      <c r="G981" s="5" t="str">
        <f t="shared" si="75"/>
        <v/>
      </c>
      <c r="H981" t="str">
        <f>IF(A981="","",IFERROR(_xlfn.XLOOKUP(D981,Setup!$E$15:$E$79,Setup!$F$15:$F$79),"Miscellaneous"))</f>
        <v/>
      </c>
      <c r="I981" t="str">
        <f>IF(A981="","",IFERROR(_xlfn.XLOOKUP(D981,Setup!$E$15:$E$79,Setup!$G$15:$G$79),"Uncategorized"))</f>
        <v/>
      </c>
      <c r="J981" t="str">
        <f t="shared" si="76"/>
        <v/>
      </c>
      <c r="K981" s="4" t="str">
        <f t="shared" si="77"/>
        <v/>
      </c>
      <c r="L981" s="47">
        <f t="shared" si="78"/>
        <v>0</v>
      </c>
      <c r="M981" s="47">
        <f t="shared" si="79"/>
        <v>0</v>
      </c>
      <c r="N981" t="str">
        <f>IF(A981="","",IF(D981="Category Pending","Needs categorization",IF(COUNTIFS($A$2:A981,A981,$B$2:B981,B981,$E$2:E981,E981)&gt;1,"Possible duplicate","")))</f>
        <v/>
      </c>
    </row>
    <row r="982" spans="3:14" x14ac:dyDescent="0.3">
      <c r="C982" s="16"/>
      <c r="G982" s="5" t="str">
        <f t="shared" si="75"/>
        <v/>
      </c>
      <c r="H982" t="str">
        <f>IF(A982="","",IFERROR(_xlfn.XLOOKUP(D982,Setup!$E$15:$E$79,Setup!$F$15:$F$79),"Miscellaneous"))</f>
        <v/>
      </c>
      <c r="I982" t="str">
        <f>IF(A982="","",IFERROR(_xlfn.XLOOKUP(D982,Setup!$E$15:$E$79,Setup!$G$15:$G$79),"Uncategorized"))</f>
        <v/>
      </c>
      <c r="J982" t="str">
        <f t="shared" si="76"/>
        <v/>
      </c>
      <c r="K982" s="4" t="str">
        <f t="shared" si="77"/>
        <v/>
      </c>
      <c r="L982" s="47">
        <f t="shared" si="78"/>
        <v>0</v>
      </c>
      <c r="M982" s="47">
        <f t="shared" si="79"/>
        <v>0</v>
      </c>
      <c r="N982" t="str">
        <f>IF(A982="","",IF(D982="Category Pending","Needs categorization",IF(COUNTIFS($A$2:A982,A982,$B$2:B982,B982,$E$2:E982,E982)&gt;1,"Possible duplicate","")))</f>
        <v/>
      </c>
    </row>
    <row r="983" spans="3:14" x14ac:dyDescent="0.3">
      <c r="C983" s="16"/>
      <c r="G983" s="5" t="str">
        <f t="shared" si="75"/>
        <v/>
      </c>
      <c r="H983" t="str">
        <f>IF(A983="","",IFERROR(_xlfn.XLOOKUP(D983,Setup!$E$15:$E$79,Setup!$F$15:$F$79),"Miscellaneous"))</f>
        <v/>
      </c>
      <c r="I983" t="str">
        <f>IF(A983="","",IFERROR(_xlfn.XLOOKUP(D983,Setup!$E$15:$E$79,Setup!$G$15:$G$79),"Uncategorized"))</f>
        <v/>
      </c>
      <c r="J983" t="str">
        <f t="shared" si="76"/>
        <v/>
      </c>
      <c r="K983" s="4" t="str">
        <f t="shared" si="77"/>
        <v/>
      </c>
      <c r="L983" s="47">
        <f t="shared" si="78"/>
        <v>0</v>
      </c>
      <c r="M983" s="47">
        <f t="shared" si="79"/>
        <v>0</v>
      </c>
      <c r="N983" t="str">
        <f>IF(A983="","",IF(D983="Category Pending","Needs categorization",IF(COUNTIFS($A$2:A983,A983,$B$2:B983,B983,$E$2:E983,E983)&gt;1,"Possible duplicate","")))</f>
        <v/>
      </c>
    </row>
    <row r="984" spans="3:14" x14ac:dyDescent="0.3">
      <c r="C984" s="16"/>
      <c r="G984" s="5" t="str">
        <f t="shared" si="75"/>
        <v/>
      </c>
      <c r="H984" t="str">
        <f>IF(A984="","",IFERROR(_xlfn.XLOOKUP(D984,Setup!$E$15:$E$79,Setup!$F$15:$F$79),"Miscellaneous"))</f>
        <v/>
      </c>
      <c r="I984" t="str">
        <f>IF(A984="","",IFERROR(_xlfn.XLOOKUP(D984,Setup!$E$15:$E$79,Setup!$G$15:$G$79),"Uncategorized"))</f>
        <v/>
      </c>
      <c r="J984" t="str">
        <f t="shared" si="76"/>
        <v/>
      </c>
      <c r="K984" s="4" t="str">
        <f t="shared" si="77"/>
        <v/>
      </c>
      <c r="L984" s="47">
        <f t="shared" si="78"/>
        <v>0</v>
      </c>
      <c r="M984" s="47">
        <f t="shared" si="79"/>
        <v>0</v>
      </c>
      <c r="N984" t="str">
        <f>IF(A984="","",IF(D984="Category Pending","Needs categorization",IF(COUNTIFS($A$2:A984,A984,$B$2:B984,B984,$E$2:E984,E984)&gt;1,"Possible duplicate","")))</f>
        <v/>
      </c>
    </row>
    <row r="985" spans="3:14" x14ac:dyDescent="0.3">
      <c r="C985" s="16"/>
      <c r="G985" s="5" t="str">
        <f t="shared" si="75"/>
        <v/>
      </c>
      <c r="H985" t="str">
        <f>IF(A985="","",IFERROR(_xlfn.XLOOKUP(D985,Setup!$E$15:$E$79,Setup!$F$15:$F$79),"Miscellaneous"))</f>
        <v/>
      </c>
      <c r="I985" t="str">
        <f>IF(A985="","",IFERROR(_xlfn.XLOOKUP(D985,Setup!$E$15:$E$79,Setup!$G$15:$G$79),"Uncategorized"))</f>
        <v/>
      </c>
      <c r="J985" t="str">
        <f t="shared" si="76"/>
        <v/>
      </c>
      <c r="K985" s="4" t="str">
        <f t="shared" si="77"/>
        <v/>
      </c>
      <c r="L985" s="47">
        <f t="shared" si="78"/>
        <v>0</v>
      </c>
      <c r="M985" s="47">
        <f t="shared" si="79"/>
        <v>0</v>
      </c>
      <c r="N985" t="str">
        <f>IF(A985="","",IF(D985="Category Pending","Needs categorization",IF(COUNTIFS($A$2:A985,A985,$B$2:B985,B985,$E$2:E985,E985)&gt;1,"Possible duplicate","")))</f>
        <v/>
      </c>
    </row>
    <row r="986" spans="3:14" x14ac:dyDescent="0.3">
      <c r="C986" s="16"/>
      <c r="G986" s="5" t="str">
        <f t="shared" si="75"/>
        <v/>
      </c>
      <c r="H986" t="str">
        <f>IF(A986="","",IFERROR(_xlfn.XLOOKUP(D986,Setup!$E$15:$E$79,Setup!$F$15:$F$79),"Miscellaneous"))</f>
        <v/>
      </c>
      <c r="I986" t="str">
        <f>IF(A986="","",IFERROR(_xlfn.XLOOKUP(D986,Setup!$E$15:$E$79,Setup!$G$15:$G$79),"Uncategorized"))</f>
        <v/>
      </c>
      <c r="J986" t="str">
        <f t="shared" si="76"/>
        <v/>
      </c>
      <c r="K986" s="4" t="str">
        <f t="shared" si="77"/>
        <v/>
      </c>
      <c r="L986" s="47">
        <f t="shared" si="78"/>
        <v>0</v>
      </c>
      <c r="M986" s="47">
        <f t="shared" si="79"/>
        <v>0</v>
      </c>
      <c r="N986" t="str">
        <f>IF(A986="","",IF(D986="Category Pending","Needs categorization",IF(COUNTIFS($A$2:A986,A986,$B$2:B986,B986,$E$2:E986,E986)&gt;1,"Possible duplicate","")))</f>
        <v/>
      </c>
    </row>
    <row r="987" spans="3:14" x14ac:dyDescent="0.3">
      <c r="C987" s="16"/>
      <c r="G987" s="5" t="str">
        <f t="shared" si="75"/>
        <v/>
      </c>
      <c r="H987" t="str">
        <f>IF(A987="","",IFERROR(_xlfn.XLOOKUP(D987,Setup!$E$15:$E$79,Setup!$F$15:$F$79),"Miscellaneous"))</f>
        <v/>
      </c>
      <c r="I987" t="str">
        <f>IF(A987="","",IFERROR(_xlfn.XLOOKUP(D987,Setup!$E$15:$E$79,Setup!$G$15:$G$79),"Uncategorized"))</f>
        <v/>
      </c>
      <c r="J987" t="str">
        <f t="shared" si="76"/>
        <v/>
      </c>
      <c r="K987" s="4" t="str">
        <f t="shared" si="77"/>
        <v/>
      </c>
      <c r="L987" s="47">
        <f t="shared" si="78"/>
        <v>0</v>
      </c>
      <c r="M987" s="47">
        <f t="shared" si="79"/>
        <v>0</v>
      </c>
      <c r="N987" t="str">
        <f>IF(A987="","",IF(D987="Category Pending","Needs categorization",IF(COUNTIFS($A$2:A987,A987,$B$2:B987,B987,$E$2:E987,E987)&gt;1,"Possible duplicate","")))</f>
        <v/>
      </c>
    </row>
    <row r="988" spans="3:14" x14ac:dyDescent="0.3">
      <c r="C988" s="16"/>
      <c r="G988" s="5" t="str">
        <f t="shared" si="75"/>
        <v/>
      </c>
      <c r="H988" t="str">
        <f>IF(A988="","",IFERROR(_xlfn.XLOOKUP(D988,Setup!$E$15:$E$79,Setup!$F$15:$F$79),"Miscellaneous"))</f>
        <v/>
      </c>
      <c r="I988" t="str">
        <f>IF(A988="","",IFERROR(_xlfn.XLOOKUP(D988,Setup!$E$15:$E$79,Setup!$G$15:$G$79),"Uncategorized"))</f>
        <v/>
      </c>
      <c r="J988" t="str">
        <f t="shared" si="76"/>
        <v/>
      </c>
      <c r="K988" s="4" t="str">
        <f t="shared" si="77"/>
        <v/>
      </c>
      <c r="L988" s="47">
        <f t="shared" si="78"/>
        <v>0</v>
      </c>
      <c r="M988" s="47">
        <f t="shared" si="79"/>
        <v>0</v>
      </c>
      <c r="N988" t="str">
        <f>IF(A988="","",IF(D988="Category Pending","Needs categorization",IF(COUNTIFS($A$2:A988,A988,$B$2:B988,B988,$E$2:E988,E988)&gt;1,"Possible duplicate","")))</f>
        <v/>
      </c>
    </row>
    <row r="989" spans="3:14" x14ac:dyDescent="0.3">
      <c r="C989" s="16"/>
      <c r="G989" s="5" t="str">
        <f t="shared" si="75"/>
        <v/>
      </c>
      <c r="H989" t="str">
        <f>IF(A989="","",IFERROR(_xlfn.XLOOKUP(D989,Setup!$E$15:$E$79,Setup!$F$15:$F$79),"Miscellaneous"))</f>
        <v/>
      </c>
      <c r="I989" t="str">
        <f>IF(A989="","",IFERROR(_xlfn.XLOOKUP(D989,Setup!$E$15:$E$79,Setup!$G$15:$G$79),"Uncategorized"))</f>
        <v/>
      </c>
      <c r="J989" t="str">
        <f t="shared" si="76"/>
        <v/>
      </c>
      <c r="K989" s="4" t="str">
        <f t="shared" si="77"/>
        <v/>
      </c>
      <c r="L989" s="47">
        <f t="shared" si="78"/>
        <v>0</v>
      </c>
      <c r="M989" s="47">
        <f t="shared" si="79"/>
        <v>0</v>
      </c>
      <c r="N989" t="str">
        <f>IF(A989="","",IF(D989="Category Pending","Needs categorization",IF(COUNTIFS($A$2:A989,A989,$B$2:B989,B989,$E$2:E989,E989)&gt;1,"Possible duplicate","")))</f>
        <v/>
      </c>
    </row>
    <row r="990" spans="3:14" x14ac:dyDescent="0.3">
      <c r="C990" s="16"/>
      <c r="G990" s="5" t="str">
        <f t="shared" si="75"/>
        <v/>
      </c>
      <c r="H990" t="str">
        <f>IF(A990="","",IFERROR(_xlfn.XLOOKUP(D990,Setup!$E$15:$E$79,Setup!$F$15:$F$79),"Miscellaneous"))</f>
        <v/>
      </c>
      <c r="I990" t="str">
        <f>IF(A990="","",IFERROR(_xlfn.XLOOKUP(D990,Setup!$E$15:$E$79,Setup!$G$15:$G$79),"Uncategorized"))</f>
        <v/>
      </c>
      <c r="J990" t="str">
        <f t="shared" si="76"/>
        <v/>
      </c>
      <c r="K990" s="4" t="str">
        <f t="shared" si="77"/>
        <v/>
      </c>
      <c r="L990" s="47">
        <f t="shared" si="78"/>
        <v>0</v>
      </c>
      <c r="M990" s="47">
        <f t="shared" si="79"/>
        <v>0</v>
      </c>
      <c r="N990" t="str">
        <f>IF(A990="","",IF(D990="Category Pending","Needs categorization",IF(COUNTIFS($A$2:A990,A990,$B$2:B990,B990,$E$2:E990,E990)&gt;1,"Possible duplicate","")))</f>
        <v/>
      </c>
    </row>
    <row r="991" spans="3:14" x14ac:dyDescent="0.3">
      <c r="C991" s="16"/>
      <c r="G991" s="5" t="str">
        <f t="shared" si="75"/>
        <v/>
      </c>
      <c r="H991" t="str">
        <f>IF(A991="","",IFERROR(_xlfn.XLOOKUP(D991,Setup!$E$15:$E$79,Setup!$F$15:$F$79),"Miscellaneous"))</f>
        <v/>
      </c>
      <c r="I991" t="str">
        <f>IF(A991="","",IFERROR(_xlfn.XLOOKUP(D991,Setup!$E$15:$E$79,Setup!$G$15:$G$79),"Uncategorized"))</f>
        <v/>
      </c>
      <c r="J991" t="str">
        <f t="shared" si="76"/>
        <v/>
      </c>
      <c r="K991" s="4" t="str">
        <f t="shared" si="77"/>
        <v/>
      </c>
      <c r="L991" s="47">
        <f t="shared" si="78"/>
        <v>0</v>
      </c>
      <c r="M991" s="47">
        <f t="shared" si="79"/>
        <v>0</v>
      </c>
      <c r="N991" t="str">
        <f>IF(A991="","",IF(D991="Category Pending","Needs categorization",IF(COUNTIFS($A$2:A991,A991,$B$2:B991,B991,$E$2:E991,E991)&gt;1,"Possible duplicate","")))</f>
        <v/>
      </c>
    </row>
    <row r="992" spans="3:14" x14ac:dyDescent="0.3">
      <c r="C992" s="16"/>
      <c r="G992" s="5" t="str">
        <f t="shared" si="75"/>
        <v/>
      </c>
      <c r="H992" t="str">
        <f>IF(A992="","",IFERROR(_xlfn.XLOOKUP(D992,Setup!$E$15:$E$79,Setup!$F$15:$F$79),"Miscellaneous"))</f>
        <v/>
      </c>
      <c r="I992" t="str">
        <f>IF(A992="","",IFERROR(_xlfn.XLOOKUP(D992,Setup!$E$15:$E$79,Setup!$G$15:$G$79),"Uncategorized"))</f>
        <v/>
      </c>
      <c r="J992" t="str">
        <f t="shared" si="76"/>
        <v/>
      </c>
      <c r="K992" s="4" t="str">
        <f t="shared" si="77"/>
        <v/>
      </c>
      <c r="L992" s="47">
        <f t="shared" si="78"/>
        <v>0</v>
      </c>
      <c r="M992" s="47">
        <f t="shared" si="79"/>
        <v>0</v>
      </c>
      <c r="N992" t="str">
        <f>IF(A992="","",IF(D992="Category Pending","Needs categorization",IF(COUNTIFS($A$2:A992,A992,$B$2:B992,B992,$E$2:E992,E992)&gt;1,"Possible duplicate","")))</f>
        <v/>
      </c>
    </row>
    <row r="993" spans="3:14" x14ac:dyDescent="0.3">
      <c r="C993" s="16"/>
      <c r="G993" s="5" t="str">
        <f t="shared" ref="G993:G1056" si="80">IF(A993="","","Checking")</f>
        <v/>
      </c>
      <c r="H993" t="str">
        <f>IF(A993="","",IFERROR(_xlfn.XLOOKUP(D993,Setup!$E$15:$E$79,Setup!$F$15:$F$79),"Miscellaneous"))</f>
        <v/>
      </c>
      <c r="I993" t="str">
        <f>IF(A993="","",IFERROR(_xlfn.XLOOKUP(D993,Setup!$E$15:$E$79,Setup!$G$15:$G$79),"Uncategorized"))</f>
        <v/>
      </c>
      <c r="J993" t="str">
        <f t="shared" ref="J993:J1056" si="81">IF(A993="","",IF(OR(H993="Transfers",H993="Income",D993="Transfer",D993="Category Pending"),"No","Yes"))</f>
        <v/>
      </c>
      <c r="K993" s="4" t="str">
        <f t="shared" ref="K993:K1056" si="82">IF(A993="","",IF(A993&gt;=46232,TEXT(DATE(YEAR(A993),MONTH(A993)+1,1),"mmmm yyyy"),TEXT(DATE(YEAR(A993),MONTH(A993),1),"mmmm yyyy")))</f>
        <v/>
      </c>
      <c r="L993" s="47">
        <f t="shared" ref="L993:L1056" si="83">IF(AND(J993="Yes",E993&lt;0),-E993,0)</f>
        <v>0</v>
      </c>
      <c r="M993" s="47">
        <f t="shared" ref="M993:M1056" si="84">IF(AND(J993="Yes",E993&gt;0),E993,0)</f>
        <v>0</v>
      </c>
      <c r="N993" t="str">
        <f>IF(A993="","",IF(D993="Category Pending","Needs categorization",IF(COUNTIFS($A$2:A993,A993,$B$2:B993,B993,$E$2:E993,E993)&gt;1,"Possible duplicate","")))</f>
        <v/>
      </c>
    </row>
    <row r="994" spans="3:14" x14ac:dyDescent="0.3">
      <c r="C994" s="16"/>
      <c r="G994" s="5" t="str">
        <f t="shared" si="80"/>
        <v/>
      </c>
      <c r="H994" t="str">
        <f>IF(A994="","",IFERROR(_xlfn.XLOOKUP(D994,Setup!$E$15:$E$79,Setup!$F$15:$F$79),"Miscellaneous"))</f>
        <v/>
      </c>
      <c r="I994" t="str">
        <f>IF(A994="","",IFERROR(_xlfn.XLOOKUP(D994,Setup!$E$15:$E$79,Setup!$G$15:$G$79),"Uncategorized"))</f>
        <v/>
      </c>
      <c r="J994" t="str">
        <f t="shared" si="81"/>
        <v/>
      </c>
      <c r="K994" s="4" t="str">
        <f t="shared" si="82"/>
        <v/>
      </c>
      <c r="L994" s="47">
        <f t="shared" si="83"/>
        <v>0</v>
      </c>
      <c r="M994" s="47">
        <f t="shared" si="84"/>
        <v>0</v>
      </c>
      <c r="N994" t="str">
        <f>IF(A994="","",IF(D994="Category Pending","Needs categorization",IF(COUNTIFS($A$2:A994,A994,$B$2:B994,B994,$E$2:E994,E994)&gt;1,"Possible duplicate","")))</f>
        <v/>
      </c>
    </row>
    <row r="995" spans="3:14" x14ac:dyDescent="0.3">
      <c r="C995" s="16"/>
      <c r="G995" s="5" t="str">
        <f t="shared" si="80"/>
        <v/>
      </c>
      <c r="H995" t="str">
        <f>IF(A995="","",IFERROR(_xlfn.XLOOKUP(D995,Setup!$E$15:$E$79,Setup!$F$15:$F$79),"Miscellaneous"))</f>
        <v/>
      </c>
      <c r="I995" t="str">
        <f>IF(A995="","",IFERROR(_xlfn.XLOOKUP(D995,Setup!$E$15:$E$79,Setup!$G$15:$G$79),"Uncategorized"))</f>
        <v/>
      </c>
      <c r="J995" t="str">
        <f t="shared" si="81"/>
        <v/>
      </c>
      <c r="K995" s="4" t="str">
        <f t="shared" si="82"/>
        <v/>
      </c>
      <c r="L995" s="47">
        <f t="shared" si="83"/>
        <v>0</v>
      </c>
      <c r="M995" s="47">
        <f t="shared" si="84"/>
        <v>0</v>
      </c>
      <c r="N995" t="str">
        <f>IF(A995="","",IF(D995="Category Pending","Needs categorization",IF(COUNTIFS($A$2:A995,A995,$B$2:B995,B995,$E$2:E995,E995)&gt;1,"Possible duplicate","")))</f>
        <v/>
      </c>
    </row>
    <row r="996" spans="3:14" x14ac:dyDescent="0.3">
      <c r="C996" s="16"/>
      <c r="G996" s="5" t="str">
        <f t="shared" si="80"/>
        <v/>
      </c>
      <c r="H996" t="str">
        <f>IF(A996="","",IFERROR(_xlfn.XLOOKUP(D996,Setup!$E$15:$E$79,Setup!$F$15:$F$79),"Miscellaneous"))</f>
        <v/>
      </c>
      <c r="I996" t="str">
        <f>IF(A996="","",IFERROR(_xlfn.XLOOKUP(D996,Setup!$E$15:$E$79,Setup!$G$15:$G$79),"Uncategorized"))</f>
        <v/>
      </c>
      <c r="J996" t="str">
        <f t="shared" si="81"/>
        <v/>
      </c>
      <c r="K996" s="4" t="str">
        <f t="shared" si="82"/>
        <v/>
      </c>
      <c r="L996" s="47">
        <f t="shared" si="83"/>
        <v>0</v>
      </c>
      <c r="M996" s="47">
        <f t="shared" si="84"/>
        <v>0</v>
      </c>
      <c r="N996" t="str">
        <f>IF(A996="","",IF(D996="Category Pending","Needs categorization",IF(COUNTIFS($A$2:A996,A996,$B$2:B996,B996,$E$2:E996,E996)&gt;1,"Possible duplicate","")))</f>
        <v/>
      </c>
    </row>
    <row r="997" spans="3:14" x14ac:dyDescent="0.3">
      <c r="C997" s="16"/>
      <c r="G997" s="5" t="str">
        <f t="shared" si="80"/>
        <v/>
      </c>
      <c r="H997" t="str">
        <f>IF(A997="","",IFERROR(_xlfn.XLOOKUP(D997,Setup!$E$15:$E$79,Setup!$F$15:$F$79),"Miscellaneous"))</f>
        <v/>
      </c>
      <c r="I997" t="str">
        <f>IF(A997="","",IFERROR(_xlfn.XLOOKUP(D997,Setup!$E$15:$E$79,Setup!$G$15:$G$79),"Uncategorized"))</f>
        <v/>
      </c>
      <c r="J997" t="str">
        <f t="shared" si="81"/>
        <v/>
      </c>
      <c r="K997" s="4" t="str">
        <f t="shared" si="82"/>
        <v/>
      </c>
      <c r="L997" s="47">
        <f t="shared" si="83"/>
        <v>0</v>
      </c>
      <c r="M997" s="47">
        <f t="shared" si="84"/>
        <v>0</v>
      </c>
      <c r="N997" t="str">
        <f>IF(A997="","",IF(D997="Category Pending","Needs categorization",IF(COUNTIFS($A$2:A997,A997,$B$2:B997,B997,$E$2:E997,E997)&gt;1,"Possible duplicate","")))</f>
        <v/>
      </c>
    </row>
    <row r="998" spans="3:14" x14ac:dyDescent="0.3">
      <c r="C998" s="16"/>
      <c r="G998" s="5" t="str">
        <f t="shared" si="80"/>
        <v/>
      </c>
      <c r="H998" t="str">
        <f>IF(A998="","",IFERROR(_xlfn.XLOOKUP(D998,Setup!$E$15:$E$79,Setup!$F$15:$F$79),"Miscellaneous"))</f>
        <v/>
      </c>
      <c r="I998" t="str">
        <f>IF(A998="","",IFERROR(_xlfn.XLOOKUP(D998,Setup!$E$15:$E$79,Setup!$G$15:$G$79),"Uncategorized"))</f>
        <v/>
      </c>
      <c r="J998" t="str">
        <f t="shared" si="81"/>
        <v/>
      </c>
      <c r="K998" s="4" t="str">
        <f t="shared" si="82"/>
        <v/>
      </c>
      <c r="L998" s="47">
        <f t="shared" si="83"/>
        <v>0</v>
      </c>
      <c r="M998" s="47">
        <f t="shared" si="84"/>
        <v>0</v>
      </c>
      <c r="N998" t="str">
        <f>IF(A998="","",IF(D998="Category Pending","Needs categorization",IF(COUNTIFS($A$2:A998,A998,$B$2:B998,B998,$E$2:E998,E998)&gt;1,"Possible duplicate","")))</f>
        <v/>
      </c>
    </row>
    <row r="999" spans="3:14" x14ac:dyDescent="0.3">
      <c r="C999" s="16"/>
      <c r="G999" s="5" t="str">
        <f t="shared" si="80"/>
        <v/>
      </c>
      <c r="H999" t="str">
        <f>IF(A999="","",IFERROR(_xlfn.XLOOKUP(D999,Setup!$E$15:$E$79,Setup!$F$15:$F$79),"Miscellaneous"))</f>
        <v/>
      </c>
      <c r="I999" t="str">
        <f>IF(A999="","",IFERROR(_xlfn.XLOOKUP(D999,Setup!$E$15:$E$79,Setup!$G$15:$G$79),"Uncategorized"))</f>
        <v/>
      </c>
      <c r="J999" t="str">
        <f t="shared" si="81"/>
        <v/>
      </c>
      <c r="K999" s="4" t="str">
        <f t="shared" si="82"/>
        <v/>
      </c>
      <c r="L999" s="47">
        <f t="shared" si="83"/>
        <v>0</v>
      </c>
      <c r="M999" s="47">
        <f t="shared" si="84"/>
        <v>0</v>
      </c>
      <c r="N999" t="str">
        <f>IF(A999="","",IF(D999="Category Pending","Needs categorization",IF(COUNTIFS($A$2:A999,A999,$B$2:B999,B999,$E$2:E999,E999)&gt;1,"Possible duplicate","")))</f>
        <v/>
      </c>
    </row>
    <row r="1000" spans="3:14" x14ac:dyDescent="0.3">
      <c r="C1000" s="16"/>
      <c r="G1000" s="5" t="str">
        <f t="shared" si="80"/>
        <v/>
      </c>
      <c r="H1000" t="str">
        <f>IF(A1000="","",IFERROR(_xlfn.XLOOKUP(D1000,Setup!$E$15:$E$79,Setup!$F$15:$F$79),"Miscellaneous"))</f>
        <v/>
      </c>
      <c r="I1000" t="str">
        <f>IF(A1000="","",IFERROR(_xlfn.XLOOKUP(D1000,Setup!$E$15:$E$79,Setup!$G$15:$G$79),"Uncategorized"))</f>
        <v/>
      </c>
      <c r="J1000" t="str">
        <f t="shared" si="81"/>
        <v/>
      </c>
      <c r="K1000" s="4" t="str">
        <f t="shared" si="82"/>
        <v/>
      </c>
      <c r="L1000" s="47">
        <f t="shared" si="83"/>
        <v>0</v>
      </c>
      <c r="M1000" s="47">
        <f t="shared" si="84"/>
        <v>0</v>
      </c>
      <c r="N1000" t="str">
        <f>IF(A1000="","",IF(D1000="Category Pending","Needs categorization",IF(COUNTIFS($A$2:A1000,A1000,$B$2:B1000,B1000,$E$2:E1000,E1000)&gt;1,"Possible duplicate","")))</f>
        <v/>
      </c>
    </row>
    <row r="1001" spans="3:14" x14ac:dyDescent="0.3">
      <c r="C1001" s="16"/>
      <c r="G1001" s="5" t="str">
        <f t="shared" si="80"/>
        <v/>
      </c>
      <c r="H1001" t="str">
        <f>IF(A1001="","",IFERROR(_xlfn.XLOOKUP(D1001,Setup!$E$15:$E$79,Setup!$F$15:$F$79),"Miscellaneous"))</f>
        <v/>
      </c>
      <c r="I1001" t="str">
        <f>IF(A1001="","",IFERROR(_xlfn.XLOOKUP(D1001,Setup!$E$15:$E$79,Setup!$G$15:$G$79),"Uncategorized"))</f>
        <v/>
      </c>
      <c r="J1001" t="str">
        <f t="shared" si="81"/>
        <v/>
      </c>
      <c r="K1001" s="4" t="str">
        <f t="shared" si="82"/>
        <v/>
      </c>
      <c r="L1001" s="47">
        <f t="shared" si="83"/>
        <v>0</v>
      </c>
      <c r="M1001" s="47">
        <f t="shared" si="84"/>
        <v>0</v>
      </c>
      <c r="N1001" t="str">
        <f>IF(A1001="","",IF(D1001="Category Pending","Needs categorization",IF(COUNTIFS($A$2:A1001,A1001,$B$2:B1001,B1001,$E$2:E1001,E1001)&gt;1,"Possible duplicate","")))</f>
        <v/>
      </c>
    </row>
    <row r="1002" spans="3:14" x14ac:dyDescent="0.3">
      <c r="C1002" s="16"/>
      <c r="G1002" s="5" t="str">
        <f t="shared" si="80"/>
        <v/>
      </c>
      <c r="H1002" t="str">
        <f>IF(A1002="","",IFERROR(_xlfn.XLOOKUP(D1002,Setup!$E$15:$E$79,Setup!$F$15:$F$79),"Miscellaneous"))</f>
        <v/>
      </c>
      <c r="I1002" t="str">
        <f>IF(A1002="","",IFERROR(_xlfn.XLOOKUP(D1002,Setup!$E$15:$E$79,Setup!$G$15:$G$79),"Uncategorized"))</f>
        <v/>
      </c>
      <c r="J1002" t="str">
        <f t="shared" si="81"/>
        <v/>
      </c>
      <c r="K1002" s="4" t="str">
        <f t="shared" si="82"/>
        <v/>
      </c>
      <c r="L1002" s="47">
        <f t="shared" si="83"/>
        <v>0</v>
      </c>
      <c r="M1002" s="47">
        <f t="shared" si="84"/>
        <v>0</v>
      </c>
      <c r="N1002" t="str">
        <f>IF(A1002="","",IF(D1002="Category Pending","Needs categorization",IF(COUNTIFS($A$2:A1002,A1002,$B$2:B1002,B1002,$E$2:E1002,E1002)&gt;1,"Possible duplicate","")))</f>
        <v/>
      </c>
    </row>
    <row r="1003" spans="3:14" x14ac:dyDescent="0.3">
      <c r="C1003" s="16"/>
      <c r="G1003" s="5" t="str">
        <f t="shared" si="80"/>
        <v/>
      </c>
      <c r="H1003" t="str">
        <f>IF(A1003="","",IFERROR(_xlfn.XLOOKUP(D1003,Setup!$E$15:$E$79,Setup!$F$15:$F$79),"Miscellaneous"))</f>
        <v/>
      </c>
      <c r="I1003" t="str">
        <f>IF(A1003="","",IFERROR(_xlfn.XLOOKUP(D1003,Setup!$E$15:$E$79,Setup!$G$15:$G$79),"Uncategorized"))</f>
        <v/>
      </c>
      <c r="J1003" t="str">
        <f t="shared" si="81"/>
        <v/>
      </c>
      <c r="K1003" s="4" t="str">
        <f t="shared" si="82"/>
        <v/>
      </c>
      <c r="L1003" s="47">
        <f t="shared" si="83"/>
        <v>0</v>
      </c>
      <c r="M1003" s="47">
        <f t="shared" si="84"/>
        <v>0</v>
      </c>
      <c r="N1003" t="str">
        <f>IF(A1003="","",IF(D1003="Category Pending","Needs categorization",IF(COUNTIFS($A$2:A1003,A1003,$B$2:B1003,B1003,$E$2:E1003,E1003)&gt;1,"Possible duplicate","")))</f>
        <v/>
      </c>
    </row>
    <row r="1004" spans="3:14" x14ac:dyDescent="0.3">
      <c r="C1004" s="16"/>
      <c r="G1004" s="5" t="str">
        <f t="shared" si="80"/>
        <v/>
      </c>
      <c r="H1004" t="str">
        <f>IF(A1004="","",IFERROR(_xlfn.XLOOKUP(D1004,Setup!$E$15:$E$79,Setup!$F$15:$F$79),"Miscellaneous"))</f>
        <v/>
      </c>
      <c r="I1004" t="str">
        <f>IF(A1004="","",IFERROR(_xlfn.XLOOKUP(D1004,Setup!$E$15:$E$79,Setup!$G$15:$G$79),"Uncategorized"))</f>
        <v/>
      </c>
      <c r="J1004" t="str">
        <f t="shared" si="81"/>
        <v/>
      </c>
      <c r="K1004" s="4" t="str">
        <f t="shared" si="82"/>
        <v/>
      </c>
      <c r="L1004" s="47">
        <f t="shared" si="83"/>
        <v>0</v>
      </c>
      <c r="M1004" s="47">
        <f t="shared" si="84"/>
        <v>0</v>
      </c>
      <c r="N1004" t="str">
        <f>IF(A1004="","",IF(D1004="Category Pending","Needs categorization",IF(COUNTIFS($A$2:A1004,A1004,$B$2:B1004,B1004,$E$2:E1004,E1004)&gt;1,"Possible duplicate","")))</f>
        <v/>
      </c>
    </row>
    <row r="1005" spans="3:14" x14ac:dyDescent="0.3">
      <c r="C1005" s="16"/>
      <c r="G1005" s="5" t="str">
        <f t="shared" si="80"/>
        <v/>
      </c>
      <c r="H1005" t="str">
        <f>IF(A1005="","",IFERROR(_xlfn.XLOOKUP(D1005,Setup!$E$15:$E$79,Setup!$F$15:$F$79),"Miscellaneous"))</f>
        <v/>
      </c>
      <c r="I1005" t="str">
        <f>IF(A1005="","",IFERROR(_xlfn.XLOOKUP(D1005,Setup!$E$15:$E$79,Setup!$G$15:$G$79),"Uncategorized"))</f>
        <v/>
      </c>
      <c r="J1005" t="str">
        <f t="shared" si="81"/>
        <v/>
      </c>
      <c r="K1005" s="4" t="str">
        <f t="shared" si="82"/>
        <v/>
      </c>
      <c r="L1005" s="47">
        <f t="shared" si="83"/>
        <v>0</v>
      </c>
      <c r="M1005" s="47">
        <f t="shared" si="84"/>
        <v>0</v>
      </c>
      <c r="N1005" t="str">
        <f>IF(A1005="","",IF(D1005="Category Pending","Needs categorization",IF(COUNTIFS($A$2:A1005,A1005,$B$2:B1005,B1005,$E$2:E1005,E1005)&gt;1,"Possible duplicate","")))</f>
        <v/>
      </c>
    </row>
    <row r="1006" spans="3:14" x14ac:dyDescent="0.3">
      <c r="C1006" s="16"/>
      <c r="G1006" s="5" t="str">
        <f t="shared" si="80"/>
        <v/>
      </c>
      <c r="H1006" t="str">
        <f>IF(A1006="","",IFERROR(_xlfn.XLOOKUP(D1006,Setup!$E$15:$E$79,Setup!$F$15:$F$79),"Miscellaneous"))</f>
        <v/>
      </c>
      <c r="I1006" t="str">
        <f>IF(A1006="","",IFERROR(_xlfn.XLOOKUP(D1006,Setup!$E$15:$E$79,Setup!$G$15:$G$79),"Uncategorized"))</f>
        <v/>
      </c>
      <c r="J1006" t="str">
        <f t="shared" si="81"/>
        <v/>
      </c>
      <c r="K1006" s="4" t="str">
        <f t="shared" si="82"/>
        <v/>
      </c>
      <c r="L1006" s="47">
        <f t="shared" si="83"/>
        <v>0</v>
      </c>
      <c r="M1006" s="47">
        <f t="shared" si="84"/>
        <v>0</v>
      </c>
      <c r="N1006" t="str">
        <f>IF(A1006="","",IF(D1006="Category Pending","Needs categorization",IF(COUNTIFS($A$2:A1006,A1006,$B$2:B1006,B1006,$E$2:E1006,E1006)&gt;1,"Possible duplicate","")))</f>
        <v/>
      </c>
    </row>
    <row r="1007" spans="3:14" x14ac:dyDescent="0.3">
      <c r="C1007" s="16"/>
      <c r="G1007" s="5" t="str">
        <f t="shared" si="80"/>
        <v/>
      </c>
      <c r="H1007" t="str">
        <f>IF(A1007="","",IFERROR(_xlfn.XLOOKUP(D1007,Setup!$E$15:$E$79,Setup!$F$15:$F$79),"Miscellaneous"))</f>
        <v/>
      </c>
      <c r="I1007" t="str">
        <f>IF(A1007="","",IFERROR(_xlfn.XLOOKUP(D1007,Setup!$E$15:$E$79,Setup!$G$15:$G$79),"Uncategorized"))</f>
        <v/>
      </c>
      <c r="J1007" t="str">
        <f t="shared" si="81"/>
        <v/>
      </c>
      <c r="K1007" s="4" t="str">
        <f t="shared" si="82"/>
        <v/>
      </c>
      <c r="L1007" s="47">
        <f t="shared" si="83"/>
        <v>0</v>
      </c>
      <c r="M1007" s="47">
        <f t="shared" si="84"/>
        <v>0</v>
      </c>
      <c r="N1007" t="str">
        <f>IF(A1007="","",IF(D1007="Category Pending","Needs categorization",IF(COUNTIFS($A$2:A1007,A1007,$B$2:B1007,B1007,$E$2:E1007,E1007)&gt;1,"Possible duplicate","")))</f>
        <v/>
      </c>
    </row>
    <row r="1008" spans="3:14" x14ac:dyDescent="0.3">
      <c r="C1008" s="16"/>
      <c r="G1008" s="5" t="str">
        <f t="shared" si="80"/>
        <v/>
      </c>
      <c r="H1008" t="str">
        <f>IF(A1008="","",IFERROR(_xlfn.XLOOKUP(D1008,Setup!$E$15:$E$79,Setup!$F$15:$F$79),"Miscellaneous"))</f>
        <v/>
      </c>
      <c r="I1008" t="str">
        <f>IF(A1008="","",IFERROR(_xlfn.XLOOKUP(D1008,Setup!$E$15:$E$79,Setup!$G$15:$G$79),"Uncategorized"))</f>
        <v/>
      </c>
      <c r="J1008" t="str">
        <f t="shared" si="81"/>
        <v/>
      </c>
      <c r="K1008" s="4" t="str">
        <f t="shared" si="82"/>
        <v/>
      </c>
      <c r="L1008" s="47">
        <f t="shared" si="83"/>
        <v>0</v>
      </c>
      <c r="M1008" s="47">
        <f t="shared" si="84"/>
        <v>0</v>
      </c>
      <c r="N1008" t="str">
        <f>IF(A1008="","",IF(D1008="Category Pending","Needs categorization",IF(COUNTIFS($A$2:A1008,A1008,$B$2:B1008,B1008,$E$2:E1008,E1008)&gt;1,"Possible duplicate","")))</f>
        <v/>
      </c>
    </row>
    <row r="1009" spans="3:14" x14ac:dyDescent="0.3">
      <c r="C1009" s="16"/>
      <c r="G1009" s="5" t="str">
        <f t="shared" si="80"/>
        <v/>
      </c>
      <c r="H1009" t="str">
        <f>IF(A1009="","",IFERROR(_xlfn.XLOOKUP(D1009,Setup!$E$15:$E$79,Setup!$F$15:$F$79),"Miscellaneous"))</f>
        <v/>
      </c>
      <c r="I1009" t="str">
        <f>IF(A1009="","",IFERROR(_xlfn.XLOOKUP(D1009,Setup!$E$15:$E$79,Setup!$G$15:$G$79),"Uncategorized"))</f>
        <v/>
      </c>
      <c r="J1009" t="str">
        <f t="shared" si="81"/>
        <v/>
      </c>
      <c r="K1009" s="4" t="str">
        <f t="shared" si="82"/>
        <v/>
      </c>
      <c r="L1009" s="47">
        <f t="shared" si="83"/>
        <v>0</v>
      </c>
      <c r="M1009" s="47">
        <f t="shared" si="84"/>
        <v>0</v>
      </c>
      <c r="N1009" t="str">
        <f>IF(A1009="","",IF(D1009="Category Pending","Needs categorization",IF(COUNTIFS($A$2:A1009,A1009,$B$2:B1009,B1009,$E$2:E1009,E1009)&gt;1,"Possible duplicate","")))</f>
        <v/>
      </c>
    </row>
    <row r="1010" spans="3:14" x14ac:dyDescent="0.3">
      <c r="C1010" s="16"/>
      <c r="G1010" s="5" t="str">
        <f t="shared" si="80"/>
        <v/>
      </c>
      <c r="H1010" t="str">
        <f>IF(A1010="","",IFERROR(_xlfn.XLOOKUP(D1010,Setup!$E$15:$E$79,Setup!$F$15:$F$79),"Miscellaneous"))</f>
        <v/>
      </c>
      <c r="I1010" t="str">
        <f>IF(A1010="","",IFERROR(_xlfn.XLOOKUP(D1010,Setup!$E$15:$E$79,Setup!$G$15:$G$79),"Uncategorized"))</f>
        <v/>
      </c>
      <c r="J1010" t="str">
        <f t="shared" si="81"/>
        <v/>
      </c>
      <c r="K1010" s="4" t="str">
        <f t="shared" si="82"/>
        <v/>
      </c>
      <c r="L1010" s="47">
        <f t="shared" si="83"/>
        <v>0</v>
      </c>
      <c r="M1010" s="47">
        <f t="shared" si="84"/>
        <v>0</v>
      </c>
      <c r="N1010" t="str">
        <f>IF(A1010="","",IF(D1010="Category Pending","Needs categorization",IF(COUNTIFS($A$2:A1010,A1010,$B$2:B1010,B1010,$E$2:E1010,E1010)&gt;1,"Possible duplicate","")))</f>
        <v/>
      </c>
    </row>
    <row r="1011" spans="3:14" x14ac:dyDescent="0.3">
      <c r="C1011" s="16"/>
      <c r="G1011" s="5" t="str">
        <f t="shared" si="80"/>
        <v/>
      </c>
      <c r="H1011" t="str">
        <f>IF(A1011="","",IFERROR(_xlfn.XLOOKUP(D1011,Setup!$E$15:$E$79,Setup!$F$15:$F$79),"Miscellaneous"))</f>
        <v/>
      </c>
      <c r="I1011" t="str">
        <f>IF(A1011="","",IFERROR(_xlfn.XLOOKUP(D1011,Setup!$E$15:$E$79,Setup!$G$15:$G$79),"Uncategorized"))</f>
        <v/>
      </c>
      <c r="J1011" t="str">
        <f t="shared" si="81"/>
        <v/>
      </c>
      <c r="K1011" s="4" t="str">
        <f t="shared" si="82"/>
        <v/>
      </c>
      <c r="L1011" s="47">
        <f t="shared" si="83"/>
        <v>0</v>
      </c>
      <c r="M1011" s="47">
        <f t="shared" si="84"/>
        <v>0</v>
      </c>
      <c r="N1011" t="str">
        <f>IF(A1011="","",IF(D1011="Category Pending","Needs categorization",IF(COUNTIFS($A$2:A1011,A1011,$B$2:B1011,B1011,$E$2:E1011,E1011)&gt;1,"Possible duplicate","")))</f>
        <v/>
      </c>
    </row>
    <row r="1012" spans="3:14" x14ac:dyDescent="0.3">
      <c r="C1012" s="16"/>
      <c r="G1012" s="5" t="str">
        <f t="shared" si="80"/>
        <v/>
      </c>
      <c r="H1012" t="str">
        <f>IF(A1012="","",IFERROR(_xlfn.XLOOKUP(D1012,Setup!$E$15:$E$79,Setup!$F$15:$F$79),"Miscellaneous"))</f>
        <v/>
      </c>
      <c r="I1012" t="str">
        <f>IF(A1012="","",IFERROR(_xlfn.XLOOKUP(D1012,Setup!$E$15:$E$79,Setup!$G$15:$G$79),"Uncategorized"))</f>
        <v/>
      </c>
      <c r="J1012" t="str">
        <f t="shared" si="81"/>
        <v/>
      </c>
      <c r="K1012" s="4" t="str">
        <f t="shared" si="82"/>
        <v/>
      </c>
      <c r="L1012" s="47">
        <f t="shared" si="83"/>
        <v>0</v>
      </c>
      <c r="M1012" s="47">
        <f t="shared" si="84"/>
        <v>0</v>
      </c>
      <c r="N1012" t="str">
        <f>IF(A1012="","",IF(D1012="Category Pending","Needs categorization",IF(COUNTIFS($A$2:A1012,A1012,$B$2:B1012,B1012,$E$2:E1012,E1012)&gt;1,"Possible duplicate","")))</f>
        <v/>
      </c>
    </row>
    <row r="1013" spans="3:14" x14ac:dyDescent="0.3">
      <c r="C1013" s="16"/>
      <c r="G1013" s="5" t="str">
        <f t="shared" si="80"/>
        <v/>
      </c>
      <c r="H1013" t="str">
        <f>IF(A1013="","",IFERROR(_xlfn.XLOOKUP(D1013,Setup!$E$15:$E$79,Setup!$F$15:$F$79),"Miscellaneous"))</f>
        <v/>
      </c>
      <c r="I1013" t="str">
        <f>IF(A1013="","",IFERROR(_xlfn.XLOOKUP(D1013,Setup!$E$15:$E$79,Setup!$G$15:$G$79),"Uncategorized"))</f>
        <v/>
      </c>
      <c r="J1013" t="str">
        <f t="shared" si="81"/>
        <v/>
      </c>
      <c r="K1013" s="4" t="str">
        <f t="shared" si="82"/>
        <v/>
      </c>
      <c r="L1013" s="47">
        <f t="shared" si="83"/>
        <v>0</v>
      </c>
      <c r="M1013" s="47">
        <f t="shared" si="84"/>
        <v>0</v>
      </c>
      <c r="N1013" t="str">
        <f>IF(A1013="","",IF(D1013="Category Pending","Needs categorization",IF(COUNTIFS($A$2:A1013,A1013,$B$2:B1013,B1013,$E$2:E1013,E1013)&gt;1,"Possible duplicate","")))</f>
        <v/>
      </c>
    </row>
    <row r="1014" spans="3:14" x14ac:dyDescent="0.3">
      <c r="C1014" s="16"/>
      <c r="G1014" s="5" t="str">
        <f t="shared" si="80"/>
        <v/>
      </c>
      <c r="H1014" t="str">
        <f>IF(A1014="","",IFERROR(_xlfn.XLOOKUP(D1014,Setup!$E$15:$E$79,Setup!$F$15:$F$79),"Miscellaneous"))</f>
        <v/>
      </c>
      <c r="I1014" t="str">
        <f>IF(A1014="","",IFERROR(_xlfn.XLOOKUP(D1014,Setup!$E$15:$E$79,Setup!$G$15:$G$79),"Uncategorized"))</f>
        <v/>
      </c>
      <c r="J1014" t="str">
        <f t="shared" si="81"/>
        <v/>
      </c>
      <c r="K1014" s="4" t="str">
        <f t="shared" si="82"/>
        <v/>
      </c>
      <c r="L1014" s="47">
        <f t="shared" si="83"/>
        <v>0</v>
      </c>
      <c r="M1014" s="47">
        <f t="shared" si="84"/>
        <v>0</v>
      </c>
      <c r="N1014" t="str">
        <f>IF(A1014="","",IF(D1014="Category Pending","Needs categorization",IF(COUNTIFS($A$2:A1014,A1014,$B$2:B1014,B1014,$E$2:E1014,E1014)&gt;1,"Possible duplicate","")))</f>
        <v/>
      </c>
    </row>
    <row r="1015" spans="3:14" x14ac:dyDescent="0.3">
      <c r="C1015" s="16"/>
      <c r="G1015" s="5" t="str">
        <f t="shared" si="80"/>
        <v/>
      </c>
      <c r="H1015" t="str">
        <f>IF(A1015="","",IFERROR(_xlfn.XLOOKUP(D1015,Setup!$E$15:$E$79,Setup!$F$15:$F$79),"Miscellaneous"))</f>
        <v/>
      </c>
      <c r="I1015" t="str">
        <f>IF(A1015="","",IFERROR(_xlfn.XLOOKUP(D1015,Setup!$E$15:$E$79,Setup!$G$15:$G$79),"Uncategorized"))</f>
        <v/>
      </c>
      <c r="J1015" t="str">
        <f t="shared" si="81"/>
        <v/>
      </c>
      <c r="K1015" s="4" t="str">
        <f t="shared" si="82"/>
        <v/>
      </c>
      <c r="L1015" s="47">
        <f t="shared" si="83"/>
        <v>0</v>
      </c>
      <c r="M1015" s="47">
        <f t="shared" si="84"/>
        <v>0</v>
      </c>
      <c r="N1015" t="str">
        <f>IF(A1015="","",IF(D1015="Category Pending","Needs categorization",IF(COUNTIFS($A$2:A1015,A1015,$B$2:B1015,B1015,$E$2:E1015,E1015)&gt;1,"Possible duplicate","")))</f>
        <v/>
      </c>
    </row>
    <row r="1016" spans="3:14" x14ac:dyDescent="0.3">
      <c r="C1016" s="16"/>
      <c r="G1016" s="5" t="str">
        <f t="shared" si="80"/>
        <v/>
      </c>
      <c r="H1016" t="str">
        <f>IF(A1016="","",IFERROR(_xlfn.XLOOKUP(D1016,Setup!$E$15:$E$79,Setup!$F$15:$F$79),"Miscellaneous"))</f>
        <v/>
      </c>
      <c r="I1016" t="str">
        <f>IF(A1016="","",IFERROR(_xlfn.XLOOKUP(D1016,Setup!$E$15:$E$79,Setup!$G$15:$G$79),"Uncategorized"))</f>
        <v/>
      </c>
      <c r="J1016" t="str">
        <f t="shared" si="81"/>
        <v/>
      </c>
      <c r="K1016" s="4" t="str">
        <f t="shared" si="82"/>
        <v/>
      </c>
      <c r="L1016" s="47">
        <f t="shared" si="83"/>
        <v>0</v>
      </c>
      <c r="M1016" s="47">
        <f t="shared" si="84"/>
        <v>0</v>
      </c>
      <c r="N1016" t="str">
        <f>IF(A1016="","",IF(D1016="Category Pending","Needs categorization",IF(COUNTIFS($A$2:A1016,A1016,$B$2:B1016,B1016,$E$2:E1016,E1016)&gt;1,"Possible duplicate","")))</f>
        <v/>
      </c>
    </row>
    <row r="1017" spans="3:14" x14ac:dyDescent="0.3">
      <c r="C1017" s="16"/>
      <c r="G1017" s="5" t="str">
        <f t="shared" si="80"/>
        <v/>
      </c>
      <c r="H1017" t="str">
        <f>IF(A1017="","",IFERROR(_xlfn.XLOOKUP(D1017,Setup!$E$15:$E$79,Setup!$F$15:$F$79),"Miscellaneous"))</f>
        <v/>
      </c>
      <c r="I1017" t="str">
        <f>IF(A1017="","",IFERROR(_xlfn.XLOOKUP(D1017,Setup!$E$15:$E$79,Setup!$G$15:$G$79),"Uncategorized"))</f>
        <v/>
      </c>
      <c r="J1017" t="str">
        <f t="shared" si="81"/>
        <v/>
      </c>
      <c r="K1017" s="4" t="str">
        <f t="shared" si="82"/>
        <v/>
      </c>
      <c r="L1017" s="47">
        <f t="shared" si="83"/>
        <v>0</v>
      </c>
      <c r="M1017" s="47">
        <f t="shared" si="84"/>
        <v>0</v>
      </c>
      <c r="N1017" t="str">
        <f>IF(A1017="","",IF(D1017="Category Pending","Needs categorization",IF(COUNTIFS($A$2:A1017,A1017,$B$2:B1017,B1017,$E$2:E1017,E1017)&gt;1,"Possible duplicate","")))</f>
        <v/>
      </c>
    </row>
    <row r="1018" spans="3:14" x14ac:dyDescent="0.3">
      <c r="C1018" s="16"/>
      <c r="G1018" s="5" t="str">
        <f t="shared" si="80"/>
        <v/>
      </c>
      <c r="H1018" t="str">
        <f>IF(A1018="","",IFERROR(_xlfn.XLOOKUP(D1018,Setup!$E$15:$E$79,Setup!$F$15:$F$79),"Miscellaneous"))</f>
        <v/>
      </c>
      <c r="I1018" t="str">
        <f>IF(A1018="","",IFERROR(_xlfn.XLOOKUP(D1018,Setup!$E$15:$E$79,Setup!$G$15:$G$79),"Uncategorized"))</f>
        <v/>
      </c>
      <c r="J1018" t="str">
        <f t="shared" si="81"/>
        <v/>
      </c>
      <c r="K1018" s="4" t="str">
        <f t="shared" si="82"/>
        <v/>
      </c>
      <c r="L1018" s="47">
        <f t="shared" si="83"/>
        <v>0</v>
      </c>
      <c r="M1018" s="47">
        <f t="shared" si="84"/>
        <v>0</v>
      </c>
      <c r="N1018" t="str">
        <f>IF(A1018="","",IF(D1018="Category Pending","Needs categorization",IF(COUNTIFS($A$2:A1018,A1018,$B$2:B1018,B1018,$E$2:E1018,E1018)&gt;1,"Possible duplicate","")))</f>
        <v/>
      </c>
    </row>
    <row r="1019" spans="3:14" x14ac:dyDescent="0.3">
      <c r="C1019" s="16"/>
      <c r="G1019" s="5" t="str">
        <f t="shared" si="80"/>
        <v/>
      </c>
      <c r="H1019" t="str">
        <f>IF(A1019="","",IFERROR(_xlfn.XLOOKUP(D1019,Setup!$E$15:$E$79,Setup!$F$15:$F$79),"Miscellaneous"))</f>
        <v/>
      </c>
      <c r="I1019" t="str">
        <f>IF(A1019="","",IFERROR(_xlfn.XLOOKUP(D1019,Setup!$E$15:$E$79,Setup!$G$15:$G$79),"Uncategorized"))</f>
        <v/>
      </c>
      <c r="J1019" t="str">
        <f t="shared" si="81"/>
        <v/>
      </c>
      <c r="K1019" s="4" t="str">
        <f t="shared" si="82"/>
        <v/>
      </c>
      <c r="L1019" s="47">
        <f t="shared" si="83"/>
        <v>0</v>
      </c>
      <c r="M1019" s="47">
        <f t="shared" si="84"/>
        <v>0</v>
      </c>
      <c r="N1019" t="str">
        <f>IF(A1019="","",IF(D1019="Category Pending","Needs categorization",IF(COUNTIFS($A$2:A1019,A1019,$B$2:B1019,B1019,$E$2:E1019,E1019)&gt;1,"Possible duplicate","")))</f>
        <v/>
      </c>
    </row>
    <row r="1020" spans="3:14" x14ac:dyDescent="0.3">
      <c r="C1020" s="16"/>
      <c r="G1020" s="5" t="str">
        <f t="shared" si="80"/>
        <v/>
      </c>
      <c r="H1020" t="str">
        <f>IF(A1020="","",IFERROR(_xlfn.XLOOKUP(D1020,Setup!$E$15:$E$79,Setup!$F$15:$F$79),"Miscellaneous"))</f>
        <v/>
      </c>
      <c r="I1020" t="str">
        <f>IF(A1020="","",IFERROR(_xlfn.XLOOKUP(D1020,Setup!$E$15:$E$79,Setup!$G$15:$G$79),"Uncategorized"))</f>
        <v/>
      </c>
      <c r="J1020" t="str">
        <f t="shared" si="81"/>
        <v/>
      </c>
      <c r="K1020" s="4" t="str">
        <f t="shared" si="82"/>
        <v/>
      </c>
      <c r="L1020" s="47">
        <f t="shared" si="83"/>
        <v>0</v>
      </c>
      <c r="M1020" s="47">
        <f t="shared" si="84"/>
        <v>0</v>
      </c>
      <c r="N1020" t="str">
        <f>IF(A1020="","",IF(D1020="Category Pending","Needs categorization",IF(COUNTIFS($A$2:A1020,A1020,$B$2:B1020,B1020,$E$2:E1020,E1020)&gt;1,"Possible duplicate","")))</f>
        <v/>
      </c>
    </row>
    <row r="1021" spans="3:14" x14ac:dyDescent="0.3">
      <c r="C1021" s="16"/>
      <c r="G1021" s="5" t="str">
        <f t="shared" si="80"/>
        <v/>
      </c>
      <c r="H1021" t="str">
        <f>IF(A1021="","",IFERROR(_xlfn.XLOOKUP(D1021,Setup!$E$15:$E$79,Setup!$F$15:$F$79),"Miscellaneous"))</f>
        <v/>
      </c>
      <c r="I1021" t="str">
        <f>IF(A1021="","",IFERROR(_xlfn.XLOOKUP(D1021,Setup!$E$15:$E$79,Setup!$G$15:$G$79),"Uncategorized"))</f>
        <v/>
      </c>
      <c r="J1021" t="str">
        <f t="shared" si="81"/>
        <v/>
      </c>
      <c r="K1021" s="4" t="str">
        <f t="shared" si="82"/>
        <v/>
      </c>
      <c r="L1021" s="47">
        <f t="shared" si="83"/>
        <v>0</v>
      </c>
      <c r="M1021" s="47">
        <f t="shared" si="84"/>
        <v>0</v>
      </c>
      <c r="N1021" t="str">
        <f>IF(A1021="","",IF(D1021="Category Pending","Needs categorization",IF(COUNTIFS($A$2:A1021,A1021,$B$2:B1021,B1021,$E$2:E1021,E1021)&gt;1,"Possible duplicate","")))</f>
        <v/>
      </c>
    </row>
    <row r="1022" spans="3:14" x14ac:dyDescent="0.3">
      <c r="C1022" s="16"/>
      <c r="G1022" s="5" t="str">
        <f t="shared" si="80"/>
        <v/>
      </c>
      <c r="H1022" t="str">
        <f>IF(A1022="","",IFERROR(_xlfn.XLOOKUP(D1022,Setup!$E$15:$E$79,Setup!$F$15:$F$79),"Miscellaneous"))</f>
        <v/>
      </c>
      <c r="I1022" t="str">
        <f>IF(A1022="","",IFERROR(_xlfn.XLOOKUP(D1022,Setup!$E$15:$E$79,Setup!$G$15:$G$79),"Uncategorized"))</f>
        <v/>
      </c>
      <c r="J1022" t="str">
        <f t="shared" si="81"/>
        <v/>
      </c>
      <c r="K1022" s="4" t="str">
        <f t="shared" si="82"/>
        <v/>
      </c>
      <c r="L1022" s="47">
        <f t="shared" si="83"/>
        <v>0</v>
      </c>
      <c r="M1022" s="47">
        <f t="shared" si="84"/>
        <v>0</v>
      </c>
      <c r="N1022" t="str">
        <f>IF(A1022="","",IF(D1022="Category Pending","Needs categorization",IF(COUNTIFS($A$2:A1022,A1022,$B$2:B1022,B1022,$E$2:E1022,E1022)&gt;1,"Possible duplicate","")))</f>
        <v/>
      </c>
    </row>
    <row r="1023" spans="3:14" x14ac:dyDescent="0.3">
      <c r="C1023" s="16"/>
      <c r="G1023" s="5" t="str">
        <f t="shared" si="80"/>
        <v/>
      </c>
      <c r="H1023" t="str">
        <f>IF(A1023="","",IFERROR(_xlfn.XLOOKUP(D1023,Setup!$E$15:$E$79,Setup!$F$15:$F$79),"Miscellaneous"))</f>
        <v/>
      </c>
      <c r="I1023" t="str">
        <f>IF(A1023="","",IFERROR(_xlfn.XLOOKUP(D1023,Setup!$E$15:$E$79,Setup!$G$15:$G$79),"Uncategorized"))</f>
        <v/>
      </c>
      <c r="J1023" t="str">
        <f t="shared" si="81"/>
        <v/>
      </c>
      <c r="K1023" s="4" t="str">
        <f t="shared" si="82"/>
        <v/>
      </c>
      <c r="L1023" s="47">
        <f t="shared" si="83"/>
        <v>0</v>
      </c>
      <c r="M1023" s="47">
        <f t="shared" si="84"/>
        <v>0</v>
      </c>
      <c r="N1023" t="str">
        <f>IF(A1023="","",IF(D1023="Category Pending","Needs categorization",IF(COUNTIFS($A$2:A1023,A1023,$B$2:B1023,B1023,$E$2:E1023,E1023)&gt;1,"Possible duplicate","")))</f>
        <v/>
      </c>
    </row>
    <row r="1024" spans="3:14" x14ac:dyDescent="0.3">
      <c r="C1024" s="16"/>
      <c r="G1024" s="5" t="str">
        <f t="shared" si="80"/>
        <v/>
      </c>
      <c r="H1024" t="str">
        <f>IF(A1024="","",IFERROR(_xlfn.XLOOKUP(D1024,Setup!$E$15:$E$79,Setup!$F$15:$F$79),"Miscellaneous"))</f>
        <v/>
      </c>
      <c r="I1024" t="str">
        <f>IF(A1024="","",IFERROR(_xlfn.XLOOKUP(D1024,Setup!$E$15:$E$79,Setup!$G$15:$G$79),"Uncategorized"))</f>
        <v/>
      </c>
      <c r="J1024" t="str">
        <f t="shared" si="81"/>
        <v/>
      </c>
      <c r="K1024" s="4" t="str">
        <f t="shared" si="82"/>
        <v/>
      </c>
      <c r="L1024" s="47">
        <f t="shared" si="83"/>
        <v>0</v>
      </c>
      <c r="M1024" s="47">
        <f t="shared" si="84"/>
        <v>0</v>
      </c>
      <c r="N1024" t="str">
        <f>IF(A1024="","",IF(D1024="Category Pending","Needs categorization",IF(COUNTIFS($A$2:A1024,A1024,$B$2:B1024,B1024,$E$2:E1024,E1024)&gt;1,"Possible duplicate","")))</f>
        <v/>
      </c>
    </row>
    <row r="1025" spans="3:14" x14ac:dyDescent="0.3">
      <c r="C1025" s="16"/>
      <c r="G1025" s="5" t="str">
        <f t="shared" si="80"/>
        <v/>
      </c>
      <c r="H1025" t="str">
        <f>IF(A1025="","",IFERROR(_xlfn.XLOOKUP(D1025,Setup!$E$15:$E$79,Setup!$F$15:$F$79),"Miscellaneous"))</f>
        <v/>
      </c>
      <c r="I1025" t="str">
        <f>IF(A1025="","",IFERROR(_xlfn.XLOOKUP(D1025,Setup!$E$15:$E$79,Setup!$G$15:$G$79),"Uncategorized"))</f>
        <v/>
      </c>
      <c r="J1025" t="str">
        <f t="shared" si="81"/>
        <v/>
      </c>
      <c r="K1025" s="4" t="str">
        <f t="shared" si="82"/>
        <v/>
      </c>
      <c r="L1025" s="47">
        <f t="shared" si="83"/>
        <v>0</v>
      </c>
      <c r="M1025" s="47">
        <f t="shared" si="84"/>
        <v>0</v>
      </c>
      <c r="N1025" t="str">
        <f>IF(A1025="","",IF(D1025="Category Pending","Needs categorization",IF(COUNTIFS($A$2:A1025,A1025,$B$2:B1025,B1025,$E$2:E1025,E1025)&gt;1,"Possible duplicate","")))</f>
        <v/>
      </c>
    </row>
    <row r="1026" spans="3:14" x14ac:dyDescent="0.3">
      <c r="C1026" s="16"/>
      <c r="G1026" s="5" t="str">
        <f t="shared" si="80"/>
        <v/>
      </c>
      <c r="H1026" t="str">
        <f>IF(A1026="","",IFERROR(_xlfn.XLOOKUP(D1026,Setup!$E$15:$E$79,Setup!$F$15:$F$79),"Miscellaneous"))</f>
        <v/>
      </c>
      <c r="I1026" t="str">
        <f>IF(A1026="","",IFERROR(_xlfn.XLOOKUP(D1026,Setup!$E$15:$E$79,Setup!$G$15:$G$79),"Uncategorized"))</f>
        <v/>
      </c>
      <c r="J1026" t="str">
        <f t="shared" si="81"/>
        <v/>
      </c>
      <c r="K1026" s="4" t="str">
        <f t="shared" si="82"/>
        <v/>
      </c>
      <c r="L1026" s="47">
        <f t="shared" si="83"/>
        <v>0</v>
      </c>
      <c r="M1026" s="47">
        <f t="shared" si="84"/>
        <v>0</v>
      </c>
      <c r="N1026" t="str">
        <f>IF(A1026="","",IF(D1026="Category Pending","Needs categorization",IF(COUNTIFS($A$2:A1026,A1026,$B$2:B1026,B1026,$E$2:E1026,E1026)&gt;1,"Possible duplicate","")))</f>
        <v/>
      </c>
    </row>
    <row r="1027" spans="3:14" x14ac:dyDescent="0.3">
      <c r="C1027" s="16"/>
      <c r="G1027" s="5" t="str">
        <f t="shared" si="80"/>
        <v/>
      </c>
      <c r="H1027" t="str">
        <f>IF(A1027="","",IFERROR(_xlfn.XLOOKUP(D1027,Setup!$E$15:$E$79,Setup!$F$15:$F$79),"Miscellaneous"))</f>
        <v/>
      </c>
      <c r="I1027" t="str">
        <f>IF(A1027="","",IFERROR(_xlfn.XLOOKUP(D1027,Setup!$E$15:$E$79,Setup!$G$15:$G$79),"Uncategorized"))</f>
        <v/>
      </c>
      <c r="J1027" t="str">
        <f t="shared" si="81"/>
        <v/>
      </c>
      <c r="K1027" s="4" t="str">
        <f t="shared" si="82"/>
        <v/>
      </c>
      <c r="L1027" s="47">
        <f t="shared" si="83"/>
        <v>0</v>
      </c>
      <c r="M1027" s="47">
        <f t="shared" si="84"/>
        <v>0</v>
      </c>
      <c r="N1027" t="str">
        <f>IF(A1027="","",IF(D1027="Category Pending","Needs categorization",IF(COUNTIFS($A$2:A1027,A1027,$B$2:B1027,B1027,$E$2:E1027,E1027)&gt;1,"Possible duplicate","")))</f>
        <v/>
      </c>
    </row>
    <row r="1028" spans="3:14" x14ac:dyDescent="0.3">
      <c r="C1028" s="16"/>
      <c r="G1028" s="5" t="str">
        <f t="shared" si="80"/>
        <v/>
      </c>
      <c r="H1028" t="str">
        <f>IF(A1028="","",IFERROR(_xlfn.XLOOKUP(D1028,Setup!$E$15:$E$79,Setup!$F$15:$F$79),"Miscellaneous"))</f>
        <v/>
      </c>
      <c r="I1028" t="str">
        <f>IF(A1028="","",IFERROR(_xlfn.XLOOKUP(D1028,Setup!$E$15:$E$79,Setup!$G$15:$G$79),"Uncategorized"))</f>
        <v/>
      </c>
      <c r="J1028" t="str">
        <f t="shared" si="81"/>
        <v/>
      </c>
      <c r="K1028" s="4" t="str">
        <f t="shared" si="82"/>
        <v/>
      </c>
      <c r="L1028" s="47">
        <f t="shared" si="83"/>
        <v>0</v>
      </c>
      <c r="M1028" s="47">
        <f t="shared" si="84"/>
        <v>0</v>
      </c>
      <c r="N1028" t="str">
        <f>IF(A1028="","",IF(D1028="Category Pending","Needs categorization",IF(COUNTIFS($A$2:A1028,A1028,$B$2:B1028,B1028,$E$2:E1028,E1028)&gt;1,"Possible duplicate","")))</f>
        <v/>
      </c>
    </row>
    <row r="1029" spans="3:14" x14ac:dyDescent="0.3">
      <c r="C1029" s="16"/>
      <c r="G1029" s="5" t="str">
        <f t="shared" si="80"/>
        <v/>
      </c>
      <c r="H1029" t="str">
        <f>IF(A1029="","",IFERROR(_xlfn.XLOOKUP(D1029,Setup!$E$15:$E$79,Setup!$F$15:$F$79),"Miscellaneous"))</f>
        <v/>
      </c>
      <c r="I1029" t="str">
        <f>IF(A1029="","",IFERROR(_xlfn.XLOOKUP(D1029,Setup!$E$15:$E$79,Setup!$G$15:$G$79),"Uncategorized"))</f>
        <v/>
      </c>
      <c r="J1029" t="str">
        <f t="shared" si="81"/>
        <v/>
      </c>
      <c r="K1029" s="4" t="str">
        <f t="shared" si="82"/>
        <v/>
      </c>
      <c r="L1029" s="47">
        <f t="shared" si="83"/>
        <v>0</v>
      </c>
      <c r="M1029" s="47">
        <f t="shared" si="84"/>
        <v>0</v>
      </c>
      <c r="N1029" t="str">
        <f>IF(A1029="","",IF(D1029="Category Pending","Needs categorization",IF(COUNTIFS($A$2:A1029,A1029,$B$2:B1029,B1029,$E$2:E1029,E1029)&gt;1,"Possible duplicate","")))</f>
        <v/>
      </c>
    </row>
    <row r="1030" spans="3:14" x14ac:dyDescent="0.3">
      <c r="C1030" s="16"/>
      <c r="G1030" s="5" t="str">
        <f t="shared" si="80"/>
        <v/>
      </c>
      <c r="H1030" t="str">
        <f>IF(A1030="","",IFERROR(_xlfn.XLOOKUP(D1030,Setup!$E$15:$E$79,Setup!$F$15:$F$79),"Miscellaneous"))</f>
        <v/>
      </c>
      <c r="I1030" t="str">
        <f>IF(A1030="","",IFERROR(_xlfn.XLOOKUP(D1030,Setup!$E$15:$E$79,Setup!$G$15:$G$79),"Uncategorized"))</f>
        <v/>
      </c>
      <c r="J1030" t="str">
        <f t="shared" si="81"/>
        <v/>
      </c>
      <c r="K1030" s="4" t="str">
        <f t="shared" si="82"/>
        <v/>
      </c>
      <c r="L1030" s="47">
        <f t="shared" si="83"/>
        <v>0</v>
      </c>
      <c r="M1030" s="47">
        <f t="shared" si="84"/>
        <v>0</v>
      </c>
      <c r="N1030" t="str">
        <f>IF(A1030="","",IF(D1030="Category Pending","Needs categorization",IF(COUNTIFS($A$2:A1030,A1030,$B$2:B1030,B1030,$E$2:E1030,E1030)&gt;1,"Possible duplicate","")))</f>
        <v/>
      </c>
    </row>
    <row r="1031" spans="3:14" x14ac:dyDescent="0.3">
      <c r="C1031" s="16"/>
      <c r="G1031" s="5" t="str">
        <f t="shared" si="80"/>
        <v/>
      </c>
      <c r="H1031" t="str">
        <f>IF(A1031="","",IFERROR(_xlfn.XLOOKUP(D1031,Setup!$E$15:$E$79,Setup!$F$15:$F$79),"Miscellaneous"))</f>
        <v/>
      </c>
      <c r="I1031" t="str">
        <f>IF(A1031="","",IFERROR(_xlfn.XLOOKUP(D1031,Setup!$E$15:$E$79,Setup!$G$15:$G$79),"Uncategorized"))</f>
        <v/>
      </c>
      <c r="J1031" t="str">
        <f t="shared" si="81"/>
        <v/>
      </c>
      <c r="K1031" s="4" t="str">
        <f t="shared" si="82"/>
        <v/>
      </c>
      <c r="L1031" s="47">
        <f t="shared" si="83"/>
        <v>0</v>
      </c>
      <c r="M1031" s="47">
        <f t="shared" si="84"/>
        <v>0</v>
      </c>
      <c r="N1031" t="str">
        <f>IF(A1031="","",IF(D1031="Category Pending","Needs categorization",IF(COUNTIFS($A$2:A1031,A1031,$B$2:B1031,B1031,$E$2:E1031,E1031)&gt;1,"Possible duplicate","")))</f>
        <v/>
      </c>
    </row>
    <row r="1032" spans="3:14" x14ac:dyDescent="0.3">
      <c r="C1032" s="16"/>
      <c r="G1032" s="5" t="str">
        <f t="shared" si="80"/>
        <v/>
      </c>
      <c r="H1032" t="str">
        <f>IF(A1032="","",IFERROR(_xlfn.XLOOKUP(D1032,Setup!$E$15:$E$79,Setup!$F$15:$F$79),"Miscellaneous"))</f>
        <v/>
      </c>
      <c r="I1032" t="str">
        <f>IF(A1032="","",IFERROR(_xlfn.XLOOKUP(D1032,Setup!$E$15:$E$79,Setup!$G$15:$G$79),"Uncategorized"))</f>
        <v/>
      </c>
      <c r="J1032" t="str">
        <f t="shared" si="81"/>
        <v/>
      </c>
      <c r="K1032" s="4" t="str">
        <f t="shared" si="82"/>
        <v/>
      </c>
      <c r="L1032" s="47">
        <f t="shared" si="83"/>
        <v>0</v>
      </c>
      <c r="M1032" s="47">
        <f t="shared" si="84"/>
        <v>0</v>
      </c>
      <c r="N1032" t="str">
        <f>IF(A1032="","",IF(D1032="Category Pending","Needs categorization",IF(COUNTIFS($A$2:A1032,A1032,$B$2:B1032,B1032,$E$2:E1032,E1032)&gt;1,"Possible duplicate","")))</f>
        <v/>
      </c>
    </row>
    <row r="1033" spans="3:14" x14ac:dyDescent="0.3">
      <c r="C1033" s="16"/>
      <c r="G1033" s="5" t="str">
        <f t="shared" si="80"/>
        <v/>
      </c>
      <c r="H1033" t="str">
        <f>IF(A1033="","",IFERROR(_xlfn.XLOOKUP(D1033,Setup!$E$15:$E$79,Setup!$F$15:$F$79),"Miscellaneous"))</f>
        <v/>
      </c>
      <c r="I1033" t="str">
        <f>IF(A1033="","",IFERROR(_xlfn.XLOOKUP(D1033,Setup!$E$15:$E$79,Setup!$G$15:$G$79),"Uncategorized"))</f>
        <v/>
      </c>
      <c r="J1033" t="str">
        <f t="shared" si="81"/>
        <v/>
      </c>
      <c r="K1033" s="4" t="str">
        <f t="shared" si="82"/>
        <v/>
      </c>
      <c r="L1033" s="47">
        <f t="shared" si="83"/>
        <v>0</v>
      </c>
      <c r="M1033" s="47">
        <f t="shared" si="84"/>
        <v>0</v>
      </c>
      <c r="N1033" t="str">
        <f>IF(A1033="","",IF(D1033="Category Pending","Needs categorization",IF(COUNTIFS($A$2:A1033,A1033,$B$2:B1033,B1033,$E$2:E1033,E1033)&gt;1,"Possible duplicate","")))</f>
        <v/>
      </c>
    </row>
    <row r="1034" spans="3:14" x14ac:dyDescent="0.3">
      <c r="C1034" s="16"/>
      <c r="G1034" s="5" t="str">
        <f t="shared" si="80"/>
        <v/>
      </c>
      <c r="H1034" t="str">
        <f>IF(A1034="","",IFERROR(_xlfn.XLOOKUP(D1034,Setup!$E$15:$E$79,Setup!$F$15:$F$79),"Miscellaneous"))</f>
        <v/>
      </c>
      <c r="I1034" t="str">
        <f>IF(A1034="","",IFERROR(_xlfn.XLOOKUP(D1034,Setup!$E$15:$E$79,Setup!$G$15:$G$79),"Uncategorized"))</f>
        <v/>
      </c>
      <c r="J1034" t="str">
        <f t="shared" si="81"/>
        <v/>
      </c>
      <c r="K1034" s="4" t="str">
        <f t="shared" si="82"/>
        <v/>
      </c>
      <c r="L1034" s="47">
        <f t="shared" si="83"/>
        <v>0</v>
      </c>
      <c r="M1034" s="47">
        <f t="shared" si="84"/>
        <v>0</v>
      </c>
      <c r="N1034" t="str">
        <f>IF(A1034="","",IF(D1034="Category Pending","Needs categorization",IF(COUNTIFS($A$2:A1034,A1034,$B$2:B1034,B1034,$E$2:E1034,E1034)&gt;1,"Possible duplicate","")))</f>
        <v/>
      </c>
    </row>
    <row r="1035" spans="3:14" x14ac:dyDescent="0.3">
      <c r="C1035" s="16"/>
      <c r="G1035" s="5" t="str">
        <f t="shared" si="80"/>
        <v/>
      </c>
      <c r="H1035" t="str">
        <f>IF(A1035="","",IFERROR(_xlfn.XLOOKUP(D1035,Setup!$E$15:$E$79,Setup!$F$15:$F$79),"Miscellaneous"))</f>
        <v/>
      </c>
      <c r="I1035" t="str">
        <f>IF(A1035="","",IFERROR(_xlfn.XLOOKUP(D1035,Setup!$E$15:$E$79,Setup!$G$15:$G$79),"Uncategorized"))</f>
        <v/>
      </c>
      <c r="J1035" t="str">
        <f t="shared" si="81"/>
        <v/>
      </c>
      <c r="K1035" s="4" t="str">
        <f t="shared" si="82"/>
        <v/>
      </c>
      <c r="L1035" s="47">
        <f t="shared" si="83"/>
        <v>0</v>
      </c>
      <c r="M1035" s="47">
        <f t="shared" si="84"/>
        <v>0</v>
      </c>
      <c r="N1035" t="str">
        <f>IF(A1035="","",IF(D1035="Category Pending","Needs categorization",IF(COUNTIFS($A$2:A1035,A1035,$B$2:B1035,B1035,$E$2:E1035,E1035)&gt;1,"Possible duplicate","")))</f>
        <v/>
      </c>
    </row>
    <row r="1036" spans="3:14" x14ac:dyDescent="0.3">
      <c r="C1036" s="16"/>
      <c r="G1036" s="5" t="str">
        <f t="shared" si="80"/>
        <v/>
      </c>
      <c r="H1036" t="str">
        <f>IF(A1036="","",IFERROR(_xlfn.XLOOKUP(D1036,Setup!$E$15:$E$79,Setup!$F$15:$F$79),"Miscellaneous"))</f>
        <v/>
      </c>
      <c r="I1036" t="str">
        <f>IF(A1036="","",IFERROR(_xlfn.XLOOKUP(D1036,Setup!$E$15:$E$79,Setup!$G$15:$G$79),"Uncategorized"))</f>
        <v/>
      </c>
      <c r="J1036" t="str">
        <f t="shared" si="81"/>
        <v/>
      </c>
      <c r="K1036" s="4" t="str">
        <f t="shared" si="82"/>
        <v/>
      </c>
      <c r="L1036" s="47">
        <f t="shared" si="83"/>
        <v>0</v>
      </c>
      <c r="M1036" s="47">
        <f t="shared" si="84"/>
        <v>0</v>
      </c>
      <c r="N1036" t="str">
        <f>IF(A1036="","",IF(D1036="Category Pending","Needs categorization",IF(COUNTIFS($A$2:A1036,A1036,$B$2:B1036,B1036,$E$2:E1036,E1036)&gt;1,"Possible duplicate","")))</f>
        <v/>
      </c>
    </row>
    <row r="1037" spans="3:14" x14ac:dyDescent="0.3">
      <c r="C1037" s="16"/>
      <c r="G1037" s="5" t="str">
        <f t="shared" si="80"/>
        <v/>
      </c>
      <c r="H1037" t="str">
        <f>IF(A1037="","",IFERROR(_xlfn.XLOOKUP(D1037,Setup!$E$15:$E$79,Setup!$F$15:$F$79),"Miscellaneous"))</f>
        <v/>
      </c>
      <c r="I1037" t="str">
        <f>IF(A1037="","",IFERROR(_xlfn.XLOOKUP(D1037,Setup!$E$15:$E$79,Setup!$G$15:$G$79),"Uncategorized"))</f>
        <v/>
      </c>
      <c r="J1037" t="str">
        <f t="shared" si="81"/>
        <v/>
      </c>
      <c r="K1037" s="4" t="str">
        <f t="shared" si="82"/>
        <v/>
      </c>
      <c r="L1037" s="47">
        <f t="shared" si="83"/>
        <v>0</v>
      </c>
      <c r="M1037" s="47">
        <f t="shared" si="84"/>
        <v>0</v>
      </c>
      <c r="N1037" t="str">
        <f>IF(A1037="","",IF(D1037="Category Pending","Needs categorization",IF(COUNTIFS($A$2:A1037,A1037,$B$2:B1037,B1037,$E$2:E1037,E1037)&gt;1,"Possible duplicate","")))</f>
        <v/>
      </c>
    </row>
    <row r="1038" spans="3:14" x14ac:dyDescent="0.3">
      <c r="C1038" s="16"/>
      <c r="G1038" s="5" t="str">
        <f t="shared" si="80"/>
        <v/>
      </c>
      <c r="H1038" t="str">
        <f>IF(A1038="","",IFERROR(_xlfn.XLOOKUP(D1038,Setup!$E$15:$E$79,Setup!$F$15:$F$79),"Miscellaneous"))</f>
        <v/>
      </c>
      <c r="I1038" t="str">
        <f>IF(A1038="","",IFERROR(_xlfn.XLOOKUP(D1038,Setup!$E$15:$E$79,Setup!$G$15:$G$79),"Uncategorized"))</f>
        <v/>
      </c>
      <c r="J1038" t="str">
        <f t="shared" si="81"/>
        <v/>
      </c>
      <c r="K1038" s="4" t="str">
        <f t="shared" si="82"/>
        <v/>
      </c>
      <c r="L1038" s="47">
        <f t="shared" si="83"/>
        <v>0</v>
      </c>
      <c r="M1038" s="47">
        <f t="shared" si="84"/>
        <v>0</v>
      </c>
      <c r="N1038" t="str">
        <f>IF(A1038="","",IF(D1038="Category Pending","Needs categorization",IF(COUNTIFS($A$2:A1038,A1038,$B$2:B1038,B1038,$E$2:E1038,E1038)&gt;1,"Possible duplicate","")))</f>
        <v/>
      </c>
    </row>
    <row r="1039" spans="3:14" x14ac:dyDescent="0.3">
      <c r="C1039" s="16"/>
      <c r="G1039" s="5" t="str">
        <f t="shared" si="80"/>
        <v/>
      </c>
      <c r="H1039" t="str">
        <f>IF(A1039="","",IFERROR(_xlfn.XLOOKUP(D1039,Setup!$E$15:$E$79,Setup!$F$15:$F$79),"Miscellaneous"))</f>
        <v/>
      </c>
      <c r="I1039" t="str">
        <f>IF(A1039="","",IFERROR(_xlfn.XLOOKUP(D1039,Setup!$E$15:$E$79,Setup!$G$15:$G$79),"Uncategorized"))</f>
        <v/>
      </c>
      <c r="J1039" t="str">
        <f t="shared" si="81"/>
        <v/>
      </c>
      <c r="K1039" s="4" t="str">
        <f t="shared" si="82"/>
        <v/>
      </c>
      <c r="L1039" s="47">
        <f t="shared" si="83"/>
        <v>0</v>
      </c>
      <c r="M1039" s="47">
        <f t="shared" si="84"/>
        <v>0</v>
      </c>
      <c r="N1039" t="str">
        <f>IF(A1039="","",IF(D1039="Category Pending","Needs categorization",IF(COUNTIFS($A$2:A1039,A1039,$B$2:B1039,B1039,$E$2:E1039,E1039)&gt;1,"Possible duplicate","")))</f>
        <v/>
      </c>
    </row>
    <row r="1040" spans="3:14" x14ac:dyDescent="0.3">
      <c r="C1040" s="16"/>
      <c r="G1040" s="5" t="str">
        <f t="shared" si="80"/>
        <v/>
      </c>
      <c r="H1040" t="str">
        <f>IF(A1040="","",IFERROR(_xlfn.XLOOKUP(D1040,Setup!$E$15:$E$79,Setup!$F$15:$F$79),"Miscellaneous"))</f>
        <v/>
      </c>
      <c r="I1040" t="str">
        <f>IF(A1040="","",IFERROR(_xlfn.XLOOKUP(D1040,Setup!$E$15:$E$79,Setup!$G$15:$G$79),"Uncategorized"))</f>
        <v/>
      </c>
      <c r="J1040" t="str">
        <f t="shared" si="81"/>
        <v/>
      </c>
      <c r="K1040" s="4" t="str">
        <f t="shared" si="82"/>
        <v/>
      </c>
      <c r="L1040" s="47">
        <f t="shared" si="83"/>
        <v>0</v>
      </c>
      <c r="M1040" s="47">
        <f t="shared" si="84"/>
        <v>0</v>
      </c>
      <c r="N1040" t="str">
        <f>IF(A1040="","",IF(D1040="Category Pending","Needs categorization",IF(COUNTIFS($A$2:A1040,A1040,$B$2:B1040,B1040,$E$2:E1040,E1040)&gt;1,"Possible duplicate","")))</f>
        <v/>
      </c>
    </row>
    <row r="1041" spans="3:14" x14ac:dyDescent="0.3">
      <c r="C1041" s="16"/>
      <c r="G1041" s="5" t="str">
        <f t="shared" si="80"/>
        <v/>
      </c>
      <c r="H1041" t="str">
        <f>IF(A1041="","",IFERROR(_xlfn.XLOOKUP(D1041,Setup!$E$15:$E$79,Setup!$F$15:$F$79),"Miscellaneous"))</f>
        <v/>
      </c>
      <c r="I1041" t="str">
        <f>IF(A1041="","",IFERROR(_xlfn.XLOOKUP(D1041,Setup!$E$15:$E$79,Setup!$G$15:$G$79),"Uncategorized"))</f>
        <v/>
      </c>
      <c r="J1041" t="str">
        <f t="shared" si="81"/>
        <v/>
      </c>
      <c r="K1041" s="4" t="str">
        <f t="shared" si="82"/>
        <v/>
      </c>
      <c r="L1041" s="47">
        <f t="shared" si="83"/>
        <v>0</v>
      </c>
      <c r="M1041" s="47">
        <f t="shared" si="84"/>
        <v>0</v>
      </c>
      <c r="N1041" t="str">
        <f>IF(A1041="","",IF(D1041="Category Pending","Needs categorization",IF(COUNTIFS($A$2:A1041,A1041,$B$2:B1041,B1041,$E$2:E1041,E1041)&gt;1,"Possible duplicate","")))</f>
        <v/>
      </c>
    </row>
    <row r="1042" spans="3:14" x14ac:dyDescent="0.3">
      <c r="C1042" s="16"/>
      <c r="G1042" s="5" t="str">
        <f t="shared" si="80"/>
        <v/>
      </c>
      <c r="H1042" t="str">
        <f>IF(A1042="","",IFERROR(_xlfn.XLOOKUP(D1042,Setup!$E$15:$E$79,Setup!$F$15:$F$79),"Miscellaneous"))</f>
        <v/>
      </c>
      <c r="I1042" t="str">
        <f>IF(A1042="","",IFERROR(_xlfn.XLOOKUP(D1042,Setup!$E$15:$E$79,Setup!$G$15:$G$79),"Uncategorized"))</f>
        <v/>
      </c>
      <c r="J1042" t="str">
        <f t="shared" si="81"/>
        <v/>
      </c>
      <c r="K1042" s="4" t="str">
        <f t="shared" si="82"/>
        <v/>
      </c>
      <c r="L1042" s="47">
        <f t="shared" si="83"/>
        <v>0</v>
      </c>
      <c r="M1042" s="47">
        <f t="shared" si="84"/>
        <v>0</v>
      </c>
      <c r="N1042" t="str">
        <f>IF(A1042="","",IF(D1042="Category Pending","Needs categorization",IF(COUNTIFS($A$2:A1042,A1042,$B$2:B1042,B1042,$E$2:E1042,E1042)&gt;1,"Possible duplicate","")))</f>
        <v/>
      </c>
    </row>
    <row r="1043" spans="3:14" x14ac:dyDescent="0.3">
      <c r="C1043" s="16"/>
      <c r="G1043" s="5" t="str">
        <f t="shared" si="80"/>
        <v/>
      </c>
      <c r="H1043" t="str">
        <f>IF(A1043="","",IFERROR(_xlfn.XLOOKUP(D1043,Setup!$E$15:$E$79,Setup!$F$15:$F$79),"Miscellaneous"))</f>
        <v/>
      </c>
      <c r="I1043" t="str">
        <f>IF(A1043="","",IFERROR(_xlfn.XLOOKUP(D1043,Setup!$E$15:$E$79,Setup!$G$15:$G$79),"Uncategorized"))</f>
        <v/>
      </c>
      <c r="J1043" t="str">
        <f t="shared" si="81"/>
        <v/>
      </c>
      <c r="K1043" s="4" t="str">
        <f t="shared" si="82"/>
        <v/>
      </c>
      <c r="L1043" s="47">
        <f t="shared" si="83"/>
        <v>0</v>
      </c>
      <c r="M1043" s="47">
        <f t="shared" si="84"/>
        <v>0</v>
      </c>
      <c r="N1043" t="str">
        <f>IF(A1043="","",IF(D1043="Category Pending","Needs categorization",IF(COUNTIFS($A$2:A1043,A1043,$B$2:B1043,B1043,$E$2:E1043,E1043)&gt;1,"Possible duplicate","")))</f>
        <v/>
      </c>
    </row>
    <row r="1044" spans="3:14" x14ac:dyDescent="0.3">
      <c r="C1044" s="16"/>
      <c r="G1044" s="5" t="str">
        <f t="shared" si="80"/>
        <v/>
      </c>
      <c r="H1044" t="str">
        <f>IF(A1044="","",IFERROR(_xlfn.XLOOKUP(D1044,Setup!$E$15:$E$79,Setup!$F$15:$F$79),"Miscellaneous"))</f>
        <v/>
      </c>
      <c r="I1044" t="str">
        <f>IF(A1044="","",IFERROR(_xlfn.XLOOKUP(D1044,Setup!$E$15:$E$79,Setup!$G$15:$G$79),"Uncategorized"))</f>
        <v/>
      </c>
      <c r="J1044" t="str">
        <f t="shared" si="81"/>
        <v/>
      </c>
      <c r="K1044" s="4" t="str">
        <f t="shared" si="82"/>
        <v/>
      </c>
      <c r="L1044" s="47">
        <f t="shared" si="83"/>
        <v>0</v>
      </c>
      <c r="M1044" s="47">
        <f t="shared" si="84"/>
        <v>0</v>
      </c>
      <c r="N1044" t="str">
        <f>IF(A1044="","",IF(D1044="Category Pending","Needs categorization",IF(COUNTIFS($A$2:A1044,A1044,$B$2:B1044,B1044,$E$2:E1044,E1044)&gt;1,"Possible duplicate","")))</f>
        <v/>
      </c>
    </row>
    <row r="1045" spans="3:14" x14ac:dyDescent="0.3">
      <c r="C1045" s="16"/>
      <c r="G1045" s="5" t="str">
        <f t="shared" si="80"/>
        <v/>
      </c>
      <c r="H1045" t="str">
        <f>IF(A1045="","",IFERROR(_xlfn.XLOOKUP(D1045,Setup!$E$15:$E$79,Setup!$F$15:$F$79),"Miscellaneous"))</f>
        <v/>
      </c>
      <c r="I1045" t="str">
        <f>IF(A1045="","",IFERROR(_xlfn.XLOOKUP(D1045,Setup!$E$15:$E$79,Setup!$G$15:$G$79),"Uncategorized"))</f>
        <v/>
      </c>
      <c r="J1045" t="str">
        <f t="shared" si="81"/>
        <v/>
      </c>
      <c r="K1045" s="4" t="str">
        <f t="shared" si="82"/>
        <v/>
      </c>
      <c r="L1045" s="47">
        <f t="shared" si="83"/>
        <v>0</v>
      </c>
      <c r="M1045" s="47">
        <f t="shared" si="84"/>
        <v>0</v>
      </c>
      <c r="N1045" t="str">
        <f>IF(A1045="","",IF(D1045="Category Pending","Needs categorization",IF(COUNTIFS($A$2:A1045,A1045,$B$2:B1045,B1045,$E$2:E1045,E1045)&gt;1,"Possible duplicate","")))</f>
        <v/>
      </c>
    </row>
    <row r="1046" spans="3:14" x14ac:dyDescent="0.3">
      <c r="C1046" s="16"/>
      <c r="G1046" s="5" t="str">
        <f t="shared" si="80"/>
        <v/>
      </c>
      <c r="H1046" t="str">
        <f>IF(A1046="","",IFERROR(_xlfn.XLOOKUP(D1046,Setup!$E$15:$E$79,Setup!$F$15:$F$79),"Miscellaneous"))</f>
        <v/>
      </c>
      <c r="I1046" t="str">
        <f>IF(A1046="","",IFERROR(_xlfn.XLOOKUP(D1046,Setup!$E$15:$E$79,Setup!$G$15:$G$79),"Uncategorized"))</f>
        <v/>
      </c>
      <c r="J1046" t="str">
        <f t="shared" si="81"/>
        <v/>
      </c>
      <c r="K1046" s="4" t="str">
        <f t="shared" si="82"/>
        <v/>
      </c>
      <c r="L1046" s="47">
        <f t="shared" si="83"/>
        <v>0</v>
      </c>
      <c r="M1046" s="47">
        <f t="shared" si="84"/>
        <v>0</v>
      </c>
      <c r="N1046" t="str">
        <f>IF(A1046="","",IF(D1046="Category Pending","Needs categorization",IF(COUNTIFS($A$2:A1046,A1046,$B$2:B1046,B1046,$E$2:E1046,E1046)&gt;1,"Possible duplicate","")))</f>
        <v/>
      </c>
    </row>
    <row r="1047" spans="3:14" x14ac:dyDescent="0.3">
      <c r="C1047" s="16"/>
      <c r="G1047" s="5" t="str">
        <f t="shared" si="80"/>
        <v/>
      </c>
      <c r="H1047" t="str">
        <f>IF(A1047="","",IFERROR(_xlfn.XLOOKUP(D1047,Setup!$E$15:$E$79,Setup!$F$15:$F$79),"Miscellaneous"))</f>
        <v/>
      </c>
      <c r="I1047" t="str">
        <f>IF(A1047="","",IFERROR(_xlfn.XLOOKUP(D1047,Setup!$E$15:$E$79,Setup!$G$15:$G$79),"Uncategorized"))</f>
        <v/>
      </c>
      <c r="J1047" t="str">
        <f t="shared" si="81"/>
        <v/>
      </c>
      <c r="K1047" s="4" t="str">
        <f t="shared" si="82"/>
        <v/>
      </c>
      <c r="L1047" s="47">
        <f t="shared" si="83"/>
        <v>0</v>
      </c>
      <c r="M1047" s="47">
        <f t="shared" si="84"/>
        <v>0</v>
      </c>
      <c r="N1047" t="str">
        <f>IF(A1047="","",IF(D1047="Category Pending","Needs categorization",IF(COUNTIFS($A$2:A1047,A1047,$B$2:B1047,B1047,$E$2:E1047,E1047)&gt;1,"Possible duplicate","")))</f>
        <v/>
      </c>
    </row>
    <row r="1048" spans="3:14" x14ac:dyDescent="0.3">
      <c r="C1048" s="16"/>
      <c r="G1048" s="5" t="str">
        <f t="shared" si="80"/>
        <v/>
      </c>
      <c r="H1048" t="str">
        <f>IF(A1048="","",IFERROR(_xlfn.XLOOKUP(D1048,Setup!$E$15:$E$79,Setup!$F$15:$F$79),"Miscellaneous"))</f>
        <v/>
      </c>
      <c r="I1048" t="str">
        <f>IF(A1048="","",IFERROR(_xlfn.XLOOKUP(D1048,Setup!$E$15:$E$79,Setup!$G$15:$G$79),"Uncategorized"))</f>
        <v/>
      </c>
      <c r="J1048" t="str">
        <f t="shared" si="81"/>
        <v/>
      </c>
      <c r="K1048" s="4" t="str">
        <f t="shared" si="82"/>
        <v/>
      </c>
      <c r="L1048" s="47">
        <f t="shared" si="83"/>
        <v>0</v>
      </c>
      <c r="M1048" s="47">
        <f t="shared" si="84"/>
        <v>0</v>
      </c>
      <c r="N1048" t="str">
        <f>IF(A1048="","",IF(D1048="Category Pending","Needs categorization",IF(COUNTIFS($A$2:A1048,A1048,$B$2:B1048,B1048,$E$2:E1048,E1048)&gt;1,"Possible duplicate","")))</f>
        <v/>
      </c>
    </row>
    <row r="1049" spans="3:14" x14ac:dyDescent="0.3">
      <c r="C1049" s="16"/>
      <c r="G1049" s="5" t="str">
        <f t="shared" si="80"/>
        <v/>
      </c>
      <c r="H1049" t="str">
        <f>IF(A1049="","",IFERROR(_xlfn.XLOOKUP(D1049,Setup!$E$15:$E$79,Setup!$F$15:$F$79),"Miscellaneous"))</f>
        <v/>
      </c>
      <c r="I1049" t="str">
        <f>IF(A1049="","",IFERROR(_xlfn.XLOOKUP(D1049,Setup!$E$15:$E$79,Setup!$G$15:$G$79),"Uncategorized"))</f>
        <v/>
      </c>
      <c r="J1049" t="str">
        <f t="shared" si="81"/>
        <v/>
      </c>
      <c r="K1049" s="4" t="str">
        <f t="shared" si="82"/>
        <v/>
      </c>
      <c r="L1049" s="47">
        <f t="shared" si="83"/>
        <v>0</v>
      </c>
      <c r="M1049" s="47">
        <f t="shared" si="84"/>
        <v>0</v>
      </c>
      <c r="N1049" t="str">
        <f>IF(A1049="","",IF(D1049="Category Pending","Needs categorization",IF(COUNTIFS($A$2:A1049,A1049,$B$2:B1049,B1049,$E$2:E1049,E1049)&gt;1,"Possible duplicate","")))</f>
        <v/>
      </c>
    </row>
    <row r="1050" spans="3:14" x14ac:dyDescent="0.3">
      <c r="C1050" s="16"/>
      <c r="G1050" s="5" t="str">
        <f t="shared" si="80"/>
        <v/>
      </c>
      <c r="H1050" t="str">
        <f>IF(A1050="","",IFERROR(_xlfn.XLOOKUP(D1050,Setup!$E$15:$E$79,Setup!$F$15:$F$79),"Miscellaneous"))</f>
        <v/>
      </c>
      <c r="I1050" t="str">
        <f>IF(A1050="","",IFERROR(_xlfn.XLOOKUP(D1050,Setup!$E$15:$E$79,Setup!$G$15:$G$79),"Uncategorized"))</f>
        <v/>
      </c>
      <c r="J1050" t="str">
        <f t="shared" si="81"/>
        <v/>
      </c>
      <c r="K1050" s="4" t="str">
        <f t="shared" si="82"/>
        <v/>
      </c>
      <c r="L1050" s="47">
        <f t="shared" si="83"/>
        <v>0</v>
      </c>
      <c r="M1050" s="47">
        <f t="shared" si="84"/>
        <v>0</v>
      </c>
      <c r="N1050" t="str">
        <f>IF(A1050="","",IF(D1050="Category Pending","Needs categorization",IF(COUNTIFS($A$2:A1050,A1050,$B$2:B1050,B1050,$E$2:E1050,E1050)&gt;1,"Possible duplicate","")))</f>
        <v/>
      </c>
    </row>
    <row r="1051" spans="3:14" x14ac:dyDescent="0.3">
      <c r="C1051" s="16"/>
      <c r="G1051" s="5" t="str">
        <f t="shared" si="80"/>
        <v/>
      </c>
      <c r="H1051" t="str">
        <f>IF(A1051="","",IFERROR(_xlfn.XLOOKUP(D1051,Setup!$E$15:$E$79,Setup!$F$15:$F$79),"Miscellaneous"))</f>
        <v/>
      </c>
      <c r="I1051" t="str">
        <f>IF(A1051="","",IFERROR(_xlfn.XLOOKUP(D1051,Setup!$E$15:$E$79,Setup!$G$15:$G$79),"Uncategorized"))</f>
        <v/>
      </c>
      <c r="J1051" t="str">
        <f t="shared" si="81"/>
        <v/>
      </c>
      <c r="K1051" s="4" t="str">
        <f t="shared" si="82"/>
        <v/>
      </c>
      <c r="L1051" s="47">
        <f t="shared" si="83"/>
        <v>0</v>
      </c>
      <c r="M1051" s="47">
        <f t="shared" si="84"/>
        <v>0</v>
      </c>
      <c r="N1051" t="str">
        <f>IF(A1051="","",IF(D1051="Category Pending","Needs categorization",IF(COUNTIFS($A$2:A1051,A1051,$B$2:B1051,B1051,$E$2:E1051,E1051)&gt;1,"Possible duplicate","")))</f>
        <v/>
      </c>
    </row>
    <row r="1052" spans="3:14" x14ac:dyDescent="0.3">
      <c r="C1052" s="16"/>
      <c r="G1052" s="5" t="str">
        <f t="shared" si="80"/>
        <v/>
      </c>
      <c r="H1052" t="str">
        <f>IF(A1052="","",IFERROR(_xlfn.XLOOKUP(D1052,Setup!$E$15:$E$79,Setup!$F$15:$F$79),"Miscellaneous"))</f>
        <v/>
      </c>
      <c r="I1052" t="str">
        <f>IF(A1052="","",IFERROR(_xlfn.XLOOKUP(D1052,Setup!$E$15:$E$79,Setup!$G$15:$G$79),"Uncategorized"))</f>
        <v/>
      </c>
      <c r="J1052" t="str">
        <f t="shared" si="81"/>
        <v/>
      </c>
      <c r="K1052" s="4" t="str">
        <f t="shared" si="82"/>
        <v/>
      </c>
      <c r="L1052" s="47">
        <f t="shared" si="83"/>
        <v>0</v>
      </c>
      <c r="M1052" s="47">
        <f t="shared" si="84"/>
        <v>0</v>
      </c>
      <c r="N1052" t="str">
        <f>IF(A1052="","",IF(D1052="Category Pending","Needs categorization",IF(COUNTIFS($A$2:A1052,A1052,$B$2:B1052,B1052,$E$2:E1052,E1052)&gt;1,"Possible duplicate","")))</f>
        <v/>
      </c>
    </row>
    <row r="1053" spans="3:14" x14ac:dyDescent="0.3">
      <c r="C1053" s="16"/>
      <c r="G1053" s="5" t="str">
        <f t="shared" si="80"/>
        <v/>
      </c>
      <c r="H1053" t="str">
        <f>IF(A1053="","",IFERROR(_xlfn.XLOOKUP(D1053,Setup!$E$15:$E$79,Setup!$F$15:$F$79),"Miscellaneous"))</f>
        <v/>
      </c>
      <c r="I1053" t="str">
        <f>IF(A1053="","",IFERROR(_xlfn.XLOOKUP(D1053,Setup!$E$15:$E$79,Setup!$G$15:$G$79),"Uncategorized"))</f>
        <v/>
      </c>
      <c r="J1053" t="str">
        <f t="shared" si="81"/>
        <v/>
      </c>
      <c r="K1053" s="4" t="str">
        <f t="shared" si="82"/>
        <v/>
      </c>
      <c r="L1053" s="47">
        <f t="shared" si="83"/>
        <v>0</v>
      </c>
      <c r="M1053" s="47">
        <f t="shared" si="84"/>
        <v>0</v>
      </c>
      <c r="N1053" t="str">
        <f>IF(A1053="","",IF(D1053="Category Pending","Needs categorization",IF(COUNTIFS($A$2:A1053,A1053,$B$2:B1053,B1053,$E$2:E1053,E1053)&gt;1,"Possible duplicate","")))</f>
        <v/>
      </c>
    </row>
    <row r="1054" spans="3:14" x14ac:dyDescent="0.3">
      <c r="C1054" s="16"/>
      <c r="G1054" s="5" t="str">
        <f t="shared" si="80"/>
        <v/>
      </c>
      <c r="H1054" t="str">
        <f>IF(A1054="","",IFERROR(_xlfn.XLOOKUP(D1054,Setup!$E$15:$E$79,Setup!$F$15:$F$79),"Miscellaneous"))</f>
        <v/>
      </c>
      <c r="I1054" t="str">
        <f>IF(A1054="","",IFERROR(_xlfn.XLOOKUP(D1054,Setup!$E$15:$E$79,Setup!$G$15:$G$79),"Uncategorized"))</f>
        <v/>
      </c>
      <c r="J1054" t="str">
        <f t="shared" si="81"/>
        <v/>
      </c>
      <c r="K1054" s="4" t="str">
        <f t="shared" si="82"/>
        <v/>
      </c>
      <c r="L1054" s="47">
        <f t="shared" si="83"/>
        <v>0</v>
      </c>
      <c r="M1054" s="47">
        <f t="shared" si="84"/>
        <v>0</v>
      </c>
      <c r="N1054" t="str">
        <f>IF(A1054="","",IF(D1054="Category Pending","Needs categorization",IF(COUNTIFS($A$2:A1054,A1054,$B$2:B1054,B1054,$E$2:E1054,E1054)&gt;1,"Possible duplicate","")))</f>
        <v/>
      </c>
    </row>
    <row r="1055" spans="3:14" x14ac:dyDescent="0.3">
      <c r="C1055" s="16"/>
      <c r="G1055" s="5" t="str">
        <f t="shared" si="80"/>
        <v/>
      </c>
      <c r="H1055" t="str">
        <f>IF(A1055="","",IFERROR(_xlfn.XLOOKUP(D1055,Setup!$E$15:$E$79,Setup!$F$15:$F$79),"Miscellaneous"))</f>
        <v/>
      </c>
      <c r="I1055" t="str">
        <f>IF(A1055="","",IFERROR(_xlfn.XLOOKUP(D1055,Setup!$E$15:$E$79,Setup!$G$15:$G$79),"Uncategorized"))</f>
        <v/>
      </c>
      <c r="J1055" t="str">
        <f t="shared" si="81"/>
        <v/>
      </c>
      <c r="K1055" s="4" t="str">
        <f t="shared" si="82"/>
        <v/>
      </c>
      <c r="L1055" s="47">
        <f t="shared" si="83"/>
        <v>0</v>
      </c>
      <c r="M1055" s="47">
        <f t="shared" si="84"/>
        <v>0</v>
      </c>
      <c r="N1055" t="str">
        <f>IF(A1055="","",IF(D1055="Category Pending","Needs categorization",IF(COUNTIFS($A$2:A1055,A1055,$B$2:B1055,B1055,$E$2:E1055,E1055)&gt;1,"Possible duplicate","")))</f>
        <v/>
      </c>
    </row>
    <row r="1056" spans="3:14" x14ac:dyDescent="0.3">
      <c r="C1056" s="16"/>
      <c r="G1056" s="5" t="str">
        <f t="shared" si="80"/>
        <v/>
      </c>
      <c r="H1056" t="str">
        <f>IF(A1056="","",IFERROR(_xlfn.XLOOKUP(D1056,Setup!$E$15:$E$79,Setup!$F$15:$F$79),"Miscellaneous"))</f>
        <v/>
      </c>
      <c r="I1056" t="str">
        <f>IF(A1056="","",IFERROR(_xlfn.XLOOKUP(D1056,Setup!$E$15:$E$79,Setup!$G$15:$G$79),"Uncategorized"))</f>
        <v/>
      </c>
      <c r="J1056" t="str">
        <f t="shared" si="81"/>
        <v/>
      </c>
      <c r="K1056" s="4" t="str">
        <f t="shared" si="82"/>
        <v/>
      </c>
      <c r="L1056" s="47">
        <f t="shared" si="83"/>
        <v>0</v>
      </c>
      <c r="M1056" s="47">
        <f t="shared" si="84"/>
        <v>0</v>
      </c>
      <c r="N1056" t="str">
        <f>IF(A1056="","",IF(D1056="Category Pending","Needs categorization",IF(COUNTIFS($A$2:A1056,A1056,$B$2:B1056,B1056,$E$2:E1056,E1056)&gt;1,"Possible duplicate","")))</f>
        <v/>
      </c>
    </row>
    <row r="1057" spans="3:14" x14ac:dyDescent="0.3">
      <c r="C1057" s="16"/>
      <c r="G1057" s="5" t="str">
        <f t="shared" ref="G1057:G1120" si="85">IF(A1057="","","Checking")</f>
        <v/>
      </c>
      <c r="H1057" t="str">
        <f>IF(A1057="","",IFERROR(_xlfn.XLOOKUP(D1057,Setup!$E$15:$E$79,Setup!$F$15:$F$79),"Miscellaneous"))</f>
        <v/>
      </c>
      <c r="I1057" t="str">
        <f>IF(A1057="","",IFERROR(_xlfn.XLOOKUP(D1057,Setup!$E$15:$E$79,Setup!$G$15:$G$79),"Uncategorized"))</f>
        <v/>
      </c>
      <c r="J1057" t="str">
        <f t="shared" ref="J1057:J1120" si="86">IF(A1057="","",IF(OR(H1057="Transfers",H1057="Income",D1057="Transfer",D1057="Category Pending"),"No","Yes"))</f>
        <v/>
      </c>
      <c r="K1057" s="4" t="str">
        <f t="shared" ref="K1057:K1120" si="87">IF(A1057="","",IF(A1057&gt;=46232,TEXT(DATE(YEAR(A1057),MONTH(A1057)+1,1),"mmmm yyyy"),TEXT(DATE(YEAR(A1057),MONTH(A1057),1),"mmmm yyyy")))</f>
        <v/>
      </c>
      <c r="L1057" s="47">
        <f t="shared" ref="L1057:L1120" si="88">IF(AND(J1057="Yes",E1057&lt;0),-E1057,0)</f>
        <v>0</v>
      </c>
      <c r="M1057" s="47">
        <f t="shared" ref="M1057:M1120" si="89">IF(AND(J1057="Yes",E1057&gt;0),E1057,0)</f>
        <v>0</v>
      </c>
      <c r="N1057" t="str">
        <f>IF(A1057="","",IF(D1057="Category Pending","Needs categorization",IF(COUNTIFS($A$2:A1057,A1057,$B$2:B1057,B1057,$E$2:E1057,E1057)&gt;1,"Possible duplicate","")))</f>
        <v/>
      </c>
    </row>
    <row r="1058" spans="3:14" x14ac:dyDescent="0.3">
      <c r="C1058" s="16"/>
      <c r="G1058" s="5" t="str">
        <f t="shared" si="85"/>
        <v/>
      </c>
      <c r="H1058" t="str">
        <f>IF(A1058="","",IFERROR(_xlfn.XLOOKUP(D1058,Setup!$E$15:$E$79,Setup!$F$15:$F$79),"Miscellaneous"))</f>
        <v/>
      </c>
      <c r="I1058" t="str">
        <f>IF(A1058="","",IFERROR(_xlfn.XLOOKUP(D1058,Setup!$E$15:$E$79,Setup!$G$15:$G$79),"Uncategorized"))</f>
        <v/>
      </c>
      <c r="J1058" t="str">
        <f t="shared" si="86"/>
        <v/>
      </c>
      <c r="K1058" s="4" t="str">
        <f t="shared" si="87"/>
        <v/>
      </c>
      <c r="L1058" s="47">
        <f t="shared" si="88"/>
        <v>0</v>
      </c>
      <c r="M1058" s="47">
        <f t="shared" si="89"/>
        <v>0</v>
      </c>
      <c r="N1058" t="str">
        <f>IF(A1058="","",IF(D1058="Category Pending","Needs categorization",IF(COUNTIFS($A$2:A1058,A1058,$B$2:B1058,B1058,$E$2:E1058,E1058)&gt;1,"Possible duplicate","")))</f>
        <v/>
      </c>
    </row>
    <row r="1059" spans="3:14" x14ac:dyDescent="0.3">
      <c r="C1059" s="16"/>
      <c r="G1059" s="5" t="str">
        <f t="shared" si="85"/>
        <v/>
      </c>
      <c r="H1059" t="str">
        <f>IF(A1059="","",IFERROR(_xlfn.XLOOKUP(D1059,Setup!$E$15:$E$79,Setup!$F$15:$F$79),"Miscellaneous"))</f>
        <v/>
      </c>
      <c r="I1059" t="str">
        <f>IF(A1059="","",IFERROR(_xlfn.XLOOKUP(D1059,Setup!$E$15:$E$79,Setup!$G$15:$G$79),"Uncategorized"))</f>
        <v/>
      </c>
      <c r="J1059" t="str">
        <f t="shared" si="86"/>
        <v/>
      </c>
      <c r="K1059" s="4" t="str">
        <f t="shared" si="87"/>
        <v/>
      </c>
      <c r="L1059" s="47">
        <f t="shared" si="88"/>
        <v>0</v>
      </c>
      <c r="M1059" s="47">
        <f t="shared" si="89"/>
        <v>0</v>
      </c>
      <c r="N1059" t="str">
        <f>IF(A1059="","",IF(D1059="Category Pending","Needs categorization",IF(COUNTIFS($A$2:A1059,A1059,$B$2:B1059,B1059,$E$2:E1059,E1059)&gt;1,"Possible duplicate","")))</f>
        <v/>
      </c>
    </row>
    <row r="1060" spans="3:14" x14ac:dyDescent="0.3">
      <c r="C1060" s="16"/>
      <c r="G1060" s="5" t="str">
        <f t="shared" si="85"/>
        <v/>
      </c>
      <c r="H1060" t="str">
        <f>IF(A1060="","",IFERROR(_xlfn.XLOOKUP(D1060,Setup!$E$15:$E$79,Setup!$F$15:$F$79),"Miscellaneous"))</f>
        <v/>
      </c>
      <c r="I1060" t="str">
        <f>IF(A1060="","",IFERROR(_xlfn.XLOOKUP(D1060,Setup!$E$15:$E$79,Setup!$G$15:$G$79),"Uncategorized"))</f>
        <v/>
      </c>
      <c r="J1060" t="str">
        <f t="shared" si="86"/>
        <v/>
      </c>
      <c r="K1060" s="4" t="str">
        <f t="shared" si="87"/>
        <v/>
      </c>
      <c r="L1060" s="47">
        <f t="shared" si="88"/>
        <v>0</v>
      </c>
      <c r="M1060" s="47">
        <f t="shared" si="89"/>
        <v>0</v>
      </c>
      <c r="N1060" t="str">
        <f>IF(A1060="","",IF(D1060="Category Pending","Needs categorization",IF(COUNTIFS($A$2:A1060,A1060,$B$2:B1060,B1060,$E$2:E1060,E1060)&gt;1,"Possible duplicate","")))</f>
        <v/>
      </c>
    </row>
    <row r="1061" spans="3:14" x14ac:dyDescent="0.3">
      <c r="C1061" s="16"/>
      <c r="G1061" s="5" t="str">
        <f t="shared" si="85"/>
        <v/>
      </c>
      <c r="H1061" t="str">
        <f>IF(A1061="","",IFERROR(_xlfn.XLOOKUP(D1061,Setup!$E$15:$E$79,Setup!$F$15:$F$79),"Miscellaneous"))</f>
        <v/>
      </c>
      <c r="I1061" t="str">
        <f>IF(A1061="","",IFERROR(_xlfn.XLOOKUP(D1061,Setup!$E$15:$E$79,Setup!$G$15:$G$79),"Uncategorized"))</f>
        <v/>
      </c>
      <c r="J1061" t="str">
        <f t="shared" si="86"/>
        <v/>
      </c>
      <c r="K1061" s="4" t="str">
        <f t="shared" si="87"/>
        <v/>
      </c>
      <c r="L1061" s="47">
        <f t="shared" si="88"/>
        <v>0</v>
      </c>
      <c r="M1061" s="47">
        <f t="shared" si="89"/>
        <v>0</v>
      </c>
      <c r="N1061" t="str">
        <f>IF(A1061="","",IF(D1061="Category Pending","Needs categorization",IF(COUNTIFS($A$2:A1061,A1061,$B$2:B1061,B1061,$E$2:E1061,E1061)&gt;1,"Possible duplicate","")))</f>
        <v/>
      </c>
    </row>
    <row r="1062" spans="3:14" x14ac:dyDescent="0.3">
      <c r="C1062" s="16"/>
      <c r="G1062" s="5" t="str">
        <f t="shared" si="85"/>
        <v/>
      </c>
      <c r="H1062" t="str">
        <f>IF(A1062="","",IFERROR(_xlfn.XLOOKUP(D1062,Setup!$E$15:$E$79,Setup!$F$15:$F$79),"Miscellaneous"))</f>
        <v/>
      </c>
      <c r="I1062" t="str">
        <f>IF(A1062="","",IFERROR(_xlfn.XLOOKUP(D1062,Setup!$E$15:$E$79,Setup!$G$15:$G$79),"Uncategorized"))</f>
        <v/>
      </c>
      <c r="J1062" t="str">
        <f t="shared" si="86"/>
        <v/>
      </c>
      <c r="K1062" s="4" t="str">
        <f t="shared" si="87"/>
        <v/>
      </c>
      <c r="L1062" s="47">
        <f t="shared" si="88"/>
        <v>0</v>
      </c>
      <c r="M1062" s="47">
        <f t="shared" si="89"/>
        <v>0</v>
      </c>
      <c r="N1062" t="str">
        <f>IF(A1062="","",IF(D1062="Category Pending","Needs categorization",IF(COUNTIFS($A$2:A1062,A1062,$B$2:B1062,B1062,$E$2:E1062,E1062)&gt;1,"Possible duplicate","")))</f>
        <v/>
      </c>
    </row>
    <row r="1063" spans="3:14" x14ac:dyDescent="0.3">
      <c r="C1063" s="16"/>
      <c r="G1063" s="5" t="str">
        <f t="shared" si="85"/>
        <v/>
      </c>
      <c r="H1063" t="str">
        <f>IF(A1063="","",IFERROR(_xlfn.XLOOKUP(D1063,Setup!$E$15:$E$79,Setup!$F$15:$F$79),"Miscellaneous"))</f>
        <v/>
      </c>
      <c r="I1063" t="str">
        <f>IF(A1063="","",IFERROR(_xlfn.XLOOKUP(D1063,Setup!$E$15:$E$79,Setup!$G$15:$G$79),"Uncategorized"))</f>
        <v/>
      </c>
      <c r="J1063" t="str">
        <f t="shared" si="86"/>
        <v/>
      </c>
      <c r="K1063" s="4" t="str">
        <f t="shared" si="87"/>
        <v/>
      </c>
      <c r="L1063" s="47">
        <f t="shared" si="88"/>
        <v>0</v>
      </c>
      <c r="M1063" s="47">
        <f t="shared" si="89"/>
        <v>0</v>
      </c>
      <c r="N1063" t="str">
        <f>IF(A1063="","",IF(D1063="Category Pending","Needs categorization",IF(COUNTIFS($A$2:A1063,A1063,$B$2:B1063,B1063,$E$2:E1063,E1063)&gt;1,"Possible duplicate","")))</f>
        <v/>
      </c>
    </row>
    <row r="1064" spans="3:14" x14ac:dyDescent="0.3">
      <c r="C1064" s="16"/>
      <c r="G1064" s="5" t="str">
        <f t="shared" si="85"/>
        <v/>
      </c>
      <c r="H1064" t="str">
        <f>IF(A1064="","",IFERROR(_xlfn.XLOOKUP(D1064,Setup!$E$15:$E$79,Setup!$F$15:$F$79),"Miscellaneous"))</f>
        <v/>
      </c>
      <c r="I1064" t="str">
        <f>IF(A1064="","",IFERROR(_xlfn.XLOOKUP(D1064,Setup!$E$15:$E$79,Setup!$G$15:$G$79),"Uncategorized"))</f>
        <v/>
      </c>
      <c r="J1064" t="str">
        <f t="shared" si="86"/>
        <v/>
      </c>
      <c r="K1064" s="4" t="str">
        <f t="shared" si="87"/>
        <v/>
      </c>
      <c r="L1064" s="47">
        <f t="shared" si="88"/>
        <v>0</v>
      </c>
      <c r="M1064" s="47">
        <f t="shared" si="89"/>
        <v>0</v>
      </c>
      <c r="N1064" t="str">
        <f>IF(A1064="","",IF(D1064="Category Pending","Needs categorization",IF(COUNTIFS($A$2:A1064,A1064,$B$2:B1064,B1064,$E$2:E1064,E1064)&gt;1,"Possible duplicate","")))</f>
        <v/>
      </c>
    </row>
    <row r="1065" spans="3:14" x14ac:dyDescent="0.3">
      <c r="C1065" s="16"/>
      <c r="G1065" s="5" t="str">
        <f t="shared" si="85"/>
        <v/>
      </c>
      <c r="H1065" t="str">
        <f>IF(A1065="","",IFERROR(_xlfn.XLOOKUP(D1065,Setup!$E$15:$E$79,Setup!$F$15:$F$79),"Miscellaneous"))</f>
        <v/>
      </c>
      <c r="I1065" t="str">
        <f>IF(A1065="","",IFERROR(_xlfn.XLOOKUP(D1065,Setup!$E$15:$E$79,Setup!$G$15:$G$79),"Uncategorized"))</f>
        <v/>
      </c>
      <c r="J1065" t="str">
        <f t="shared" si="86"/>
        <v/>
      </c>
      <c r="K1065" s="4" t="str">
        <f t="shared" si="87"/>
        <v/>
      </c>
      <c r="L1065" s="47">
        <f t="shared" si="88"/>
        <v>0</v>
      </c>
      <c r="M1065" s="47">
        <f t="shared" si="89"/>
        <v>0</v>
      </c>
      <c r="N1065" t="str">
        <f>IF(A1065="","",IF(D1065="Category Pending","Needs categorization",IF(COUNTIFS($A$2:A1065,A1065,$B$2:B1065,B1065,$E$2:E1065,E1065)&gt;1,"Possible duplicate","")))</f>
        <v/>
      </c>
    </row>
    <row r="1066" spans="3:14" x14ac:dyDescent="0.3">
      <c r="C1066" s="16"/>
      <c r="G1066" s="5" t="str">
        <f t="shared" si="85"/>
        <v/>
      </c>
      <c r="H1066" t="str">
        <f>IF(A1066="","",IFERROR(_xlfn.XLOOKUP(D1066,Setup!$E$15:$E$79,Setup!$F$15:$F$79),"Miscellaneous"))</f>
        <v/>
      </c>
      <c r="I1066" t="str">
        <f>IF(A1066="","",IFERROR(_xlfn.XLOOKUP(D1066,Setup!$E$15:$E$79,Setup!$G$15:$G$79),"Uncategorized"))</f>
        <v/>
      </c>
      <c r="J1066" t="str">
        <f t="shared" si="86"/>
        <v/>
      </c>
      <c r="K1066" s="4" t="str">
        <f t="shared" si="87"/>
        <v/>
      </c>
      <c r="L1066" s="47">
        <f t="shared" si="88"/>
        <v>0</v>
      </c>
      <c r="M1066" s="47">
        <f t="shared" si="89"/>
        <v>0</v>
      </c>
      <c r="N1066" t="str">
        <f>IF(A1066="","",IF(D1066="Category Pending","Needs categorization",IF(COUNTIFS($A$2:A1066,A1066,$B$2:B1066,B1066,$E$2:E1066,E1066)&gt;1,"Possible duplicate","")))</f>
        <v/>
      </c>
    </row>
    <row r="1067" spans="3:14" x14ac:dyDescent="0.3">
      <c r="C1067" s="16"/>
      <c r="G1067" s="5" t="str">
        <f t="shared" si="85"/>
        <v/>
      </c>
      <c r="H1067" t="str">
        <f>IF(A1067="","",IFERROR(_xlfn.XLOOKUP(D1067,Setup!$E$15:$E$79,Setup!$F$15:$F$79),"Miscellaneous"))</f>
        <v/>
      </c>
      <c r="I1067" t="str">
        <f>IF(A1067="","",IFERROR(_xlfn.XLOOKUP(D1067,Setup!$E$15:$E$79,Setup!$G$15:$G$79),"Uncategorized"))</f>
        <v/>
      </c>
      <c r="J1067" t="str">
        <f t="shared" si="86"/>
        <v/>
      </c>
      <c r="K1067" s="4" t="str">
        <f t="shared" si="87"/>
        <v/>
      </c>
      <c r="L1067" s="47">
        <f t="shared" si="88"/>
        <v>0</v>
      </c>
      <c r="M1067" s="47">
        <f t="shared" si="89"/>
        <v>0</v>
      </c>
      <c r="N1067" t="str">
        <f>IF(A1067="","",IF(D1067="Category Pending","Needs categorization",IF(COUNTIFS($A$2:A1067,A1067,$B$2:B1067,B1067,$E$2:E1067,E1067)&gt;1,"Possible duplicate","")))</f>
        <v/>
      </c>
    </row>
    <row r="1068" spans="3:14" x14ac:dyDescent="0.3">
      <c r="C1068" s="16"/>
      <c r="G1068" s="5" t="str">
        <f t="shared" si="85"/>
        <v/>
      </c>
      <c r="H1068" t="str">
        <f>IF(A1068="","",IFERROR(_xlfn.XLOOKUP(D1068,Setup!$E$15:$E$79,Setup!$F$15:$F$79),"Miscellaneous"))</f>
        <v/>
      </c>
      <c r="I1068" t="str">
        <f>IF(A1068="","",IFERROR(_xlfn.XLOOKUP(D1068,Setup!$E$15:$E$79,Setup!$G$15:$G$79),"Uncategorized"))</f>
        <v/>
      </c>
      <c r="J1068" t="str">
        <f t="shared" si="86"/>
        <v/>
      </c>
      <c r="K1068" s="4" t="str">
        <f t="shared" si="87"/>
        <v/>
      </c>
      <c r="L1068" s="47">
        <f t="shared" si="88"/>
        <v>0</v>
      </c>
      <c r="M1068" s="47">
        <f t="shared" si="89"/>
        <v>0</v>
      </c>
      <c r="N1068" t="str">
        <f>IF(A1068="","",IF(D1068="Category Pending","Needs categorization",IF(COUNTIFS($A$2:A1068,A1068,$B$2:B1068,B1068,$E$2:E1068,E1068)&gt;1,"Possible duplicate","")))</f>
        <v/>
      </c>
    </row>
    <row r="1069" spans="3:14" x14ac:dyDescent="0.3">
      <c r="C1069" s="16"/>
      <c r="G1069" s="5" t="str">
        <f t="shared" si="85"/>
        <v/>
      </c>
      <c r="H1069" t="str">
        <f>IF(A1069="","",IFERROR(_xlfn.XLOOKUP(D1069,Setup!$E$15:$E$79,Setup!$F$15:$F$79),"Miscellaneous"))</f>
        <v/>
      </c>
      <c r="I1069" t="str">
        <f>IF(A1069="","",IFERROR(_xlfn.XLOOKUP(D1069,Setup!$E$15:$E$79,Setup!$G$15:$G$79),"Uncategorized"))</f>
        <v/>
      </c>
      <c r="J1069" t="str">
        <f t="shared" si="86"/>
        <v/>
      </c>
      <c r="K1069" s="4" t="str">
        <f t="shared" si="87"/>
        <v/>
      </c>
      <c r="L1069" s="47">
        <f t="shared" si="88"/>
        <v>0</v>
      </c>
      <c r="M1069" s="47">
        <f t="shared" si="89"/>
        <v>0</v>
      </c>
      <c r="N1069" t="str">
        <f>IF(A1069="","",IF(D1069="Category Pending","Needs categorization",IF(COUNTIFS($A$2:A1069,A1069,$B$2:B1069,B1069,$E$2:E1069,E1069)&gt;1,"Possible duplicate","")))</f>
        <v/>
      </c>
    </row>
    <row r="1070" spans="3:14" x14ac:dyDescent="0.3">
      <c r="C1070" s="16"/>
      <c r="G1070" s="5" t="str">
        <f t="shared" si="85"/>
        <v/>
      </c>
      <c r="H1070" t="str">
        <f>IF(A1070="","",IFERROR(_xlfn.XLOOKUP(D1070,Setup!$E$15:$E$79,Setup!$F$15:$F$79),"Miscellaneous"))</f>
        <v/>
      </c>
      <c r="I1070" t="str">
        <f>IF(A1070="","",IFERROR(_xlfn.XLOOKUP(D1070,Setup!$E$15:$E$79,Setup!$G$15:$G$79),"Uncategorized"))</f>
        <v/>
      </c>
      <c r="J1070" t="str">
        <f t="shared" si="86"/>
        <v/>
      </c>
      <c r="K1070" s="4" t="str">
        <f t="shared" si="87"/>
        <v/>
      </c>
      <c r="L1070" s="47">
        <f t="shared" si="88"/>
        <v>0</v>
      </c>
      <c r="M1070" s="47">
        <f t="shared" si="89"/>
        <v>0</v>
      </c>
      <c r="N1070" t="str">
        <f>IF(A1070="","",IF(D1070="Category Pending","Needs categorization",IF(COUNTIFS($A$2:A1070,A1070,$B$2:B1070,B1070,$E$2:E1070,E1070)&gt;1,"Possible duplicate","")))</f>
        <v/>
      </c>
    </row>
    <row r="1071" spans="3:14" x14ac:dyDescent="0.3">
      <c r="C1071" s="16"/>
      <c r="G1071" s="5" t="str">
        <f t="shared" si="85"/>
        <v/>
      </c>
      <c r="H1071" t="str">
        <f>IF(A1071="","",IFERROR(_xlfn.XLOOKUP(D1071,Setup!$E$15:$E$79,Setup!$F$15:$F$79),"Miscellaneous"))</f>
        <v/>
      </c>
      <c r="I1071" t="str">
        <f>IF(A1071="","",IFERROR(_xlfn.XLOOKUP(D1071,Setup!$E$15:$E$79,Setup!$G$15:$G$79),"Uncategorized"))</f>
        <v/>
      </c>
      <c r="J1071" t="str">
        <f t="shared" si="86"/>
        <v/>
      </c>
      <c r="K1071" s="4" t="str">
        <f t="shared" si="87"/>
        <v/>
      </c>
      <c r="L1071" s="47">
        <f t="shared" si="88"/>
        <v>0</v>
      </c>
      <c r="M1071" s="47">
        <f t="shared" si="89"/>
        <v>0</v>
      </c>
      <c r="N1071" t="str">
        <f>IF(A1071="","",IF(D1071="Category Pending","Needs categorization",IF(COUNTIFS($A$2:A1071,A1071,$B$2:B1071,B1071,$E$2:E1071,E1071)&gt;1,"Possible duplicate","")))</f>
        <v/>
      </c>
    </row>
    <row r="1072" spans="3:14" x14ac:dyDescent="0.3">
      <c r="C1072" s="16"/>
      <c r="G1072" s="5" t="str">
        <f t="shared" si="85"/>
        <v/>
      </c>
      <c r="H1072" t="str">
        <f>IF(A1072="","",IFERROR(_xlfn.XLOOKUP(D1072,Setup!$E$15:$E$79,Setup!$F$15:$F$79),"Miscellaneous"))</f>
        <v/>
      </c>
      <c r="I1072" t="str">
        <f>IF(A1072="","",IFERROR(_xlfn.XLOOKUP(D1072,Setup!$E$15:$E$79,Setup!$G$15:$G$79),"Uncategorized"))</f>
        <v/>
      </c>
      <c r="J1072" t="str">
        <f t="shared" si="86"/>
        <v/>
      </c>
      <c r="K1072" s="4" t="str">
        <f t="shared" si="87"/>
        <v/>
      </c>
      <c r="L1072" s="47">
        <f t="shared" si="88"/>
        <v>0</v>
      </c>
      <c r="M1072" s="47">
        <f t="shared" si="89"/>
        <v>0</v>
      </c>
      <c r="N1072" t="str">
        <f>IF(A1072="","",IF(D1072="Category Pending","Needs categorization",IF(COUNTIFS($A$2:A1072,A1072,$B$2:B1072,B1072,$E$2:E1072,E1072)&gt;1,"Possible duplicate","")))</f>
        <v/>
      </c>
    </row>
    <row r="1073" spans="3:14" x14ac:dyDescent="0.3">
      <c r="C1073" s="16"/>
      <c r="G1073" s="5" t="str">
        <f t="shared" si="85"/>
        <v/>
      </c>
      <c r="H1073" t="str">
        <f>IF(A1073="","",IFERROR(_xlfn.XLOOKUP(D1073,Setup!$E$15:$E$79,Setup!$F$15:$F$79),"Miscellaneous"))</f>
        <v/>
      </c>
      <c r="I1073" t="str">
        <f>IF(A1073="","",IFERROR(_xlfn.XLOOKUP(D1073,Setup!$E$15:$E$79,Setup!$G$15:$G$79),"Uncategorized"))</f>
        <v/>
      </c>
      <c r="J1073" t="str">
        <f t="shared" si="86"/>
        <v/>
      </c>
      <c r="K1073" s="4" t="str">
        <f t="shared" si="87"/>
        <v/>
      </c>
      <c r="L1073" s="47">
        <f t="shared" si="88"/>
        <v>0</v>
      </c>
      <c r="M1073" s="47">
        <f t="shared" si="89"/>
        <v>0</v>
      </c>
      <c r="N1073" t="str">
        <f>IF(A1073="","",IF(D1073="Category Pending","Needs categorization",IF(COUNTIFS($A$2:A1073,A1073,$B$2:B1073,B1073,$E$2:E1073,E1073)&gt;1,"Possible duplicate","")))</f>
        <v/>
      </c>
    </row>
    <row r="1074" spans="3:14" x14ac:dyDescent="0.3">
      <c r="C1074" s="16"/>
      <c r="G1074" s="5" t="str">
        <f t="shared" si="85"/>
        <v/>
      </c>
      <c r="H1074" t="str">
        <f>IF(A1074="","",IFERROR(_xlfn.XLOOKUP(D1074,Setup!$E$15:$E$79,Setup!$F$15:$F$79),"Miscellaneous"))</f>
        <v/>
      </c>
      <c r="I1074" t="str">
        <f>IF(A1074="","",IFERROR(_xlfn.XLOOKUP(D1074,Setup!$E$15:$E$79,Setup!$G$15:$G$79),"Uncategorized"))</f>
        <v/>
      </c>
      <c r="J1074" t="str">
        <f t="shared" si="86"/>
        <v/>
      </c>
      <c r="K1074" s="4" t="str">
        <f t="shared" si="87"/>
        <v/>
      </c>
      <c r="L1074" s="47">
        <f t="shared" si="88"/>
        <v>0</v>
      </c>
      <c r="M1074" s="47">
        <f t="shared" si="89"/>
        <v>0</v>
      </c>
      <c r="N1074" t="str">
        <f>IF(A1074="","",IF(D1074="Category Pending","Needs categorization",IF(COUNTIFS($A$2:A1074,A1074,$B$2:B1074,B1074,$E$2:E1074,E1074)&gt;1,"Possible duplicate","")))</f>
        <v/>
      </c>
    </row>
    <row r="1075" spans="3:14" x14ac:dyDescent="0.3">
      <c r="C1075" s="16"/>
      <c r="G1075" s="5" t="str">
        <f t="shared" si="85"/>
        <v/>
      </c>
      <c r="H1075" t="str">
        <f>IF(A1075="","",IFERROR(_xlfn.XLOOKUP(D1075,Setup!$E$15:$E$79,Setup!$F$15:$F$79),"Miscellaneous"))</f>
        <v/>
      </c>
      <c r="I1075" t="str">
        <f>IF(A1075="","",IFERROR(_xlfn.XLOOKUP(D1075,Setup!$E$15:$E$79,Setup!$G$15:$G$79),"Uncategorized"))</f>
        <v/>
      </c>
      <c r="J1075" t="str">
        <f t="shared" si="86"/>
        <v/>
      </c>
      <c r="K1075" s="4" t="str">
        <f t="shared" si="87"/>
        <v/>
      </c>
      <c r="L1075" s="47">
        <f t="shared" si="88"/>
        <v>0</v>
      </c>
      <c r="M1075" s="47">
        <f t="shared" si="89"/>
        <v>0</v>
      </c>
      <c r="N1075" t="str">
        <f>IF(A1075="","",IF(D1075="Category Pending","Needs categorization",IF(COUNTIFS($A$2:A1075,A1075,$B$2:B1075,B1075,$E$2:E1075,E1075)&gt;1,"Possible duplicate","")))</f>
        <v/>
      </c>
    </row>
    <row r="1076" spans="3:14" x14ac:dyDescent="0.3">
      <c r="C1076" s="16"/>
      <c r="G1076" s="5" t="str">
        <f t="shared" si="85"/>
        <v/>
      </c>
      <c r="H1076" t="str">
        <f>IF(A1076="","",IFERROR(_xlfn.XLOOKUP(D1076,Setup!$E$15:$E$79,Setup!$F$15:$F$79),"Miscellaneous"))</f>
        <v/>
      </c>
      <c r="I1076" t="str">
        <f>IF(A1076="","",IFERROR(_xlfn.XLOOKUP(D1076,Setup!$E$15:$E$79,Setup!$G$15:$G$79),"Uncategorized"))</f>
        <v/>
      </c>
      <c r="J1076" t="str">
        <f t="shared" si="86"/>
        <v/>
      </c>
      <c r="K1076" s="4" t="str">
        <f t="shared" si="87"/>
        <v/>
      </c>
      <c r="L1076" s="47">
        <f t="shared" si="88"/>
        <v>0</v>
      </c>
      <c r="M1076" s="47">
        <f t="shared" si="89"/>
        <v>0</v>
      </c>
      <c r="N1076" t="str">
        <f>IF(A1076="","",IF(D1076="Category Pending","Needs categorization",IF(COUNTIFS($A$2:A1076,A1076,$B$2:B1076,B1076,$E$2:E1076,E1076)&gt;1,"Possible duplicate","")))</f>
        <v/>
      </c>
    </row>
    <row r="1077" spans="3:14" x14ac:dyDescent="0.3">
      <c r="C1077" s="16"/>
      <c r="G1077" s="5" t="str">
        <f t="shared" si="85"/>
        <v/>
      </c>
      <c r="H1077" t="str">
        <f>IF(A1077="","",IFERROR(_xlfn.XLOOKUP(D1077,Setup!$E$15:$E$79,Setup!$F$15:$F$79),"Miscellaneous"))</f>
        <v/>
      </c>
      <c r="I1077" t="str">
        <f>IF(A1077="","",IFERROR(_xlfn.XLOOKUP(D1077,Setup!$E$15:$E$79,Setup!$G$15:$G$79),"Uncategorized"))</f>
        <v/>
      </c>
      <c r="J1077" t="str">
        <f t="shared" si="86"/>
        <v/>
      </c>
      <c r="K1077" s="4" t="str">
        <f t="shared" si="87"/>
        <v/>
      </c>
      <c r="L1077" s="47">
        <f t="shared" si="88"/>
        <v>0</v>
      </c>
      <c r="M1077" s="47">
        <f t="shared" si="89"/>
        <v>0</v>
      </c>
      <c r="N1077" t="str">
        <f>IF(A1077="","",IF(D1077="Category Pending","Needs categorization",IF(COUNTIFS($A$2:A1077,A1077,$B$2:B1077,B1077,$E$2:E1077,E1077)&gt;1,"Possible duplicate","")))</f>
        <v/>
      </c>
    </row>
    <row r="1078" spans="3:14" x14ac:dyDescent="0.3">
      <c r="C1078" s="16"/>
      <c r="G1078" s="5" t="str">
        <f t="shared" si="85"/>
        <v/>
      </c>
      <c r="H1078" t="str">
        <f>IF(A1078="","",IFERROR(_xlfn.XLOOKUP(D1078,Setup!$E$15:$E$79,Setup!$F$15:$F$79),"Miscellaneous"))</f>
        <v/>
      </c>
      <c r="I1078" t="str">
        <f>IF(A1078="","",IFERROR(_xlfn.XLOOKUP(D1078,Setup!$E$15:$E$79,Setup!$G$15:$G$79),"Uncategorized"))</f>
        <v/>
      </c>
      <c r="J1078" t="str">
        <f t="shared" si="86"/>
        <v/>
      </c>
      <c r="K1078" s="4" t="str">
        <f t="shared" si="87"/>
        <v/>
      </c>
      <c r="L1078" s="47">
        <f t="shared" si="88"/>
        <v>0</v>
      </c>
      <c r="M1078" s="47">
        <f t="shared" si="89"/>
        <v>0</v>
      </c>
      <c r="N1078" t="str">
        <f>IF(A1078="","",IF(D1078="Category Pending","Needs categorization",IF(COUNTIFS($A$2:A1078,A1078,$B$2:B1078,B1078,$E$2:E1078,E1078)&gt;1,"Possible duplicate","")))</f>
        <v/>
      </c>
    </row>
    <row r="1079" spans="3:14" x14ac:dyDescent="0.3">
      <c r="C1079" s="16"/>
      <c r="G1079" s="5" t="str">
        <f t="shared" si="85"/>
        <v/>
      </c>
      <c r="H1079" t="str">
        <f>IF(A1079="","",IFERROR(_xlfn.XLOOKUP(D1079,Setup!$E$15:$E$79,Setup!$F$15:$F$79),"Miscellaneous"))</f>
        <v/>
      </c>
      <c r="I1079" t="str">
        <f>IF(A1079="","",IFERROR(_xlfn.XLOOKUP(D1079,Setup!$E$15:$E$79,Setup!$G$15:$G$79),"Uncategorized"))</f>
        <v/>
      </c>
      <c r="J1079" t="str">
        <f t="shared" si="86"/>
        <v/>
      </c>
      <c r="K1079" s="4" t="str">
        <f t="shared" si="87"/>
        <v/>
      </c>
      <c r="L1079" s="47">
        <f t="shared" si="88"/>
        <v>0</v>
      </c>
      <c r="M1079" s="47">
        <f t="shared" si="89"/>
        <v>0</v>
      </c>
      <c r="N1079" t="str">
        <f>IF(A1079="","",IF(D1079="Category Pending","Needs categorization",IF(COUNTIFS($A$2:A1079,A1079,$B$2:B1079,B1079,$E$2:E1079,E1079)&gt;1,"Possible duplicate","")))</f>
        <v/>
      </c>
    </row>
    <row r="1080" spans="3:14" x14ac:dyDescent="0.3">
      <c r="C1080" s="16"/>
      <c r="G1080" s="5" t="str">
        <f t="shared" si="85"/>
        <v/>
      </c>
      <c r="H1080" t="str">
        <f>IF(A1080="","",IFERROR(_xlfn.XLOOKUP(D1080,Setup!$E$15:$E$79,Setup!$F$15:$F$79),"Miscellaneous"))</f>
        <v/>
      </c>
      <c r="I1080" t="str">
        <f>IF(A1080="","",IFERROR(_xlfn.XLOOKUP(D1080,Setup!$E$15:$E$79,Setup!$G$15:$G$79),"Uncategorized"))</f>
        <v/>
      </c>
      <c r="J1080" t="str">
        <f t="shared" si="86"/>
        <v/>
      </c>
      <c r="K1080" s="4" t="str">
        <f t="shared" si="87"/>
        <v/>
      </c>
      <c r="L1080" s="47">
        <f t="shared" si="88"/>
        <v>0</v>
      </c>
      <c r="M1080" s="47">
        <f t="shared" si="89"/>
        <v>0</v>
      </c>
      <c r="N1080" t="str">
        <f>IF(A1080="","",IF(D1080="Category Pending","Needs categorization",IF(COUNTIFS($A$2:A1080,A1080,$B$2:B1080,B1080,$E$2:E1080,E1080)&gt;1,"Possible duplicate","")))</f>
        <v/>
      </c>
    </row>
    <row r="1081" spans="3:14" x14ac:dyDescent="0.3">
      <c r="C1081" s="16"/>
      <c r="G1081" s="5" t="str">
        <f t="shared" si="85"/>
        <v/>
      </c>
      <c r="H1081" t="str">
        <f>IF(A1081="","",IFERROR(_xlfn.XLOOKUP(D1081,Setup!$E$15:$E$79,Setup!$F$15:$F$79),"Miscellaneous"))</f>
        <v/>
      </c>
      <c r="I1081" t="str">
        <f>IF(A1081="","",IFERROR(_xlfn.XLOOKUP(D1081,Setup!$E$15:$E$79,Setup!$G$15:$G$79),"Uncategorized"))</f>
        <v/>
      </c>
      <c r="J1081" t="str">
        <f t="shared" si="86"/>
        <v/>
      </c>
      <c r="K1081" s="4" t="str">
        <f t="shared" si="87"/>
        <v/>
      </c>
      <c r="L1081" s="47">
        <f t="shared" si="88"/>
        <v>0</v>
      </c>
      <c r="M1081" s="47">
        <f t="shared" si="89"/>
        <v>0</v>
      </c>
      <c r="N1081" t="str">
        <f>IF(A1081="","",IF(D1081="Category Pending","Needs categorization",IF(COUNTIFS($A$2:A1081,A1081,$B$2:B1081,B1081,$E$2:E1081,E1081)&gt;1,"Possible duplicate","")))</f>
        <v/>
      </c>
    </row>
    <row r="1082" spans="3:14" x14ac:dyDescent="0.3">
      <c r="C1082" s="16"/>
      <c r="G1082" s="5" t="str">
        <f t="shared" si="85"/>
        <v/>
      </c>
      <c r="H1082" t="str">
        <f>IF(A1082="","",IFERROR(_xlfn.XLOOKUP(D1082,Setup!$E$15:$E$79,Setup!$F$15:$F$79),"Miscellaneous"))</f>
        <v/>
      </c>
      <c r="I1082" t="str">
        <f>IF(A1082="","",IFERROR(_xlfn.XLOOKUP(D1082,Setup!$E$15:$E$79,Setup!$G$15:$G$79),"Uncategorized"))</f>
        <v/>
      </c>
      <c r="J1082" t="str">
        <f t="shared" si="86"/>
        <v/>
      </c>
      <c r="K1082" s="4" t="str">
        <f t="shared" si="87"/>
        <v/>
      </c>
      <c r="L1082" s="47">
        <f t="shared" si="88"/>
        <v>0</v>
      </c>
      <c r="M1082" s="47">
        <f t="shared" si="89"/>
        <v>0</v>
      </c>
      <c r="N1082" t="str">
        <f>IF(A1082="","",IF(D1082="Category Pending","Needs categorization",IF(COUNTIFS($A$2:A1082,A1082,$B$2:B1082,B1082,$E$2:E1082,E1082)&gt;1,"Possible duplicate","")))</f>
        <v/>
      </c>
    </row>
    <row r="1083" spans="3:14" x14ac:dyDescent="0.3">
      <c r="C1083" s="16"/>
      <c r="G1083" s="5" t="str">
        <f t="shared" si="85"/>
        <v/>
      </c>
      <c r="H1083" t="str">
        <f>IF(A1083="","",IFERROR(_xlfn.XLOOKUP(D1083,Setup!$E$15:$E$79,Setup!$F$15:$F$79),"Miscellaneous"))</f>
        <v/>
      </c>
      <c r="I1083" t="str">
        <f>IF(A1083="","",IFERROR(_xlfn.XLOOKUP(D1083,Setup!$E$15:$E$79,Setup!$G$15:$G$79),"Uncategorized"))</f>
        <v/>
      </c>
      <c r="J1083" t="str">
        <f t="shared" si="86"/>
        <v/>
      </c>
      <c r="K1083" s="4" t="str">
        <f t="shared" si="87"/>
        <v/>
      </c>
      <c r="L1083" s="47">
        <f t="shared" si="88"/>
        <v>0</v>
      </c>
      <c r="M1083" s="47">
        <f t="shared" si="89"/>
        <v>0</v>
      </c>
      <c r="N1083" t="str">
        <f>IF(A1083="","",IF(D1083="Category Pending","Needs categorization",IF(COUNTIFS($A$2:A1083,A1083,$B$2:B1083,B1083,$E$2:E1083,E1083)&gt;1,"Possible duplicate","")))</f>
        <v/>
      </c>
    </row>
    <row r="1084" spans="3:14" x14ac:dyDescent="0.3">
      <c r="C1084" s="16"/>
      <c r="G1084" s="5" t="str">
        <f t="shared" si="85"/>
        <v/>
      </c>
      <c r="H1084" t="str">
        <f>IF(A1084="","",IFERROR(_xlfn.XLOOKUP(D1084,Setup!$E$15:$E$79,Setup!$F$15:$F$79),"Miscellaneous"))</f>
        <v/>
      </c>
      <c r="I1084" t="str">
        <f>IF(A1084="","",IFERROR(_xlfn.XLOOKUP(D1084,Setup!$E$15:$E$79,Setup!$G$15:$G$79),"Uncategorized"))</f>
        <v/>
      </c>
      <c r="J1084" t="str">
        <f t="shared" si="86"/>
        <v/>
      </c>
      <c r="K1084" s="4" t="str">
        <f t="shared" si="87"/>
        <v/>
      </c>
      <c r="L1084" s="47">
        <f t="shared" si="88"/>
        <v>0</v>
      </c>
      <c r="M1084" s="47">
        <f t="shared" si="89"/>
        <v>0</v>
      </c>
      <c r="N1084" t="str">
        <f>IF(A1084="","",IF(D1084="Category Pending","Needs categorization",IF(COUNTIFS($A$2:A1084,A1084,$B$2:B1084,B1084,$E$2:E1084,E1084)&gt;1,"Possible duplicate","")))</f>
        <v/>
      </c>
    </row>
    <row r="1085" spans="3:14" x14ac:dyDescent="0.3">
      <c r="C1085" s="16"/>
      <c r="G1085" s="5" t="str">
        <f t="shared" si="85"/>
        <v/>
      </c>
      <c r="H1085" t="str">
        <f>IF(A1085="","",IFERROR(_xlfn.XLOOKUP(D1085,Setup!$E$15:$E$79,Setup!$F$15:$F$79),"Miscellaneous"))</f>
        <v/>
      </c>
      <c r="I1085" t="str">
        <f>IF(A1085="","",IFERROR(_xlfn.XLOOKUP(D1085,Setup!$E$15:$E$79,Setup!$G$15:$G$79),"Uncategorized"))</f>
        <v/>
      </c>
      <c r="J1085" t="str">
        <f t="shared" si="86"/>
        <v/>
      </c>
      <c r="K1085" s="4" t="str">
        <f t="shared" si="87"/>
        <v/>
      </c>
      <c r="L1085" s="47">
        <f t="shared" si="88"/>
        <v>0</v>
      </c>
      <c r="M1085" s="47">
        <f t="shared" si="89"/>
        <v>0</v>
      </c>
      <c r="N1085" t="str">
        <f>IF(A1085="","",IF(D1085="Category Pending","Needs categorization",IF(COUNTIFS($A$2:A1085,A1085,$B$2:B1085,B1085,$E$2:E1085,E1085)&gt;1,"Possible duplicate","")))</f>
        <v/>
      </c>
    </row>
    <row r="1086" spans="3:14" x14ac:dyDescent="0.3">
      <c r="C1086" s="16"/>
      <c r="G1086" s="5" t="str">
        <f t="shared" si="85"/>
        <v/>
      </c>
      <c r="H1086" t="str">
        <f>IF(A1086="","",IFERROR(_xlfn.XLOOKUP(D1086,Setup!$E$15:$E$79,Setup!$F$15:$F$79),"Miscellaneous"))</f>
        <v/>
      </c>
      <c r="I1086" t="str">
        <f>IF(A1086="","",IFERROR(_xlfn.XLOOKUP(D1086,Setup!$E$15:$E$79,Setup!$G$15:$G$79),"Uncategorized"))</f>
        <v/>
      </c>
      <c r="J1086" t="str">
        <f t="shared" si="86"/>
        <v/>
      </c>
      <c r="K1086" s="4" t="str">
        <f t="shared" si="87"/>
        <v/>
      </c>
      <c r="L1086" s="47">
        <f t="shared" si="88"/>
        <v>0</v>
      </c>
      <c r="M1086" s="47">
        <f t="shared" si="89"/>
        <v>0</v>
      </c>
      <c r="N1086" t="str">
        <f>IF(A1086="","",IF(D1086="Category Pending","Needs categorization",IF(COUNTIFS($A$2:A1086,A1086,$B$2:B1086,B1086,$E$2:E1086,E1086)&gt;1,"Possible duplicate","")))</f>
        <v/>
      </c>
    </row>
    <row r="1087" spans="3:14" x14ac:dyDescent="0.3">
      <c r="C1087" s="16"/>
      <c r="G1087" s="5" t="str">
        <f t="shared" si="85"/>
        <v/>
      </c>
      <c r="H1087" t="str">
        <f>IF(A1087="","",IFERROR(_xlfn.XLOOKUP(D1087,Setup!$E$15:$E$79,Setup!$F$15:$F$79),"Miscellaneous"))</f>
        <v/>
      </c>
      <c r="I1087" t="str">
        <f>IF(A1087="","",IFERROR(_xlfn.XLOOKUP(D1087,Setup!$E$15:$E$79,Setup!$G$15:$G$79),"Uncategorized"))</f>
        <v/>
      </c>
      <c r="J1087" t="str">
        <f t="shared" si="86"/>
        <v/>
      </c>
      <c r="K1087" s="4" t="str">
        <f t="shared" si="87"/>
        <v/>
      </c>
      <c r="L1087" s="47">
        <f t="shared" si="88"/>
        <v>0</v>
      </c>
      <c r="M1087" s="47">
        <f t="shared" si="89"/>
        <v>0</v>
      </c>
      <c r="N1087" t="str">
        <f>IF(A1087="","",IF(D1087="Category Pending","Needs categorization",IF(COUNTIFS($A$2:A1087,A1087,$B$2:B1087,B1087,$E$2:E1087,E1087)&gt;1,"Possible duplicate","")))</f>
        <v/>
      </c>
    </row>
    <row r="1088" spans="3:14" x14ac:dyDescent="0.3">
      <c r="C1088" s="16"/>
      <c r="G1088" s="5" t="str">
        <f t="shared" si="85"/>
        <v/>
      </c>
      <c r="H1088" t="str">
        <f>IF(A1088="","",IFERROR(_xlfn.XLOOKUP(D1088,Setup!$E$15:$E$79,Setup!$F$15:$F$79),"Miscellaneous"))</f>
        <v/>
      </c>
      <c r="I1088" t="str">
        <f>IF(A1088="","",IFERROR(_xlfn.XLOOKUP(D1088,Setup!$E$15:$E$79,Setup!$G$15:$G$79),"Uncategorized"))</f>
        <v/>
      </c>
      <c r="J1088" t="str">
        <f t="shared" si="86"/>
        <v/>
      </c>
      <c r="K1088" s="4" t="str">
        <f t="shared" si="87"/>
        <v/>
      </c>
      <c r="L1088" s="47">
        <f t="shared" si="88"/>
        <v>0</v>
      </c>
      <c r="M1088" s="47">
        <f t="shared" si="89"/>
        <v>0</v>
      </c>
      <c r="N1088" t="str">
        <f>IF(A1088="","",IF(D1088="Category Pending","Needs categorization",IF(COUNTIFS($A$2:A1088,A1088,$B$2:B1088,B1088,$E$2:E1088,E1088)&gt;1,"Possible duplicate","")))</f>
        <v/>
      </c>
    </row>
    <row r="1089" spans="3:14" x14ac:dyDescent="0.3">
      <c r="C1089" s="16"/>
      <c r="G1089" s="5" t="str">
        <f t="shared" si="85"/>
        <v/>
      </c>
      <c r="H1089" t="str">
        <f>IF(A1089="","",IFERROR(_xlfn.XLOOKUP(D1089,Setup!$E$15:$E$79,Setup!$F$15:$F$79),"Miscellaneous"))</f>
        <v/>
      </c>
      <c r="I1089" t="str">
        <f>IF(A1089="","",IFERROR(_xlfn.XLOOKUP(D1089,Setup!$E$15:$E$79,Setup!$G$15:$G$79),"Uncategorized"))</f>
        <v/>
      </c>
      <c r="J1089" t="str">
        <f t="shared" si="86"/>
        <v/>
      </c>
      <c r="K1089" s="4" t="str">
        <f t="shared" si="87"/>
        <v/>
      </c>
      <c r="L1089" s="47">
        <f t="shared" si="88"/>
        <v>0</v>
      </c>
      <c r="M1089" s="47">
        <f t="shared" si="89"/>
        <v>0</v>
      </c>
      <c r="N1089" t="str">
        <f>IF(A1089="","",IF(D1089="Category Pending","Needs categorization",IF(COUNTIFS($A$2:A1089,A1089,$B$2:B1089,B1089,$E$2:E1089,E1089)&gt;1,"Possible duplicate","")))</f>
        <v/>
      </c>
    </row>
    <row r="1090" spans="3:14" x14ac:dyDescent="0.3">
      <c r="C1090" s="16"/>
      <c r="G1090" s="5" t="str">
        <f t="shared" si="85"/>
        <v/>
      </c>
      <c r="H1090" t="str">
        <f>IF(A1090="","",IFERROR(_xlfn.XLOOKUP(D1090,Setup!$E$15:$E$79,Setup!$F$15:$F$79),"Miscellaneous"))</f>
        <v/>
      </c>
      <c r="I1090" t="str">
        <f>IF(A1090="","",IFERROR(_xlfn.XLOOKUP(D1090,Setup!$E$15:$E$79,Setup!$G$15:$G$79),"Uncategorized"))</f>
        <v/>
      </c>
      <c r="J1090" t="str">
        <f t="shared" si="86"/>
        <v/>
      </c>
      <c r="K1090" s="4" t="str">
        <f t="shared" si="87"/>
        <v/>
      </c>
      <c r="L1090" s="47">
        <f t="shared" si="88"/>
        <v>0</v>
      </c>
      <c r="M1090" s="47">
        <f t="shared" si="89"/>
        <v>0</v>
      </c>
      <c r="N1090" t="str">
        <f>IF(A1090="","",IF(D1090="Category Pending","Needs categorization",IF(COUNTIFS($A$2:A1090,A1090,$B$2:B1090,B1090,$E$2:E1090,E1090)&gt;1,"Possible duplicate","")))</f>
        <v/>
      </c>
    </row>
    <row r="1091" spans="3:14" x14ac:dyDescent="0.3">
      <c r="C1091" s="16"/>
      <c r="G1091" s="5" t="str">
        <f t="shared" si="85"/>
        <v/>
      </c>
      <c r="H1091" t="str">
        <f>IF(A1091="","",IFERROR(_xlfn.XLOOKUP(D1091,Setup!$E$15:$E$79,Setup!$F$15:$F$79),"Miscellaneous"))</f>
        <v/>
      </c>
      <c r="I1091" t="str">
        <f>IF(A1091="","",IFERROR(_xlfn.XLOOKUP(D1091,Setup!$E$15:$E$79,Setup!$G$15:$G$79),"Uncategorized"))</f>
        <v/>
      </c>
      <c r="J1091" t="str">
        <f t="shared" si="86"/>
        <v/>
      </c>
      <c r="K1091" s="4" t="str">
        <f t="shared" si="87"/>
        <v/>
      </c>
      <c r="L1091" s="47">
        <f t="shared" si="88"/>
        <v>0</v>
      </c>
      <c r="M1091" s="47">
        <f t="shared" si="89"/>
        <v>0</v>
      </c>
      <c r="N1091" t="str">
        <f>IF(A1091="","",IF(D1091="Category Pending","Needs categorization",IF(COUNTIFS($A$2:A1091,A1091,$B$2:B1091,B1091,$E$2:E1091,E1091)&gt;1,"Possible duplicate","")))</f>
        <v/>
      </c>
    </row>
    <row r="1092" spans="3:14" x14ac:dyDescent="0.3">
      <c r="C1092" s="16"/>
      <c r="G1092" s="5" t="str">
        <f t="shared" si="85"/>
        <v/>
      </c>
      <c r="H1092" t="str">
        <f>IF(A1092="","",IFERROR(_xlfn.XLOOKUP(D1092,Setup!$E$15:$E$79,Setup!$F$15:$F$79),"Miscellaneous"))</f>
        <v/>
      </c>
      <c r="I1092" t="str">
        <f>IF(A1092="","",IFERROR(_xlfn.XLOOKUP(D1092,Setup!$E$15:$E$79,Setup!$G$15:$G$79),"Uncategorized"))</f>
        <v/>
      </c>
      <c r="J1092" t="str">
        <f t="shared" si="86"/>
        <v/>
      </c>
      <c r="K1092" s="4" t="str">
        <f t="shared" si="87"/>
        <v/>
      </c>
      <c r="L1092" s="47">
        <f t="shared" si="88"/>
        <v>0</v>
      </c>
      <c r="M1092" s="47">
        <f t="shared" si="89"/>
        <v>0</v>
      </c>
      <c r="N1092" t="str">
        <f>IF(A1092="","",IF(D1092="Category Pending","Needs categorization",IF(COUNTIFS($A$2:A1092,A1092,$B$2:B1092,B1092,$E$2:E1092,E1092)&gt;1,"Possible duplicate","")))</f>
        <v/>
      </c>
    </row>
    <row r="1093" spans="3:14" x14ac:dyDescent="0.3">
      <c r="C1093" s="16"/>
      <c r="G1093" s="5" t="str">
        <f t="shared" si="85"/>
        <v/>
      </c>
      <c r="H1093" t="str">
        <f>IF(A1093="","",IFERROR(_xlfn.XLOOKUP(D1093,Setup!$E$15:$E$79,Setup!$F$15:$F$79),"Miscellaneous"))</f>
        <v/>
      </c>
      <c r="I1093" t="str">
        <f>IF(A1093="","",IFERROR(_xlfn.XLOOKUP(D1093,Setup!$E$15:$E$79,Setup!$G$15:$G$79),"Uncategorized"))</f>
        <v/>
      </c>
      <c r="J1093" t="str">
        <f t="shared" si="86"/>
        <v/>
      </c>
      <c r="K1093" s="4" t="str">
        <f t="shared" si="87"/>
        <v/>
      </c>
      <c r="L1093" s="47">
        <f t="shared" si="88"/>
        <v>0</v>
      </c>
      <c r="M1093" s="47">
        <f t="shared" si="89"/>
        <v>0</v>
      </c>
      <c r="N1093" t="str">
        <f>IF(A1093="","",IF(D1093="Category Pending","Needs categorization",IF(COUNTIFS($A$2:A1093,A1093,$B$2:B1093,B1093,$E$2:E1093,E1093)&gt;1,"Possible duplicate","")))</f>
        <v/>
      </c>
    </row>
    <row r="1094" spans="3:14" x14ac:dyDescent="0.3">
      <c r="C1094" s="16"/>
      <c r="G1094" s="5" t="str">
        <f t="shared" si="85"/>
        <v/>
      </c>
      <c r="H1094" t="str">
        <f>IF(A1094="","",IFERROR(_xlfn.XLOOKUP(D1094,Setup!$E$15:$E$79,Setup!$F$15:$F$79),"Miscellaneous"))</f>
        <v/>
      </c>
      <c r="I1094" t="str">
        <f>IF(A1094="","",IFERROR(_xlfn.XLOOKUP(D1094,Setup!$E$15:$E$79,Setup!$G$15:$G$79),"Uncategorized"))</f>
        <v/>
      </c>
      <c r="J1094" t="str">
        <f t="shared" si="86"/>
        <v/>
      </c>
      <c r="K1094" s="4" t="str">
        <f t="shared" si="87"/>
        <v/>
      </c>
      <c r="L1094" s="47">
        <f t="shared" si="88"/>
        <v>0</v>
      </c>
      <c r="M1094" s="47">
        <f t="shared" si="89"/>
        <v>0</v>
      </c>
      <c r="N1094" t="str">
        <f>IF(A1094="","",IF(D1094="Category Pending","Needs categorization",IF(COUNTIFS($A$2:A1094,A1094,$B$2:B1094,B1094,$E$2:E1094,E1094)&gt;1,"Possible duplicate","")))</f>
        <v/>
      </c>
    </row>
    <row r="1095" spans="3:14" x14ac:dyDescent="0.3">
      <c r="C1095" s="16"/>
      <c r="G1095" s="5" t="str">
        <f t="shared" si="85"/>
        <v/>
      </c>
      <c r="H1095" t="str">
        <f>IF(A1095="","",IFERROR(_xlfn.XLOOKUP(D1095,Setup!$E$15:$E$79,Setup!$F$15:$F$79),"Miscellaneous"))</f>
        <v/>
      </c>
      <c r="I1095" t="str">
        <f>IF(A1095="","",IFERROR(_xlfn.XLOOKUP(D1095,Setup!$E$15:$E$79,Setup!$G$15:$G$79),"Uncategorized"))</f>
        <v/>
      </c>
      <c r="J1095" t="str">
        <f t="shared" si="86"/>
        <v/>
      </c>
      <c r="K1095" s="4" t="str">
        <f t="shared" si="87"/>
        <v/>
      </c>
      <c r="L1095" s="47">
        <f t="shared" si="88"/>
        <v>0</v>
      </c>
      <c r="M1095" s="47">
        <f t="shared" si="89"/>
        <v>0</v>
      </c>
      <c r="N1095" t="str">
        <f>IF(A1095="","",IF(D1095="Category Pending","Needs categorization",IF(COUNTIFS($A$2:A1095,A1095,$B$2:B1095,B1095,$E$2:E1095,E1095)&gt;1,"Possible duplicate","")))</f>
        <v/>
      </c>
    </row>
    <row r="1096" spans="3:14" x14ac:dyDescent="0.3">
      <c r="C1096" s="16"/>
      <c r="G1096" s="5" t="str">
        <f t="shared" si="85"/>
        <v/>
      </c>
      <c r="H1096" t="str">
        <f>IF(A1096="","",IFERROR(_xlfn.XLOOKUP(D1096,Setup!$E$15:$E$79,Setup!$F$15:$F$79),"Miscellaneous"))</f>
        <v/>
      </c>
      <c r="I1096" t="str">
        <f>IF(A1096="","",IFERROR(_xlfn.XLOOKUP(D1096,Setup!$E$15:$E$79,Setup!$G$15:$G$79),"Uncategorized"))</f>
        <v/>
      </c>
      <c r="J1096" t="str">
        <f t="shared" si="86"/>
        <v/>
      </c>
      <c r="K1096" s="4" t="str">
        <f t="shared" si="87"/>
        <v/>
      </c>
      <c r="L1096" s="47">
        <f t="shared" si="88"/>
        <v>0</v>
      </c>
      <c r="M1096" s="47">
        <f t="shared" si="89"/>
        <v>0</v>
      </c>
      <c r="N1096" t="str">
        <f>IF(A1096="","",IF(D1096="Category Pending","Needs categorization",IF(COUNTIFS($A$2:A1096,A1096,$B$2:B1096,B1096,$E$2:E1096,E1096)&gt;1,"Possible duplicate","")))</f>
        <v/>
      </c>
    </row>
    <row r="1097" spans="3:14" x14ac:dyDescent="0.3">
      <c r="C1097" s="16"/>
      <c r="G1097" s="5" t="str">
        <f t="shared" si="85"/>
        <v/>
      </c>
      <c r="H1097" t="str">
        <f>IF(A1097="","",IFERROR(_xlfn.XLOOKUP(D1097,Setup!$E$15:$E$79,Setup!$F$15:$F$79),"Miscellaneous"))</f>
        <v/>
      </c>
      <c r="I1097" t="str">
        <f>IF(A1097="","",IFERROR(_xlfn.XLOOKUP(D1097,Setup!$E$15:$E$79,Setup!$G$15:$G$79),"Uncategorized"))</f>
        <v/>
      </c>
      <c r="J1097" t="str">
        <f t="shared" si="86"/>
        <v/>
      </c>
      <c r="K1097" s="4" t="str">
        <f t="shared" si="87"/>
        <v/>
      </c>
      <c r="L1097" s="47">
        <f t="shared" si="88"/>
        <v>0</v>
      </c>
      <c r="M1097" s="47">
        <f t="shared" si="89"/>
        <v>0</v>
      </c>
      <c r="N1097" t="str">
        <f>IF(A1097="","",IF(D1097="Category Pending","Needs categorization",IF(COUNTIFS($A$2:A1097,A1097,$B$2:B1097,B1097,$E$2:E1097,E1097)&gt;1,"Possible duplicate","")))</f>
        <v/>
      </c>
    </row>
    <row r="1098" spans="3:14" x14ac:dyDescent="0.3">
      <c r="C1098" s="16"/>
      <c r="G1098" s="5" t="str">
        <f t="shared" si="85"/>
        <v/>
      </c>
      <c r="H1098" t="str">
        <f>IF(A1098="","",IFERROR(_xlfn.XLOOKUP(D1098,Setup!$E$15:$E$79,Setup!$F$15:$F$79),"Miscellaneous"))</f>
        <v/>
      </c>
      <c r="I1098" t="str">
        <f>IF(A1098="","",IFERROR(_xlfn.XLOOKUP(D1098,Setup!$E$15:$E$79,Setup!$G$15:$G$79),"Uncategorized"))</f>
        <v/>
      </c>
      <c r="J1098" t="str">
        <f t="shared" si="86"/>
        <v/>
      </c>
      <c r="K1098" s="4" t="str">
        <f t="shared" si="87"/>
        <v/>
      </c>
      <c r="L1098" s="47">
        <f t="shared" si="88"/>
        <v>0</v>
      </c>
      <c r="M1098" s="47">
        <f t="shared" si="89"/>
        <v>0</v>
      </c>
      <c r="N1098" t="str">
        <f>IF(A1098="","",IF(D1098="Category Pending","Needs categorization",IF(COUNTIFS($A$2:A1098,A1098,$B$2:B1098,B1098,$E$2:E1098,E1098)&gt;1,"Possible duplicate","")))</f>
        <v/>
      </c>
    </row>
    <row r="1099" spans="3:14" x14ac:dyDescent="0.3">
      <c r="C1099" s="16"/>
      <c r="G1099" s="5" t="str">
        <f t="shared" si="85"/>
        <v/>
      </c>
      <c r="H1099" t="str">
        <f>IF(A1099="","",IFERROR(_xlfn.XLOOKUP(D1099,Setup!$E$15:$E$79,Setup!$F$15:$F$79),"Miscellaneous"))</f>
        <v/>
      </c>
      <c r="I1099" t="str">
        <f>IF(A1099="","",IFERROR(_xlfn.XLOOKUP(D1099,Setup!$E$15:$E$79,Setup!$G$15:$G$79),"Uncategorized"))</f>
        <v/>
      </c>
      <c r="J1099" t="str">
        <f t="shared" si="86"/>
        <v/>
      </c>
      <c r="K1099" s="4" t="str">
        <f t="shared" si="87"/>
        <v/>
      </c>
      <c r="L1099" s="47">
        <f t="shared" si="88"/>
        <v>0</v>
      </c>
      <c r="M1099" s="47">
        <f t="shared" si="89"/>
        <v>0</v>
      </c>
      <c r="N1099" t="str">
        <f>IF(A1099="","",IF(D1099="Category Pending","Needs categorization",IF(COUNTIFS($A$2:A1099,A1099,$B$2:B1099,B1099,$E$2:E1099,E1099)&gt;1,"Possible duplicate","")))</f>
        <v/>
      </c>
    </row>
    <row r="1100" spans="3:14" x14ac:dyDescent="0.3">
      <c r="C1100" s="16"/>
      <c r="G1100" s="5" t="str">
        <f t="shared" si="85"/>
        <v/>
      </c>
      <c r="H1100" t="str">
        <f>IF(A1100="","",IFERROR(_xlfn.XLOOKUP(D1100,Setup!$E$15:$E$79,Setup!$F$15:$F$79),"Miscellaneous"))</f>
        <v/>
      </c>
      <c r="I1100" t="str">
        <f>IF(A1100="","",IFERROR(_xlfn.XLOOKUP(D1100,Setup!$E$15:$E$79,Setup!$G$15:$G$79),"Uncategorized"))</f>
        <v/>
      </c>
      <c r="J1100" t="str">
        <f t="shared" si="86"/>
        <v/>
      </c>
      <c r="K1100" s="4" t="str">
        <f t="shared" si="87"/>
        <v/>
      </c>
      <c r="L1100" s="47">
        <f t="shared" si="88"/>
        <v>0</v>
      </c>
      <c r="M1100" s="47">
        <f t="shared" si="89"/>
        <v>0</v>
      </c>
      <c r="N1100" t="str">
        <f>IF(A1100="","",IF(D1100="Category Pending","Needs categorization",IF(COUNTIFS($A$2:A1100,A1100,$B$2:B1100,B1100,$E$2:E1100,E1100)&gt;1,"Possible duplicate","")))</f>
        <v/>
      </c>
    </row>
    <row r="1101" spans="3:14" x14ac:dyDescent="0.3">
      <c r="C1101" s="16"/>
      <c r="G1101" s="5" t="str">
        <f t="shared" si="85"/>
        <v/>
      </c>
      <c r="H1101" t="str">
        <f>IF(A1101="","",IFERROR(_xlfn.XLOOKUP(D1101,Setup!$E$15:$E$79,Setup!$F$15:$F$79),"Miscellaneous"))</f>
        <v/>
      </c>
      <c r="I1101" t="str">
        <f>IF(A1101="","",IFERROR(_xlfn.XLOOKUP(D1101,Setup!$E$15:$E$79,Setup!$G$15:$G$79),"Uncategorized"))</f>
        <v/>
      </c>
      <c r="J1101" t="str">
        <f t="shared" si="86"/>
        <v/>
      </c>
      <c r="K1101" s="4" t="str">
        <f t="shared" si="87"/>
        <v/>
      </c>
      <c r="L1101" s="47">
        <f t="shared" si="88"/>
        <v>0</v>
      </c>
      <c r="M1101" s="47">
        <f t="shared" si="89"/>
        <v>0</v>
      </c>
      <c r="N1101" t="str">
        <f>IF(A1101="","",IF(D1101="Category Pending","Needs categorization",IF(COUNTIFS($A$2:A1101,A1101,$B$2:B1101,B1101,$E$2:E1101,E1101)&gt;1,"Possible duplicate","")))</f>
        <v/>
      </c>
    </row>
    <row r="1102" spans="3:14" x14ac:dyDescent="0.3">
      <c r="C1102" s="16"/>
      <c r="G1102" s="5" t="str">
        <f t="shared" si="85"/>
        <v/>
      </c>
      <c r="H1102" t="str">
        <f>IF(A1102="","",IFERROR(_xlfn.XLOOKUP(D1102,Setup!$E$15:$E$79,Setup!$F$15:$F$79),"Miscellaneous"))</f>
        <v/>
      </c>
      <c r="I1102" t="str">
        <f>IF(A1102="","",IFERROR(_xlfn.XLOOKUP(D1102,Setup!$E$15:$E$79,Setup!$G$15:$G$79),"Uncategorized"))</f>
        <v/>
      </c>
      <c r="J1102" t="str">
        <f t="shared" si="86"/>
        <v/>
      </c>
      <c r="K1102" s="4" t="str">
        <f t="shared" si="87"/>
        <v/>
      </c>
      <c r="L1102" s="47">
        <f t="shared" si="88"/>
        <v>0</v>
      </c>
      <c r="M1102" s="47">
        <f t="shared" si="89"/>
        <v>0</v>
      </c>
      <c r="N1102" t="str">
        <f>IF(A1102="","",IF(D1102="Category Pending","Needs categorization",IF(COUNTIFS($A$2:A1102,A1102,$B$2:B1102,B1102,$E$2:E1102,E1102)&gt;1,"Possible duplicate","")))</f>
        <v/>
      </c>
    </row>
    <row r="1103" spans="3:14" x14ac:dyDescent="0.3">
      <c r="C1103" s="16"/>
      <c r="G1103" s="5" t="str">
        <f t="shared" si="85"/>
        <v/>
      </c>
      <c r="H1103" t="str">
        <f>IF(A1103="","",IFERROR(_xlfn.XLOOKUP(D1103,Setup!$E$15:$E$79,Setup!$F$15:$F$79),"Miscellaneous"))</f>
        <v/>
      </c>
      <c r="I1103" t="str">
        <f>IF(A1103="","",IFERROR(_xlfn.XLOOKUP(D1103,Setup!$E$15:$E$79,Setup!$G$15:$G$79),"Uncategorized"))</f>
        <v/>
      </c>
      <c r="J1103" t="str">
        <f t="shared" si="86"/>
        <v/>
      </c>
      <c r="K1103" s="4" t="str">
        <f t="shared" si="87"/>
        <v/>
      </c>
      <c r="L1103" s="47">
        <f t="shared" si="88"/>
        <v>0</v>
      </c>
      <c r="M1103" s="47">
        <f t="shared" si="89"/>
        <v>0</v>
      </c>
      <c r="N1103" t="str">
        <f>IF(A1103="","",IF(D1103="Category Pending","Needs categorization",IF(COUNTIFS($A$2:A1103,A1103,$B$2:B1103,B1103,$E$2:E1103,E1103)&gt;1,"Possible duplicate","")))</f>
        <v/>
      </c>
    </row>
    <row r="1104" spans="3:14" x14ac:dyDescent="0.3">
      <c r="C1104" s="16"/>
      <c r="G1104" s="5" t="str">
        <f t="shared" si="85"/>
        <v/>
      </c>
      <c r="H1104" t="str">
        <f>IF(A1104="","",IFERROR(_xlfn.XLOOKUP(D1104,Setup!$E$15:$E$79,Setup!$F$15:$F$79),"Miscellaneous"))</f>
        <v/>
      </c>
      <c r="I1104" t="str">
        <f>IF(A1104="","",IFERROR(_xlfn.XLOOKUP(D1104,Setup!$E$15:$E$79,Setup!$G$15:$G$79),"Uncategorized"))</f>
        <v/>
      </c>
      <c r="J1104" t="str">
        <f t="shared" si="86"/>
        <v/>
      </c>
      <c r="K1104" s="4" t="str">
        <f t="shared" si="87"/>
        <v/>
      </c>
      <c r="L1104" s="47">
        <f t="shared" si="88"/>
        <v>0</v>
      </c>
      <c r="M1104" s="47">
        <f t="shared" si="89"/>
        <v>0</v>
      </c>
      <c r="N1104" t="str">
        <f>IF(A1104="","",IF(D1104="Category Pending","Needs categorization",IF(COUNTIFS($A$2:A1104,A1104,$B$2:B1104,B1104,$E$2:E1104,E1104)&gt;1,"Possible duplicate","")))</f>
        <v/>
      </c>
    </row>
    <row r="1105" spans="3:14" x14ac:dyDescent="0.3">
      <c r="C1105" s="16"/>
      <c r="G1105" s="5" t="str">
        <f t="shared" si="85"/>
        <v/>
      </c>
      <c r="H1105" t="str">
        <f>IF(A1105="","",IFERROR(_xlfn.XLOOKUP(D1105,Setup!$E$15:$E$79,Setup!$F$15:$F$79),"Miscellaneous"))</f>
        <v/>
      </c>
      <c r="I1105" t="str">
        <f>IF(A1105="","",IFERROR(_xlfn.XLOOKUP(D1105,Setup!$E$15:$E$79,Setup!$G$15:$G$79),"Uncategorized"))</f>
        <v/>
      </c>
      <c r="J1105" t="str">
        <f t="shared" si="86"/>
        <v/>
      </c>
      <c r="K1105" s="4" t="str">
        <f t="shared" si="87"/>
        <v/>
      </c>
      <c r="L1105" s="47">
        <f t="shared" si="88"/>
        <v>0</v>
      </c>
      <c r="M1105" s="47">
        <f t="shared" si="89"/>
        <v>0</v>
      </c>
      <c r="N1105" t="str">
        <f>IF(A1105="","",IF(D1105="Category Pending","Needs categorization",IF(COUNTIFS($A$2:A1105,A1105,$B$2:B1105,B1105,$E$2:E1105,E1105)&gt;1,"Possible duplicate","")))</f>
        <v/>
      </c>
    </row>
    <row r="1106" spans="3:14" x14ac:dyDescent="0.3">
      <c r="C1106" s="16"/>
      <c r="G1106" s="5" t="str">
        <f t="shared" si="85"/>
        <v/>
      </c>
      <c r="H1106" t="str">
        <f>IF(A1106="","",IFERROR(_xlfn.XLOOKUP(D1106,Setup!$E$15:$E$79,Setup!$F$15:$F$79),"Miscellaneous"))</f>
        <v/>
      </c>
      <c r="I1106" t="str">
        <f>IF(A1106="","",IFERROR(_xlfn.XLOOKUP(D1106,Setup!$E$15:$E$79,Setup!$G$15:$G$79),"Uncategorized"))</f>
        <v/>
      </c>
      <c r="J1106" t="str">
        <f t="shared" si="86"/>
        <v/>
      </c>
      <c r="K1106" s="4" t="str">
        <f t="shared" si="87"/>
        <v/>
      </c>
      <c r="L1106" s="47">
        <f t="shared" si="88"/>
        <v>0</v>
      </c>
      <c r="M1106" s="47">
        <f t="shared" si="89"/>
        <v>0</v>
      </c>
      <c r="N1106" t="str">
        <f>IF(A1106="","",IF(D1106="Category Pending","Needs categorization",IF(COUNTIFS($A$2:A1106,A1106,$B$2:B1106,B1106,$E$2:E1106,E1106)&gt;1,"Possible duplicate","")))</f>
        <v/>
      </c>
    </row>
    <row r="1107" spans="3:14" x14ac:dyDescent="0.3">
      <c r="C1107" s="16"/>
      <c r="G1107" s="5" t="str">
        <f t="shared" si="85"/>
        <v/>
      </c>
      <c r="H1107" t="str">
        <f>IF(A1107="","",IFERROR(_xlfn.XLOOKUP(D1107,Setup!$E$15:$E$79,Setup!$F$15:$F$79),"Miscellaneous"))</f>
        <v/>
      </c>
      <c r="I1107" t="str">
        <f>IF(A1107="","",IFERROR(_xlfn.XLOOKUP(D1107,Setup!$E$15:$E$79,Setup!$G$15:$G$79),"Uncategorized"))</f>
        <v/>
      </c>
      <c r="J1107" t="str">
        <f t="shared" si="86"/>
        <v/>
      </c>
      <c r="K1107" s="4" t="str">
        <f t="shared" si="87"/>
        <v/>
      </c>
      <c r="L1107" s="47">
        <f t="shared" si="88"/>
        <v>0</v>
      </c>
      <c r="M1107" s="47">
        <f t="shared" si="89"/>
        <v>0</v>
      </c>
      <c r="N1107" t="str">
        <f>IF(A1107="","",IF(D1107="Category Pending","Needs categorization",IF(COUNTIFS($A$2:A1107,A1107,$B$2:B1107,B1107,$E$2:E1107,E1107)&gt;1,"Possible duplicate","")))</f>
        <v/>
      </c>
    </row>
    <row r="1108" spans="3:14" x14ac:dyDescent="0.3">
      <c r="C1108" s="16"/>
      <c r="G1108" s="5" t="str">
        <f t="shared" si="85"/>
        <v/>
      </c>
      <c r="H1108" t="str">
        <f>IF(A1108="","",IFERROR(_xlfn.XLOOKUP(D1108,Setup!$E$15:$E$79,Setup!$F$15:$F$79),"Miscellaneous"))</f>
        <v/>
      </c>
      <c r="I1108" t="str">
        <f>IF(A1108="","",IFERROR(_xlfn.XLOOKUP(D1108,Setup!$E$15:$E$79,Setup!$G$15:$G$79),"Uncategorized"))</f>
        <v/>
      </c>
      <c r="J1108" t="str">
        <f t="shared" si="86"/>
        <v/>
      </c>
      <c r="K1108" s="4" t="str">
        <f t="shared" si="87"/>
        <v/>
      </c>
      <c r="L1108" s="47">
        <f t="shared" si="88"/>
        <v>0</v>
      </c>
      <c r="M1108" s="47">
        <f t="shared" si="89"/>
        <v>0</v>
      </c>
      <c r="N1108" t="str">
        <f>IF(A1108="","",IF(D1108="Category Pending","Needs categorization",IF(COUNTIFS($A$2:A1108,A1108,$B$2:B1108,B1108,$E$2:E1108,E1108)&gt;1,"Possible duplicate","")))</f>
        <v/>
      </c>
    </row>
    <row r="1109" spans="3:14" x14ac:dyDescent="0.3">
      <c r="C1109" s="16"/>
      <c r="G1109" s="5" t="str">
        <f t="shared" si="85"/>
        <v/>
      </c>
      <c r="H1109" t="str">
        <f>IF(A1109="","",IFERROR(_xlfn.XLOOKUP(D1109,Setup!$E$15:$E$79,Setup!$F$15:$F$79),"Miscellaneous"))</f>
        <v/>
      </c>
      <c r="I1109" t="str">
        <f>IF(A1109="","",IFERROR(_xlfn.XLOOKUP(D1109,Setup!$E$15:$E$79,Setup!$G$15:$G$79),"Uncategorized"))</f>
        <v/>
      </c>
      <c r="J1109" t="str">
        <f t="shared" si="86"/>
        <v/>
      </c>
      <c r="K1109" s="4" t="str">
        <f t="shared" si="87"/>
        <v/>
      </c>
      <c r="L1109" s="47">
        <f t="shared" si="88"/>
        <v>0</v>
      </c>
      <c r="M1109" s="47">
        <f t="shared" si="89"/>
        <v>0</v>
      </c>
      <c r="N1109" t="str">
        <f>IF(A1109="","",IF(D1109="Category Pending","Needs categorization",IF(COUNTIFS($A$2:A1109,A1109,$B$2:B1109,B1109,$E$2:E1109,E1109)&gt;1,"Possible duplicate","")))</f>
        <v/>
      </c>
    </row>
    <row r="1110" spans="3:14" x14ac:dyDescent="0.3">
      <c r="C1110" s="16"/>
      <c r="G1110" s="5" t="str">
        <f t="shared" si="85"/>
        <v/>
      </c>
      <c r="H1110" t="str">
        <f>IF(A1110="","",IFERROR(_xlfn.XLOOKUP(D1110,Setup!$E$15:$E$79,Setup!$F$15:$F$79),"Miscellaneous"))</f>
        <v/>
      </c>
      <c r="I1110" t="str">
        <f>IF(A1110="","",IFERROR(_xlfn.XLOOKUP(D1110,Setup!$E$15:$E$79,Setup!$G$15:$G$79),"Uncategorized"))</f>
        <v/>
      </c>
      <c r="J1110" t="str">
        <f t="shared" si="86"/>
        <v/>
      </c>
      <c r="K1110" s="4" t="str">
        <f t="shared" si="87"/>
        <v/>
      </c>
      <c r="L1110" s="47">
        <f t="shared" si="88"/>
        <v>0</v>
      </c>
      <c r="M1110" s="47">
        <f t="shared" si="89"/>
        <v>0</v>
      </c>
      <c r="N1110" t="str">
        <f>IF(A1110="","",IF(D1110="Category Pending","Needs categorization",IF(COUNTIFS($A$2:A1110,A1110,$B$2:B1110,B1110,$E$2:E1110,E1110)&gt;1,"Possible duplicate","")))</f>
        <v/>
      </c>
    </row>
    <row r="1111" spans="3:14" x14ac:dyDescent="0.3">
      <c r="C1111" s="16"/>
      <c r="G1111" s="5" t="str">
        <f t="shared" si="85"/>
        <v/>
      </c>
      <c r="H1111" t="str">
        <f>IF(A1111="","",IFERROR(_xlfn.XLOOKUP(D1111,Setup!$E$15:$E$79,Setup!$F$15:$F$79),"Miscellaneous"))</f>
        <v/>
      </c>
      <c r="I1111" t="str">
        <f>IF(A1111="","",IFERROR(_xlfn.XLOOKUP(D1111,Setup!$E$15:$E$79,Setup!$G$15:$G$79),"Uncategorized"))</f>
        <v/>
      </c>
      <c r="J1111" t="str">
        <f t="shared" si="86"/>
        <v/>
      </c>
      <c r="K1111" s="4" t="str">
        <f t="shared" si="87"/>
        <v/>
      </c>
      <c r="L1111" s="47">
        <f t="shared" si="88"/>
        <v>0</v>
      </c>
      <c r="M1111" s="47">
        <f t="shared" si="89"/>
        <v>0</v>
      </c>
      <c r="N1111" t="str">
        <f>IF(A1111="","",IF(D1111="Category Pending","Needs categorization",IF(COUNTIFS($A$2:A1111,A1111,$B$2:B1111,B1111,$E$2:E1111,E1111)&gt;1,"Possible duplicate","")))</f>
        <v/>
      </c>
    </row>
    <row r="1112" spans="3:14" x14ac:dyDescent="0.3">
      <c r="C1112" s="16"/>
      <c r="G1112" s="5" t="str">
        <f t="shared" si="85"/>
        <v/>
      </c>
      <c r="H1112" t="str">
        <f>IF(A1112="","",IFERROR(_xlfn.XLOOKUP(D1112,Setup!$E$15:$E$79,Setup!$F$15:$F$79),"Miscellaneous"))</f>
        <v/>
      </c>
      <c r="I1112" t="str">
        <f>IF(A1112="","",IFERROR(_xlfn.XLOOKUP(D1112,Setup!$E$15:$E$79,Setup!$G$15:$G$79),"Uncategorized"))</f>
        <v/>
      </c>
      <c r="J1112" t="str">
        <f t="shared" si="86"/>
        <v/>
      </c>
      <c r="K1112" s="4" t="str">
        <f t="shared" si="87"/>
        <v/>
      </c>
      <c r="L1112" s="47">
        <f t="shared" si="88"/>
        <v>0</v>
      </c>
      <c r="M1112" s="47">
        <f t="shared" si="89"/>
        <v>0</v>
      </c>
      <c r="N1112" t="str">
        <f>IF(A1112="","",IF(D1112="Category Pending","Needs categorization",IF(COUNTIFS($A$2:A1112,A1112,$B$2:B1112,B1112,$E$2:E1112,E1112)&gt;1,"Possible duplicate","")))</f>
        <v/>
      </c>
    </row>
    <row r="1113" spans="3:14" x14ac:dyDescent="0.3">
      <c r="C1113" s="16"/>
      <c r="G1113" s="5" t="str">
        <f t="shared" si="85"/>
        <v/>
      </c>
      <c r="H1113" t="str">
        <f>IF(A1113="","",IFERROR(_xlfn.XLOOKUP(D1113,Setup!$E$15:$E$79,Setup!$F$15:$F$79),"Miscellaneous"))</f>
        <v/>
      </c>
      <c r="I1113" t="str">
        <f>IF(A1113="","",IFERROR(_xlfn.XLOOKUP(D1113,Setup!$E$15:$E$79,Setup!$G$15:$G$79),"Uncategorized"))</f>
        <v/>
      </c>
      <c r="J1113" t="str">
        <f t="shared" si="86"/>
        <v/>
      </c>
      <c r="K1113" s="4" t="str">
        <f t="shared" si="87"/>
        <v/>
      </c>
      <c r="L1113" s="47">
        <f t="shared" si="88"/>
        <v>0</v>
      </c>
      <c r="M1113" s="47">
        <f t="shared" si="89"/>
        <v>0</v>
      </c>
      <c r="N1113" t="str">
        <f>IF(A1113="","",IF(D1113="Category Pending","Needs categorization",IF(COUNTIFS($A$2:A1113,A1113,$B$2:B1113,B1113,$E$2:E1113,E1113)&gt;1,"Possible duplicate","")))</f>
        <v/>
      </c>
    </row>
    <row r="1114" spans="3:14" x14ac:dyDescent="0.3">
      <c r="C1114" s="16"/>
      <c r="G1114" s="5" t="str">
        <f t="shared" si="85"/>
        <v/>
      </c>
      <c r="H1114" t="str">
        <f>IF(A1114="","",IFERROR(_xlfn.XLOOKUP(D1114,Setup!$E$15:$E$79,Setup!$F$15:$F$79),"Miscellaneous"))</f>
        <v/>
      </c>
      <c r="I1114" t="str">
        <f>IF(A1114="","",IFERROR(_xlfn.XLOOKUP(D1114,Setup!$E$15:$E$79,Setup!$G$15:$G$79),"Uncategorized"))</f>
        <v/>
      </c>
      <c r="J1114" t="str">
        <f t="shared" si="86"/>
        <v/>
      </c>
      <c r="K1114" s="4" t="str">
        <f t="shared" si="87"/>
        <v/>
      </c>
      <c r="L1114" s="47">
        <f t="shared" si="88"/>
        <v>0</v>
      </c>
      <c r="M1114" s="47">
        <f t="shared" si="89"/>
        <v>0</v>
      </c>
      <c r="N1114" t="str">
        <f>IF(A1114="","",IF(D1114="Category Pending","Needs categorization",IF(COUNTIFS($A$2:A1114,A1114,$B$2:B1114,B1114,$E$2:E1114,E1114)&gt;1,"Possible duplicate","")))</f>
        <v/>
      </c>
    </row>
    <row r="1115" spans="3:14" x14ac:dyDescent="0.3">
      <c r="C1115" s="16"/>
      <c r="G1115" s="5" t="str">
        <f t="shared" si="85"/>
        <v/>
      </c>
      <c r="H1115" t="str">
        <f>IF(A1115="","",IFERROR(_xlfn.XLOOKUP(D1115,Setup!$E$15:$E$79,Setup!$F$15:$F$79),"Miscellaneous"))</f>
        <v/>
      </c>
      <c r="I1115" t="str">
        <f>IF(A1115="","",IFERROR(_xlfn.XLOOKUP(D1115,Setup!$E$15:$E$79,Setup!$G$15:$G$79),"Uncategorized"))</f>
        <v/>
      </c>
      <c r="J1115" t="str">
        <f t="shared" si="86"/>
        <v/>
      </c>
      <c r="K1115" s="4" t="str">
        <f t="shared" si="87"/>
        <v/>
      </c>
      <c r="L1115" s="47">
        <f t="shared" si="88"/>
        <v>0</v>
      </c>
      <c r="M1115" s="47">
        <f t="shared" si="89"/>
        <v>0</v>
      </c>
      <c r="N1115" t="str">
        <f>IF(A1115="","",IF(D1115="Category Pending","Needs categorization",IF(COUNTIFS($A$2:A1115,A1115,$B$2:B1115,B1115,$E$2:E1115,E1115)&gt;1,"Possible duplicate","")))</f>
        <v/>
      </c>
    </row>
    <row r="1116" spans="3:14" x14ac:dyDescent="0.3">
      <c r="C1116" s="16"/>
      <c r="G1116" s="5" t="str">
        <f t="shared" si="85"/>
        <v/>
      </c>
      <c r="H1116" t="str">
        <f>IF(A1116="","",IFERROR(_xlfn.XLOOKUP(D1116,Setup!$E$15:$E$79,Setup!$F$15:$F$79),"Miscellaneous"))</f>
        <v/>
      </c>
      <c r="I1116" t="str">
        <f>IF(A1116="","",IFERROR(_xlfn.XLOOKUP(D1116,Setup!$E$15:$E$79,Setup!$G$15:$G$79),"Uncategorized"))</f>
        <v/>
      </c>
      <c r="J1116" t="str">
        <f t="shared" si="86"/>
        <v/>
      </c>
      <c r="K1116" s="4" t="str">
        <f t="shared" si="87"/>
        <v/>
      </c>
      <c r="L1116" s="47">
        <f t="shared" si="88"/>
        <v>0</v>
      </c>
      <c r="M1116" s="47">
        <f t="shared" si="89"/>
        <v>0</v>
      </c>
      <c r="N1116" t="str">
        <f>IF(A1116="","",IF(D1116="Category Pending","Needs categorization",IF(COUNTIFS($A$2:A1116,A1116,$B$2:B1116,B1116,$E$2:E1116,E1116)&gt;1,"Possible duplicate","")))</f>
        <v/>
      </c>
    </row>
    <row r="1117" spans="3:14" x14ac:dyDescent="0.3">
      <c r="C1117" s="16"/>
      <c r="G1117" s="5" t="str">
        <f t="shared" si="85"/>
        <v/>
      </c>
      <c r="H1117" t="str">
        <f>IF(A1117="","",IFERROR(_xlfn.XLOOKUP(D1117,Setup!$E$15:$E$79,Setup!$F$15:$F$79),"Miscellaneous"))</f>
        <v/>
      </c>
      <c r="I1117" t="str">
        <f>IF(A1117="","",IFERROR(_xlfn.XLOOKUP(D1117,Setup!$E$15:$E$79,Setup!$G$15:$G$79),"Uncategorized"))</f>
        <v/>
      </c>
      <c r="J1117" t="str">
        <f t="shared" si="86"/>
        <v/>
      </c>
      <c r="K1117" s="4" t="str">
        <f t="shared" si="87"/>
        <v/>
      </c>
      <c r="L1117" s="47">
        <f t="shared" si="88"/>
        <v>0</v>
      </c>
      <c r="M1117" s="47">
        <f t="shared" si="89"/>
        <v>0</v>
      </c>
      <c r="N1117" t="str">
        <f>IF(A1117="","",IF(D1117="Category Pending","Needs categorization",IF(COUNTIFS($A$2:A1117,A1117,$B$2:B1117,B1117,$E$2:E1117,E1117)&gt;1,"Possible duplicate","")))</f>
        <v/>
      </c>
    </row>
    <row r="1118" spans="3:14" x14ac:dyDescent="0.3">
      <c r="C1118" s="16"/>
      <c r="G1118" s="5" t="str">
        <f t="shared" si="85"/>
        <v/>
      </c>
      <c r="H1118" t="str">
        <f>IF(A1118="","",IFERROR(_xlfn.XLOOKUP(D1118,Setup!$E$15:$E$79,Setup!$F$15:$F$79),"Miscellaneous"))</f>
        <v/>
      </c>
      <c r="I1118" t="str">
        <f>IF(A1118="","",IFERROR(_xlfn.XLOOKUP(D1118,Setup!$E$15:$E$79,Setup!$G$15:$G$79),"Uncategorized"))</f>
        <v/>
      </c>
      <c r="J1118" t="str">
        <f t="shared" si="86"/>
        <v/>
      </c>
      <c r="K1118" s="4" t="str">
        <f t="shared" si="87"/>
        <v/>
      </c>
      <c r="L1118" s="47">
        <f t="shared" si="88"/>
        <v>0</v>
      </c>
      <c r="M1118" s="47">
        <f t="shared" si="89"/>
        <v>0</v>
      </c>
      <c r="N1118" t="str">
        <f>IF(A1118="","",IF(D1118="Category Pending","Needs categorization",IF(COUNTIFS($A$2:A1118,A1118,$B$2:B1118,B1118,$E$2:E1118,E1118)&gt;1,"Possible duplicate","")))</f>
        <v/>
      </c>
    </row>
    <row r="1119" spans="3:14" x14ac:dyDescent="0.3">
      <c r="C1119" s="16"/>
      <c r="G1119" s="5" t="str">
        <f t="shared" si="85"/>
        <v/>
      </c>
      <c r="H1119" t="str">
        <f>IF(A1119="","",IFERROR(_xlfn.XLOOKUP(D1119,Setup!$E$15:$E$79,Setup!$F$15:$F$79),"Miscellaneous"))</f>
        <v/>
      </c>
      <c r="I1119" t="str">
        <f>IF(A1119="","",IFERROR(_xlfn.XLOOKUP(D1119,Setup!$E$15:$E$79,Setup!$G$15:$G$79),"Uncategorized"))</f>
        <v/>
      </c>
      <c r="J1119" t="str">
        <f t="shared" si="86"/>
        <v/>
      </c>
      <c r="K1119" s="4" t="str">
        <f t="shared" si="87"/>
        <v/>
      </c>
      <c r="L1119" s="47">
        <f t="shared" si="88"/>
        <v>0</v>
      </c>
      <c r="M1119" s="47">
        <f t="shared" si="89"/>
        <v>0</v>
      </c>
      <c r="N1119" t="str">
        <f>IF(A1119="","",IF(D1119="Category Pending","Needs categorization",IF(COUNTIFS($A$2:A1119,A1119,$B$2:B1119,B1119,$E$2:E1119,E1119)&gt;1,"Possible duplicate","")))</f>
        <v/>
      </c>
    </row>
    <row r="1120" spans="3:14" x14ac:dyDescent="0.3">
      <c r="C1120" s="16"/>
      <c r="G1120" s="5" t="str">
        <f t="shared" si="85"/>
        <v/>
      </c>
      <c r="H1120" t="str">
        <f>IF(A1120="","",IFERROR(_xlfn.XLOOKUP(D1120,Setup!$E$15:$E$79,Setup!$F$15:$F$79),"Miscellaneous"))</f>
        <v/>
      </c>
      <c r="I1120" t="str">
        <f>IF(A1120="","",IFERROR(_xlfn.XLOOKUP(D1120,Setup!$E$15:$E$79,Setup!$G$15:$G$79),"Uncategorized"))</f>
        <v/>
      </c>
      <c r="J1120" t="str">
        <f t="shared" si="86"/>
        <v/>
      </c>
      <c r="K1120" s="4" t="str">
        <f t="shared" si="87"/>
        <v/>
      </c>
      <c r="L1120" s="47">
        <f t="shared" si="88"/>
        <v>0</v>
      </c>
      <c r="M1120" s="47">
        <f t="shared" si="89"/>
        <v>0</v>
      </c>
      <c r="N1120" t="str">
        <f>IF(A1120="","",IF(D1120="Category Pending","Needs categorization",IF(COUNTIFS($A$2:A1120,A1120,$B$2:B1120,B1120,$E$2:E1120,E1120)&gt;1,"Possible duplicate","")))</f>
        <v/>
      </c>
    </row>
    <row r="1121" spans="3:14" x14ac:dyDescent="0.3">
      <c r="C1121" s="16"/>
      <c r="G1121" s="5" t="str">
        <f t="shared" ref="G1121:G1184" si="90">IF(A1121="","","Checking")</f>
        <v/>
      </c>
      <c r="H1121" t="str">
        <f>IF(A1121="","",IFERROR(_xlfn.XLOOKUP(D1121,Setup!$E$15:$E$79,Setup!$F$15:$F$79),"Miscellaneous"))</f>
        <v/>
      </c>
      <c r="I1121" t="str">
        <f>IF(A1121="","",IFERROR(_xlfn.XLOOKUP(D1121,Setup!$E$15:$E$79,Setup!$G$15:$G$79),"Uncategorized"))</f>
        <v/>
      </c>
      <c r="J1121" t="str">
        <f t="shared" ref="J1121:J1184" si="91">IF(A1121="","",IF(OR(H1121="Transfers",H1121="Income",D1121="Transfer",D1121="Category Pending"),"No","Yes"))</f>
        <v/>
      </c>
      <c r="K1121" s="4" t="str">
        <f t="shared" ref="K1121:K1184" si="92">IF(A1121="","",IF(A1121&gt;=46232,TEXT(DATE(YEAR(A1121),MONTH(A1121)+1,1),"mmmm yyyy"),TEXT(DATE(YEAR(A1121),MONTH(A1121),1),"mmmm yyyy")))</f>
        <v/>
      </c>
      <c r="L1121" s="47">
        <f t="shared" ref="L1121:L1184" si="93">IF(AND(J1121="Yes",E1121&lt;0),-E1121,0)</f>
        <v>0</v>
      </c>
      <c r="M1121" s="47">
        <f t="shared" ref="M1121:M1184" si="94">IF(AND(J1121="Yes",E1121&gt;0),E1121,0)</f>
        <v>0</v>
      </c>
      <c r="N1121" t="str">
        <f>IF(A1121="","",IF(D1121="Category Pending","Needs categorization",IF(COUNTIFS($A$2:A1121,A1121,$B$2:B1121,B1121,$E$2:E1121,E1121)&gt;1,"Possible duplicate","")))</f>
        <v/>
      </c>
    </row>
    <row r="1122" spans="3:14" x14ac:dyDescent="0.3">
      <c r="C1122" s="16"/>
      <c r="G1122" s="5" t="str">
        <f t="shared" si="90"/>
        <v/>
      </c>
      <c r="H1122" t="str">
        <f>IF(A1122="","",IFERROR(_xlfn.XLOOKUP(D1122,Setup!$E$15:$E$79,Setup!$F$15:$F$79),"Miscellaneous"))</f>
        <v/>
      </c>
      <c r="I1122" t="str">
        <f>IF(A1122="","",IFERROR(_xlfn.XLOOKUP(D1122,Setup!$E$15:$E$79,Setup!$G$15:$G$79),"Uncategorized"))</f>
        <v/>
      </c>
      <c r="J1122" t="str">
        <f t="shared" si="91"/>
        <v/>
      </c>
      <c r="K1122" s="4" t="str">
        <f t="shared" si="92"/>
        <v/>
      </c>
      <c r="L1122" s="47">
        <f t="shared" si="93"/>
        <v>0</v>
      </c>
      <c r="M1122" s="47">
        <f t="shared" si="94"/>
        <v>0</v>
      </c>
      <c r="N1122" t="str">
        <f>IF(A1122="","",IF(D1122="Category Pending","Needs categorization",IF(COUNTIFS($A$2:A1122,A1122,$B$2:B1122,B1122,$E$2:E1122,E1122)&gt;1,"Possible duplicate","")))</f>
        <v/>
      </c>
    </row>
    <row r="1123" spans="3:14" x14ac:dyDescent="0.3">
      <c r="C1123" s="16"/>
      <c r="G1123" s="5" t="str">
        <f t="shared" si="90"/>
        <v/>
      </c>
      <c r="H1123" t="str">
        <f>IF(A1123="","",IFERROR(_xlfn.XLOOKUP(D1123,Setup!$E$15:$E$79,Setup!$F$15:$F$79),"Miscellaneous"))</f>
        <v/>
      </c>
      <c r="I1123" t="str">
        <f>IF(A1123="","",IFERROR(_xlfn.XLOOKUP(D1123,Setup!$E$15:$E$79,Setup!$G$15:$G$79),"Uncategorized"))</f>
        <v/>
      </c>
      <c r="J1123" t="str">
        <f t="shared" si="91"/>
        <v/>
      </c>
      <c r="K1123" s="4" t="str">
        <f t="shared" si="92"/>
        <v/>
      </c>
      <c r="L1123" s="47">
        <f t="shared" si="93"/>
        <v>0</v>
      </c>
      <c r="M1123" s="47">
        <f t="shared" si="94"/>
        <v>0</v>
      </c>
      <c r="N1123" t="str">
        <f>IF(A1123="","",IF(D1123="Category Pending","Needs categorization",IF(COUNTIFS($A$2:A1123,A1123,$B$2:B1123,B1123,$E$2:E1123,E1123)&gt;1,"Possible duplicate","")))</f>
        <v/>
      </c>
    </row>
    <row r="1124" spans="3:14" x14ac:dyDescent="0.3">
      <c r="C1124" s="16"/>
      <c r="G1124" s="5" t="str">
        <f t="shared" si="90"/>
        <v/>
      </c>
      <c r="H1124" t="str">
        <f>IF(A1124="","",IFERROR(_xlfn.XLOOKUP(D1124,Setup!$E$15:$E$79,Setup!$F$15:$F$79),"Miscellaneous"))</f>
        <v/>
      </c>
      <c r="I1124" t="str">
        <f>IF(A1124="","",IFERROR(_xlfn.XLOOKUP(D1124,Setup!$E$15:$E$79,Setup!$G$15:$G$79),"Uncategorized"))</f>
        <v/>
      </c>
      <c r="J1124" t="str">
        <f t="shared" si="91"/>
        <v/>
      </c>
      <c r="K1124" s="4" t="str">
        <f t="shared" si="92"/>
        <v/>
      </c>
      <c r="L1124" s="47">
        <f t="shared" si="93"/>
        <v>0</v>
      </c>
      <c r="M1124" s="47">
        <f t="shared" si="94"/>
        <v>0</v>
      </c>
      <c r="N1124" t="str">
        <f>IF(A1124="","",IF(D1124="Category Pending","Needs categorization",IF(COUNTIFS($A$2:A1124,A1124,$B$2:B1124,B1124,$E$2:E1124,E1124)&gt;1,"Possible duplicate","")))</f>
        <v/>
      </c>
    </row>
    <row r="1125" spans="3:14" x14ac:dyDescent="0.3">
      <c r="C1125" s="16"/>
      <c r="G1125" s="5" t="str">
        <f t="shared" si="90"/>
        <v/>
      </c>
      <c r="H1125" t="str">
        <f>IF(A1125="","",IFERROR(_xlfn.XLOOKUP(D1125,Setup!$E$15:$E$79,Setup!$F$15:$F$79),"Miscellaneous"))</f>
        <v/>
      </c>
      <c r="I1125" t="str">
        <f>IF(A1125="","",IFERROR(_xlfn.XLOOKUP(D1125,Setup!$E$15:$E$79,Setup!$G$15:$G$79),"Uncategorized"))</f>
        <v/>
      </c>
      <c r="J1125" t="str">
        <f t="shared" si="91"/>
        <v/>
      </c>
      <c r="K1125" s="4" t="str">
        <f t="shared" si="92"/>
        <v/>
      </c>
      <c r="L1125" s="47">
        <f t="shared" si="93"/>
        <v>0</v>
      </c>
      <c r="M1125" s="47">
        <f t="shared" si="94"/>
        <v>0</v>
      </c>
      <c r="N1125" t="str">
        <f>IF(A1125="","",IF(D1125="Category Pending","Needs categorization",IF(COUNTIFS($A$2:A1125,A1125,$B$2:B1125,B1125,$E$2:E1125,E1125)&gt;1,"Possible duplicate","")))</f>
        <v/>
      </c>
    </row>
    <row r="1126" spans="3:14" x14ac:dyDescent="0.3">
      <c r="C1126" s="16"/>
      <c r="G1126" s="5" t="str">
        <f t="shared" si="90"/>
        <v/>
      </c>
      <c r="H1126" t="str">
        <f>IF(A1126="","",IFERROR(_xlfn.XLOOKUP(D1126,Setup!$E$15:$E$79,Setup!$F$15:$F$79),"Miscellaneous"))</f>
        <v/>
      </c>
      <c r="I1126" t="str">
        <f>IF(A1126="","",IFERROR(_xlfn.XLOOKUP(D1126,Setup!$E$15:$E$79,Setup!$G$15:$G$79),"Uncategorized"))</f>
        <v/>
      </c>
      <c r="J1126" t="str">
        <f t="shared" si="91"/>
        <v/>
      </c>
      <c r="K1126" s="4" t="str">
        <f t="shared" si="92"/>
        <v/>
      </c>
      <c r="L1126" s="47">
        <f t="shared" si="93"/>
        <v>0</v>
      </c>
      <c r="M1126" s="47">
        <f t="shared" si="94"/>
        <v>0</v>
      </c>
      <c r="N1126" t="str">
        <f>IF(A1126="","",IF(D1126="Category Pending","Needs categorization",IF(COUNTIFS($A$2:A1126,A1126,$B$2:B1126,B1126,$E$2:E1126,E1126)&gt;1,"Possible duplicate","")))</f>
        <v/>
      </c>
    </row>
    <row r="1127" spans="3:14" x14ac:dyDescent="0.3">
      <c r="C1127" s="16"/>
      <c r="G1127" s="5" t="str">
        <f t="shared" si="90"/>
        <v/>
      </c>
      <c r="H1127" t="str">
        <f>IF(A1127="","",IFERROR(_xlfn.XLOOKUP(D1127,Setup!$E$15:$E$79,Setup!$F$15:$F$79),"Miscellaneous"))</f>
        <v/>
      </c>
      <c r="I1127" t="str">
        <f>IF(A1127="","",IFERROR(_xlfn.XLOOKUP(D1127,Setup!$E$15:$E$79,Setup!$G$15:$G$79),"Uncategorized"))</f>
        <v/>
      </c>
      <c r="J1127" t="str">
        <f t="shared" si="91"/>
        <v/>
      </c>
      <c r="K1127" s="4" t="str">
        <f t="shared" si="92"/>
        <v/>
      </c>
      <c r="L1127" s="47">
        <f t="shared" si="93"/>
        <v>0</v>
      </c>
      <c r="M1127" s="47">
        <f t="shared" si="94"/>
        <v>0</v>
      </c>
      <c r="N1127" t="str">
        <f>IF(A1127="","",IF(D1127="Category Pending","Needs categorization",IF(COUNTIFS($A$2:A1127,A1127,$B$2:B1127,B1127,$E$2:E1127,E1127)&gt;1,"Possible duplicate","")))</f>
        <v/>
      </c>
    </row>
    <row r="1128" spans="3:14" x14ac:dyDescent="0.3">
      <c r="C1128" s="16"/>
      <c r="G1128" s="5" t="str">
        <f t="shared" si="90"/>
        <v/>
      </c>
      <c r="H1128" t="str">
        <f>IF(A1128="","",IFERROR(_xlfn.XLOOKUP(D1128,Setup!$E$15:$E$79,Setup!$F$15:$F$79),"Miscellaneous"))</f>
        <v/>
      </c>
      <c r="I1128" t="str">
        <f>IF(A1128="","",IFERROR(_xlfn.XLOOKUP(D1128,Setup!$E$15:$E$79,Setup!$G$15:$G$79),"Uncategorized"))</f>
        <v/>
      </c>
      <c r="J1128" t="str">
        <f t="shared" si="91"/>
        <v/>
      </c>
      <c r="K1128" s="4" t="str">
        <f t="shared" si="92"/>
        <v/>
      </c>
      <c r="L1128" s="47">
        <f t="shared" si="93"/>
        <v>0</v>
      </c>
      <c r="M1128" s="47">
        <f t="shared" si="94"/>
        <v>0</v>
      </c>
      <c r="N1128" t="str">
        <f>IF(A1128="","",IF(D1128="Category Pending","Needs categorization",IF(COUNTIFS($A$2:A1128,A1128,$B$2:B1128,B1128,$E$2:E1128,E1128)&gt;1,"Possible duplicate","")))</f>
        <v/>
      </c>
    </row>
    <row r="1129" spans="3:14" x14ac:dyDescent="0.3">
      <c r="C1129" s="16"/>
      <c r="G1129" s="5" t="str">
        <f t="shared" si="90"/>
        <v/>
      </c>
      <c r="H1129" t="str">
        <f>IF(A1129="","",IFERROR(_xlfn.XLOOKUP(D1129,Setup!$E$15:$E$79,Setup!$F$15:$F$79),"Miscellaneous"))</f>
        <v/>
      </c>
      <c r="I1129" t="str">
        <f>IF(A1129="","",IFERROR(_xlfn.XLOOKUP(D1129,Setup!$E$15:$E$79,Setup!$G$15:$G$79),"Uncategorized"))</f>
        <v/>
      </c>
      <c r="J1129" t="str">
        <f t="shared" si="91"/>
        <v/>
      </c>
      <c r="K1129" s="4" t="str">
        <f t="shared" si="92"/>
        <v/>
      </c>
      <c r="L1129" s="47">
        <f t="shared" si="93"/>
        <v>0</v>
      </c>
      <c r="M1129" s="47">
        <f t="shared" si="94"/>
        <v>0</v>
      </c>
      <c r="N1129" t="str">
        <f>IF(A1129="","",IF(D1129="Category Pending","Needs categorization",IF(COUNTIFS($A$2:A1129,A1129,$B$2:B1129,B1129,$E$2:E1129,E1129)&gt;1,"Possible duplicate","")))</f>
        <v/>
      </c>
    </row>
    <row r="1130" spans="3:14" x14ac:dyDescent="0.3">
      <c r="C1130" s="16"/>
      <c r="G1130" s="5" t="str">
        <f t="shared" si="90"/>
        <v/>
      </c>
      <c r="H1130" t="str">
        <f>IF(A1130="","",IFERROR(_xlfn.XLOOKUP(D1130,Setup!$E$15:$E$79,Setup!$F$15:$F$79),"Miscellaneous"))</f>
        <v/>
      </c>
      <c r="I1130" t="str">
        <f>IF(A1130="","",IFERROR(_xlfn.XLOOKUP(D1130,Setup!$E$15:$E$79,Setup!$G$15:$G$79),"Uncategorized"))</f>
        <v/>
      </c>
      <c r="J1130" t="str">
        <f t="shared" si="91"/>
        <v/>
      </c>
      <c r="K1130" s="4" t="str">
        <f t="shared" si="92"/>
        <v/>
      </c>
      <c r="L1130" s="47">
        <f t="shared" si="93"/>
        <v>0</v>
      </c>
      <c r="M1130" s="47">
        <f t="shared" si="94"/>
        <v>0</v>
      </c>
      <c r="N1130" t="str">
        <f>IF(A1130="","",IF(D1130="Category Pending","Needs categorization",IF(COUNTIFS($A$2:A1130,A1130,$B$2:B1130,B1130,$E$2:E1130,E1130)&gt;1,"Possible duplicate","")))</f>
        <v/>
      </c>
    </row>
    <row r="1131" spans="3:14" x14ac:dyDescent="0.3">
      <c r="C1131" s="16"/>
      <c r="G1131" s="5" t="str">
        <f t="shared" si="90"/>
        <v/>
      </c>
      <c r="H1131" t="str">
        <f>IF(A1131="","",IFERROR(_xlfn.XLOOKUP(D1131,Setup!$E$15:$E$79,Setup!$F$15:$F$79),"Miscellaneous"))</f>
        <v/>
      </c>
      <c r="I1131" t="str">
        <f>IF(A1131="","",IFERROR(_xlfn.XLOOKUP(D1131,Setup!$E$15:$E$79,Setup!$G$15:$G$79),"Uncategorized"))</f>
        <v/>
      </c>
      <c r="J1131" t="str">
        <f t="shared" si="91"/>
        <v/>
      </c>
      <c r="K1131" s="4" t="str">
        <f t="shared" si="92"/>
        <v/>
      </c>
      <c r="L1131" s="47">
        <f t="shared" si="93"/>
        <v>0</v>
      </c>
      <c r="M1131" s="47">
        <f t="shared" si="94"/>
        <v>0</v>
      </c>
      <c r="N1131" t="str">
        <f>IF(A1131="","",IF(D1131="Category Pending","Needs categorization",IF(COUNTIFS($A$2:A1131,A1131,$B$2:B1131,B1131,$E$2:E1131,E1131)&gt;1,"Possible duplicate","")))</f>
        <v/>
      </c>
    </row>
    <row r="1132" spans="3:14" x14ac:dyDescent="0.3">
      <c r="C1132" s="16"/>
      <c r="G1132" s="5" t="str">
        <f t="shared" si="90"/>
        <v/>
      </c>
      <c r="H1132" t="str">
        <f>IF(A1132="","",IFERROR(_xlfn.XLOOKUP(D1132,Setup!$E$15:$E$79,Setup!$F$15:$F$79),"Miscellaneous"))</f>
        <v/>
      </c>
      <c r="I1132" t="str">
        <f>IF(A1132="","",IFERROR(_xlfn.XLOOKUP(D1132,Setup!$E$15:$E$79,Setup!$G$15:$G$79),"Uncategorized"))</f>
        <v/>
      </c>
      <c r="J1132" t="str">
        <f t="shared" si="91"/>
        <v/>
      </c>
      <c r="K1132" s="4" t="str">
        <f t="shared" si="92"/>
        <v/>
      </c>
      <c r="L1132" s="47">
        <f t="shared" si="93"/>
        <v>0</v>
      </c>
      <c r="M1132" s="47">
        <f t="shared" si="94"/>
        <v>0</v>
      </c>
      <c r="N1132" t="str">
        <f>IF(A1132="","",IF(D1132="Category Pending","Needs categorization",IF(COUNTIFS($A$2:A1132,A1132,$B$2:B1132,B1132,$E$2:E1132,E1132)&gt;1,"Possible duplicate","")))</f>
        <v/>
      </c>
    </row>
    <row r="1133" spans="3:14" x14ac:dyDescent="0.3">
      <c r="C1133" s="16"/>
      <c r="G1133" s="5" t="str">
        <f t="shared" si="90"/>
        <v/>
      </c>
      <c r="H1133" t="str">
        <f>IF(A1133="","",IFERROR(_xlfn.XLOOKUP(D1133,Setup!$E$15:$E$79,Setup!$F$15:$F$79),"Miscellaneous"))</f>
        <v/>
      </c>
      <c r="I1133" t="str">
        <f>IF(A1133="","",IFERROR(_xlfn.XLOOKUP(D1133,Setup!$E$15:$E$79,Setup!$G$15:$G$79),"Uncategorized"))</f>
        <v/>
      </c>
      <c r="J1133" t="str">
        <f t="shared" si="91"/>
        <v/>
      </c>
      <c r="K1133" s="4" t="str">
        <f t="shared" si="92"/>
        <v/>
      </c>
      <c r="L1133" s="47">
        <f t="shared" si="93"/>
        <v>0</v>
      </c>
      <c r="M1133" s="47">
        <f t="shared" si="94"/>
        <v>0</v>
      </c>
      <c r="N1133" t="str">
        <f>IF(A1133="","",IF(D1133="Category Pending","Needs categorization",IF(COUNTIFS($A$2:A1133,A1133,$B$2:B1133,B1133,$E$2:E1133,E1133)&gt;1,"Possible duplicate","")))</f>
        <v/>
      </c>
    </row>
    <row r="1134" spans="3:14" x14ac:dyDescent="0.3">
      <c r="C1134" s="16"/>
      <c r="G1134" s="5" t="str">
        <f t="shared" si="90"/>
        <v/>
      </c>
      <c r="H1134" t="str">
        <f>IF(A1134="","",IFERROR(_xlfn.XLOOKUP(D1134,Setup!$E$15:$E$79,Setup!$F$15:$F$79),"Miscellaneous"))</f>
        <v/>
      </c>
      <c r="I1134" t="str">
        <f>IF(A1134="","",IFERROR(_xlfn.XLOOKUP(D1134,Setup!$E$15:$E$79,Setup!$G$15:$G$79),"Uncategorized"))</f>
        <v/>
      </c>
      <c r="J1134" t="str">
        <f t="shared" si="91"/>
        <v/>
      </c>
      <c r="K1134" s="4" t="str">
        <f t="shared" si="92"/>
        <v/>
      </c>
      <c r="L1134" s="47">
        <f t="shared" si="93"/>
        <v>0</v>
      </c>
      <c r="M1134" s="47">
        <f t="shared" si="94"/>
        <v>0</v>
      </c>
      <c r="N1134" t="str">
        <f>IF(A1134="","",IF(D1134="Category Pending","Needs categorization",IF(COUNTIFS($A$2:A1134,A1134,$B$2:B1134,B1134,$E$2:E1134,E1134)&gt;1,"Possible duplicate","")))</f>
        <v/>
      </c>
    </row>
    <row r="1135" spans="3:14" x14ac:dyDescent="0.3">
      <c r="C1135" s="16"/>
      <c r="G1135" s="5" t="str">
        <f t="shared" si="90"/>
        <v/>
      </c>
      <c r="H1135" t="str">
        <f>IF(A1135="","",IFERROR(_xlfn.XLOOKUP(D1135,Setup!$E$15:$E$79,Setup!$F$15:$F$79),"Miscellaneous"))</f>
        <v/>
      </c>
      <c r="I1135" t="str">
        <f>IF(A1135="","",IFERROR(_xlfn.XLOOKUP(D1135,Setup!$E$15:$E$79,Setup!$G$15:$G$79),"Uncategorized"))</f>
        <v/>
      </c>
      <c r="J1135" t="str">
        <f t="shared" si="91"/>
        <v/>
      </c>
      <c r="K1135" s="4" t="str">
        <f t="shared" si="92"/>
        <v/>
      </c>
      <c r="L1135" s="47">
        <f t="shared" si="93"/>
        <v>0</v>
      </c>
      <c r="M1135" s="47">
        <f t="shared" si="94"/>
        <v>0</v>
      </c>
      <c r="N1135" t="str">
        <f>IF(A1135="","",IF(D1135="Category Pending","Needs categorization",IF(COUNTIFS($A$2:A1135,A1135,$B$2:B1135,B1135,$E$2:E1135,E1135)&gt;1,"Possible duplicate","")))</f>
        <v/>
      </c>
    </row>
    <row r="1136" spans="3:14" x14ac:dyDescent="0.3">
      <c r="C1136" s="16"/>
      <c r="G1136" s="5" t="str">
        <f t="shared" si="90"/>
        <v/>
      </c>
      <c r="H1136" t="str">
        <f>IF(A1136="","",IFERROR(_xlfn.XLOOKUP(D1136,Setup!$E$15:$E$79,Setup!$F$15:$F$79),"Miscellaneous"))</f>
        <v/>
      </c>
      <c r="I1136" t="str">
        <f>IF(A1136="","",IFERROR(_xlfn.XLOOKUP(D1136,Setup!$E$15:$E$79,Setup!$G$15:$G$79),"Uncategorized"))</f>
        <v/>
      </c>
      <c r="J1136" t="str">
        <f t="shared" si="91"/>
        <v/>
      </c>
      <c r="K1136" s="4" t="str">
        <f t="shared" si="92"/>
        <v/>
      </c>
      <c r="L1136" s="47">
        <f t="shared" si="93"/>
        <v>0</v>
      </c>
      <c r="M1136" s="47">
        <f t="shared" si="94"/>
        <v>0</v>
      </c>
      <c r="N1136" t="str">
        <f>IF(A1136="","",IF(D1136="Category Pending","Needs categorization",IF(COUNTIFS($A$2:A1136,A1136,$B$2:B1136,B1136,$E$2:E1136,E1136)&gt;1,"Possible duplicate","")))</f>
        <v/>
      </c>
    </row>
    <row r="1137" spans="3:14" x14ac:dyDescent="0.3">
      <c r="C1137" s="16"/>
      <c r="G1137" s="5" t="str">
        <f t="shared" si="90"/>
        <v/>
      </c>
      <c r="H1137" t="str">
        <f>IF(A1137="","",IFERROR(_xlfn.XLOOKUP(D1137,Setup!$E$15:$E$79,Setup!$F$15:$F$79),"Miscellaneous"))</f>
        <v/>
      </c>
      <c r="I1137" t="str">
        <f>IF(A1137="","",IFERROR(_xlfn.XLOOKUP(D1137,Setup!$E$15:$E$79,Setup!$G$15:$G$79),"Uncategorized"))</f>
        <v/>
      </c>
      <c r="J1137" t="str">
        <f t="shared" si="91"/>
        <v/>
      </c>
      <c r="K1137" s="4" t="str">
        <f t="shared" si="92"/>
        <v/>
      </c>
      <c r="L1137" s="47">
        <f t="shared" si="93"/>
        <v>0</v>
      </c>
      <c r="M1137" s="47">
        <f t="shared" si="94"/>
        <v>0</v>
      </c>
      <c r="N1137" t="str">
        <f>IF(A1137="","",IF(D1137="Category Pending","Needs categorization",IF(COUNTIFS($A$2:A1137,A1137,$B$2:B1137,B1137,$E$2:E1137,E1137)&gt;1,"Possible duplicate","")))</f>
        <v/>
      </c>
    </row>
    <row r="1138" spans="3:14" x14ac:dyDescent="0.3">
      <c r="C1138" s="16"/>
      <c r="G1138" s="5" t="str">
        <f t="shared" si="90"/>
        <v/>
      </c>
      <c r="H1138" t="str">
        <f>IF(A1138="","",IFERROR(_xlfn.XLOOKUP(D1138,Setup!$E$15:$E$79,Setup!$F$15:$F$79),"Miscellaneous"))</f>
        <v/>
      </c>
      <c r="I1138" t="str">
        <f>IF(A1138="","",IFERROR(_xlfn.XLOOKUP(D1138,Setup!$E$15:$E$79,Setup!$G$15:$G$79),"Uncategorized"))</f>
        <v/>
      </c>
      <c r="J1138" t="str">
        <f t="shared" si="91"/>
        <v/>
      </c>
      <c r="K1138" s="4" t="str">
        <f t="shared" si="92"/>
        <v/>
      </c>
      <c r="L1138" s="47">
        <f t="shared" si="93"/>
        <v>0</v>
      </c>
      <c r="M1138" s="47">
        <f t="shared" si="94"/>
        <v>0</v>
      </c>
      <c r="N1138" t="str">
        <f>IF(A1138="","",IF(D1138="Category Pending","Needs categorization",IF(COUNTIFS($A$2:A1138,A1138,$B$2:B1138,B1138,$E$2:E1138,E1138)&gt;1,"Possible duplicate","")))</f>
        <v/>
      </c>
    </row>
    <row r="1139" spans="3:14" x14ac:dyDescent="0.3">
      <c r="C1139" s="16"/>
      <c r="G1139" s="5" t="str">
        <f t="shared" si="90"/>
        <v/>
      </c>
      <c r="H1139" t="str">
        <f>IF(A1139="","",IFERROR(_xlfn.XLOOKUP(D1139,Setup!$E$15:$E$79,Setup!$F$15:$F$79),"Miscellaneous"))</f>
        <v/>
      </c>
      <c r="I1139" t="str">
        <f>IF(A1139="","",IFERROR(_xlfn.XLOOKUP(D1139,Setup!$E$15:$E$79,Setup!$G$15:$G$79),"Uncategorized"))</f>
        <v/>
      </c>
      <c r="J1139" t="str">
        <f t="shared" si="91"/>
        <v/>
      </c>
      <c r="K1139" s="4" t="str">
        <f t="shared" si="92"/>
        <v/>
      </c>
      <c r="L1139" s="47">
        <f t="shared" si="93"/>
        <v>0</v>
      </c>
      <c r="M1139" s="47">
        <f t="shared" si="94"/>
        <v>0</v>
      </c>
      <c r="N1139" t="str">
        <f>IF(A1139="","",IF(D1139="Category Pending","Needs categorization",IF(COUNTIFS($A$2:A1139,A1139,$B$2:B1139,B1139,$E$2:E1139,E1139)&gt;1,"Possible duplicate","")))</f>
        <v/>
      </c>
    </row>
    <row r="1140" spans="3:14" x14ac:dyDescent="0.3">
      <c r="C1140" s="16"/>
      <c r="G1140" s="5" t="str">
        <f t="shared" si="90"/>
        <v/>
      </c>
      <c r="H1140" t="str">
        <f>IF(A1140="","",IFERROR(_xlfn.XLOOKUP(D1140,Setup!$E$15:$E$79,Setup!$F$15:$F$79),"Miscellaneous"))</f>
        <v/>
      </c>
      <c r="I1140" t="str">
        <f>IF(A1140="","",IFERROR(_xlfn.XLOOKUP(D1140,Setup!$E$15:$E$79,Setup!$G$15:$G$79),"Uncategorized"))</f>
        <v/>
      </c>
      <c r="J1140" t="str">
        <f t="shared" si="91"/>
        <v/>
      </c>
      <c r="K1140" s="4" t="str">
        <f t="shared" si="92"/>
        <v/>
      </c>
      <c r="L1140" s="47">
        <f t="shared" si="93"/>
        <v>0</v>
      </c>
      <c r="M1140" s="47">
        <f t="shared" si="94"/>
        <v>0</v>
      </c>
      <c r="N1140" t="str">
        <f>IF(A1140="","",IF(D1140="Category Pending","Needs categorization",IF(COUNTIFS($A$2:A1140,A1140,$B$2:B1140,B1140,$E$2:E1140,E1140)&gt;1,"Possible duplicate","")))</f>
        <v/>
      </c>
    </row>
    <row r="1141" spans="3:14" x14ac:dyDescent="0.3">
      <c r="C1141" s="16"/>
      <c r="G1141" s="5" t="str">
        <f t="shared" si="90"/>
        <v/>
      </c>
      <c r="H1141" t="str">
        <f>IF(A1141="","",IFERROR(_xlfn.XLOOKUP(D1141,Setup!$E$15:$E$79,Setup!$F$15:$F$79),"Miscellaneous"))</f>
        <v/>
      </c>
      <c r="I1141" t="str">
        <f>IF(A1141="","",IFERROR(_xlfn.XLOOKUP(D1141,Setup!$E$15:$E$79,Setup!$G$15:$G$79),"Uncategorized"))</f>
        <v/>
      </c>
      <c r="J1141" t="str">
        <f t="shared" si="91"/>
        <v/>
      </c>
      <c r="K1141" s="4" t="str">
        <f t="shared" si="92"/>
        <v/>
      </c>
      <c r="L1141" s="47">
        <f t="shared" si="93"/>
        <v>0</v>
      </c>
      <c r="M1141" s="47">
        <f t="shared" si="94"/>
        <v>0</v>
      </c>
      <c r="N1141" t="str">
        <f>IF(A1141="","",IF(D1141="Category Pending","Needs categorization",IF(COUNTIFS($A$2:A1141,A1141,$B$2:B1141,B1141,$E$2:E1141,E1141)&gt;1,"Possible duplicate","")))</f>
        <v/>
      </c>
    </row>
    <row r="1142" spans="3:14" x14ac:dyDescent="0.3">
      <c r="C1142" s="16"/>
      <c r="G1142" s="5" t="str">
        <f t="shared" si="90"/>
        <v/>
      </c>
      <c r="H1142" t="str">
        <f>IF(A1142="","",IFERROR(_xlfn.XLOOKUP(D1142,Setup!$E$15:$E$79,Setup!$F$15:$F$79),"Miscellaneous"))</f>
        <v/>
      </c>
      <c r="I1142" t="str">
        <f>IF(A1142="","",IFERROR(_xlfn.XLOOKUP(D1142,Setup!$E$15:$E$79,Setup!$G$15:$G$79),"Uncategorized"))</f>
        <v/>
      </c>
      <c r="J1142" t="str">
        <f t="shared" si="91"/>
        <v/>
      </c>
      <c r="K1142" s="4" t="str">
        <f t="shared" si="92"/>
        <v/>
      </c>
      <c r="L1142" s="47">
        <f t="shared" si="93"/>
        <v>0</v>
      </c>
      <c r="M1142" s="47">
        <f t="shared" si="94"/>
        <v>0</v>
      </c>
      <c r="N1142" t="str">
        <f>IF(A1142="","",IF(D1142="Category Pending","Needs categorization",IF(COUNTIFS($A$2:A1142,A1142,$B$2:B1142,B1142,$E$2:E1142,E1142)&gt;1,"Possible duplicate","")))</f>
        <v/>
      </c>
    </row>
    <row r="1143" spans="3:14" x14ac:dyDescent="0.3">
      <c r="C1143" s="16"/>
      <c r="G1143" s="5" t="str">
        <f t="shared" si="90"/>
        <v/>
      </c>
      <c r="H1143" t="str">
        <f>IF(A1143="","",IFERROR(_xlfn.XLOOKUP(D1143,Setup!$E$15:$E$79,Setup!$F$15:$F$79),"Miscellaneous"))</f>
        <v/>
      </c>
      <c r="I1143" t="str">
        <f>IF(A1143="","",IFERROR(_xlfn.XLOOKUP(D1143,Setup!$E$15:$E$79,Setup!$G$15:$G$79),"Uncategorized"))</f>
        <v/>
      </c>
      <c r="J1143" t="str">
        <f t="shared" si="91"/>
        <v/>
      </c>
      <c r="K1143" s="4" t="str">
        <f t="shared" si="92"/>
        <v/>
      </c>
      <c r="L1143" s="47">
        <f t="shared" si="93"/>
        <v>0</v>
      </c>
      <c r="M1143" s="47">
        <f t="shared" si="94"/>
        <v>0</v>
      </c>
      <c r="N1143" t="str">
        <f>IF(A1143="","",IF(D1143="Category Pending","Needs categorization",IF(COUNTIFS($A$2:A1143,A1143,$B$2:B1143,B1143,$E$2:E1143,E1143)&gt;1,"Possible duplicate","")))</f>
        <v/>
      </c>
    </row>
    <row r="1144" spans="3:14" x14ac:dyDescent="0.3">
      <c r="C1144" s="16"/>
      <c r="G1144" s="5" t="str">
        <f t="shared" si="90"/>
        <v/>
      </c>
      <c r="H1144" t="str">
        <f>IF(A1144="","",IFERROR(_xlfn.XLOOKUP(D1144,Setup!$E$15:$E$79,Setup!$F$15:$F$79),"Miscellaneous"))</f>
        <v/>
      </c>
      <c r="I1144" t="str">
        <f>IF(A1144="","",IFERROR(_xlfn.XLOOKUP(D1144,Setup!$E$15:$E$79,Setup!$G$15:$G$79),"Uncategorized"))</f>
        <v/>
      </c>
      <c r="J1144" t="str">
        <f t="shared" si="91"/>
        <v/>
      </c>
      <c r="K1144" s="4" t="str">
        <f t="shared" si="92"/>
        <v/>
      </c>
      <c r="L1144" s="47">
        <f t="shared" si="93"/>
        <v>0</v>
      </c>
      <c r="M1144" s="47">
        <f t="shared" si="94"/>
        <v>0</v>
      </c>
      <c r="N1144" t="str">
        <f>IF(A1144="","",IF(D1144="Category Pending","Needs categorization",IF(COUNTIFS($A$2:A1144,A1144,$B$2:B1144,B1144,$E$2:E1144,E1144)&gt;1,"Possible duplicate","")))</f>
        <v/>
      </c>
    </row>
    <row r="1145" spans="3:14" x14ac:dyDescent="0.3">
      <c r="C1145" s="16"/>
      <c r="G1145" s="5" t="str">
        <f t="shared" si="90"/>
        <v/>
      </c>
      <c r="H1145" t="str">
        <f>IF(A1145="","",IFERROR(_xlfn.XLOOKUP(D1145,Setup!$E$15:$E$79,Setup!$F$15:$F$79),"Miscellaneous"))</f>
        <v/>
      </c>
      <c r="I1145" t="str">
        <f>IF(A1145="","",IFERROR(_xlfn.XLOOKUP(D1145,Setup!$E$15:$E$79,Setup!$G$15:$G$79),"Uncategorized"))</f>
        <v/>
      </c>
      <c r="J1145" t="str">
        <f t="shared" si="91"/>
        <v/>
      </c>
      <c r="K1145" s="4" t="str">
        <f t="shared" si="92"/>
        <v/>
      </c>
      <c r="L1145" s="47">
        <f t="shared" si="93"/>
        <v>0</v>
      </c>
      <c r="M1145" s="47">
        <f t="shared" si="94"/>
        <v>0</v>
      </c>
      <c r="N1145" t="str">
        <f>IF(A1145="","",IF(D1145="Category Pending","Needs categorization",IF(COUNTIFS($A$2:A1145,A1145,$B$2:B1145,B1145,$E$2:E1145,E1145)&gt;1,"Possible duplicate","")))</f>
        <v/>
      </c>
    </row>
    <row r="1146" spans="3:14" x14ac:dyDescent="0.3">
      <c r="C1146" s="16"/>
      <c r="G1146" s="5" t="str">
        <f t="shared" si="90"/>
        <v/>
      </c>
      <c r="H1146" t="str">
        <f>IF(A1146="","",IFERROR(_xlfn.XLOOKUP(D1146,Setup!$E$15:$E$79,Setup!$F$15:$F$79),"Miscellaneous"))</f>
        <v/>
      </c>
      <c r="I1146" t="str">
        <f>IF(A1146="","",IFERROR(_xlfn.XLOOKUP(D1146,Setup!$E$15:$E$79,Setup!$G$15:$G$79),"Uncategorized"))</f>
        <v/>
      </c>
      <c r="J1146" t="str">
        <f t="shared" si="91"/>
        <v/>
      </c>
      <c r="K1146" s="4" t="str">
        <f t="shared" si="92"/>
        <v/>
      </c>
      <c r="L1146" s="47">
        <f t="shared" si="93"/>
        <v>0</v>
      </c>
      <c r="M1146" s="47">
        <f t="shared" si="94"/>
        <v>0</v>
      </c>
      <c r="N1146" t="str">
        <f>IF(A1146="","",IF(D1146="Category Pending","Needs categorization",IF(COUNTIFS($A$2:A1146,A1146,$B$2:B1146,B1146,$E$2:E1146,E1146)&gt;1,"Possible duplicate","")))</f>
        <v/>
      </c>
    </row>
    <row r="1147" spans="3:14" x14ac:dyDescent="0.3">
      <c r="C1147" s="16"/>
      <c r="G1147" s="5" t="str">
        <f t="shared" si="90"/>
        <v/>
      </c>
      <c r="H1147" t="str">
        <f>IF(A1147="","",IFERROR(_xlfn.XLOOKUP(D1147,Setup!$E$15:$E$79,Setup!$F$15:$F$79),"Miscellaneous"))</f>
        <v/>
      </c>
      <c r="I1147" t="str">
        <f>IF(A1147="","",IFERROR(_xlfn.XLOOKUP(D1147,Setup!$E$15:$E$79,Setup!$G$15:$G$79),"Uncategorized"))</f>
        <v/>
      </c>
      <c r="J1147" t="str">
        <f t="shared" si="91"/>
        <v/>
      </c>
      <c r="K1147" s="4" t="str">
        <f t="shared" si="92"/>
        <v/>
      </c>
      <c r="L1147" s="47">
        <f t="shared" si="93"/>
        <v>0</v>
      </c>
      <c r="M1147" s="47">
        <f t="shared" si="94"/>
        <v>0</v>
      </c>
      <c r="N1147" t="str">
        <f>IF(A1147="","",IF(D1147="Category Pending","Needs categorization",IF(COUNTIFS($A$2:A1147,A1147,$B$2:B1147,B1147,$E$2:E1147,E1147)&gt;1,"Possible duplicate","")))</f>
        <v/>
      </c>
    </row>
    <row r="1148" spans="3:14" x14ac:dyDescent="0.3">
      <c r="C1148" s="16"/>
      <c r="G1148" s="5" t="str">
        <f t="shared" si="90"/>
        <v/>
      </c>
      <c r="H1148" t="str">
        <f>IF(A1148="","",IFERROR(_xlfn.XLOOKUP(D1148,Setup!$E$15:$E$79,Setup!$F$15:$F$79),"Miscellaneous"))</f>
        <v/>
      </c>
      <c r="I1148" t="str">
        <f>IF(A1148="","",IFERROR(_xlfn.XLOOKUP(D1148,Setup!$E$15:$E$79,Setup!$G$15:$G$79),"Uncategorized"))</f>
        <v/>
      </c>
      <c r="J1148" t="str">
        <f t="shared" si="91"/>
        <v/>
      </c>
      <c r="K1148" s="4" t="str">
        <f t="shared" si="92"/>
        <v/>
      </c>
      <c r="L1148" s="47">
        <f t="shared" si="93"/>
        <v>0</v>
      </c>
      <c r="M1148" s="47">
        <f t="shared" si="94"/>
        <v>0</v>
      </c>
      <c r="N1148" t="str">
        <f>IF(A1148="","",IF(D1148="Category Pending","Needs categorization",IF(COUNTIFS($A$2:A1148,A1148,$B$2:B1148,B1148,$E$2:E1148,E1148)&gt;1,"Possible duplicate","")))</f>
        <v/>
      </c>
    </row>
    <row r="1149" spans="3:14" x14ac:dyDescent="0.3">
      <c r="C1149" s="16"/>
      <c r="G1149" s="5" t="str">
        <f t="shared" si="90"/>
        <v/>
      </c>
      <c r="H1149" t="str">
        <f>IF(A1149="","",IFERROR(_xlfn.XLOOKUP(D1149,Setup!$E$15:$E$79,Setup!$F$15:$F$79),"Miscellaneous"))</f>
        <v/>
      </c>
      <c r="I1149" t="str">
        <f>IF(A1149="","",IFERROR(_xlfn.XLOOKUP(D1149,Setup!$E$15:$E$79,Setup!$G$15:$G$79),"Uncategorized"))</f>
        <v/>
      </c>
      <c r="J1149" t="str">
        <f t="shared" si="91"/>
        <v/>
      </c>
      <c r="K1149" s="4" t="str">
        <f t="shared" si="92"/>
        <v/>
      </c>
      <c r="L1149" s="47">
        <f t="shared" si="93"/>
        <v>0</v>
      </c>
      <c r="M1149" s="47">
        <f t="shared" si="94"/>
        <v>0</v>
      </c>
      <c r="N1149" t="str">
        <f>IF(A1149="","",IF(D1149="Category Pending","Needs categorization",IF(COUNTIFS($A$2:A1149,A1149,$B$2:B1149,B1149,$E$2:E1149,E1149)&gt;1,"Possible duplicate","")))</f>
        <v/>
      </c>
    </row>
    <row r="1150" spans="3:14" x14ac:dyDescent="0.3">
      <c r="C1150" s="16"/>
      <c r="G1150" s="5" t="str">
        <f t="shared" si="90"/>
        <v/>
      </c>
      <c r="H1150" t="str">
        <f>IF(A1150="","",IFERROR(_xlfn.XLOOKUP(D1150,Setup!$E$15:$E$79,Setup!$F$15:$F$79),"Miscellaneous"))</f>
        <v/>
      </c>
      <c r="I1150" t="str">
        <f>IF(A1150="","",IFERROR(_xlfn.XLOOKUP(D1150,Setup!$E$15:$E$79,Setup!$G$15:$G$79),"Uncategorized"))</f>
        <v/>
      </c>
      <c r="J1150" t="str">
        <f t="shared" si="91"/>
        <v/>
      </c>
      <c r="K1150" s="4" t="str">
        <f t="shared" si="92"/>
        <v/>
      </c>
      <c r="L1150" s="47">
        <f t="shared" si="93"/>
        <v>0</v>
      </c>
      <c r="M1150" s="47">
        <f t="shared" si="94"/>
        <v>0</v>
      </c>
      <c r="N1150" t="str">
        <f>IF(A1150="","",IF(D1150="Category Pending","Needs categorization",IF(COUNTIFS($A$2:A1150,A1150,$B$2:B1150,B1150,$E$2:E1150,E1150)&gt;1,"Possible duplicate","")))</f>
        <v/>
      </c>
    </row>
    <row r="1151" spans="3:14" x14ac:dyDescent="0.3">
      <c r="C1151" s="16"/>
      <c r="G1151" s="5" t="str">
        <f t="shared" si="90"/>
        <v/>
      </c>
      <c r="H1151" t="str">
        <f>IF(A1151="","",IFERROR(_xlfn.XLOOKUP(D1151,Setup!$E$15:$E$79,Setup!$F$15:$F$79),"Miscellaneous"))</f>
        <v/>
      </c>
      <c r="I1151" t="str">
        <f>IF(A1151="","",IFERROR(_xlfn.XLOOKUP(D1151,Setup!$E$15:$E$79,Setup!$G$15:$G$79),"Uncategorized"))</f>
        <v/>
      </c>
      <c r="J1151" t="str">
        <f t="shared" si="91"/>
        <v/>
      </c>
      <c r="K1151" s="4" t="str">
        <f t="shared" si="92"/>
        <v/>
      </c>
      <c r="L1151" s="47">
        <f t="shared" si="93"/>
        <v>0</v>
      </c>
      <c r="M1151" s="47">
        <f t="shared" si="94"/>
        <v>0</v>
      </c>
      <c r="N1151" t="str">
        <f>IF(A1151="","",IF(D1151="Category Pending","Needs categorization",IF(COUNTIFS($A$2:A1151,A1151,$B$2:B1151,B1151,$E$2:E1151,E1151)&gt;1,"Possible duplicate","")))</f>
        <v/>
      </c>
    </row>
    <row r="1152" spans="3:14" x14ac:dyDescent="0.3">
      <c r="C1152" s="16"/>
      <c r="G1152" s="5" t="str">
        <f t="shared" si="90"/>
        <v/>
      </c>
      <c r="H1152" t="str">
        <f>IF(A1152="","",IFERROR(_xlfn.XLOOKUP(D1152,Setup!$E$15:$E$79,Setup!$F$15:$F$79),"Miscellaneous"))</f>
        <v/>
      </c>
      <c r="I1152" t="str">
        <f>IF(A1152="","",IFERROR(_xlfn.XLOOKUP(D1152,Setup!$E$15:$E$79,Setup!$G$15:$G$79),"Uncategorized"))</f>
        <v/>
      </c>
      <c r="J1152" t="str">
        <f t="shared" si="91"/>
        <v/>
      </c>
      <c r="K1152" s="4" t="str">
        <f t="shared" si="92"/>
        <v/>
      </c>
      <c r="L1152" s="47">
        <f t="shared" si="93"/>
        <v>0</v>
      </c>
      <c r="M1152" s="47">
        <f t="shared" si="94"/>
        <v>0</v>
      </c>
      <c r="N1152" t="str">
        <f>IF(A1152="","",IF(D1152="Category Pending","Needs categorization",IF(COUNTIFS($A$2:A1152,A1152,$B$2:B1152,B1152,$E$2:E1152,E1152)&gt;1,"Possible duplicate","")))</f>
        <v/>
      </c>
    </row>
    <row r="1153" spans="3:14" x14ac:dyDescent="0.3">
      <c r="C1153" s="16"/>
      <c r="G1153" s="5" t="str">
        <f t="shared" si="90"/>
        <v/>
      </c>
      <c r="H1153" t="str">
        <f>IF(A1153="","",IFERROR(_xlfn.XLOOKUP(D1153,Setup!$E$15:$E$79,Setup!$F$15:$F$79),"Miscellaneous"))</f>
        <v/>
      </c>
      <c r="I1153" t="str">
        <f>IF(A1153="","",IFERROR(_xlfn.XLOOKUP(D1153,Setup!$E$15:$E$79,Setup!$G$15:$G$79),"Uncategorized"))</f>
        <v/>
      </c>
      <c r="J1153" t="str">
        <f t="shared" si="91"/>
        <v/>
      </c>
      <c r="K1153" s="4" t="str">
        <f t="shared" si="92"/>
        <v/>
      </c>
      <c r="L1153" s="47">
        <f t="shared" si="93"/>
        <v>0</v>
      </c>
      <c r="M1153" s="47">
        <f t="shared" si="94"/>
        <v>0</v>
      </c>
      <c r="N1153" t="str">
        <f>IF(A1153="","",IF(D1153="Category Pending","Needs categorization",IF(COUNTIFS($A$2:A1153,A1153,$B$2:B1153,B1153,$E$2:E1153,E1153)&gt;1,"Possible duplicate","")))</f>
        <v/>
      </c>
    </row>
    <row r="1154" spans="3:14" x14ac:dyDescent="0.3">
      <c r="C1154" s="16"/>
      <c r="G1154" s="5" t="str">
        <f t="shared" si="90"/>
        <v/>
      </c>
      <c r="H1154" t="str">
        <f>IF(A1154="","",IFERROR(_xlfn.XLOOKUP(D1154,Setup!$E$15:$E$79,Setup!$F$15:$F$79),"Miscellaneous"))</f>
        <v/>
      </c>
      <c r="I1154" t="str">
        <f>IF(A1154="","",IFERROR(_xlfn.XLOOKUP(D1154,Setup!$E$15:$E$79,Setup!$G$15:$G$79),"Uncategorized"))</f>
        <v/>
      </c>
      <c r="J1154" t="str">
        <f t="shared" si="91"/>
        <v/>
      </c>
      <c r="K1154" s="4" t="str">
        <f t="shared" si="92"/>
        <v/>
      </c>
      <c r="L1154" s="47">
        <f t="shared" si="93"/>
        <v>0</v>
      </c>
      <c r="M1154" s="47">
        <f t="shared" si="94"/>
        <v>0</v>
      </c>
      <c r="N1154" t="str">
        <f>IF(A1154="","",IF(D1154="Category Pending","Needs categorization",IF(COUNTIFS($A$2:A1154,A1154,$B$2:B1154,B1154,$E$2:E1154,E1154)&gt;1,"Possible duplicate","")))</f>
        <v/>
      </c>
    </row>
    <row r="1155" spans="3:14" x14ac:dyDescent="0.3">
      <c r="C1155" s="16"/>
      <c r="G1155" s="5" t="str">
        <f t="shared" si="90"/>
        <v/>
      </c>
      <c r="H1155" t="str">
        <f>IF(A1155="","",IFERROR(_xlfn.XLOOKUP(D1155,Setup!$E$15:$E$79,Setup!$F$15:$F$79),"Miscellaneous"))</f>
        <v/>
      </c>
      <c r="I1155" t="str">
        <f>IF(A1155="","",IFERROR(_xlfn.XLOOKUP(D1155,Setup!$E$15:$E$79,Setup!$G$15:$G$79),"Uncategorized"))</f>
        <v/>
      </c>
      <c r="J1155" t="str">
        <f t="shared" si="91"/>
        <v/>
      </c>
      <c r="K1155" s="4" t="str">
        <f t="shared" si="92"/>
        <v/>
      </c>
      <c r="L1155" s="47">
        <f t="shared" si="93"/>
        <v>0</v>
      </c>
      <c r="M1155" s="47">
        <f t="shared" si="94"/>
        <v>0</v>
      </c>
      <c r="N1155" t="str">
        <f>IF(A1155="","",IF(D1155="Category Pending","Needs categorization",IF(COUNTIFS($A$2:A1155,A1155,$B$2:B1155,B1155,$E$2:E1155,E1155)&gt;1,"Possible duplicate","")))</f>
        <v/>
      </c>
    </row>
    <row r="1156" spans="3:14" x14ac:dyDescent="0.3">
      <c r="C1156" s="16"/>
      <c r="G1156" s="5" t="str">
        <f t="shared" si="90"/>
        <v/>
      </c>
      <c r="H1156" t="str">
        <f>IF(A1156="","",IFERROR(_xlfn.XLOOKUP(D1156,Setup!$E$15:$E$79,Setup!$F$15:$F$79),"Miscellaneous"))</f>
        <v/>
      </c>
      <c r="I1156" t="str">
        <f>IF(A1156="","",IFERROR(_xlfn.XLOOKUP(D1156,Setup!$E$15:$E$79,Setup!$G$15:$G$79),"Uncategorized"))</f>
        <v/>
      </c>
      <c r="J1156" t="str">
        <f t="shared" si="91"/>
        <v/>
      </c>
      <c r="K1156" s="4" t="str">
        <f t="shared" si="92"/>
        <v/>
      </c>
      <c r="L1156" s="47">
        <f t="shared" si="93"/>
        <v>0</v>
      </c>
      <c r="M1156" s="47">
        <f t="shared" si="94"/>
        <v>0</v>
      </c>
      <c r="N1156" t="str">
        <f>IF(A1156="","",IF(D1156="Category Pending","Needs categorization",IF(COUNTIFS($A$2:A1156,A1156,$B$2:B1156,B1156,$E$2:E1156,E1156)&gt;1,"Possible duplicate","")))</f>
        <v/>
      </c>
    </row>
    <row r="1157" spans="3:14" x14ac:dyDescent="0.3">
      <c r="C1157" s="16"/>
      <c r="G1157" s="5" t="str">
        <f t="shared" si="90"/>
        <v/>
      </c>
      <c r="H1157" t="str">
        <f>IF(A1157="","",IFERROR(_xlfn.XLOOKUP(D1157,Setup!$E$15:$E$79,Setup!$F$15:$F$79),"Miscellaneous"))</f>
        <v/>
      </c>
      <c r="I1157" t="str">
        <f>IF(A1157="","",IFERROR(_xlfn.XLOOKUP(D1157,Setup!$E$15:$E$79,Setup!$G$15:$G$79),"Uncategorized"))</f>
        <v/>
      </c>
      <c r="J1157" t="str">
        <f t="shared" si="91"/>
        <v/>
      </c>
      <c r="K1157" s="4" t="str">
        <f t="shared" si="92"/>
        <v/>
      </c>
      <c r="L1157" s="47">
        <f t="shared" si="93"/>
        <v>0</v>
      </c>
      <c r="M1157" s="47">
        <f t="shared" si="94"/>
        <v>0</v>
      </c>
      <c r="N1157" t="str">
        <f>IF(A1157="","",IF(D1157="Category Pending","Needs categorization",IF(COUNTIFS($A$2:A1157,A1157,$B$2:B1157,B1157,$E$2:E1157,E1157)&gt;1,"Possible duplicate","")))</f>
        <v/>
      </c>
    </row>
    <row r="1158" spans="3:14" x14ac:dyDescent="0.3">
      <c r="C1158" s="16"/>
      <c r="G1158" s="5" t="str">
        <f t="shared" si="90"/>
        <v/>
      </c>
      <c r="H1158" t="str">
        <f>IF(A1158="","",IFERROR(_xlfn.XLOOKUP(D1158,Setup!$E$15:$E$79,Setup!$F$15:$F$79),"Miscellaneous"))</f>
        <v/>
      </c>
      <c r="I1158" t="str">
        <f>IF(A1158="","",IFERROR(_xlfn.XLOOKUP(D1158,Setup!$E$15:$E$79,Setup!$G$15:$G$79),"Uncategorized"))</f>
        <v/>
      </c>
      <c r="J1158" t="str">
        <f t="shared" si="91"/>
        <v/>
      </c>
      <c r="K1158" s="4" t="str">
        <f t="shared" si="92"/>
        <v/>
      </c>
      <c r="L1158" s="47">
        <f t="shared" si="93"/>
        <v>0</v>
      </c>
      <c r="M1158" s="47">
        <f t="shared" si="94"/>
        <v>0</v>
      </c>
      <c r="N1158" t="str">
        <f>IF(A1158="","",IF(D1158="Category Pending","Needs categorization",IF(COUNTIFS($A$2:A1158,A1158,$B$2:B1158,B1158,$E$2:E1158,E1158)&gt;1,"Possible duplicate","")))</f>
        <v/>
      </c>
    </row>
    <row r="1159" spans="3:14" x14ac:dyDescent="0.3">
      <c r="C1159" s="16"/>
      <c r="G1159" s="5" t="str">
        <f t="shared" si="90"/>
        <v/>
      </c>
      <c r="H1159" t="str">
        <f>IF(A1159="","",IFERROR(_xlfn.XLOOKUP(D1159,Setup!$E$15:$E$79,Setup!$F$15:$F$79),"Miscellaneous"))</f>
        <v/>
      </c>
      <c r="I1159" t="str">
        <f>IF(A1159="","",IFERROR(_xlfn.XLOOKUP(D1159,Setup!$E$15:$E$79,Setup!$G$15:$G$79),"Uncategorized"))</f>
        <v/>
      </c>
      <c r="J1159" t="str">
        <f t="shared" si="91"/>
        <v/>
      </c>
      <c r="K1159" s="4" t="str">
        <f t="shared" si="92"/>
        <v/>
      </c>
      <c r="L1159" s="47">
        <f t="shared" si="93"/>
        <v>0</v>
      </c>
      <c r="M1159" s="47">
        <f t="shared" si="94"/>
        <v>0</v>
      </c>
      <c r="N1159" t="str">
        <f>IF(A1159="","",IF(D1159="Category Pending","Needs categorization",IF(COUNTIFS($A$2:A1159,A1159,$B$2:B1159,B1159,$E$2:E1159,E1159)&gt;1,"Possible duplicate","")))</f>
        <v/>
      </c>
    </row>
    <row r="1160" spans="3:14" x14ac:dyDescent="0.3">
      <c r="C1160" s="16"/>
      <c r="G1160" s="5" t="str">
        <f t="shared" si="90"/>
        <v/>
      </c>
      <c r="H1160" t="str">
        <f>IF(A1160="","",IFERROR(_xlfn.XLOOKUP(D1160,Setup!$E$15:$E$79,Setup!$F$15:$F$79),"Miscellaneous"))</f>
        <v/>
      </c>
      <c r="I1160" t="str">
        <f>IF(A1160="","",IFERROR(_xlfn.XLOOKUP(D1160,Setup!$E$15:$E$79,Setup!$G$15:$G$79),"Uncategorized"))</f>
        <v/>
      </c>
      <c r="J1160" t="str">
        <f t="shared" si="91"/>
        <v/>
      </c>
      <c r="K1160" s="4" t="str">
        <f t="shared" si="92"/>
        <v/>
      </c>
      <c r="L1160" s="47">
        <f t="shared" si="93"/>
        <v>0</v>
      </c>
      <c r="M1160" s="47">
        <f t="shared" si="94"/>
        <v>0</v>
      </c>
      <c r="N1160" t="str">
        <f>IF(A1160="","",IF(D1160="Category Pending","Needs categorization",IF(COUNTIFS($A$2:A1160,A1160,$B$2:B1160,B1160,$E$2:E1160,E1160)&gt;1,"Possible duplicate","")))</f>
        <v/>
      </c>
    </row>
    <row r="1161" spans="3:14" x14ac:dyDescent="0.3">
      <c r="C1161" s="16"/>
      <c r="G1161" s="5" t="str">
        <f t="shared" si="90"/>
        <v/>
      </c>
      <c r="H1161" t="str">
        <f>IF(A1161="","",IFERROR(_xlfn.XLOOKUP(D1161,Setup!$E$15:$E$79,Setup!$F$15:$F$79),"Miscellaneous"))</f>
        <v/>
      </c>
      <c r="I1161" t="str">
        <f>IF(A1161="","",IFERROR(_xlfn.XLOOKUP(D1161,Setup!$E$15:$E$79,Setup!$G$15:$G$79),"Uncategorized"))</f>
        <v/>
      </c>
      <c r="J1161" t="str">
        <f t="shared" si="91"/>
        <v/>
      </c>
      <c r="K1161" s="4" t="str">
        <f t="shared" si="92"/>
        <v/>
      </c>
      <c r="L1161" s="47">
        <f t="shared" si="93"/>
        <v>0</v>
      </c>
      <c r="M1161" s="47">
        <f t="shared" si="94"/>
        <v>0</v>
      </c>
      <c r="N1161" t="str">
        <f>IF(A1161="","",IF(D1161="Category Pending","Needs categorization",IF(COUNTIFS($A$2:A1161,A1161,$B$2:B1161,B1161,$E$2:E1161,E1161)&gt;1,"Possible duplicate","")))</f>
        <v/>
      </c>
    </row>
    <row r="1162" spans="3:14" x14ac:dyDescent="0.3">
      <c r="C1162" s="16"/>
      <c r="G1162" s="5" t="str">
        <f t="shared" si="90"/>
        <v/>
      </c>
      <c r="H1162" t="str">
        <f>IF(A1162="","",IFERROR(_xlfn.XLOOKUP(D1162,Setup!$E$15:$E$79,Setup!$F$15:$F$79),"Miscellaneous"))</f>
        <v/>
      </c>
      <c r="I1162" t="str">
        <f>IF(A1162="","",IFERROR(_xlfn.XLOOKUP(D1162,Setup!$E$15:$E$79,Setup!$G$15:$G$79),"Uncategorized"))</f>
        <v/>
      </c>
      <c r="J1162" t="str">
        <f t="shared" si="91"/>
        <v/>
      </c>
      <c r="K1162" s="4" t="str">
        <f t="shared" si="92"/>
        <v/>
      </c>
      <c r="L1162" s="47">
        <f t="shared" si="93"/>
        <v>0</v>
      </c>
      <c r="M1162" s="47">
        <f t="shared" si="94"/>
        <v>0</v>
      </c>
      <c r="N1162" t="str">
        <f>IF(A1162="","",IF(D1162="Category Pending","Needs categorization",IF(COUNTIFS($A$2:A1162,A1162,$B$2:B1162,B1162,$E$2:E1162,E1162)&gt;1,"Possible duplicate","")))</f>
        <v/>
      </c>
    </row>
    <row r="1163" spans="3:14" x14ac:dyDescent="0.3">
      <c r="C1163" s="16"/>
      <c r="G1163" s="5" t="str">
        <f t="shared" si="90"/>
        <v/>
      </c>
      <c r="H1163" t="str">
        <f>IF(A1163="","",IFERROR(_xlfn.XLOOKUP(D1163,Setup!$E$15:$E$79,Setup!$F$15:$F$79),"Miscellaneous"))</f>
        <v/>
      </c>
      <c r="I1163" t="str">
        <f>IF(A1163="","",IFERROR(_xlfn.XLOOKUP(D1163,Setup!$E$15:$E$79,Setup!$G$15:$G$79),"Uncategorized"))</f>
        <v/>
      </c>
      <c r="J1163" t="str">
        <f t="shared" si="91"/>
        <v/>
      </c>
      <c r="K1163" s="4" t="str">
        <f t="shared" si="92"/>
        <v/>
      </c>
      <c r="L1163" s="47">
        <f t="shared" si="93"/>
        <v>0</v>
      </c>
      <c r="M1163" s="47">
        <f t="shared" si="94"/>
        <v>0</v>
      </c>
      <c r="N1163" t="str">
        <f>IF(A1163="","",IF(D1163="Category Pending","Needs categorization",IF(COUNTIFS($A$2:A1163,A1163,$B$2:B1163,B1163,$E$2:E1163,E1163)&gt;1,"Possible duplicate","")))</f>
        <v/>
      </c>
    </row>
    <row r="1164" spans="3:14" x14ac:dyDescent="0.3">
      <c r="C1164" s="16"/>
      <c r="G1164" s="5" t="str">
        <f t="shared" si="90"/>
        <v/>
      </c>
      <c r="H1164" t="str">
        <f>IF(A1164="","",IFERROR(_xlfn.XLOOKUP(D1164,Setup!$E$15:$E$79,Setup!$F$15:$F$79),"Miscellaneous"))</f>
        <v/>
      </c>
      <c r="I1164" t="str">
        <f>IF(A1164="","",IFERROR(_xlfn.XLOOKUP(D1164,Setup!$E$15:$E$79,Setup!$G$15:$G$79),"Uncategorized"))</f>
        <v/>
      </c>
      <c r="J1164" t="str">
        <f t="shared" si="91"/>
        <v/>
      </c>
      <c r="K1164" s="4" t="str">
        <f t="shared" si="92"/>
        <v/>
      </c>
      <c r="L1164" s="47">
        <f t="shared" si="93"/>
        <v>0</v>
      </c>
      <c r="M1164" s="47">
        <f t="shared" si="94"/>
        <v>0</v>
      </c>
      <c r="N1164" t="str">
        <f>IF(A1164="","",IF(D1164="Category Pending","Needs categorization",IF(COUNTIFS($A$2:A1164,A1164,$B$2:B1164,B1164,$E$2:E1164,E1164)&gt;1,"Possible duplicate","")))</f>
        <v/>
      </c>
    </row>
    <row r="1165" spans="3:14" x14ac:dyDescent="0.3">
      <c r="C1165" s="16"/>
      <c r="G1165" s="5" t="str">
        <f t="shared" si="90"/>
        <v/>
      </c>
      <c r="H1165" t="str">
        <f>IF(A1165="","",IFERROR(_xlfn.XLOOKUP(D1165,Setup!$E$15:$E$79,Setup!$F$15:$F$79),"Miscellaneous"))</f>
        <v/>
      </c>
      <c r="I1165" t="str">
        <f>IF(A1165="","",IFERROR(_xlfn.XLOOKUP(D1165,Setup!$E$15:$E$79,Setup!$G$15:$G$79),"Uncategorized"))</f>
        <v/>
      </c>
      <c r="J1165" t="str">
        <f t="shared" si="91"/>
        <v/>
      </c>
      <c r="K1165" s="4" t="str">
        <f t="shared" si="92"/>
        <v/>
      </c>
      <c r="L1165" s="47">
        <f t="shared" si="93"/>
        <v>0</v>
      </c>
      <c r="M1165" s="47">
        <f t="shared" si="94"/>
        <v>0</v>
      </c>
      <c r="N1165" t="str">
        <f>IF(A1165="","",IF(D1165="Category Pending","Needs categorization",IF(COUNTIFS($A$2:A1165,A1165,$B$2:B1165,B1165,$E$2:E1165,E1165)&gt;1,"Possible duplicate","")))</f>
        <v/>
      </c>
    </row>
    <row r="1166" spans="3:14" x14ac:dyDescent="0.3">
      <c r="C1166" s="16"/>
      <c r="G1166" s="5" t="str">
        <f t="shared" si="90"/>
        <v/>
      </c>
      <c r="H1166" t="str">
        <f>IF(A1166="","",IFERROR(_xlfn.XLOOKUP(D1166,Setup!$E$15:$E$79,Setup!$F$15:$F$79),"Miscellaneous"))</f>
        <v/>
      </c>
      <c r="I1166" t="str">
        <f>IF(A1166="","",IFERROR(_xlfn.XLOOKUP(D1166,Setup!$E$15:$E$79,Setup!$G$15:$G$79),"Uncategorized"))</f>
        <v/>
      </c>
      <c r="J1166" t="str">
        <f t="shared" si="91"/>
        <v/>
      </c>
      <c r="K1166" s="4" t="str">
        <f t="shared" si="92"/>
        <v/>
      </c>
      <c r="L1166" s="47">
        <f t="shared" si="93"/>
        <v>0</v>
      </c>
      <c r="M1166" s="47">
        <f t="shared" si="94"/>
        <v>0</v>
      </c>
      <c r="N1166" t="str">
        <f>IF(A1166="","",IF(D1166="Category Pending","Needs categorization",IF(COUNTIFS($A$2:A1166,A1166,$B$2:B1166,B1166,$E$2:E1166,E1166)&gt;1,"Possible duplicate","")))</f>
        <v/>
      </c>
    </row>
    <row r="1167" spans="3:14" x14ac:dyDescent="0.3">
      <c r="C1167" s="16"/>
      <c r="G1167" s="5" t="str">
        <f t="shared" si="90"/>
        <v/>
      </c>
      <c r="H1167" t="str">
        <f>IF(A1167="","",IFERROR(_xlfn.XLOOKUP(D1167,Setup!$E$15:$E$79,Setup!$F$15:$F$79),"Miscellaneous"))</f>
        <v/>
      </c>
      <c r="I1167" t="str">
        <f>IF(A1167="","",IFERROR(_xlfn.XLOOKUP(D1167,Setup!$E$15:$E$79,Setup!$G$15:$G$79),"Uncategorized"))</f>
        <v/>
      </c>
      <c r="J1167" t="str">
        <f t="shared" si="91"/>
        <v/>
      </c>
      <c r="K1167" s="4" t="str">
        <f t="shared" si="92"/>
        <v/>
      </c>
      <c r="L1167" s="47">
        <f t="shared" si="93"/>
        <v>0</v>
      </c>
      <c r="M1167" s="47">
        <f t="shared" si="94"/>
        <v>0</v>
      </c>
      <c r="N1167" t="str">
        <f>IF(A1167="","",IF(D1167="Category Pending","Needs categorization",IF(COUNTIFS($A$2:A1167,A1167,$B$2:B1167,B1167,$E$2:E1167,E1167)&gt;1,"Possible duplicate","")))</f>
        <v/>
      </c>
    </row>
    <row r="1168" spans="3:14" x14ac:dyDescent="0.3">
      <c r="C1168" s="16"/>
      <c r="G1168" s="5" t="str">
        <f t="shared" si="90"/>
        <v/>
      </c>
      <c r="H1168" t="str">
        <f>IF(A1168="","",IFERROR(_xlfn.XLOOKUP(D1168,Setup!$E$15:$E$79,Setup!$F$15:$F$79),"Miscellaneous"))</f>
        <v/>
      </c>
      <c r="I1168" t="str">
        <f>IF(A1168="","",IFERROR(_xlfn.XLOOKUP(D1168,Setup!$E$15:$E$79,Setup!$G$15:$G$79),"Uncategorized"))</f>
        <v/>
      </c>
      <c r="J1168" t="str">
        <f t="shared" si="91"/>
        <v/>
      </c>
      <c r="K1168" s="4" t="str">
        <f t="shared" si="92"/>
        <v/>
      </c>
      <c r="L1168" s="47">
        <f t="shared" si="93"/>
        <v>0</v>
      </c>
      <c r="M1168" s="47">
        <f t="shared" si="94"/>
        <v>0</v>
      </c>
      <c r="N1168" t="str">
        <f>IF(A1168="","",IF(D1168="Category Pending","Needs categorization",IF(COUNTIFS($A$2:A1168,A1168,$B$2:B1168,B1168,$E$2:E1168,E1168)&gt;1,"Possible duplicate","")))</f>
        <v/>
      </c>
    </row>
    <row r="1169" spans="3:14" x14ac:dyDescent="0.3">
      <c r="C1169" s="16"/>
      <c r="G1169" s="5" t="str">
        <f t="shared" si="90"/>
        <v/>
      </c>
      <c r="H1169" t="str">
        <f>IF(A1169="","",IFERROR(_xlfn.XLOOKUP(D1169,Setup!$E$15:$E$79,Setup!$F$15:$F$79),"Miscellaneous"))</f>
        <v/>
      </c>
      <c r="I1169" t="str">
        <f>IF(A1169="","",IFERROR(_xlfn.XLOOKUP(D1169,Setup!$E$15:$E$79,Setup!$G$15:$G$79),"Uncategorized"))</f>
        <v/>
      </c>
      <c r="J1169" t="str">
        <f t="shared" si="91"/>
        <v/>
      </c>
      <c r="K1169" s="4" t="str">
        <f t="shared" si="92"/>
        <v/>
      </c>
      <c r="L1169" s="47">
        <f t="shared" si="93"/>
        <v>0</v>
      </c>
      <c r="M1169" s="47">
        <f t="shared" si="94"/>
        <v>0</v>
      </c>
      <c r="N1169" t="str">
        <f>IF(A1169="","",IF(D1169="Category Pending","Needs categorization",IF(COUNTIFS($A$2:A1169,A1169,$B$2:B1169,B1169,$E$2:E1169,E1169)&gt;1,"Possible duplicate","")))</f>
        <v/>
      </c>
    </row>
    <row r="1170" spans="3:14" x14ac:dyDescent="0.3">
      <c r="C1170" s="16"/>
      <c r="G1170" s="5" t="str">
        <f t="shared" si="90"/>
        <v/>
      </c>
      <c r="H1170" t="str">
        <f>IF(A1170="","",IFERROR(_xlfn.XLOOKUP(D1170,Setup!$E$15:$E$79,Setup!$F$15:$F$79),"Miscellaneous"))</f>
        <v/>
      </c>
      <c r="I1170" t="str">
        <f>IF(A1170="","",IFERROR(_xlfn.XLOOKUP(D1170,Setup!$E$15:$E$79,Setup!$G$15:$G$79),"Uncategorized"))</f>
        <v/>
      </c>
      <c r="J1170" t="str">
        <f t="shared" si="91"/>
        <v/>
      </c>
      <c r="K1170" s="4" t="str">
        <f t="shared" si="92"/>
        <v/>
      </c>
      <c r="L1170" s="47">
        <f t="shared" si="93"/>
        <v>0</v>
      </c>
      <c r="M1170" s="47">
        <f t="shared" si="94"/>
        <v>0</v>
      </c>
      <c r="N1170" t="str">
        <f>IF(A1170="","",IF(D1170="Category Pending","Needs categorization",IF(COUNTIFS($A$2:A1170,A1170,$B$2:B1170,B1170,$E$2:E1170,E1170)&gt;1,"Possible duplicate","")))</f>
        <v/>
      </c>
    </row>
    <row r="1171" spans="3:14" x14ac:dyDescent="0.3">
      <c r="C1171" s="16"/>
      <c r="G1171" s="5" t="str">
        <f t="shared" si="90"/>
        <v/>
      </c>
      <c r="H1171" t="str">
        <f>IF(A1171="","",IFERROR(_xlfn.XLOOKUP(D1171,Setup!$E$15:$E$79,Setup!$F$15:$F$79),"Miscellaneous"))</f>
        <v/>
      </c>
      <c r="I1171" t="str">
        <f>IF(A1171="","",IFERROR(_xlfn.XLOOKUP(D1171,Setup!$E$15:$E$79,Setup!$G$15:$G$79),"Uncategorized"))</f>
        <v/>
      </c>
      <c r="J1171" t="str">
        <f t="shared" si="91"/>
        <v/>
      </c>
      <c r="K1171" s="4" t="str">
        <f t="shared" si="92"/>
        <v/>
      </c>
      <c r="L1171" s="47">
        <f t="shared" si="93"/>
        <v>0</v>
      </c>
      <c r="M1171" s="47">
        <f t="shared" si="94"/>
        <v>0</v>
      </c>
      <c r="N1171" t="str">
        <f>IF(A1171="","",IF(D1171="Category Pending","Needs categorization",IF(COUNTIFS($A$2:A1171,A1171,$B$2:B1171,B1171,$E$2:E1171,E1171)&gt;1,"Possible duplicate","")))</f>
        <v/>
      </c>
    </row>
    <row r="1172" spans="3:14" x14ac:dyDescent="0.3">
      <c r="C1172" s="16"/>
      <c r="G1172" s="5" t="str">
        <f t="shared" si="90"/>
        <v/>
      </c>
      <c r="H1172" t="str">
        <f>IF(A1172="","",IFERROR(_xlfn.XLOOKUP(D1172,Setup!$E$15:$E$79,Setup!$F$15:$F$79),"Miscellaneous"))</f>
        <v/>
      </c>
      <c r="I1172" t="str">
        <f>IF(A1172="","",IFERROR(_xlfn.XLOOKUP(D1172,Setup!$E$15:$E$79,Setup!$G$15:$G$79),"Uncategorized"))</f>
        <v/>
      </c>
      <c r="J1172" t="str">
        <f t="shared" si="91"/>
        <v/>
      </c>
      <c r="K1172" s="4" t="str">
        <f t="shared" si="92"/>
        <v/>
      </c>
      <c r="L1172" s="47">
        <f t="shared" si="93"/>
        <v>0</v>
      </c>
      <c r="M1172" s="47">
        <f t="shared" si="94"/>
        <v>0</v>
      </c>
      <c r="N1172" t="str">
        <f>IF(A1172="","",IF(D1172="Category Pending","Needs categorization",IF(COUNTIFS($A$2:A1172,A1172,$B$2:B1172,B1172,$E$2:E1172,E1172)&gt;1,"Possible duplicate","")))</f>
        <v/>
      </c>
    </row>
    <row r="1173" spans="3:14" x14ac:dyDescent="0.3">
      <c r="C1173" s="16"/>
      <c r="G1173" s="5" t="str">
        <f t="shared" si="90"/>
        <v/>
      </c>
      <c r="H1173" t="str">
        <f>IF(A1173="","",IFERROR(_xlfn.XLOOKUP(D1173,Setup!$E$15:$E$79,Setup!$F$15:$F$79),"Miscellaneous"))</f>
        <v/>
      </c>
      <c r="I1173" t="str">
        <f>IF(A1173="","",IFERROR(_xlfn.XLOOKUP(D1173,Setup!$E$15:$E$79,Setup!$G$15:$G$79),"Uncategorized"))</f>
        <v/>
      </c>
      <c r="J1173" t="str">
        <f t="shared" si="91"/>
        <v/>
      </c>
      <c r="K1173" s="4" t="str">
        <f t="shared" si="92"/>
        <v/>
      </c>
      <c r="L1173" s="47">
        <f t="shared" si="93"/>
        <v>0</v>
      </c>
      <c r="M1173" s="47">
        <f t="shared" si="94"/>
        <v>0</v>
      </c>
      <c r="N1173" t="str">
        <f>IF(A1173="","",IF(D1173="Category Pending","Needs categorization",IF(COUNTIFS($A$2:A1173,A1173,$B$2:B1173,B1173,$E$2:E1173,E1173)&gt;1,"Possible duplicate","")))</f>
        <v/>
      </c>
    </row>
    <row r="1174" spans="3:14" x14ac:dyDescent="0.3">
      <c r="C1174" s="16"/>
      <c r="G1174" s="5" t="str">
        <f t="shared" si="90"/>
        <v/>
      </c>
      <c r="H1174" t="str">
        <f>IF(A1174="","",IFERROR(_xlfn.XLOOKUP(D1174,Setup!$E$15:$E$79,Setup!$F$15:$F$79),"Miscellaneous"))</f>
        <v/>
      </c>
      <c r="I1174" t="str">
        <f>IF(A1174="","",IFERROR(_xlfn.XLOOKUP(D1174,Setup!$E$15:$E$79,Setup!$G$15:$G$79),"Uncategorized"))</f>
        <v/>
      </c>
      <c r="J1174" t="str">
        <f t="shared" si="91"/>
        <v/>
      </c>
      <c r="K1174" s="4" t="str">
        <f t="shared" si="92"/>
        <v/>
      </c>
      <c r="L1174" s="47">
        <f t="shared" si="93"/>
        <v>0</v>
      </c>
      <c r="M1174" s="47">
        <f t="shared" si="94"/>
        <v>0</v>
      </c>
      <c r="N1174" t="str">
        <f>IF(A1174="","",IF(D1174="Category Pending","Needs categorization",IF(COUNTIFS($A$2:A1174,A1174,$B$2:B1174,B1174,$E$2:E1174,E1174)&gt;1,"Possible duplicate","")))</f>
        <v/>
      </c>
    </row>
    <row r="1175" spans="3:14" x14ac:dyDescent="0.3">
      <c r="C1175" s="16"/>
      <c r="G1175" s="5" t="str">
        <f t="shared" si="90"/>
        <v/>
      </c>
      <c r="H1175" t="str">
        <f>IF(A1175="","",IFERROR(_xlfn.XLOOKUP(D1175,Setup!$E$15:$E$79,Setup!$F$15:$F$79),"Miscellaneous"))</f>
        <v/>
      </c>
      <c r="I1175" t="str">
        <f>IF(A1175="","",IFERROR(_xlfn.XLOOKUP(D1175,Setup!$E$15:$E$79,Setup!$G$15:$G$79),"Uncategorized"))</f>
        <v/>
      </c>
      <c r="J1175" t="str">
        <f t="shared" si="91"/>
        <v/>
      </c>
      <c r="K1175" s="4" t="str">
        <f t="shared" si="92"/>
        <v/>
      </c>
      <c r="L1175" s="47">
        <f t="shared" si="93"/>
        <v>0</v>
      </c>
      <c r="M1175" s="47">
        <f t="shared" si="94"/>
        <v>0</v>
      </c>
      <c r="N1175" t="str">
        <f>IF(A1175="","",IF(D1175="Category Pending","Needs categorization",IF(COUNTIFS($A$2:A1175,A1175,$B$2:B1175,B1175,$E$2:E1175,E1175)&gt;1,"Possible duplicate","")))</f>
        <v/>
      </c>
    </row>
    <row r="1176" spans="3:14" x14ac:dyDescent="0.3">
      <c r="C1176" s="16"/>
      <c r="G1176" s="5" t="str">
        <f t="shared" si="90"/>
        <v/>
      </c>
      <c r="H1176" t="str">
        <f>IF(A1176="","",IFERROR(_xlfn.XLOOKUP(D1176,Setup!$E$15:$E$79,Setup!$F$15:$F$79),"Miscellaneous"))</f>
        <v/>
      </c>
      <c r="I1176" t="str">
        <f>IF(A1176="","",IFERROR(_xlfn.XLOOKUP(D1176,Setup!$E$15:$E$79,Setup!$G$15:$G$79),"Uncategorized"))</f>
        <v/>
      </c>
      <c r="J1176" t="str">
        <f t="shared" si="91"/>
        <v/>
      </c>
      <c r="K1176" s="4" t="str">
        <f t="shared" si="92"/>
        <v/>
      </c>
      <c r="L1176" s="47">
        <f t="shared" si="93"/>
        <v>0</v>
      </c>
      <c r="M1176" s="47">
        <f t="shared" si="94"/>
        <v>0</v>
      </c>
      <c r="N1176" t="str">
        <f>IF(A1176="","",IF(D1176="Category Pending","Needs categorization",IF(COUNTIFS($A$2:A1176,A1176,$B$2:B1176,B1176,$E$2:E1176,E1176)&gt;1,"Possible duplicate","")))</f>
        <v/>
      </c>
    </row>
    <row r="1177" spans="3:14" x14ac:dyDescent="0.3">
      <c r="C1177" s="16"/>
      <c r="G1177" s="5" t="str">
        <f t="shared" si="90"/>
        <v/>
      </c>
      <c r="H1177" t="str">
        <f>IF(A1177="","",IFERROR(_xlfn.XLOOKUP(D1177,Setup!$E$15:$E$79,Setup!$F$15:$F$79),"Miscellaneous"))</f>
        <v/>
      </c>
      <c r="I1177" t="str">
        <f>IF(A1177="","",IFERROR(_xlfn.XLOOKUP(D1177,Setup!$E$15:$E$79,Setup!$G$15:$G$79),"Uncategorized"))</f>
        <v/>
      </c>
      <c r="J1177" t="str">
        <f t="shared" si="91"/>
        <v/>
      </c>
      <c r="K1177" s="4" t="str">
        <f t="shared" si="92"/>
        <v/>
      </c>
      <c r="L1177" s="47">
        <f t="shared" si="93"/>
        <v>0</v>
      </c>
      <c r="M1177" s="47">
        <f t="shared" si="94"/>
        <v>0</v>
      </c>
      <c r="N1177" t="str">
        <f>IF(A1177="","",IF(D1177="Category Pending","Needs categorization",IF(COUNTIFS($A$2:A1177,A1177,$B$2:B1177,B1177,$E$2:E1177,E1177)&gt;1,"Possible duplicate","")))</f>
        <v/>
      </c>
    </row>
    <row r="1178" spans="3:14" x14ac:dyDescent="0.3">
      <c r="C1178" s="16"/>
      <c r="G1178" s="5" t="str">
        <f t="shared" si="90"/>
        <v/>
      </c>
      <c r="H1178" t="str">
        <f>IF(A1178="","",IFERROR(_xlfn.XLOOKUP(D1178,Setup!$E$15:$E$79,Setup!$F$15:$F$79),"Miscellaneous"))</f>
        <v/>
      </c>
      <c r="I1178" t="str">
        <f>IF(A1178="","",IFERROR(_xlfn.XLOOKUP(D1178,Setup!$E$15:$E$79,Setup!$G$15:$G$79),"Uncategorized"))</f>
        <v/>
      </c>
      <c r="J1178" t="str">
        <f t="shared" si="91"/>
        <v/>
      </c>
      <c r="K1178" s="4" t="str">
        <f t="shared" si="92"/>
        <v/>
      </c>
      <c r="L1178" s="47">
        <f t="shared" si="93"/>
        <v>0</v>
      </c>
      <c r="M1178" s="47">
        <f t="shared" si="94"/>
        <v>0</v>
      </c>
      <c r="N1178" t="str">
        <f>IF(A1178="","",IF(D1178="Category Pending","Needs categorization",IF(COUNTIFS($A$2:A1178,A1178,$B$2:B1178,B1178,$E$2:E1178,E1178)&gt;1,"Possible duplicate","")))</f>
        <v/>
      </c>
    </row>
    <row r="1179" spans="3:14" x14ac:dyDescent="0.3">
      <c r="C1179" s="16"/>
      <c r="G1179" s="5" t="str">
        <f t="shared" si="90"/>
        <v/>
      </c>
      <c r="H1179" t="str">
        <f>IF(A1179="","",IFERROR(_xlfn.XLOOKUP(D1179,Setup!$E$15:$E$79,Setup!$F$15:$F$79),"Miscellaneous"))</f>
        <v/>
      </c>
      <c r="I1179" t="str">
        <f>IF(A1179="","",IFERROR(_xlfn.XLOOKUP(D1179,Setup!$E$15:$E$79,Setup!$G$15:$G$79),"Uncategorized"))</f>
        <v/>
      </c>
      <c r="J1179" t="str">
        <f t="shared" si="91"/>
        <v/>
      </c>
      <c r="K1179" s="4" t="str">
        <f t="shared" si="92"/>
        <v/>
      </c>
      <c r="L1179" s="47">
        <f t="shared" si="93"/>
        <v>0</v>
      </c>
      <c r="M1179" s="47">
        <f t="shared" si="94"/>
        <v>0</v>
      </c>
      <c r="N1179" t="str">
        <f>IF(A1179="","",IF(D1179="Category Pending","Needs categorization",IF(COUNTIFS($A$2:A1179,A1179,$B$2:B1179,B1179,$E$2:E1179,E1179)&gt;1,"Possible duplicate","")))</f>
        <v/>
      </c>
    </row>
    <row r="1180" spans="3:14" x14ac:dyDescent="0.3">
      <c r="C1180" s="16"/>
      <c r="G1180" s="5" t="str">
        <f t="shared" si="90"/>
        <v/>
      </c>
      <c r="H1180" t="str">
        <f>IF(A1180="","",IFERROR(_xlfn.XLOOKUP(D1180,Setup!$E$15:$E$79,Setup!$F$15:$F$79),"Miscellaneous"))</f>
        <v/>
      </c>
      <c r="I1180" t="str">
        <f>IF(A1180="","",IFERROR(_xlfn.XLOOKUP(D1180,Setup!$E$15:$E$79,Setup!$G$15:$G$79),"Uncategorized"))</f>
        <v/>
      </c>
      <c r="J1180" t="str">
        <f t="shared" si="91"/>
        <v/>
      </c>
      <c r="K1180" s="4" t="str">
        <f t="shared" si="92"/>
        <v/>
      </c>
      <c r="L1180" s="47">
        <f t="shared" si="93"/>
        <v>0</v>
      </c>
      <c r="M1180" s="47">
        <f t="shared" si="94"/>
        <v>0</v>
      </c>
      <c r="N1180" t="str">
        <f>IF(A1180="","",IF(D1180="Category Pending","Needs categorization",IF(COUNTIFS($A$2:A1180,A1180,$B$2:B1180,B1180,$E$2:E1180,E1180)&gt;1,"Possible duplicate","")))</f>
        <v/>
      </c>
    </row>
    <row r="1181" spans="3:14" x14ac:dyDescent="0.3">
      <c r="C1181" s="16"/>
      <c r="G1181" s="5" t="str">
        <f t="shared" si="90"/>
        <v/>
      </c>
      <c r="H1181" t="str">
        <f>IF(A1181="","",IFERROR(_xlfn.XLOOKUP(D1181,Setup!$E$15:$E$79,Setup!$F$15:$F$79),"Miscellaneous"))</f>
        <v/>
      </c>
      <c r="I1181" t="str">
        <f>IF(A1181="","",IFERROR(_xlfn.XLOOKUP(D1181,Setup!$E$15:$E$79,Setup!$G$15:$G$79),"Uncategorized"))</f>
        <v/>
      </c>
      <c r="J1181" t="str">
        <f t="shared" si="91"/>
        <v/>
      </c>
      <c r="K1181" s="4" t="str">
        <f t="shared" si="92"/>
        <v/>
      </c>
      <c r="L1181" s="47">
        <f t="shared" si="93"/>
        <v>0</v>
      </c>
      <c r="M1181" s="47">
        <f t="shared" si="94"/>
        <v>0</v>
      </c>
      <c r="N1181" t="str">
        <f>IF(A1181="","",IF(D1181="Category Pending","Needs categorization",IF(COUNTIFS($A$2:A1181,A1181,$B$2:B1181,B1181,$E$2:E1181,E1181)&gt;1,"Possible duplicate","")))</f>
        <v/>
      </c>
    </row>
    <row r="1182" spans="3:14" x14ac:dyDescent="0.3">
      <c r="C1182" s="16"/>
      <c r="G1182" s="5" t="str">
        <f t="shared" si="90"/>
        <v/>
      </c>
      <c r="H1182" t="str">
        <f>IF(A1182="","",IFERROR(_xlfn.XLOOKUP(D1182,Setup!$E$15:$E$79,Setup!$F$15:$F$79),"Miscellaneous"))</f>
        <v/>
      </c>
      <c r="I1182" t="str">
        <f>IF(A1182="","",IFERROR(_xlfn.XLOOKUP(D1182,Setup!$E$15:$E$79,Setup!$G$15:$G$79),"Uncategorized"))</f>
        <v/>
      </c>
      <c r="J1182" t="str">
        <f t="shared" si="91"/>
        <v/>
      </c>
      <c r="K1182" s="4" t="str">
        <f t="shared" si="92"/>
        <v/>
      </c>
      <c r="L1182" s="47">
        <f t="shared" si="93"/>
        <v>0</v>
      </c>
      <c r="M1182" s="47">
        <f t="shared" si="94"/>
        <v>0</v>
      </c>
      <c r="N1182" t="str">
        <f>IF(A1182="","",IF(D1182="Category Pending","Needs categorization",IF(COUNTIFS($A$2:A1182,A1182,$B$2:B1182,B1182,$E$2:E1182,E1182)&gt;1,"Possible duplicate","")))</f>
        <v/>
      </c>
    </row>
    <row r="1183" spans="3:14" x14ac:dyDescent="0.3">
      <c r="C1183" s="16"/>
      <c r="G1183" s="5" t="str">
        <f t="shared" si="90"/>
        <v/>
      </c>
      <c r="H1183" t="str">
        <f>IF(A1183="","",IFERROR(_xlfn.XLOOKUP(D1183,Setup!$E$15:$E$79,Setup!$F$15:$F$79),"Miscellaneous"))</f>
        <v/>
      </c>
      <c r="I1183" t="str">
        <f>IF(A1183="","",IFERROR(_xlfn.XLOOKUP(D1183,Setup!$E$15:$E$79,Setup!$G$15:$G$79),"Uncategorized"))</f>
        <v/>
      </c>
      <c r="J1183" t="str">
        <f t="shared" si="91"/>
        <v/>
      </c>
      <c r="K1183" s="4" t="str">
        <f t="shared" si="92"/>
        <v/>
      </c>
      <c r="L1183" s="47">
        <f t="shared" si="93"/>
        <v>0</v>
      </c>
      <c r="M1183" s="47">
        <f t="shared" si="94"/>
        <v>0</v>
      </c>
      <c r="N1183" t="str">
        <f>IF(A1183="","",IF(D1183="Category Pending","Needs categorization",IF(COUNTIFS($A$2:A1183,A1183,$B$2:B1183,B1183,$E$2:E1183,E1183)&gt;1,"Possible duplicate","")))</f>
        <v/>
      </c>
    </row>
    <row r="1184" spans="3:14" x14ac:dyDescent="0.3">
      <c r="C1184" s="16"/>
      <c r="G1184" s="5" t="str">
        <f t="shared" si="90"/>
        <v/>
      </c>
      <c r="H1184" t="str">
        <f>IF(A1184="","",IFERROR(_xlfn.XLOOKUP(D1184,Setup!$E$15:$E$79,Setup!$F$15:$F$79),"Miscellaneous"))</f>
        <v/>
      </c>
      <c r="I1184" t="str">
        <f>IF(A1184="","",IFERROR(_xlfn.XLOOKUP(D1184,Setup!$E$15:$E$79,Setup!$G$15:$G$79),"Uncategorized"))</f>
        <v/>
      </c>
      <c r="J1184" t="str">
        <f t="shared" si="91"/>
        <v/>
      </c>
      <c r="K1184" s="4" t="str">
        <f t="shared" si="92"/>
        <v/>
      </c>
      <c r="L1184" s="47">
        <f t="shared" si="93"/>
        <v>0</v>
      </c>
      <c r="M1184" s="47">
        <f t="shared" si="94"/>
        <v>0</v>
      </c>
      <c r="N1184" t="str">
        <f>IF(A1184="","",IF(D1184="Category Pending","Needs categorization",IF(COUNTIFS($A$2:A1184,A1184,$B$2:B1184,B1184,$E$2:E1184,E1184)&gt;1,"Possible duplicate","")))</f>
        <v/>
      </c>
    </row>
    <row r="1185" spans="3:14" x14ac:dyDescent="0.3">
      <c r="C1185" s="16"/>
      <c r="G1185" s="5" t="str">
        <f t="shared" ref="G1185:G1248" si="95">IF(A1185="","","Checking")</f>
        <v/>
      </c>
      <c r="H1185" t="str">
        <f>IF(A1185="","",IFERROR(_xlfn.XLOOKUP(D1185,Setup!$E$15:$E$79,Setup!$F$15:$F$79),"Miscellaneous"))</f>
        <v/>
      </c>
      <c r="I1185" t="str">
        <f>IF(A1185="","",IFERROR(_xlfn.XLOOKUP(D1185,Setup!$E$15:$E$79,Setup!$G$15:$G$79),"Uncategorized"))</f>
        <v/>
      </c>
      <c r="J1185" t="str">
        <f t="shared" ref="J1185:J1248" si="96">IF(A1185="","",IF(OR(H1185="Transfers",H1185="Income",D1185="Transfer",D1185="Category Pending"),"No","Yes"))</f>
        <v/>
      </c>
      <c r="K1185" s="4" t="str">
        <f t="shared" ref="K1185:K1248" si="97">IF(A1185="","",IF(A1185&gt;=46232,TEXT(DATE(YEAR(A1185),MONTH(A1185)+1,1),"mmmm yyyy"),TEXT(DATE(YEAR(A1185),MONTH(A1185),1),"mmmm yyyy")))</f>
        <v/>
      </c>
      <c r="L1185" s="47">
        <f t="shared" ref="L1185:L1248" si="98">IF(AND(J1185="Yes",E1185&lt;0),-E1185,0)</f>
        <v>0</v>
      </c>
      <c r="M1185" s="47">
        <f t="shared" ref="M1185:M1248" si="99">IF(AND(J1185="Yes",E1185&gt;0),E1185,0)</f>
        <v>0</v>
      </c>
      <c r="N1185" t="str">
        <f>IF(A1185="","",IF(D1185="Category Pending","Needs categorization",IF(COUNTIFS($A$2:A1185,A1185,$B$2:B1185,B1185,$E$2:E1185,E1185)&gt;1,"Possible duplicate","")))</f>
        <v/>
      </c>
    </row>
    <row r="1186" spans="3:14" x14ac:dyDescent="0.3">
      <c r="C1186" s="16"/>
      <c r="G1186" s="5" t="str">
        <f t="shared" si="95"/>
        <v/>
      </c>
      <c r="H1186" t="str">
        <f>IF(A1186="","",IFERROR(_xlfn.XLOOKUP(D1186,Setup!$E$15:$E$79,Setup!$F$15:$F$79),"Miscellaneous"))</f>
        <v/>
      </c>
      <c r="I1186" t="str">
        <f>IF(A1186="","",IFERROR(_xlfn.XLOOKUP(D1186,Setup!$E$15:$E$79,Setup!$G$15:$G$79),"Uncategorized"))</f>
        <v/>
      </c>
      <c r="J1186" t="str">
        <f t="shared" si="96"/>
        <v/>
      </c>
      <c r="K1186" s="4" t="str">
        <f t="shared" si="97"/>
        <v/>
      </c>
      <c r="L1186" s="47">
        <f t="shared" si="98"/>
        <v>0</v>
      </c>
      <c r="M1186" s="47">
        <f t="shared" si="99"/>
        <v>0</v>
      </c>
      <c r="N1186" t="str">
        <f>IF(A1186="","",IF(D1186="Category Pending","Needs categorization",IF(COUNTIFS($A$2:A1186,A1186,$B$2:B1186,B1186,$E$2:E1186,E1186)&gt;1,"Possible duplicate","")))</f>
        <v/>
      </c>
    </row>
    <row r="1187" spans="3:14" x14ac:dyDescent="0.3">
      <c r="C1187" s="16"/>
      <c r="G1187" s="5" t="str">
        <f t="shared" si="95"/>
        <v/>
      </c>
      <c r="H1187" t="str">
        <f>IF(A1187="","",IFERROR(_xlfn.XLOOKUP(D1187,Setup!$E$15:$E$79,Setup!$F$15:$F$79),"Miscellaneous"))</f>
        <v/>
      </c>
      <c r="I1187" t="str">
        <f>IF(A1187="","",IFERROR(_xlfn.XLOOKUP(D1187,Setup!$E$15:$E$79,Setup!$G$15:$G$79),"Uncategorized"))</f>
        <v/>
      </c>
      <c r="J1187" t="str">
        <f t="shared" si="96"/>
        <v/>
      </c>
      <c r="K1187" s="4" t="str">
        <f t="shared" si="97"/>
        <v/>
      </c>
      <c r="L1187" s="47">
        <f t="shared" si="98"/>
        <v>0</v>
      </c>
      <c r="M1187" s="47">
        <f t="shared" si="99"/>
        <v>0</v>
      </c>
      <c r="N1187" t="str">
        <f>IF(A1187="","",IF(D1187="Category Pending","Needs categorization",IF(COUNTIFS($A$2:A1187,A1187,$B$2:B1187,B1187,$E$2:E1187,E1187)&gt;1,"Possible duplicate","")))</f>
        <v/>
      </c>
    </row>
    <row r="1188" spans="3:14" x14ac:dyDescent="0.3">
      <c r="C1188" s="16"/>
      <c r="G1188" s="5" t="str">
        <f t="shared" si="95"/>
        <v/>
      </c>
      <c r="H1188" t="str">
        <f>IF(A1188="","",IFERROR(_xlfn.XLOOKUP(D1188,Setup!$E$15:$E$79,Setup!$F$15:$F$79),"Miscellaneous"))</f>
        <v/>
      </c>
      <c r="I1188" t="str">
        <f>IF(A1188="","",IFERROR(_xlfn.XLOOKUP(D1188,Setup!$E$15:$E$79,Setup!$G$15:$G$79),"Uncategorized"))</f>
        <v/>
      </c>
      <c r="J1188" t="str">
        <f t="shared" si="96"/>
        <v/>
      </c>
      <c r="K1188" s="4" t="str">
        <f t="shared" si="97"/>
        <v/>
      </c>
      <c r="L1188" s="47">
        <f t="shared" si="98"/>
        <v>0</v>
      </c>
      <c r="M1188" s="47">
        <f t="shared" si="99"/>
        <v>0</v>
      </c>
      <c r="N1188" t="str">
        <f>IF(A1188="","",IF(D1188="Category Pending","Needs categorization",IF(COUNTIFS($A$2:A1188,A1188,$B$2:B1188,B1188,$E$2:E1188,E1188)&gt;1,"Possible duplicate","")))</f>
        <v/>
      </c>
    </row>
    <row r="1189" spans="3:14" x14ac:dyDescent="0.3">
      <c r="C1189" s="16"/>
      <c r="G1189" s="5" t="str">
        <f t="shared" si="95"/>
        <v/>
      </c>
      <c r="H1189" t="str">
        <f>IF(A1189="","",IFERROR(_xlfn.XLOOKUP(D1189,Setup!$E$15:$E$79,Setup!$F$15:$F$79),"Miscellaneous"))</f>
        <v/>
      </c>
      <c r="I1189" t="str">
        <f>IF(A1189="","",IFERROR(_xlfn.XLOOKUP(D1189,Setup!$E$15:$E$79,Setup!$G$15:$G$79),"Uncategorized"))</f>
        <v/>
      </c>
      <c r="J1189" t="str">
        <f t="shared" si="96"/>
        <v/>
      </c>
      <c r="K1189" s="4" t="str">
        <f t="shared" si="97"/>
        <v/>
      </c>
      <c r="L1189" s="47">
        <f t="shared" si="98"/>
        <v>0</v>
      </c>
      <c r="M1189" s="47">
        <f t="shared" si="99"/>
        <v>0</v>
      </c>
      <c r="N1189" t="str">
        <f>IF(A1189="","",IF(D1189="Category Pending","Needs categorization",IF(COUNTIFS($A$2:A1189,A1189,$B$2:B1189,B1189,$E$2:E1189,E1189)&gt;1,"Possible duplicate","")))</f>
        <v/>
      </c>
    </row>
    <row r="1190" spans="3:14" x14ac:dyDescent="0.3">
      <c r="C1190" s="16"/>
      <c r="G1190" s="5" t="str">
        <f t="shared" si="95"/>
        <v/>
      </c>
      <c r="H1190" t="str">
        <f>IF(A1190="","",IFERROR(_xlfn.XLOOKUP(D1190,Setup!$E$15:$E$79,Setup!$F$15:$F$79),"Miscellaneous"))</f>
        <v/>
      </c>
      <c r="I1190" t="str">
        <f>IF(A1190="","",IFERROR(_xlfn.XLOOKUP(D1190,Setup!$E$15:$E$79,Setup!$G$15:$G$79),"Uncategorized"))</f>
        <v/>
      </c>
      <c r="J1190" t="str">
        <f t="shared" si="96"/>
        <v/>
      </c>
      <c r="K1190" s="4" t="str">
        <f t="shared" si="97"/>
        <v/>
      </c>
      <c r="L1190" s="47">
        <f t="shared" si="98"/>
        <v>0</v>
      </c>
      <c r="M1190" s="47">
        <f t="shared" si="99"/>
        <v>0</v>
      </c>
      <c r="N1190" t="str">
        <f>IF(A1190="","",IF(D1190="Category Pending","Needs categorization",IF(COUNTIFS($A$2:A1190,A1190,$B$2:B1190,B1190,$E$2:E1190,E1190)&gt;1,"Possible duplicate","")))</f>
        <v/>
      </c>
    </row>
    <row r="1191" spans="3:14" x14ac:dyDescent="0.3">
      <c r="C1191" s="16"/>
      <c r="G1191" s="5" t="str">
        <f t="shared" si="95"/>
        <v/>
      </c>
      <c r="H1191" t="str">
        <f>IF(A1191="","",IFERROR(_xlfn.XLOOKUP(D1191,Setup!$E$15:$E$79,Setup!$F$15:$F$79),"Miscellaneous"))</f>
        <v/>
      </c>
      <c r="I1191" t="str">
        <f>IF(A1191="","",IFERROR(_xlfn.XLOOKUP(D1191,Setup!$E$15:$E$79,Setup!$G$15:$G$79),"Uncategorized"))</f>
        <v/>
      </c>
      <c r="J1191" t="str">
        <f t="shared" si="96"/>
        <v/>
      </c>
      <c r="K1191" s="4" t="str">
        <f t="shared" si="97"/>
        <v/>
      </c>
      <c r="L1191" s="47">
        <f t="shared" si="98"/>
        <v>0</v>
      </c>
      <c r="M1191" s="47">
        <f t="shared" si="99"/>
        <v>0</v>
      </c>
      <c r="N1191" t="str">
        <f>IF(A1191="","",IF(D1191="Category Pending","Needs categorization",IF(COUNTIFS($A$2:A1191,A1191,$B$2:B1191,B1191,$E$2:E1191,E1191)&gt;1,"Possible duplicate","")))</f>
        <v/>
      </c>
    </row>
    <row r="1192" spans="3:14" x14ac:dyDescent="0.3">
      <c r="C1192" s="16"/>
      <c r="G1192" s="5" t="str">
        <f t="shared" si="95"/>
        <v/>
      </c>
      <c r="H1192" t="str">
        <f>IF(A1192="","",IFERROR(_xlfn.XLOOKUP(D1192,Setup!$E$15:$E$79,Setup!$F$15:$F$79),"Miscellaneous"))</f>
        <v/>
      </c>
      <c r="I1192" t="str">
        <f>IF(A1192="","",IFERROR(_xlfn.XLOOKUP(D1192,Setup!$E$15:$E$79,Setup!$G$15:$G$79),"Uncategorized"))</f>
        <v/>
      </c>
      <c r="J1192" t="str">
        <f t="shared" si="96"/>
        <v/>
      </c>
      <c r="K1192" s="4" t="str">
        <f t="shared" si="97"/>
        <v/>
      </c>
      <c r="L1192" s="47">
        <f t="shared" si="98"/>
        <v>0</v>
      </c>
      <c r="M1192" s="47">
        <f t="shared" si="99"/>
        <v>0</v>
      </c>
      <c r="N1192" t="str">
        <f>IF(A1192="","",IF(D1192="Category Pending","Needs categorization",IF(COUNTIFS($A$2:A1192,A1192,$B$2:B1192,B1192,$E$2:E1192,E1192)&gt;1,"Possible duplicate","")))</f>
        <v/>
      </c>
    </row>
    <row r="1193" spans="3:14" x14ac:dyDescent="0.3">
      <c r="C1193" s="16"/>
      <c r="G1193" s="5" t="str">
        <f t="shared" si="95"/>
        <v/>
      </c>
      <c r="H1193" t="str">
        <f>IF(A1193="","",IFERROR(_xlfn.XLOOKUP(D1193,Setup!$E$15:$E$79,Setup!$F$15:$F$79),"Miscellaneous"))</f>
        <v/>
      </c>
      <c r="I1193" t="str">
        <f>IF(A1193="","",IFERROR(_xlfn.XLOOKUP(D1193,Setup!$E$15:$E$79,Setup!$G$15:$G$79),"Uncategorized"))</f>
        <v/>
      </c>
      <c r="J1193" t="str">
        <f t="shared" si="96"/>
        <v/>
      </c>
      <c r="K1193" s="4" t="str">
        <f t="shared" si="97"/>
        <v/>
      </c>
      <c r="L1193" s="47">
        <f t="shared" si="98"/>
        <v>0</v>
      </c>
      <c r="M1193" s="47">
        <f t="shared" si="99"/>
        <v>0</v>
      </c>
      <c r="N1193" t="str">
        <f>IF(A1193="","",IF(D1193="Category Pending","Needs categorization",IF(COUNTIFS($A$2:A1193,A1193,$B$2:B1193,B1193,$E$2:E1193,E1193)&gt;1,"Possible duplicate","")))</f>
        <v/>
      </c>
    </row>
    <row r="1194" spans="3:14" x14ac:dyDescent="0.3">
      <c r="C1194" s="16"/>
      <c r="G1194" s="5" t="str">
        <f t="shared" si="95"/>
        <v/>
      </c>
      <c r="H1194" t="str">
        <f>IF(A1194="","",IFERROR(_xlfn.XLOOKUP(D1194,Setup!$E$15:$E$79,Setup!$F$15:$F$79),"Miscellaneous"))</f>
        <v/>
      </c>
      <c r="I1194" t="str">
        <f>IF(A1194="","",IFERROR(_xlfn.XLOOKUP(D1194,Setup!$E$15:$E$79,Setup!$G$15:$G$79),"Uncategorized"))</f>
        <v/>
      </c>
      <c r="J1194" t="str">
        <f t="shared" si="96"/>
        <v/>
      </c>
      <c r="K1194" s="4" t="str">
        <f t="shared" si="97"/>
        <v/>
      </c>
      <c r="L1194" s="47">
        <f t="shared" si="98"/>
        <v>0</v>
      </c>
      <c r="M1194" s="47">
        <f t="shared" si="99"/>
        <v>0</v>
      </c>
      <c r="N1194" t="str">
        <f>IF(A1194="","",IF(D1194="Category Pending","Needs categorization",IF(COUNTIFS($A$2:A1194,A1194,$B$2:B1194,B1194,$E$2:E1194,E1194)&gt;1,"Possible duplicate","")))</f>
        <v/>
      </c>
    </row>
    <row r="1195" spans="3:14" x14ac:dyDescent="0.3">
      <c r="C1195" s="16"/>
      <c r="G1195" s="5" t="str">
        <f t="shared" si="95"/>
        <v/>
      </c>
      <c r="H1195" t="str">
        <f>IF(A1195="","",IFERROR(_xlfn.XLOOKUP(D1195,Setup!$E$15:$E$79,Setup!$F$15:$F$79),"Miscellaneous"))</f>
        <v/>
      </c>
      <c r="I1195" t="str">
        <f>IF(A1195="","",IFERROR(_xlfn.XLOOKUP(D1195,Setup!$E$15:$E$79,Setup!$G$15:$G$79),"Uncategorized"))</f>
        <v/>
      </c>
      <c r="J1195" t="str">
        <f t="shared" si="96"/>
        <v/>
      </c>
      <c r="K1195" s="4" t="str">
        <f t="shared" si="97"/>
        <v/>
      </c>
      <c r="L1195" s="47">
        <f t="shared" si="98"/>
        <v>0</v>
      </c>
      <c r="M1195" s="47">
        <f t="shared" si="99"/>
        <v>0</v>
      </c>
      <c r="N1195" t="str">
        <f>IF(A1195="","",IF(D1195="Category Pending","Needs categorization",IF(COUNTIFS($A$2:A1195,A1195,$B$2:B1195,B1195,$E$2:E1195,E1195)&gt;1,"Possible duplicate","")))</f>
        <v/>
      </c>
    </row>
    <row r="1196" spans="3:14" x14ac:dyDescent="0.3">
      <c r="C1196" s="16"/>
      <c r="G1196" s="5" t="str">
        <f t="shared" si="95"/>
        <v/>
      </c>
      <c r="H1196" t="str">
        <f>IF(A1196="","",IFERROR(_xlfn.XLOOKUP(D1196,Setup!$E$15:$E$79,Setup!$F$15:$F$79),"Miscellaneous"))</f>
        <v/>
      </c>
      <c r="I1196" t="str">
        <f>IF(A1196="","",IFERROR(_xlfn.XLOOKUP(D1196,Setup!$E$15:$E$79,Setup!$G$15:$G$79),"Uncategorized"))</f>
        <v/>
      </c>
      <c r="J1196" t="str">
        <f t="shared" si="96"/>
        <v/>
      </c>
      <c r="K1196" s="4" t="str">
        <f t="shared" si="97"/>
        <v/>
      </c>
      <c r="L1196" s="47">
        <f t="shared" si="98"/>
        <v>0</v>
      </c>
      <c r="M1196" s="47">
        <f t="shared" si="99"/>
        <v>0</v>
      </c>
      <c r="N1196" t="str">
        <f>IF(A1196="","",IF(D1196="Category Pending","Needs categorization",IF(COUNTIFS($A$2:A1196,A1196,$B$2:B1196,B1196,$E$2:E1196,E1196)&gt;1,"Possible duplicate","")))</f>
        <v/>
      </c>
    </row>
    <row r="1197" spans="3:14" x14ac:dyDescent="0.3">
      <c r="C1197" s="16"/>
      <c r="G1197" s="5" t="str">
        <f t="shared" si="95"/>
        <v/>
      </c>
      <c r="H1197" t="str">
        <f>IF(A1197="","",IFERROR(_xlfn.XLOOKUP(D1197,Setup!$E$15:$E$79,Setup!$F$15:$F$79),"Miscellaneous"))</f>
        <v/>
      </c>
      <c r="I1197" t="str">
        <f>IF(A1197="","",IFERROR(_xlfn.XLOOKUP(D1197,Setup!$E$15:$E$79,Setup!$G$15:$G$79),"Uncategorized"))</f>
        <v/>
      </c>
      <c r="J1197" t="str">
        <f t="shared" si="96"/>
        <v/>
      </c>
      <c r="K1197" s="4" t="str">
        <f t="shared" si="97"/>
        <v/>
      </c>
      <c r="L1197" s="47">
        <f t="shared" si="98"/>
        <v>0</v>
      </c>
      <c r="M1197" s="47">
        <f t="shared" si="99"/>
        <v>0</v>
      </c>
      <c r="N1197" t="str">
        <f>IF(A1197="","",IF(D1197="Category Pending","Needs categorization",IF(COUNTIFS($A$2:A1197,A1197,$B$2:B1197,B1197,$E$2:E1197,E1197)&gt;1,"Possible duplicate","")))</f>
        <v/>
      </c>
    </row>
    <row r="1198" spans="3:14" x14ac:dyDescent="0.3">
      <c r="C1198" s="16"/>
      <c r="G1198" s="5" t="str">
        <f t="shared" si="95"/>
        <v/>
      </c>
      <c r="H1198" t="str">
        <f>IF(A1198="","",IFERROR(_xlfn.XLOOKUP(D1198,Setup!$E$15:$E$79,Setup!$F$15:$F$79),"Miscellaneous"))</f>
        <v/>
      </c>
      <c r="I1198" t="str">
        <f>IF(A1198="","",IFERROR(_xlfn.XLOOKUP(D1198,Setup!$E$15:$E$79,Setup!$G$15:$G$79),"Uncategorized"))</f>
        <v/>
      </c>
      <c r="J1198" t="str">
        <f t="shared" si="96"/>
        <v/>
      </c>
      <c r="K1198" s="4" t="str">
        <f t="shared" si="97"/>
        <v/>
      </c>
      <c r="L1198" s="47">
        <f t="shared" si="98"/>
        <v>0</v>
      </c>
      <c r="M1198" s="47">
        <f t="shared" si="99"/>
        <v>0</v>
      </c>
      <c r="N1198" t="str">
        <f>IF(A1198="","",IF(D1198="Category Pending","Needs categorization",IF(COUNTIFS($A$2:A1198,A1198,$B$2:B1198,B1198,$E$2:E1198,E1198)&gt;1,"Possible duplicate","")))</f>
        <v/>
      </c>
    </row>
    <row r="1199" spans="3:14" x14ac:dyDescent="0.3">
      <c r="C1199" s="16"/>
      <c r="G1199" s="5" t="str">
        <f t="shared" si="95"/>
        <v/>
      </c>
      <c r="H1199" t="str">
        <f>IF(A1199="","",IFERROR(_xlfn.XLOOKUP(D1199,Setup!$E$15:$E$79,Setup!$F$15:$F$79),"Miscellaneous"))</f>
        <v/>
      </c>
      <c r="I1199" t="str">
        <f>IF(A1199="","",IFERROR(_xlfn.XLOOKUP(D1199,Setup!$E$15:$E$79,Setup!$G$15:$G$79),"Uncategorized"))</f>
        <v/>
      </c>
      <c r="J1199" t="str">
        <f t="shared" si="96"/>
        <v/>
      </c>
      <c r="K1199" s="4" t="str">
        <f t="shared" si="97"/>
        <v/>
      </c>
      <c r="L1199" s="47">
        <f t="shared" si="98"/>
        <v>0</v>
      </c>
      <c r="M1199" s="47">
        <f t="shared" si="99"/>
        <v>0</v>
      </c>
      <c r="N1199" t="str">
        <f>IF(A1199="","",IF(D1199="Category Pending","Needs categorization",IF(COUNTIFS($A$2:A1199,A1199,$B$2:B1199,B1199,$E$2:E1199,E1199)&gt;1,"Possible duplicate","")))</f>
        <v/>
      </c>
    </row>
    <row r="1200" spans="3:14" x14ac:dyDescent="0.3">
      <c r="C1200" s="16"/>
      <c r="G1200" s="5" t="str">
        <f t="shared" si="95"/>
        <v/>
      </c>
      <c r="H1200" t="str">
        <f>IF(A1200="","",IFERROR(_xlfn.XLOOKUP(D1200,Setup!$E$15:$E$79,Setup!$F$15:$F$79),"Miscellaneous"))</f>
        <v/>
      </c>
      <c r="I1200" t="str">
        <f>IF(A1200="","",IFERROR(_xlfn.XLOOKUP(D1200,Setup!$E$15:$E$79,Setup!$G$15:$G$79),"Uncategorized"))</f>
        <v/>
      </c>
      <c r="J1200" t="str">
        <f t="shared" si="96"/>
        <v/>
      </c>
      <c r="K1200" s="4" t="str">
        <f t="shared" si="97"/>
        <v/>
      </c>
      <c r="L1200" s="47">
        <f t="shared" si="98"/>
        <v>0</v>
      </c>
      <c r="M1200" s="47">
        <f t="shared" si="99"/>
        <v>0</v>
      </c>
      <c r="N1200" t="str">
        <f>IF(A1200="","",IF(D1200="Category Pending","Needs categorization",IF(COUNTIFS($A$2:A1200,A1200,$B$2:B1200,B1200,$E$2:E1200,E1200)&gt;1,"Possible duplicate","")))</f>
        <v/>
      </c>
    </row>
    <row r="1201" spans="3:14" x14ac:dyDescent="0.3">
      <c r="C1201" s="16"/>
      <c r="G1201" s="5" t="str">
        <f t="shared" si="95"/>
        <v/>
      </c>
      <c r="H1201" t="str">
        <f>IF(A1201="","",IFERROR(_xlfn.XLOOKUP(D1201,Setup!$E$15:$E$79,Setup!$F$15:$F$79),"Miscellaneous"))</f>
        <v/>
      </c>
      <c r="I1201" t="str">
        <f>IF(A1201="","",IFERROR(_xlfn.XLOOKUP(D1201,Setup!$E$15:$E$79,Setup!$G$15:$G$79),"Uncategorized"))</f>
        <v/>
      </c>
      <c r="J1201" t="str">
        <f t="shared" si="96"/>
        <v/>
      </c>
      <c r="K1201" s="4" t="str">
        <f t="shared" si="97"/>
        <v/>
      </c>
      <c r="L1201" s="47">
        <f t="shared" si="98"/>
        <v>0</v>
      </c>
      <c r="M1201" s="47">
        <f t="shared" si="99"/>
        <v>0</v>
      </c>
      <c r="N1201" t="str">
        <f>IF(A1201="","",IF(D1201="Category Pending","Needs categorization",IF(COUNTIFS($A$2:A1201,A1201,$B$2:B1201,B1201,$E$2:E1201,E1201)&gt;1,"Possible duplicate","")))</f>
        <v/>
      </c>
    </row>
    <row r="1202" spans="3:14" x14ac:dyDescent="0.3">
      <c r="C1202" s="16"/>
      <c r="G1202" s="5" t="str">
        <f t="shared" si="95"/>
        <v/>
      </c>
      <c r="H1202" t="str">
        <f>IF(A1202="","",IFERROR(_xlfn.XLOOKUP(D1202,Setup!$E$15:$E$79,Setup!$F$15:$F$79),"Miscellaneous"))</f>
        <v/>
      </c>
      <c r="I1202" t="str">
        <f>IF(A1202="","",IFERROR(_xlfn.XLOOKUP(D1202,Setup!$E$15:$E$79,Setup!$G$15:$G$79),"Uncategorized"))</f>
        <v/>
      </c>
      <c r="J1202" t="str">
        <f t="shared" si="96"/>
        <v/>
      </c>
      <c r="K1202" s="4" t="str">
        <f t="shared" si="97"/>
        <v/>
      </c>
      <c r="L1202" s="47">
        <f t="shared" si="98"/>
        <v>0</v>
      </c>
      <c r="M1202" s="47">
        <f t="shared" si="99"/>
        <v>0</v>
      </c>
      <c r="N1202" t="str">
        <f>IF(A1202="","",IF(D1202="Category Pending","Needs categorization",IF(COUNTIFS($A$2:A1202,A1202,$B$2:B1202,B1202,$E$2:E1202,E1202)&gt;1,"Possible duplicate","")))</f>
        <v/>
      </c>
    </row>
    <row r="1203" spans="3:14" x14ac:dyDescent="0.3">
      <c r="C1203" s="16"/>
      <c r="G1203" s="5" t="str">
        <f t="shared" si="95"/>
        <v/>
      </c>
      <c r="H1203" t="str">
        <f>IF(A1203="","",IFERROR(_xlfn.XLOOKUP(D1203,Setup!$E$15:$E$79,Setup!$F$15:$F$79),"Miscellaneous"))</f>
        <v/>
      </c>
      <c r="I1203" t="str">
        <f>IF(A1203="","",IFERROR(_xlfn.XLOOKUP(D1203,Setup!$E$15:$E$79,Setup!$G$15:$G$79),"Uncategorized"))</f>
        <v/>
      </c>
      <c r="J1203" t="str">
        <f t="shared" si="96"/>
        <v/>
      </c>
      <c r="K1203" s="4" t="str">
        <f t="shared" si="97"/>
        <v/>
      </c>
      <c r="L1203" s="47">
        <f t="shared" si="98"/>
        <v>0</v>
      </c>
      <c r="M1203" s="47">
        <f t="shared" si="99"/>
        <v>0</v>
      </c>
      <c r="N1203" t="str">
        <f>IF(A1203="","",IF(D1203="Category Pending","Needs categorization",IF(COUNTIFS($A$2:A1203,A1203,$B$2:B1203,B1203,$E$2:E1203,E1203)&gt;1,"Possible duplicate","")))</f>
        <v/>
      </c>
    </row>
    <row r="1204" spans="3:14" x14ac:dyDescent="0.3">
      <c r="C1204" s="16"/>
      <c r="G1204" s="5" t="str">
        <f t="shared" si="95"/>
        <v/>
      </c>
      <c r="H1204" t="str">
        <f>IF(A1204="","",IFERROR(_xlfn.XLOOKUP(D1204,Setup!$E$15:$E$79,Setup!$F$15:$F$79),"Miscellaneous"))</f>
        <v/>
      </c>
      <c r="I1204" t="str">
        <f>IF(A1204="","",IFERROR(_xlfn.XLOOKUP(D1204,Setup!$E$15:$E$79,Setup!$G$15:$G$79),"Uncategorized"))</f>
        <v/>
      </c>
      <c r="J1204" t="str">
        <f t="shared" si="96"/>
        <v/>
      </c>
      <c r="K1204" s="4" t="str">
        <f t="shared" si="97"/>
        <v/>
      </c>
      <c r="L1204" s="47">
        <f t="shared" si="98"/>
        <v>0</v>
      </c>
      <c r="M1204" s="47">
        <f t="shared" si="99"/>
        <v>0</v>
      </c>
      <c r="N1204" t="str">
        <f>IF(A1204="","",IF(D1204="Category Pending","Needs categorization",IF(COUNTIFS($A$2:A1204,A1204,$B$2:B1204,B1204,$E$2:E1204,E1204)&gt;1,"Possible duplicate","")))</f>
        <v/>
      </c>
    </row>
    <row r="1205" spans="3:14" x14ac:dyDescent="0.3">
      <c r="C1205" s="16"/>
      <c r="G1205" s="5" t="str">
        <f t="shared" si="95"/>
        <v/>
      </c>
      <c r="H1205" t="str">
        <f>IF(A1205="","",IFERROR(_xlfn.XLOOKUP(D1205,Setup!$E$15:$E$79,Setup!$F$15:$F$79),"Miscellaneous"))</f>
        <v/>
      </c>
      <c r="I1205" t="str">
        <f>IF(A1205="","",IFERROR(_xlfn.XLOOKUP(D1205,Setup!$E$15:$E$79,Setup!$G$15:$G$79),"Uncategorized"))</f>
        <v/>
      </c>
      <c r="J1205" t="str">
        <f t="shared" si="96"/>
        <v/>
      </c>
      <c r="K1205" s="4" t="str">
        <f t="shared" si="97"/>
        <v/>
      </c>
      <c r="L1205" s="47">
        <f t="shared" si="98"/>
        <v>0</v>
      </c>
      <c r="M1205" s="47">
        <f t="shared" si="99"/>
        <v>0</v>
      </c>
      <c r="N1205" t="str">
        <f>IF(A1205="","",IF(D1205="Category Pending","Needs categorization",IF(COUNTIFS($A$2:A1205,A1205,$B$2:B1205,B1205,$E$2:E1205,E1205)&gt;1,"Possible duplicate","")))</f>
        <v/>
      </c>
    </row>
    <row r="1206" spans="3:14" x14ac:dyDescent="0.3">
      <c r="C1206" s="16"/>
      <c r="G1206" s="5" t="str">
        <f t="shared" si="95"/>
        <v/>
      </c>
      <c r="H1206" t="str">
        <f>IF(A1206="","",IFERROR(_xlfn.XLOOKUP(D1206,Setup!$E$15:$E$79,Setup!$F$15:$F$79),"Miscellaneous"))</f>
        <v/>
      </c>
      <c r="I1206" t="str">
        <f>IF(A1206="","",IFERROR(_xlfn.XLOOKUP(D1206,Setup!$E$15:$E$79,Setup!$G$15:$G$79),"Uncategorized"))</f>
        <v/>
      </c>
      <c r="J1206" t="str">
        <f t="shared" si="96"/>
        <v/>
      </c>
      <c r="K1206" s="4" t="str">
        <f t="shared" si="97"/>
        <v/>
      </c>
      <c r="L1206" s="47">
        <f t="shared" si="98"/>
        <v>0</v>
      </c>
      <c r="M1206" s="47">
        <f t="shared" si="99"/>
        <v>0</v>
      </c>
      <c r="N1206" t="str">
        <f>IF(A1206="","",IF(D1206="Category Pending","Needs categorization",IF(COUNTIFS($A$2:A1206,A1206,$B$2:B1206,B1206,$E$2:E1206,E1206)&gt;1,"Possible duplicate","")))</f>
        <v/>
      </c>
    </row>
    <row r="1207" spans="3:14" x14ac:dyDescent="0.3">
      <c r="C1207" s="16"/>
      <c r="G1207" s="5" t="str">
        <f t="shared" si="95"/>
        <v/>
      </c>
      <c r="H1207" t="str">
        <f>IF(A1207="","",IFERROR(_xlfn.XLOOKUP(D1207,Setup!$E$15:$E$79,Setup!$F$15:$F$79),"Miscellaneous"))</f>
        <v/>
      </c>
      <c r="I1207" t="str">
        <f>IF(A1207="","",IFERROR(_xlfn.XLOOKUP(D1207,Setup!$E$15:$E$79,Setup!$G$15:$G$79),"Uncategorized"))</f>
        <v/>
      </c>
      <c r="J1207" t="str">
        <f t="shared" si="96"/>
        <v/>
      </c>
      <c r="K1207" s="4" t="str">
        <f t="shared" si="97"/>
        <v/>
      </c>
      <c r="L1207" s="47">
        <f t="shared" si="98"/>
        <v>0</v>
      </c>
      <c r="M1207" s="47">
        <f t="shared" si="99"/>
        <v>0</v>
      </c>
      <c r="N1207" t="str">
        <f>IF(A1207="","",IF(D1207="Category Pending","Needs categorization",IF(COUNTIFS($A$2:A1207,A1207,$B$2:B1207,B1207,$E$2:E1207,E1207)&gt;1,"Possible duplicate","")))</f>
        <v/>
      </c>
    </row>
    <row r="1208" spans="3:14" x14ac:dyDescent="0.3">
      <c r="C1208" s="16"/>
      <c r="G1208" s="5" t="str">
        <f t="shared" si="95"/>
        <v/>
      </c>
      <c r="H1208" t="str">
        <f>IF(A1208="","",IFERROR(_xlfn.XLOOKUP(D1208,Setup!$E$15:$E$79,Setup!$F$15:$F$79),"Miscellaneous"))</f>
        <v/>
      </c>
      <c r="I1208" t="str">
        <f>IF(A1208="","",IFERROR(_xlfn.XLOOKUP(D1208,Setup!$E$15:$E$79,Setup!$G$15:$G$79),"Uncategorized"))</f>
        <v/>
      </c>
      <c r="J1208" t="str">
        <f t="shared" si="96"/>
        <v/>
      </c>
      <c r="K1208" s="4" t="str">
        <f t="shared" si="97"/>
        <v/>
      </c>
      <c r="L1208" s="47">
        <f t="shared" si="98"/>
        <v>0</v>
      </c>
      <c r="M1208" s="47">
        <f t="shared" si="99"/>
        <v>0</v>
      </c>
      <c r="N1208" t="str">
        <f>IF(A1208="","",IF(D1208="Category Pending","Needs categorization",IF(COUNTIFS($A$2:A1208,A1208,$B$2:B1208,B1208,$E$2:E1208,E1208)&gt;1,"Possible duplicate","")))</f>
        <v/>
      </c>
    </row>
    <row r="1209" spans="3:14" x14ac:dyDescent="0.3">
      <c r="C1209" s="16"/>
      <c r="G1209" s="5" t="str">
        <f t="shared" si="95"/>
        <v/>
      </c>
      <c r="H1209" t="str">
        <f>IF(A1209="","",IFERROR(_xlfn.XLOOKUP(D1209,Setup!$E$15:$E$79,Setup!$F$15:$F$79),"Miscellaneous"))</f>
        <v/>
      </c>
      <c r="I1209" t="str">
        <f>IF(A1209="","",IFERROR(_xlfn.XLOOKUP(D1209,Setup!$E$15:$E$79,Setup!$G$15:$G$79),"Uncategorized"))</f>
        <v/>
      </c>
      <c r="J1209" t="str">
        <f t="shared" si="96"/>
        <v/>
      </c>
      <c r="K1209" s="4" t="str">
        <f t="shared" si="97"/>
        <v/>
      </c>
      <c r="L1209" s="47">
        <f t="shared" si="98"/>
        <v>0</v>
      </c>
      <c r="M1209" s="47">
        <f t="shared" si="99"/>
        <v>0</v>
      </c>
      <c r="N1209" t="str">
        <f>IF(A1209="","",IF(D1209="Category Pending","Needs categorization",IF(COUNTIFS($A$2:A1209,A1209,$B$2:B1209,B1209,$E$2:E1209,E1209)&gt;1,"Possible duplicate","")))</f>
        <v/>
      </c>
    </row>
    <row r="1210" spans="3:14" x14ac:dyDescent="0.3">
      <c r="C1210" s="16"/>
      <c r="G1210" s="5" t="str">
        <f t="shared" si="95"/>
        <v/>
      </c>
      <c r="H1210" t="str">
        <f>IF(A1210="","",IFERROR(_xlfn.XLOOKUP(D1210,Setup!$E$15:$E$79,Setup!$F$15:$F$79),"Miscellaneous"))</f>
        <v/>
      </c>
      <c r="I1210" t="str">
        <f>IF(A1210="","",IFERROR(_xlfn.XLOOKUP(D1210,Setup!$E$15:$E$79,Setup!$G$15:$G$79),"Uncategorized"))</f>
        <v/>
      </c>
      <c r="J1210" t="str">
        <f t="shared" si="96"/>
        <v/>
      </c>
      <c r="K1210" s="4" t="str">
        <f t="shared" si="97"/>
        <v/>
      </c>
      <c r="L1210" s="47">
        <f t="shared" si="98"/>
        <v>0</v>
      </c>
      <c r="M1210" s="47">
        <f t="shared" si="99"/>
        <v>0</v>
      </c>
      <c r="N1210" t="str">
        <f>IF(A1210="","",IF(D1210="Category Pending","Needs categorization",IF(COUNTIFS($A$2:A1210,A1210,$B$2:B1210,B1210,$E$2:E1210,E1210)&gt;1,"Possible duplicate","")))</f>
        <v/>
      </c>
    </row>
    <row r="1211" spans="3:14" x14ac:dyDescent="0.3">
      <c r="C1211" s="16"/>
      <c r="G1211" s="5" t="str">
        <f t="shared" si="95"/>
        <v/>
      </c>
      <c r="H1211" t="str">
        <f>IF(A1211="","",IFERROR(_xlfn.XLOOKUP(D1211,Setup!$E$15:$E$79,Setup!$F$15:$F$79),"Miscellaneous"))</f>
        <v/>
      </c>
      <c r="I1211" t="str">
        <f>IF(A1211="","",IFERROR(_xlfn.XLOOKUP(D1211,Setup!$E$15:$E$79,Setup!$G$15:$G$79),"Uncategorized"))</f>
        <v/>
      </c>
      <c r="J1211" t="str">
        <f t="shared" si="96"/>
        <v/>
      </c>
      <c r="K1211" s="4" t="str">
        <f t="shared" si="97"/>
        <v/>
      </c>
      <c r="L1211" s="47">
        <f t="shared" si="98"/>
        <v>0</v>
      </c>
      <c r="M1211" s="47">
        <f t="shared" si="99"/>
        <v>0</v>
      </c>
      <c r="N1211" t="str">
        <f>IF(A1211="","",IF(D1211="Category Pending","Needs categorization",IF(COUNTIFS($A$2:A1211,A1211,$B$2:B1211,B1211,$E$2:E1211,E1211)&gt;1,"Possible duplicate","")))</f>
        <v/>
      </c>
    </row>
    <row r="1212" spans="3:14" x14ac:dyDescent="0.3">
      <c r="C1212" s="16"/>
      <c r="G1212" s="5" t="str">
        <f t="shared" si="95"/>
        <v/>
      </c>
      <c r="H1212" t="str">
        <f>IF(A1212="","",IFERROR(_xlfn.XLOOKUP(D1212,Setup!$E$15:$E$79,Setup!$F$15:$F$79),"Miscellaneous"))</f>
        <v/>
      </c>
      <c r="I1212" t="str">
        <f>IF(A1212="","",IFERROR(_xlfn.XLOOKUP(D1212,Setup!$E$15:$E$79,Setup!$G$15:$G$79),"Uncategorized"))</f>
        <v/>
      </c>
      <c r="J1212" t="str">
        <f t="shared" si="96"/>
        <v/>
      </c>
      <c r="K1212" s="4" t="str">
        <f t="shared" si="97"/>
        <v/>
      </c>
      <c r="L1212" s="47">
        <f t="shared" si="98"/>
        <v>0</v>
      </c>
      <c r="M1212" s="47">
        <f t="shared" si="99"/>
        <v>0</v>
      </c>
      <c r="N1212" t="str">
        <f>IF(A1212="","",IF(D1212="Category Pending","Needs categorization",IF(COUNTIFS($A$2:A1212,A1212,$B$2:B1212,B1212,$E$2:E1212,E1212)&gt;1,"Possible duplicate","")))</f>
        <v/>
      </c>
    </row>
    <row r="1213" spans="3:14" x14ac:dyDescent="0.3">
      <c r="C1213" s="16"/>
      <c r="G1213" s="5" t="str">
        <f t="shared" si="95"/>
        <v/>
      </c>
      <c r="H1213" t="str">
        <f>IF(A1213="","",IFERROR(_xlfn.XLOOKUP(D1213,Setup!$E$15:$E$79,Setup!$F$15:$F$79),"Miscellaneous"))</f>
        <v/>
      </c>
      <c r="I1213" t="str">
        <f>IF(A1213="","",IFERROR(_xlfn.XLOOKUP(D1213,Setup!$E$15:$E$79,Setup!$G$15:$G$79),"Uncategorized"))</f>
        <v/>
      </c>
      <c r="J1213" t="str">
        <f t="shared" si="96"/>
        <v/>
      </c>
      <c r="K1213" s="4" t="str">
        <f t="shared" si="97"/>
        <v/>
      </c>
      <c r="L1213" s="47">
        <f t="shared" si="98"/>
        <v>0</v>
      </c>
      <c r="M1213" s="47">
        <f t="shared" si="99"/>
        <v>0</v>
      </c>
      <c r="N1213" t="str">
        <f>IF(A1213="","",IF(D1213="Category Pending","Needs categorization",IF(COUNTIFS($A$2:A1213,A1213,$B$2:B1213,B1213,$E$2:E1213,E1213)&gt;1,"Possible duplicate","")))</f>
        <v/>
      </c>
    </row>
    <row r="1214" spans="3:14" x14ac:dyDescent="0.3">
      <c r="C1214" s="16"/>
      <c r="G1214" s="5" t="str">
        <f t="shared" si="95"/>
        <v/>
      </c>
      <c r="H1214" t="str">
        <f>IF(A1214="","",IFERROR(_xlfn.XLOOKUP(D1214,Setup!$E$15:$E$79,Setup!$F$15:$F$79),"Miscellaneous"))</f>
        <v/>
      </c>
      <c r="I1214" t="str">
        <f>IF(A1214="","",IFERROR(_xlfn.XLOOKUP(D1214,Setup!$E$15:$E$79,Setup!$G$15:$G$79),"Uncategorized"))</f>
        <v/>
      </c>
      <c r="J1214" t="str">
        <f t="shared" si="96"/>
        <v/>
      </c>
      <c r="K1214" s="4" t="str">
        <f t="shared" si="97"/>
        <v/>
      </c>
      <c r="L1214" s="47">
        <f t="shared" si="98"/>
        <v>0</v>
      </c>
      <c r="M1214" s="47">
        <f t="shared" si="99"/>
        <v>0</v>
      </c>
      <c r="N1214" t="str">
        <f>IF(A1214="","",IF(D1214="Category Pending","Needs categorization",IF(COUNTIFS($A$2:A1214,A1214,$B$2:B1214,B1214,$E$2:E1214,E1214)&gt;1,"Possible duplicate","")))</f>
        <v/>
      </c>
    </row>
    <row r="1215" spans="3:14" x14ac:dyDescent="0.3">
      <c r="C1215" s="16"/>
      <c r="G1215" s="5" t="str">
        <f t="shared" si="95"/>
        <v/>
      </c>
      <c r="H1215" t="str">
        <f>IF(A1215="","",IFERROR(_xlfn.XLOOKUP(D1215,Setup!$E$15:$E$79,Setup!$F$15:$F$79),"Miscellaneous"))</f>
        <v/>
      </c>
      <c r="I1215" t="str">
        <f>IF(A1215="","",IFERROR(_xlfn.XLOOKUP(D1215,Setup!$E$15:$E$79,Setup!$G$15:$G$79),"Uncategorized"))</f>
        <v/>
      </c>
      <c r="J1215" t="str">
        <f t="shared" si="96"/>
        <v/>
      </c>
      <c r="K1215" s="4" t="str">
        <f t="shared" si="97"/>
        <v/>
      </c>
      <c r="L1215" s="47">
        <f t="shared" si="98"/>
        <v>0</v>
      </c>
      <c r="M1215" s="47">
        <f t="shared" si="99"/>
        <v>0</v>
      </c>
      <c r="N1215" t="str">
        <f>IF(A1215="","",IF(D1215="Category Pending","Needs categorization",IF(COUNTIFS($A$2:A1215,A1215,$B$2:B1215,B1215,$E$2:E1215,E1215)&gt;1,"Possible duplicate","")))</f>
        <v/>
      </c>
    </row>
    <row r="1216" spans="3:14" x14ac:dyDescent="0.3">
      <c r="C1216" s="16"/>
      <c r="G1216" s="5" t="str">
        <f t="shared" si="95"/>
        <v/>
      </c>
      <c r="H1216" t="str">
        <f>IF(A1216="","",IFERROR(_xlfn.XLOOKUP(D1216,Setup!$E$15:$E$79,Setup!$F$15:$F$79),"Miscellaneous"))</f>
        <v/>
      </c>
      <c r="I1216" t="str">
        <f>IF(A1216="","",IFERROR(_xlfn.XLOOKUP(D1216,Setup!$E$15:$E$79,Setup!$G$15:$G$79),"Uncategorized"))</f>
        <v/>
      </c>
      <c r="J1216" t="str">
        <f t="shared" si="96"/>
        <v/>
      </c>
      <c r="K1216" s="4" t="str">
        <f t="shared" si="97"/>
        <v/>
      </c>
      <c r="L1216" s="47">
        <f t="shared" si="98"/>
        <v>0</v>
      </c>
      <c r="M1216" s="47">
        <f t="shared" si="99"/>
        <v>0</v>
      </c>
      <c r="N1216" t="str">
        <f>IF(A1216="","",IF(D1216="Category Pending","Needs categorization",IF(COUNTIFS($A$2:A1216,A1216,$B$2:B1216,B1216,$E$2:E1216,E1216)&gt;1,"Possible duplicate","")))</f>
        <v/>
      </c>
    </row>
    <row r="1217" spans="3:14" x14ac:dyDescent="0.3">
      <c r="C1217" s="16"/>
      <c r="G1217" s="5" t="str">
        <f t="shared" si="95"/>
        <v/>
      </c>
      <c r="H1217" t="str">
        <f>IF(A1217="","",IFERROR(_xlfn.XLOOKUP(D1217,Setup!$E$15:$E$79,Setup!$F$15:$F$79),"Miscellaneous"))</f>
        <v/>
      </c>
      <c r="I1217" t="str">
        <f>IF(A1217="","",IFERROR(_xlfn.XLOOKUP(D1217,Setup!$E$15:$E$79,Setup!$G$15:$G$79),"Uncategorized"))</f>
        <v/>
      </c>
      <c r="J1217" t="str">
        <f t="shared" si="96"/>
        <v/>
      </c>
      <c r="K1217" s="4" t="str">
        <f t="shared" si="97"/>
        <v/>
      </c>
      <c r="L1217" s="47">
        <f t="shared" si="98"/>
        <v>0</v>
      </c>
      <c r="M1217" s="47">
        <f t="shared" si="99"/>
        <v>0</v>
      </c>
      <c r="N1217" t="str">
        <f>IF(A1217="","",IF(D1217="Category Pending","Needs categorization",IF(COUNTIFS($A$2:A1217,A1217,$B$2:B1217,B1217,$E$2:E1217,E1217)&gt;1,"Possible duplicate","")))</f>
        <v/>
      </c>
    </row>
    <row r="1218" spans="3:14" x14ac:dyDescent="0.3">
      <c r="C1218" s="16"/>
      <c r="G1218" s="5" t="str">
        <f t="shared" si="95"/>
        <v/>
      </c>
      <c r="H1218" t="str">
        <f>IF(A1218="","",IFERROR(_xlfn.XLOOKUP(D1218,Setup!$E$15:$E$79,Setup!$F$15:$F$79),"Miscellaneous"))</f>
        <v/>
      </c>
      <c r="I1218" t="str">
        <f>IF(A1218="","",IFERROR(_xlfn.XLOOKUP(D1218,Setup!$E$15:$E$79,Setup!$G$15:$G$79),"Uncategorized"))</f>
        <v/>
      </c>
      <c r="J1218" t="str">
        <f t="shared" si="96"/>
        <v/>
      </c>
      <c r="K1218" s="4" t="str">
        <f t="shared" si="97"/>
        <v/>
      </c>
      <c r="L1218" s="47">
        <f t="shared" si="98"/>
        <v>0</v>
      </c>
      <c r="M1218" s="47">
        <f t="shared" si="99"/>
        <v>0</v>
      </c>
      <c r="N1218" t="str">
        <f>IF(A1218="","",IF(D1218="Category Pending","Needs categorization",IF(COUNTIFS($A$2:A1218,A1218,$B$2:B1218,B1218,$E$2:E1218,E1218)&gt;1,"Possible duplicate","")))</f>
        <v/>
      </c>
    </row>
    <row r="1219" spans="3:14" x14ac:dyDescent="0.3">
      <c r="C1219" s="16"/>
      <c r="G1219" s="5" t="str">
        <f t="shared" si="95"/>
        <v/>
      </c>
      <c r="H1219" t="str">
        <f>IF(A1219="","",IFERROR(_xlfn.XLOOKUP(D1219,Setup!$E$15:$E$79,Setup!$F$15:$F$79),"Miscellaneous"))</f>
        <v/>
      </c>
      <c r="I1219" t="str">
        <f>IF(A1219="","",IFERROR(_xlfn.XLOOKUP(D1219,Setup!$E$15:$E$79,Setup!$G$15:$G$79),"Uncategorized"))</f>
        <v/>
      </c>
      <c r="J1219" t="str">
        <f t="shared" si="96"/>
        <v/>
      </c>
      <c r="K1219" s="4" t="str">
        <f t="shared" si="97"/>
        <v/>
      </c>
      <c r="L1219" s="47">
        <f t="shared" si="98"/>
        <v>0</v>
      </c>
      <c r="M1219" s="47">
        <f t="shared" si="99"/>
        <v>0</v>
      </c>
      <c r="N1219" t="str">
        <f>IF(A1219="","",IF(D1219="Category Pending","Needs categorization",IF(COUNTIFS($A$2:A1219,A1219,$B$2:B1219,B1219,$E$2:E1219,E1219)&gt;1,"Possible duplicate","")))</f>
        <v/>
      </c>
    </row>
    <row r="1220" spans="3:14" x14ac:dyDescent="0.3">
      <c r="C1220" s="16"/>
      <c r="G1220" s="5" t="str">
        <f t="shared" si="95"/>
        <v/>
      </c>
      <c r="H1220" t="str">
        <f>IF(A1220="","",IFERROR(_xlfn.XLOOKUP(D1220,Setup!$E$15:$E$79,Setup!$F$15:$F$79),"Miscellaneous"))</f>
        <v/>
      </c>
      <c r="I1220" t="str">
        <f>IF(A1220="","",IFERROR(_xlfn.XLOOKUP(D1220,Setup!$E$15:$E$79,Setup!$G$15:$G$79),"Uncategorized"))</f>
        <v/>
      </c>
      <c r="J1220" t="str">
        <f t="shared" si="96"/>
        <v/>
      </c>
      <c r="K1220" s="4" t="str">
        <f t="shared" si="97"/>
        <v/>
      </c>
      <c r="L1220" s="47">
        <f t="shared" si="98"/>
        <v>0</v>
      </c>
      <c r="M1220" s="47">
        <f t="shared" si="99"/>
        <v>0</v>
      </c>
      <c r="N1220" t="str">
        <f>IF(A1220="","",IF(D1220="Category Pending","Needs categorization",IF(COUNTIFS($A$2:A1220,A1220,$B$2:B1220,B1220,$E$2:E1220,E1220)&gt;1,"Possible duplicate","")))</f>
        <v/>
      </c>
    </row>
    <row r="1221" spans="3:14" x14ac:dyDescent="0.3">
      <c r="C1221" s="16"/>
      <c r="G1221" s="5" t="str">
        <f t="shared" si="95"/>
        <v/>
      </c>
      <c r="H1221" t="str">
        <f>IF(A1221="","",IFERROR(_xlfn.XLOOKUP(D1221,Setup!$E$15:$E$79,Setup!$F$15:$F$79),"Miscellaneous"))</f>
        <v/>
      </c>
      <c r="I1221" t="str">
        <f>IF(A1221="","",IFERROR(_xlfn.XLOOKUP(D1221,Setup!$E$15:$E$79,Setup!$G$15:$G$79),"Uncategorized"))</f>
        <v/>
      </c>
      <c r="J1221" t="str">
        <f t="shared" si="96"/>
        <v/>
      </c>
      <c r="K1221" s="4" t="str">
        <f t="shared" si="97"/>
        <v/>
      </c>
      <c r="L1221" s="47">
        <f t="shared" si="98"/>
        <v>0</v>
      </c>
      <c r="M1221" s="47">
        <f t="shared" si="99"/>
        <v>0</v>
      </c>
      <c r="N1221" t="str">
        <f>IF(A1221="","",IF(D1221="Category Pending","Needs categorization",IF(COUNTIFS($A$2:A1221,A1221,$B$2:B1221,B1221,$E$2:E1221,E1221)&gt;1,"Possible duplicate","")))</f>
        <v/>
      </c>
    </row>
    <row r="1222" spans="3:14" x14ac:dyDescent="0.3">
      <c r="C1222" s="16"/>
      <c r="G1222" s="5" t="str">
        <f t="shared" si="95"/>
        <v/>
      </c>
      <c r="H1222" t="str">
        <f>IF(A1222="","",IFERROR(_xlfn.XLOOKUP(D1222,Setup!$E$15:$E$79,Setup!$F$15:$F$79),"Miscellaneous"))</f>
        <v/>
      </c>
      <c r="I1222" t="str">
        <f>IF(A1222="","",IFERROR(_xlfn.XLOOKUP(D1222,Setup!$E$15:$E$79,Setup!$G$15:$G$79),"Uncategorized"))</f>
        <v/>
      </c>
      <c r="J1222" t="str">
        <f t="shared" si="96"/>
        <v/>
      </c>
      <c r="K1222" s="4" t="str">
        <f t="shared" si="97"/>
        <v/>
      </c>
      <c r="L1222" s="47">
        <f t="shared" si="98"/>
        <v>0</v>
      </c>
      <c r="M1222" s="47">
        <f t="shared" si="99"/>
        <v>0</v>
      </c>
      <c r="N1222" t="str">
        <f>IF(A1222="","",IF(D1222="Category Pending","Needs categorization",IF(COUNTIFS($A$2:A1222,A1222,$B$2:B1222,B1222,$E$2:E1222,E1222)&gt;1,"Possible duplicate","")))</f>
        <v/>
      </c>
    </row>
    <row r="1223" spans="3:14" x14ac:dyDescent="0.3">
      <c r="C1223" s="16"/>
      <c r="G1223" s="5" t="str">
        <f t="shared" si="95"/>
        <v/>
      </c>
      <c r="H1223" t="str">
        <f>IF(A1223="","",IFERROR(_xlfn.XLOOKUP(D1223,Setup!$E$15:$E$79,Setup!$F$15:$F$79),"Miscellaneous"))</f>
        <v/>
      </c>
      <c r="I1223" t="str">
        <f>IF(A1223="","",IFERROR(_xlfn.XLOOKUP(D1223,Setup!$E$15:$E$79,Setup!$G$15:$G$79),"Uncategorized"))</f>
        <v/>
      </c>
      <c r="J1223" t="str">
        <f t="shared" si="96"/>
        <v/>
      </c>
      <c r="K1223" s="4" t="str">
        <f t="shared" si="97"/>
        <v/>
      </c>
      <c r="L1223" s="47">
        <f t="shared" si="98"/>
        <v>0</v>
      </c>
      <c r="M1223" s="47">
        <f t="shared" si="99"/>
        <v>0</v>
      </c>
      <c r="N1223" t="str">
        <f>IF(A1223="","",IF(D1223="Category Pending","Needs categorization",IF(COUNTIFS($A$2:A1223,A1223,$B$2:B1223,B1223,$E$2:E1223,E1223)&gt;1,"Possible duplicate","")))</f>
        <v/>
      </c>
    </row>
    <row r="1224" spans="3:14" x14ac:dyDescent="0.3">
      <c r="C1224" s="16"/>
      <c r="G1224" s="5" t="str">
        <f t="shared" si="95"/>
        <v/>
      </c>
      <c r="H1224" t="str">
        <f>IF(A1224="","",IFERROR(_xlfn.XLOOKUP(D1224,Setup!$E$15:$E$79,Setup!$F$15:$F$79),"Miscellaneous"))</f>
        <v/>
      </c>
      <c r="I1224" t="str">
        <f>IF(A1224="","",IFERROR(_xlfn.XLOOKUP(D1224,Setup!$E$15:$E$79,Setup!$G$15:$G$79),"Uncategorized"))</f>
        <v/>
      </c>
      <c r="J1224" t="str">
        <f t="shared" si="96"/>
        <v/>
      </c>
      <c r="K1224" s="4" t="str">
        <f t="shared" si="97"/>
        <v/>
      </c>
      <c r="L1224" s="47">
        <f t="shared" si="98"/>
        <v>0</v>
      </c>
      <c r="M1224" s="47">
        <f t="shared" si="99"/>
        <v>0</v>
      </c>
      <c r="N1224" t="str">
        <f>IF(A1224="","",IF(D1224="Category Pending","Needs categorization",IF(COUNTIFS($A$2:A1224,A1224,$B$2:B1224,B1224,$E$2:E1224,E1224)&gt;1,"Possible duplicate","")))</f>
        <v/>
      </c>
    </row>
    <row r="1225" spans="3:14" x14ac:dyDescent="0.3">
      <c r="C1225" s="16"/>
      <c r="G1225" s="5" t="str">
        <f t="shared" si="95"/>
        <v/>
      </c>
      <c r="H1225" t="str">
        <f>IF(A1225="","",IFERROR(_xlfn.XLOOKUP(D1225,Setup!$E$15:$E$79,Setup!$F$15:$F$79),"Miscellaneous"))</f>
        <v/>
      </c>
      <c r="I1225" t="str">
        <f>IF(A1225="","",IFERROR(_xlfn.XLOOKUP(D1225,Setup!$E$15:$E$79,Setup!$G$15:$G$79),"Uncategorized"))</f>
        <v/>
      </c>
      <c r="J1225" t="str">
        <f t="shared" si="96"/>
        <v/>
      </c>
      <c r="K1225" s="4" t="str">
        <f t="shared" si="97"/>
        <v/>
      </c>
      <c r="L1225" s="47">
        <f t="shared" si="98"/>
        <v>0</v>
      </c>
      <c r="M1225" s="47">
        <f t="shared" si="99"/>
        <v>0</v>
      </c>
      <c r="N1225" t="str">
        <f>IF(A1225="","",IF(D1225="Category Pending","Needs categorization",IF(COUNTIFS($A$2:A1225,A1225,$B$2:B1225,B1225,$E$2:E1225,E1225)&gt;1,"Possible duplicate","")))</f>
        <v/>
      </c>
    </row>
    <row r="1226" spans="3:14" x14ac:dyDescent="0.3">
      <c r="C1226" s="16"/>
      <c r="G1226" s="5" t="str">
        <f t="shared" si="95"/>
        <v/>
      </c>
      <c r="H1226" t="str">
        <f>IF(A1226="","",IFERROR(_xlfn.XLOOKUP(D1226,Setup!$E$15:$E$79,Setup!$F$15:$F$79),"Miscellaneous"))</f>
        <v/>
      </c>
      <c r="I1226" t="str">
        <f>IF(A1226="","",IFERROR(_xlfn.XLOOKUP(D1226,Setup!$E$15:$E$79,Setup!$G$15:$G$79),"Uncategorized"))</f>
        <v/>
      </c>
      <c r="J1226" t="str">
        <f t="shared" si="96"/>
        <v/>
      </c>
      <c r="K1226" s="4" t="str">
        <f t="shared" si="97"/>
        <v/>
      </c>
      <c r="L1226" s="47">
        <f t="shared" si="98"/>
        <v>0</v>
      </c>
      <c r="M1226" s="47">
        <f t="shared" si="99"/>
        <v>0</v>
      </c>
      <c r="N1226" t="str">
        <f>IF(A1226="","",IF(D1226="Category Pending","Needs categorization",IF(COUNTIFS($A$2:A1226,A1226,$B$2:B1226,B1226,$E$2:E1226,E1226)&gt;1,"Possible duplicate","")))</f>
        <v/>
      </c>
    </row>
    <row r="1227" spans="3:14" x14ac:dyDescent="0.3">
      <c r="C1227" s="16"/>
      <c r="G1227" s="5" t="str">
        <f t="shared" si="95"/>
        <v/>
      </c>
      <c r="H1227" t="str">
        <f>IF(A1227="","",IFERROR(_xlfn.XLOOKUP(D1227,Setup!$E$15:$E$79,Setup!$F$15:$F$79),"Miscellaneous"))</f>
        <v/>
      </c>
      <c r="I1227" t="str">
        <f>IF(A1227="","",IFERROR(_xlfn.XLOOKUP(D1227,Setup!$E$15:$E$79,Setup!$G$15:$G$79),"Uncategorized"))</f>
        <v/>
      </c>
      <c r="J1227" t="str">
        <f t="shared" si="96"/>
        <v/>
      </c>
      <c r="K1227" s="4" t="str">
        <f t="shared" si="97"/>
        <v/>
      </c>
      <c r="L1227" s="47">
        <f t="shared" si="98"/>
        <v>0</v>
      </c>
      <c r="M1227" s="47">
        <f t="shared" si="99"/>
        <v>0</v>
      </c>
      <c r="N1227" t="str">
        <f>IF(A1227="","",IF(D1227="Category Pending","Needs categorization",IF(COUNTIFS($A$2:A1227,A1227,$B$2:B1227,B1227,$E$2:E1227,E1227)&gt;1,"Possible duplicate","")))</f>
        <v/>
      </c>
    </row>
    <row r="1228" spans="3:14" x14ac:dyDescent="0.3">
      <c r="C1228" s="16"/>
      <c r="G1228" s="5" t="str">
        <f t="shared" si="95"/>
        <v/>
      </c>
      <c r="H1228" t="str">
        <f>IF(A1228="","",IFERROR(_xlfn.XLOOKUP(D1228,Setup!$E$15:$E$79,Setup!$F$15:$F$79),"Miscellaneous"))</f>
        <v/>
      </c>
      <c r="I1228" t="str">
        <f>IF(A1228="","",IFERROR(_xlfn.XLOOKUP(D1228,Setup!$E$15:$E$79,Setup!$G$15:$G$79),"Uncategorized"))</f>
        <v/>
      </c>
      <c r="J1228" t="str">
        <f t="shared" si="96"/>
        <v/>
      </c>
      <c r="K1228" s="4" t="str">
        <f t="shared" si="97"/>
        <v/>
      </c>
      <c r="L1228" s="47">
        <f t="shared" si="98"/>
        <v>0</v>
      </c>
      <c r="M1228" s="47">
        <f t="shared" si="99"/>
        <v>0</v>
      </c>
      <c r="N1228" t="str">
        <f>IF(A1228="","",IF(D1228="Category Pending","Needs categorization",IF(COUNTIFS($A$2:A1228,A1228,$B$2:B1228,B1228,$E$2:E1228,E1228)&gt;1,"Possible duplicate","")))</f>
        <v/>
      </c>
    </row>
    <row r="1229" spans="3:14" x14ac:dyDescent="0.3">
      <c r="C1229" s="16"/>
      <c r="G1229" s="5" t="str">
        <f t="shared" si="95"/>
        <v/>
      </c>
      <c r="H1229" t="str">
        <f>IF(A1229="","",IFERROR(_xlfn.XLOOKUP(D1229,Setup!$E$15:$E$79,Setup!$F$15:$F$79),"Miscellaneous"))</f>
        <v/>
      </c>
      <c r="I1229" t="str">
        <f>IF(A1229="","",IFERROR(_xlfn.XLOOKUP(D1229,Setup!$E$15:$E$79,Setup!$G$15:$G$79),"Uncategorized"))</f>
        <v/>
      </c>
      <c r="J1229" t="str">
        <f t="shared" si="96"/>
        <v/>
      </c>
      <c r="K1229" s="4" t="str">
        <f t="shared" si="97"/>
        <v/>
      </c>
      <c r="L1229" s="47">
        <f t="shared" si="98"/>
        <v>0</v>
      </c>
      <c r="M1229" s="47">
        <f t="shared" si="99"/>
        <v>0</v>
      </c>
      <c r="N1229" t="str">
        <f>IF(A1229="","",IF(D1229="Category Pending","Needs categorization",IF(COUNTIFS($A$2:A1229,A1229,$B$2:B1229,B1229,$E$2:E1229,E1229)&gt;1,"Possible duplicate","")))</f>
        <v/>
      </c>
    </row>
    <row r="1230" spans="3:14" x14ac:dyDescent="0.3">
      <c r="C1230" s="16"/>
      <c r="G1230" s="5" t="str">
        <f t="shared" si="95"/>
        <v/>
      </c>
      <c r="H1230" t="str">
        <f>IF(A1230="","",IFERROR(_xlfn.XLOOKUP(D1230,Setup!$E$15:$E$79,Setup!$F$15:$F$79),"Miscellaneous"))</f>
        <v/>
      </c>
      <c r="I1230" t="str">
        <f>IF(A1230="","",IFERROR(_xlfn.XLOOKUP(D1230,Setup!$E$15:$E$79,Setup!$G$15:$G$79),"Uncategorized"))</f>
        <v/>
      </c>
      <c r="J1230" t="str">
        <f t="shared" si="96"/>
        <v/>
      </c>
      <c r="K1230" s="4" t="str">
        <f t="shared" si="97"/>
        <v/>
      </c>
      <c r="L1230" s="47">
        <f t="shared" si="98"/>
        <v>0</v>
      </c>
      <c r="M1230" s="47">
        <f t="shared" si="99"/>
        <v>0</v>
      </c>
      <c r="N1230" t="str">
        <f>IF(A1230="","",IF(D1230="Category Pending","Needs categorization",IF(COUNTIFS($A$2:A1230,A1230,$B$2:B1230,B1230,$E$2:E1230,E1230)&gt;1,"Possible duplicate","")))</f>
        <v/>
      </c>
    </row>
    <row r="1231" spans="3:14" x14ac:dyDescent="0.3">
      <c r="C1231" s="16"/>
      <c r="G1231" s="5" t="str">
        <f t="shared" si="95"/>
        <v/>
      </c>
      <c r="H1231" t="str">
        <f>IF(A1231="","",IFERROR(_xlfn.XLOOKUP(D1231,Setup!$E$15:$E$79,Setup!$F$15:$F$79),"Miscellaneous"))</f>
        <v/>
      </c>
      <c r="I1231" t="str">
        <f>IF(A1231="","",IFERROR(_xlfn.XLOOKUP(D1231,Setup!$E$15:$E$79,Setup!$G$15:$G$79),"Uncategorized"))</f>
        <v/>
      </c>
      <c r="J1231" t="str">
        <f t="shared" si="96"/>
        <v/>
      </c>
      <c r="K1231" s="4" t="str">
        <f t="shared" si="97"/>
        <v/>
      </c>
      <c r="L1231" s="47">
        <f t="shared" si="98"/>
        <v>0</v>
      </c>
      <c r="M1231" s="47">
        <f t="shared" si="99"/>
        <v>0</v>
      </c>
      <c r="N1231" t="str">
        <f>IF(A1231="","",IF(D1231="Category Pending","Needs categorization",IF(COUNTIFS($A$2:A1231,A1231,$B$2:B1231,B1231,$E$2:E1231,E1231)&gt;1,"Possible duplicate","")))</f>
        <v/>
      </c>
    </row>
    <row r="1232" spans="3:14" x14ac:dyDescent="0.3">
      <c r="C1232" s="16"/>
      <c r="G1232" s="5" t="str">
        <f t="shared" si="95"/>
        <v/>
      </c>
      <c r="H1232" t="str">
        <f>IF(A1232="","",IFERROR(_xlfn.XLOOKUP(D1232,Setup!$E$15:$E$79,Setup!$F$15:$F$79),"Miscellaneous"))</f>
        <v/>
      </c>
      <c r="I1232" t="str">
        <f>IF(A1232="","",IFERROR(_xlfn.XLOOKUP(D1232,Setup!$E$15:$E$79,Setup!$G$15:$G$79),"Uncategorized"))</f>
        <v/>
      </c>
      <c r="J1232" t="str">
        <f t="shared" si="96"/>
        <v/>
      </c>
      <c r="K1232" s="4" t="str">
        <f t="shared" si="97"/>
        <v/>
      </c>
      <c r="L1232" s="47">
        <f t="shared" si="98"/>
        <v>0</v>
      </c>
      <c r="M1232" s="47">
        <f t="shared" si="99"/>
        <v>0</v>
      </c>
      <c r="N1232" t="str">
        <f>IF(A1232="","",IF(D1232="Category Pending","Needs categorization",IF(COUNTIFS($A$2:A1232,A1232,$B$2:B1232,B1232,$E$2:E1232,E1232)&gt;1,"Possible duplicate","")))</f>
        <v/>
      </c>
    </row>
    <row r="1233" spans="3:14" x14ac:dyDescent="0.3">
      <c r="C1233" s="16"/>
      <c r="G1233" s="5" t="str">
        <f t="shared" si="95"/>
        <v/>
      </c>
      <c r="H1233" t="str">
        <f>IF(A1233="","",IFERROR(_xlfn.XLOOKUP(D1233,Setup!$E$15:$E$79,Setup!$F$15:$F$79),"Miscellaneous"))</f>
        <v/>
      </c>
      <c r="I1233" t="str">
        <f>IF(A1233="","",IFERROR(_xlfn.XLOOKUP(D1233,Setup!$E$15:$E$79,Setup!$G$15:$G$79),"Uncategorized"))</f>
        <v/>
      </c>
      <c r="J1233" t="str">
        <f t="shared" si="96"/>
        <v/>
      </c>
      <c r="K1233" s="4" t="str">
        <f t="shared" si="97"/>
        <v/>
      </c>
      <c r="L1233" s="47">
        <f t="shared" si="98"/>
        <v>0</v>
      </c>
      <c r="M1233" s="47">
        <f t="shared" si="99"/>
        <v>0</v>
      </c>
      <c r="N1233" t="str">
        <f>IF(A1233="","",IF(D1233="Category Pending","Needs categorization",IF(COUNTIFS($A$2:A1233,A1233,$B$2:B1233,B1233,$E$2:E1233,E1233)&gt;1,"Possible duplicate","")))</f>
        <v/>
      </c>
    </row>
    <row r="1234" spans="3:14" x14ac:dyDescent="0.3">
      <c r="C1234" s="16"/>
      <c r="G1234" s="5" t="str">
        <f t="shared" si="95"/>
        <v/>
      </c>
      <c r="H1234" t="str">
        <f>IF(A1234="","",IFERROR(_xlfn.XLOOKUP(D1234,Setup!$E$15:$E$79,Setup!$F$15:$F$79),"Miscellaneous"))</f>
        <v/>
      </c>
      <c r="I1234" t="str">
        <f>IF(A1234="","",IFERROR(_xlfn.XLOOKUP(D1234,Setup!$E$15:$E$79,Setup!$G$15:$G$79),"Uncategorized"))</f>
        <v/>
      </c>
      <c r="J1234" t="str">
        <f t="shared" si="96"/>
        <v/>
      </c>
      <c r="K1234" s="4" t="str">
        <f t="shared" si="97"/>
        <v/>
      </c>
      <c r="L1234" s="47">
        <f t="shared" si="98"/>
        <v>0</v>
      </c>
      <c r="M1234" s="47">
        <f t="shared" si="99"/>
        <v>0</v>
      </c>
      <c r="N1234" t="str">
        <f>IF(A1234="","",IF(D1234="Category Pending","Needs categorization",IF(COUNTIFS($A$2:A1234,A1234,$B$2:B1234,B1234,$E$2:E1234,E1234)&gt;1,"Possible duplicate","")))</f>
        <v/>
      </c>
    </row>
    <row r="1235" spans="3:14" x14ac:dyDescent="0.3">
      <c r="C1235" s="16"/>
      <c r="G1235" s="5" t="str">
        <f t="shared" si="95"/>
        <v/>
      </c>
      <c r="H1235" t="str">
        <f>IF(A1235="","",IFERROR(_xlfn.XLOOKUP(D1235,Setup!$E$15:$E$79,Setup!$F$15:$F$79),"Miscellaneous"))</f>
        <v/>
      </c>
      <c r="I1235" t="str">
        <f>IF(A1235="","",IFERROR(_xlfn.XLOOKUP(D1235,Setup!$E$15:$E$79,Setup!$G$15:$G$79),"Uncategorized"))</f>
        <v/>
      </c>
      <c r="J1235" t="str">
        <f t="shared" si="96"/>
        <v/>
      </c>
      <c r="K1235" s="4" t="str">
        <f t="shared" si="97"/>
        <v/>
      </c>
      <c r="L1235" s="47">
        <f t="shared" si="98"/>
        <v>0</v>
      </c>
      <c r="M1235" s="47">
        <f t="shared" si="99"/>
        <v>0</v>
      </c>
      <c r="N1235" t="str">
        <f>IF(A1235="","",IF(D1235="Category Pending","Needs categorization",IF(COUNTIFS($A$2:A1235,A1235,$B$2:B1235,B1235,$E$2:E1235,E1235)&gt;1,"Possible duplicate","")))</f>
        <v/>
      </c>
    </row>
    <row r="1236" spans="3:14" x14ac:dyDescent="0.3">
      <c r="C1236" s="16"/>
      <c r="G1236" s="5" t="str">
        <f t="shared" si="95"/>
        <v/>
      </c>
      <c r="H1236" t="str">
        <f>IF(A1236="","",IFERROR(_xlfn.XLOOKUP(D1236,Setup!$E$15:$E$79,Setup!$F$15:$F$79),"Miscellaneous"))</f>
        <v/>
      </c>
      <c r="I1236" t="str">
        <f>IF(A1236="","",IFERROR(_xlfn.XLOOKUP(D1236,Setup!$E$15:$E$79,Setup!$G$15:$G$79),"Uncategorized"))</f>
        <v/>
      </c>
      <c r="J1236" t="str">
        <f t="shared" si="96"/>
        <v/>
      </c>
      <c r="K1236" s="4" t="str">
        <f t="shared" si="97"/>
        <v/>
      </c>
      <c r="L1236" s="47">
        <f t="shared" si="98"/>
        <v>0</v>
      </c>
      <c r="M1236" s="47">
        <f t="shared" si="99"/>
        <v>0</v>
      </c>
      <c r="N1236" t="str">
        <f>IF(A1236="","",IF(D1236="Category Pending","Needs categorization",IF(COUNTIFS($A$2:A1236,A1236,$B$2:B1236,B1236,$E$2:E1236,E1236)&gt;1,"Possible duplicate","")))</f>
        <v/>
      </c>
    </row>
    <row r="1237" spans="3:14" x14ac:dyDescent="0.3">
      <c r="C1237" s="16"/>
      <c r="G1237" s="5" t="str">
        <f t="shared" si="95"/>
        <v/>
      </c>
      <c r="H1237" t="str">
        <f>IF(A1237="","",IFERROR(_xlfn.XLOOKUP(D1237,Setup!$E$15:$E$79,Setup!$F$15:$F$79),"Miscellaneous"))</f>
        <v/>
      </c>
      <c r="I1237" t="str">
        <f>IF(A1237="","",IFERROR(_xlfn.XLOOKUP(D1237,Setup!$E$15:$E$79,Setup!$G$15:$G$79),"Uncategorized"))</f>
        <v/>
      </c>
      <c r="J1237" t="str">
        <f t="shared" si="96"/>
        <v/>
      </c>
      <c r="K1237" s="4" t="str">
        <f t="shared" si="97"/>
        <v/>
      </c>
      <c r="L1237" s="47">
        <f t="shared" si="98"/>
        <v>0</v>
      </c>
      <c r="M1237" s="47">
        <f t="shared" si="99"/>
        <v>0</v>
      </c>
      <c r="N1237" t="str">
        <f>IF(A1237="","",IF(D1237="Category Pending","Needs categorization",IF(COUNTIFS($A$2:A1237,A1237,$B$2:B1237,B1237,$E$2:E1237,E1237)&gt;1,"Possible duplicate","")))</f>
        <v/>
      </c>
    </row>
    <row r="1238" spans="3:14" x14ac:dyDescent="0.3">
      <c r="C1238" s="16"/>
      <c r="G1238" s="5" t="str">
        <f t="shared" si="95"/>
        <v/>
      </c>
      <c r="H1238" t="str">
        <f>IF(A1238="","",IFERROR(_xlfn.XLOOKUP(D1238,Setup!$E$15:$E$79,Setup!$F$15:$F$79),"Miscellaneous"))</f>
        <v/>
      </c>
      <c r="I1238" t="str">
        <f>IF(A1238="","",IFERROR(_xlfn.XLOOKUP(D1238,Setup!$E$15:$E$79,Setup!$G$15:$G$79),"Uncategorized"))</f>
        <v/>
      </c>
      <c r="J1238" t="str">
        <f t="shared" si="96"/>
        <v/>
      </c>
      <c r="K1238" s="4" t="str">
        <f t="shared" si="97"/>
        <v/>
      </c>
      <c r="L1238" s="47">
        <f t="shared" si="98"/>
        <v>0</v>
      </c>
      <c r="M1238" s="47">
        <f t="shared" si="99"/>
        <v>0</v>
      </c>
      <c r="N1238" t="str">
        <f>IF(A1238="","",IF(D1238="Category Pending","Needs categorization",IF(COUNTIFS($A$2:A1238,A1238,$B$2:B1238,B1238,$E$2:E1238,E1238)&gt;1,"Possible duplicate","")))</f>
        <v/>
      </c>
    </row>
    <row r="1239" spans="3:14" x14ac:dyDescent="0.3">
      <c r="C1239" s="16"/>
      <c r="G1239" s="5" t="str">
        <f t="shared" si="95"/>
        <v/>
      </c>
      <c r="H1239" t="str">
        <f>IF(A1239="","",IFERROR(_xlfn.XLOOKUP(D1239,Setup!$E$15:$E$79,Setup!$F$15:$F$79),"Miscellaneous"))</f>
        <v/>
      </c>
      <c r="I1239" t="str">
        <f>IF(A1239="","",IFERROR(_xlfn.XLOOKUP(D1239,Setup!$E$15:$E$79,Setup!$G$15:$G$79),"Uncategorized"))</f>
        <v/>
      </c>
      <c r="J1239" t="str">
        <f t="shared" si="96"/>
        <v/>
      </c>
      <c r="K1239" s="4" t="str">
        <f t="shared" si="97"/>
        <v/>
      </c>
      <c r="L1239" s="47">
        <f t="shared" si="98"/>
        <v>0</v>
      </c>
      <c r="M1239" s="47">
        <f t="shared" si="99"/>
        <v>0</v>
      </c>
      <c r="N1239" t="str">
        <f>IF(A1239="","",IF(D1239="Category Pending","Needs categorization",IF(COUNTIFS($A$2:A1239,A1239,$B$2:B1239,B1239,$E$2:E1239,E1239)&gt;1,"Possible duplicate","")))</f>
        <v/>
      </c>
    </row>
    <row r="1240" spans="3:14" x14ac:dyDescent="0.3">
      <c r="C1240" s="16"/>
      <c r="G1240" s="5" t="str">
        <f t="shared" si="95"/>
        <v/>
      </c>
      <c r="H1240" t="str">
        <f>IF(A1240="","",IFERROR(_xlfn.XLOOKUP(D1240,Setup!$E$15:$E$79,Setup!$F$15:$F$79),"Miscellaneous"))</f>
        <v/>
      </c>
      <c r="I1240" t="str">
        <f>IF(A1240="","",IFERROR(_xlfn.XLOOKUP(D1240,Setup!$E$15:$E$79,Setup!$G$15:$G$79),"Uncategorized"))</f>
        <v/>
      </c>
      <c r="J1240" t="str">
        <f t="shared" si="96"/>
        <v/>
      </c>
      <c r="K1240" s="4" t="str">
        <f t="shared" si="97"/>
        <v/>
      </c>
      <c r="L1240" s="47">
        <f t="shared" si="98"/>
        <v>0</v>
      </c>
      <c r="M1240" s="47">
        <f t="shared" si="99"/>
        <v>0</v>
      </c>
      <c r="N1240" t="str">
        <f>IF(A1240="","",IF(D1240="Category Pending","Needs categorization",IF(COUNTIFS($A$2:A1240,A1240,$B$2:B1240,B1240,$E$2:E1240,E1240)&gt;1,"Possible duplicate","")))</f>
        <v/>
      </c>
    </row>
    <row r="1241" spans="3:14" x14ac:dyDescent="0.3">
      <c r="C1241" s="16"/>
      <c r="G1241" s="5" t="str">
        <f t="shared" si="95"/>
        <v/>
      </c>
      <c r="H1241" t="str">
        <f>IF(A1241="","",IFERROR(_xlfn.XLOOKUP(D1241,Setup!$E$15:$E$79,Setup!$F$15:$F$79),"Miscellaneous"))</f>
        <v/>
      </c>
      <c r="I1241" t="str">
        <f>IF(A1241="","",IFERROR(_xlfn.XLOOKUP(D1241,Setup!$E$15:$E$79,Setup!$G$15:$G$79),"Uncategorized"))</f>
        <v/>
      </c>
      <c r="J1241" t="str">
        <f t="shared" si="96"/>
        <v/>
      </c>
      <c r="K1241" s="4" t="str">
        <f t="shared" si="97"/>
        <v/>
      </c>
      <c r="L1241" s="47">
        <f t="shared" si="98"/>
        <v>0</v>
      </c>
      <c r="M1241" s="47">
        <f t="shared" si="99"/>
        <v>0</v>
      </c>
      <c r="N1241" t="str">
        <f>IF(A1241="","",IF(D1241="Category Pending","Needs categorization",IF(COUNTIFS($A$2:A1241,A1241,$B$2:B1241,B1241,$E$2:E1241,E1241)&gt;1,"Possible duplicate","")))</f>
        <v/>
      </c>
    </row>
    <row r="1242" spans="3:14" x14ac:dyDescent="0.3">
      <c r="C1242" s="16"/>
      <c r="G1242" s="5" t="str">
        <f t="shared" si="95"/>
        <v/>
      </c>
      <c r="H1242" t="str">
        <f>IF(A1242="","",IFERROR(_xlfn.XLOOKUP(D1242,Setup!$E$15:$E$79,Setup!$F$15:$F$79),"Miscellaneous"))</f>
        <v/>
      </c>
      <c r="I1242" t="str">
        <f>IF(A1242="","",IFERROR(_xlfn.XLOOKUP(D1242,Setup!$E$15:$E$79,Setup!$G$15:$G$79),"Uncategorized"))</f>
        <v/>
      </c>
      <c r="J1242" t="str">
        <f t="shared" si="96"/>
        <v/>
      </c>
      <c r="K1242" s="4" t="str">
        <f t="shared" si="97"/>
        <v/>
      </c>
      <c r="L1242" s="47">
        <f t="shared" si="98"/>
        <v>0</v>
      </c>
      <c r="M1242" s="47">
        <f t="shared" si="99"/>
        <v>0</v>
      </c>
      <c r="N1242" t="str">
        <f>IF(A1242="","",IF(D1242="Category Pending","Needs categorization",IF(COUNTIFS($A$2:A1242,A1242,$B$2:B1242,B1242,$E$2:E1242,E1242)&gt;1,"Possible duplicate","")))</f>
        <v/>
      </c>
    </row>
    <row r="1243" spans="3:14" x14ac:dyDescent="0.3">
      <c r="C1243" s="16"/>
      <c r="G1243" s="5" t="str">
        <f t="shared" si="95"/>
        <v/>
      </c>
      <c r="H1243" t="str">
        <f>IF(A1243="","",IFERROR(_xlfn.XLOOKUP(D1243,Setup!$E$15:$E$79,Setup!$F$15:$F$79),"Miscellaneous"))</f>
        <v/>
      </c>
      <c r="I1243" t="str">
        <f>IF(A1243="","",IFERROR(_xlfn.XLOOKUP(D1243,Setup!$E$15:$E$79,Setup!$G$15:$G$79),"Uncategorized"))</f>
        <v/>
      </c>
      <c r="J1243" t="str">
        <f t="shared" si="96"/>
        <v/>
      </c>
      <c r="K1243" s="4" t="str">
        <f t="shared" si="97"/>
        <v/>
      </c>
      <c r="L1243" s="47">
        <f t="shared" si="98"/>
        <v>0</v>
      </c>
      <c r="M1243" s="47">
        <f t="shared" si="99"/>
        <v>0</v>
      </c>
      <c r="N1243" t="str">
        <f>IF(A1243="","",IF(D1243="Category Pending","Needs categorization",IF(COUNTIFS($A$2:A1243,A1243,$B$2:B1243,B1243,$E$2:E1243,E1243)&gt;1,"Possible duplicate","")))</f>
        <v/>
      </c>
    </row>
    <row r="1244" spans="3:14" x14ac:dyDescent="0.3">
      <c r="C1244" s="16"/>
      <c r="G1244" s="5" t="str">
        <f t="shared" si="95"/>
        <v/>
      </c>
      <c r="H1244" t="str">
        <f>IF(A1244="","",IFERROR(_xlfn.XLOOKUP(D1244,Setup!$E$15:$E$79,Setup!$F$15:$F$79),"Miscellaneous"))</f>
        <v/>
      </c>
      <c r="I1244" t="str">
        <f>IF(A1244="","",IFERROR(_xlfn.XLOOKUP(D1244,Setup!$E$15:$E$79,Setup!$G$15:$G$79),"Uncategorized"))</f>
        <v/>
      </c>
      <c r="J1244" t="str">
        <f t="shared" si="96"/>
        <v/>
      </c>
      <c r="K1244" s="4" t="str">
        <f t="shared" si="97"/>
        <v/>
      </c>
      <c r="L1244" s="47">
        <f t="shared" si="98"/>
        <v>0</v>
      </c>
      <c r="M1244" s="47">
        <f t="shared" si="99"/>
        <v>0</v>
      </c>
      <c r="N1244" t="str">
        <f>IF(A1244="","",IF(D1244="Category Pending","Needs categorization",IF(COUNTIFS($A$2:A1244,A1244,$B$2:B1244,B1244,$E$2:E1244,E1244)&gt;1,"Possible duplicate","")))</f>
        <v/>
      </c>
    </row>
    <row r="1245" spans="3:14" x14ac:dyDescent="0.3">
      <c r="C1245" s="16"/>
      <c r="G1245" s="5" t="str">
        <f t="shared" si="95"/>
        <v/>
      </c>
      <c r="H1245" t="str">
        <f>IF(A1245="","",IFERROR(_xlfn.XLOOKUP(D1245,Setup!$E$15:$E$79,Setup!$F$15:$F$79),"Miscellaneous"))</f>
        <v/>
      </c>
      <c r="I1245" t="str">
        <f>IF(A1245="","",IFERROR(_xlfn.XLOOKUP(D1245,Setup!$E$15:$E$79,Setup!$G$15:$G$79),"Uncategorized"))</f>
        <v/>
      </c>
      <c r="J1245" t="str">
        <f t="shared" si="96"/>
        <v/>
      </c>
      <c r="K1245" s="4" t="str">
        <f t="shared" si="97"/>
        <v/>
      </c>
      <c r="L1245" s="47">
        <f t="shared" si="98"/>
        <v>0</v>
      </c>
      <c r="M1245" s="47">
        <f t="shared" si="99"/>
        <v>0</v>
      </c>
      <c r="N1245" t="str">
        <f>IF(A1245="","",IF(D1245="Category Pending","Needs categorization",IF(COUNTIFS($A$2:A1245,A1245,$B$2:B1245,B1245,$E$2:E1245,E1245)&gt;1,"Possible duplicate","")))</f>
        <v/>
      </c>
    </row>
    <row r="1246" spans="3:14" x14ac:dyDescent="0.3">
      <c r="C1246" s="16"/>
      <c r="G1246" s="5" t="str">
        <f t="shared" si="95"/>
        <v/>
      </c>
      <c r="H1246" t="str">
        <f>IF(A1246="","",IFERROR(_xlfn.XLOOKUP(D1246,Setup!$E$15:$E$79,Setup!$F$15:$F$79),"Miscellaneous"))</f>
        <v/>
      </c>
      <c r="I1246" t="str">
        <f>IF(A1246="","",IFERROR(_xlfn.XLOOKUP(D1246,Setup!$E$15:$E$79,Setup!$G$15:$G$79),"Uncategorized"))</f>
        <v/>
      </c>
      <c r="J1246" t="str">
        <f t="shared" si="96"/>
        <v/>
      </c>
      <c r="K1246" s="4" t="str">
        <f t="shared" si="97"/>
        <v/>
      </c>
      <c r="L1246" s="47">
        <f t="shared" si="98"/>
        <v>0</v>
      </c>
      <c r="M1246" s="47">
        <f t="shared" si="99"/>
        <v>0</v>
      </c>
      <c r="N1246" t="str">
        <f>IF(A1246="","",IF(D1246="Category Pending","Needs categorization",IF(COUNTIFS($A$2:A1246,A1246,$B$2:B1246,B1246,$E$2:E1246,E1246)&gt;1,"Possible duplicate","")))</f>
        <v/>
      </c>
    </row>
    <row r="1247" spans="3:14" x14ac:dyDescent="0.3">
      <c r="C1247" s="16"/>
      <c r="G1247" s="5" t="str">
        <f t="shared" si="95"/>
        <v/>
      </c>
      <c r="H1247" t="str">
        <f>IF(A1247="","",IFERROR(_xlfn.XLOOKUP(D1247,Setup!$E$15:$E$79,Setup!$F$15:$F$79),"Miscellaneous"))</f>
        <v/>
      </c>
      <c r="I1247" t="str">
        <f>IF(A1247="","",IFERROR(_xlfn.XLOOKUP(D1247,Setup!$E$15:$E$79,Setup!$G$15:$G$79),"Uncategorized"))</f>
        <v/>
      </c>
      <c r="J1247" t="str">
        <f t="shared" si="96"/>
        <v/>
      </c>
      <c r="K1247" s="4" t="str">
        <f t="shared" si="97"/>
        <v/>
      </c>
      <c r="L1247" s="47">
        <f t="shared" si="98"/>
        <v>0</v>
      </c>
      <c r="M1247" s="47">
        <f t="shared" si="99"/>
        <v>0</v>
      </c>
      <c r="N1247" t="str">
        <f>IF(A1247="","",IF(D1247="Category Pending","Needs categorization",IF(COUNTIFS($A$2:A1247,A1247,$B$2:B1247,B1247,$E$2:E1247,E1247)&gt;1,"Possible duplicate","")))</f>
        <v/>
      </c>
    </row>
    <row r="1248" spans="3:14" x14ac:dyDescent="0.3">
      <c r="C1248" s="16"/>
      <c r="G1248" s="5" t="str">
        <f t="shared" si="95"/>
        <v/>
      </c>
      <c r="H1248" t="str">
        <f>IF(A1248="","",IFERROR(_xlfn.XLOOKUP(D1248,Setup!$E$15:$E$79,Setup!$F$15:$F$79),"Miscellaneous"))</f>
        <v/>
      </c>
      <c r="I1248" t="str">
        <f>IF(A1248="","",IFERROR(_xlfn.XLOOKUP(D1248,Setup!$E$15:$E$79,Setup!$G$15:$G$79),"Uncategorized"))</f>
        <v/>
      </c>
      <c r="J1248" t="str">
        <f t="shared" si="96"/>
        <v/>
      </c>
      <c r="K1248" s="4" t="str">
        <f t="shared" si="97"/>
        <v/>
      </c>
      <c r="L1248" s="47">
        <f t="shared" si="98"/>
        <v>0</v>
      </c>
      <c r="M1248" s="47">
        <f t="shared" si="99"/>
        <v>0</v>
      </c>
      <c r="N1248" t="str">
        <f>IF(A1248="","",IF(D1248="Category Pending","Needs categorization",IF(COUNTIFS($A$2:A1248,A1248,$B$2:B1248,B1248,$E$2:E1248,E1248)&gt;1,"Possible duplicate","")))</f>
        <v/>
      </c>
    </row>
    <row r="1249" spans="3:14" x14ac:dyDescent="0.3">
      <c r="C1249" s="16"/>
      <c r="G1249" s="5" t="str">
        <f t="shared" ref="G1249:G1312" si="100">IF(A1249="","","Checking")</f>
        <v/>
      </c>
      <c r="H1249" t="str">
        <f>IF(A1249="","",IFERROR(_xlfn.XLOOKUP(D1249,Setup!$E$15:$E$79,Setup!$F$15:$F$79),"Miscellaneous"))</f>
        <v/>
      </c>
      <c r="I1249" t="str">
        <f>IF(A1249="","",IFERROR(_xlfn.XLOOKUP(D1249,Setup!$E$15:$E$79,Setup!$G$15:$G$79),"Uncategorized"))</f>
        <v/>
      </c>
      <c r="J1249" t="str">
        <f t="shared" ref="J1249:J1312" si="101">IF(A1249="","",IF(OR(H1249="Transfers",H1249="Income",D1249="Transfer",D1249="Category Pending"),"No","Yes"))</f>
        <v/>
      </c>
      <c r="K1249" s="4" t="str">
        <f t="shared" ref="K1249:K1312" si="102">IF(A1249="","",IF(A1249&gt;=46232,TEXT(DATE(YEAR(A1249),MONTH(A1249)+1,1),"mmmm yyyy"),TEXT(DATE(YEAR(A1249),MONTH(A1249),1),"mmmm yyyy")))</f>
        <v/>
      </c>
      <c r="L1249" s="47">
        <f t="shared" ref="L1249:L1312" si="103">IF(AND(J1249="Yes",E1249&lt;0),-E1249,0)</f>
        <v>0</v>
      </c>
      <c r="M1249" s="47">
        <f t="shared" ref="M1249:M1312" si="104">IF(AND(J1249="Yes",E1249&gt;0),E1249,0)</f>
        <v>0</v>
      </c>
      <c r="N1249" t="str">
        <f>IF(A1249="","",IF(D1249="Category Pending","Needs categorization",IF(COUNTIFS($A$2:A1249,A1249,$B$2:B1249,B1249,$E$2:E1249,E1249)&gt;1,"Possible duplicate","")))</f>
        <v/>
      </c>
    </row>
    <row r="1250" spans="3:14" x14ac:dyDescent="0.3">
      <c r="C1250" s="16"/>
      <c r="G1250" s="5" t="str">
        <f t="shared" si="100"/>
        <v/>
      </c>
      <c r="H1250" t="str">
        <f>IF(A1250="","",IFERROR(_xlfn.XLOOKUP(D1250,Setup!$E$15:$E$79,Setup!$F$15:$F$79),"Miscellaneous"))</f>
        <v/>
      </c>
      <c r="I1250" t="str">
        <f>IF(A1250="","",IFERROR(_xlfn.XLOOKUP(D1250,Setup!$E$15:$E$79,Setup!$G$15:$G$79),"Uncategorized"))</f>
        <v/>
      </c>
      <c r="J1250" t="str">
        <f t="shared" si="101"/>
        <v/>
      </c>
      <c r="K1250" s="4" t="str">
        <f t="shared" si="102"/>
        <v/>
      </c>
      <c r="L1250" s="47">
        <f t="shared" si="103"/>
        <v>0</v>
      </c>
      <c r="M1250" s="47">
        <f t="shared" si="104"/>
        <v>0</v>
      </c>
      <c r="N1250" t="str">
        <f>IF(A1250="","",IF(D1250="Category Pending","Needs categorization",IF(COUNTIFS($A$2:A1250,A1250,$B$2:B1250,B1250,$E$2:E1250,E1250)&gt;1,"Possible duplicate","")))</f>
        <v/>
      </c>
    </row>
    <row r="1251" spans="3:14" x14ac:dyDescent="0.3">
      <c r="C1251" s="16"/>
      <c r="G1251" s="5" t="str">
        <f t="shared" si="100"/>
        <v/>
      </c>
      <c r="H1251" t="str">
        <f>IF(A1251="","",IFERROR(_xlfn.XLOOKUP(D1251,Setup!$E$15:$E$79,Setup!$F$15:$F$79),"Miscellaneous"))</f>
        <v/>
      </c>
      <c r="I1251" t="str">
        <f>IF(A1251="","",IFERROR(_xlfn.XLOOKUP(D1251,Setup!$E$15:$E$79,Setup!$G$15:$G$79),"Uncategorized"))</f>
        <v/>
      </c>
      <c r="J1251" t="str">
        <f t="shared" si="101"/>
        <v/>
      </c>
      <c r="K1251" s="4" t="str">
        <f t="shared" si="102"/>
        <v/>
      </c>
      <c r="L1251" s="47">
        <f t="shared" si="103"/>
        <v>0</v>
      </c>
      <c r="M1251" s="47">
        <f t="shared" si="104"/>
        <v>0</v>
      </c>
      <c r="N1251" t="str">
        <f>IF(A1251="","",IF(D1251="Category Pending","Needs categorization",IF(COUNTIFS($A$2:A1251,A1251,$B$2:B1251,B1251,$E$2:E1251,E1251)&gt;1,"Possible duplicate","")))</f>
        <v/>
      </c>
    </row>
    <row r="1252" spans="3:14" x14ac:dyDescent="0.3">
      <c r="C1252" s="16"/>
      <c r="G1252" s="5" t="str">
        <f t="shared" si="100"/>
        <v/>
      </c>
      <c r="H1252" t="str">
        <f>IF(A1252="","",IFERROR(_xlfn.XLOOKUP(D1252,Setup!$E$15:$E$79,Setup!$F$15:$F$79),"Miscellaneous"))</f>
        <v/>
      </c>
      <c r="I1252" t="str">
        <f>IF(A1252="","",IFERROR(_xlfn.XLOOKUP(D1252,Setup!$E$15:$E$79,Setup!$G$15:$G$79),"Uncategorized"))</f>
        <v/>
      </c>
      <c r="J1252" t="str">
        <f t="shared" si="101"/>
        <v/>
      </c>
      <c r="K1252" s="4" t="str">
        <f t="shared" si="102"/>
        <v/>
      </c>
      <c r="L1252" s="47">
        <f t="shared" si="103"/>
        <v>0</v>
      </c>
      <c r="M1252" s="47">
        <f t="shared" si="104"/>
        <v>0</v>
      </c>
      <c r="N1252" t="str">
        <f>IF(A1252="","",IF(D1252="Category Pending","Needs categorization",IF(COUNTIFS($A$2:A1252,A1252,$B$2:B1252,B1252,$E$2:E1252,E1252)&gt;1,"Possible duplicate","")))</f>
        <v/>
      </c>
    </row>
    <row r="1253" spans="3:14" x14ac:dyDescent="0.3">
      <c r="C1253" s="16"/>
      <c r="G1253" s="5" t="str">
        <f t="shared" si="100"/>
        <v/>
      </c>
      <c r="H1253" t="str">
        <f>IF(A1253="","",IFERROR(_xlfn.XLOOKUP(D1253,Setup!$E$15:$E$79,Setup!$F$15:$F$79),"Miscellaneous"))</f>
        <v/>
      </c>
      <c r="I1253" t="str">
        <f>IF(A1253="","",IFERROR(_xlfn.XLOOKUP(D1253,Setup!$E$15:$E$79,Setup!$G$15:$G$79),"Uncategorized"))</f>
        <v/>
      </c>
      <c r="J1253" t="str">
        <f t="shared" si="101"/>
        <v/>
      </c>
      <c r="K1253" s="4" t="str">
        <f t="shared" si="102"/>
        <v/>
      </c>
      <c r="L1253" s="47">
        <f t="shared" si="103"/>
        <v>0</v>
      </c>
      <c r="M1253" s="47">
        <f t="shared" si="104"/>
        <v>0</v>
      </c>
      <c r="N1253" t="str">
        <f>IF(A1253="","",IF(D1253="Category Pending","Needs categorization",IF(COUNTIFS($A$2:A1253,A1253,$B$2:B1253,B1253,$E$2:E1253,E1253)&gt;1,"Possible duplicate","")))</f>
        <v/>
      </c>
    </row>
    <row r="1254" spans="3:14" x14ac:dyDescent="0.3">
      <c r="C1254" s="16"/>
      <c r="G1254" s="5" t="str">
        <f t="shared" si="100"/>
        <v/>
      </c>
      <c r="H1254" t="str">
        <f>IF(A1254="","",IFERROR(_xlfn.XLOOKUP(D1254,Setup!$E$15:$E$79,Setup!$F$15:$F$79),"Miscellaneous"))</f>
        <v/>
      </c>
      <c r="I1254" t="str">
        <f>IF(A1254="","",IFERROR(_xlfn.XLOOKUP(D1254,Setup!$E$15:$E$79,Setup!$G$15:$G$79),"Uncategorized"))</f>
        <v/>
      </c>
      <c r="J1254" t="str">
        <f t="shared" si="101"/>
        <v/>
      </c>
      <c r="K1254" s="4" t="str">
        <f t="shared" si="102"/>
        <v/>
      </c>
      <c r="L1254" s="47">
        <f t="shared" si="103"/>
        <v>0</v>
      </c>
      <c r="M1254" s="47">
        <f t="shared" si="104"/>
        <v>0</v>
      </c>
      <c r="N1254" t="str">
        <f>IF(A1254="","",IF(D1254="Category Pending","Needs categorization",IF(COUNTIFS($A$2:A1254,A1254,$B$2:B1254,B1254,$E$2:E1254,E1254)&gt;1,"Possible duplicate","")))</f>
        <v/>
      </c>
    </row>
    <row r="1255" spans="3:14" x14ac:dyDescent="0.3">
      <c r="C1255" s="16"/>
      <c r="G1255" s="5" t="str">
        <f t="shared" si="100"/>
        <v/>
      </c>
      <c r="H1255" t="str">
        <f>IF(A1255="","",IFERROR(_xlfn.XLOOKUP(D1255,Setup!$E$15:$E$79,Setup!$F$15:$F$79),"Miscellaneous"))</f>
        <v/>
      </c>
      <c r="I1255" t="str">
        <f>IF(A1255="","",IFERROR(_xlfn.XLOOKUP(D1255,Setup!$E$15:$E$79,Setup!$G$15:$G$79),"Uncategorized"))</f>
        <v/>
      </c>
      <c r="J1255" t="str">
        <f t="shared" si="101"/>
        <v/>
      </c>
      <c r="K1255" s="4" t="str">
        <f t="shared" si="102"/>
        <v/>
      </c>
      <c r="L1255" s="47">
        <f t="shared" si="103"/>
        <v>0</v>
      </c>
      <c r="M1255" s="47">
        <f t="shared" si="104"/>
        <v>0</v>
      </c>
      <c r="N1255" t="str">
        <f>IF(A1255="","",IF(D1255="Category Pending","Needs categorization",IF(COUNTIFS($A$2:A1255,A1255,$B$2:B1255,B1255,$E$2:E1255,E1255)&gt;1,"Possible duplicate","")))</f>
        <v/>
      </c>
    </row>
    <row r="1256" spans="3:14" x14ac:dyDescent="0.3">
      <c r="C1256" s="16"/>
      <c r="G1256" s="5" t="str">
        <f t="shared" si="100"/>
        <v/>
      </c>
      <c r="H1256" t="str">
        <f>IF(A1256="","",IFERROR(_xlfn.XLOOKUP(D1256,Setup!$E$15:$E$79,Setup!$F$15:$F$79),"Miscellaneous"))</f>
        <v/>
      </c>
      <c r="I1256" t="str">
        <f>IF(A1256="","",IFERROR(_xlfn.XLOOKUP(D1256,Setup!$E$15:$E$79,Setup!$G$15:$G$79),"Uncategorized"))</f>
        <v/>
      </c>
      <c r="J1256" t="str">
        <f t="shared" si="101"/>
        <v/>
      </c>
      <c r="K1256" s="4" t="str">
        <f t="shared" si="102"/>
        <v/>
      </c>
      <c r="L1256" s="47">
        <f t="shared" si="103"/>
        <v>0</v>
      </c>
      <c r="M1256" s="47">
        <f t="shared" si="104"/>
        <v>0</v>
      </c>
      <c r="N1256" t="str">
        <f>IF(A1256="","",IF(D1256="Category Pending","Needs categorization",IF(COUNTIFS($A$2:A1256,A1256,$B$2:B1256,B1256,$E$2:E1256,E1256)&gt;1,"Possible duplicate","")))</f>
        <v/>
      </c>
    </row>
    <row r="1257" spans="3:14" x14ac:dyDescent="0.3">
      <c r="C1257" s="16"/>
      <c r="G1257" s="5" t="str">
        <f t="shared" si="100"/>
        <v/>
      </c>
      <c r="H1257" t="str">
        <f>IF(A1257="","",IFERROR(_xlfn.XLOOKUP(D1257,Setup!$E$15:$E$79,Setup!$F$15:$F$79),"Miscellaneous"))</f>
        <v/>
      </c>
      <c r="I1257" t="str">
        <f>IF(A1257="","",IFERROR(_xlfn.XLOOKUP(D1257,Setup!$E$15:$E$79,Setup!$G$15:$G$79),"Uncategorized"))</f>
        <v/>
      </c>
      <c r="J1257" t="str">
        <f t="shared" si="101"/>
        <v/>
      </c>
      <c r="K1257" s="4" t="str">
        <f t="shared" si="102"/>
        <v/>
      </c>
      <c r="L1257" s="47">
        <f t="shared" si="103"/>
        <v>0</v>
      </c>
      <c r="M1257" s="47">
        <f t="shared" si="104"/>
        <v>0</v>
      </c>
      <c r="N1257" t="str">
        <f>IF(A1257="","",IF(D1257="Category Pending","Needs categorization",IF(COUNTIFS($A$2:A1257,A1257,$B$2:B1257,B1257,$E$2:E1257,E1257)&gt;1,"Possible duplicate","")))</f>
        <v/>
      </c>
    </row>
    <row r="1258" spans="3:14" x14ac:dyDescent="0.3">
      <c r="C1258" s="16"/>
      <c r="G1258" s="5" t="str">
        <f t="shared" si="100"/>
        <v/>
      </c>
      <c r="H1258" t="str">
        <f>IF(A1258="","",IFERROR(_xlfn.XLOOKUP(D1258,Setup!$E$15:$E$79,Setup!$F$15:$F$79),"Miscellaneous"))</f>
        <v/>
      </c>
      <c r="I1258" t="str">
        <f>IF(A1258="","",IFERROR(_xlfn.XLOOKUP(D1258,Setup!$E$15:$E$79,Setup!$G$15:$G$79),"Uncategorized"))</f>
        <v/>
      </c>
      <c r="J1258" t="str">
        <f t="shared" si="101"/>
        <v/>
      </c>
      <c r="K1258" s="4" t="str">
        <f t="shared" si="102"/>
        <v/>
      </c>
      <c r="L1258" s="47">
        <f t="shared" si="103"/>
        <v>0</v>
      </c>
      <c r="M1258" s="47">
        <f t="shared" si="104"/>
        <v>0</v>
      </c>
      <c r="N1258" t="str">
        <f>IF(A1258="","",IF(D1258="Category Pending","Needs categorization",IF(COUNTIFS($A$2:A1258,A1258,$B$2:B1258,B1258,$E$2:E1258,E1258)&gt;1,"Possible duplicate","")))</f>
        <v/>
      </c>
    </row>
    <row r="1259" spans="3:14" x14ac:dyDescent="0.3">
      <c r="C1259" s="16"/>
      <c r="G1259" s="5" t="str">
        <f t="shared" si="100"/>
        <v/>
      </c>
      <c r="H1259" t="str">
        <f>IF(A1259="","",IFERROR(_xlfn.XLOOKUP(D1259,Setup!$E$15:$E$79,Setup!$F$15:$F$79),"Miscellaneous"))</f>
        <v/>
      </c>
      <c r="I1259" t="str">
        <f>IF(A1259="","",IFERROR(_xlfn.XLOOKUP(D1259,Setup!$E$15:$E$79,Setup!$G$15:$G$79),"Uncategorized"))</f>
        <v/>
      </c>
      <c r="J1259" t="str">
        <f t="shared" si="101"/>
        <v/>
      </c>
      <c r="K1259" s="4" t="str">
        <f t="shared" si="102"/>
        <v/>
      </c>
      <c r="L1259" s="47">
        <f t="shared" si="103"/>
        <v>0</v>
      </c>
      <c r="M1259" s="47">
        <f t="shared" si="104"/>
        <v>0</v>
      </c>
      <c r="N1259" t="str">
        <f>IF(A1259="","",IF(D1259="Category Pending","Needs categorization",IF(COUNTIFS($A$2:A1259,A1259,$B$2:B1259,B1259,$E$2:E1259,E1259)&gt;1,"Possible duplicate","")))</f>
        <v/>
      </c>
    </row>
    <row r="1260" spans="3:14" x14ac:dyDescent="0.3">
      <c r="C1260" s="16"/>
      <c r="G1260" s="5" t="str">
        <f t="shared" si="100"/>
        <v/>
      </c>
      <c r="H1260" t="str">
        <f>IF(A1260="","",IFERROR(_xlfn.XLOOKUP(D1260,Setup!$E$15:$E$79,Setup!$F$15:$F$79),"Miscellaneous"))</f>
        <v/>
      </c>
      <c r="I1260" t="str">
        <f>IF(A1260="","",IFERROR(_xlfn.XLOOKUP(D1260,Setup!$E$15:$E$79,Setup!$G$15:$G$79),"Uncategorized"))</f>
        <v/>
      </c>
      <c r="J1260" t="str">
        <f t="shared" si="101"/>
        <v/>
      </c>
      <c r="K1260" s="4" t="str">
        <f t="shared" si="102"/>
        <v/>
      </c>
      <c r="L1260" s="47">
        <f t="shared" si="103"/>
        <v>0</v>
      </c>
      <c r="M1260" s="47">
        <f t="shared" si="104"/>
        <v>0</v>
      </c>
      <c r="N1260" t="str">
        <f>IF(A1260="","",IF(D1260="Category Pending","Needs categorization",IF(COUNTIFS($A$2:A1260,A1260,$B$2:B1260,B1260,$E$2:E1260,E1260)&gt;1,"Possible duplicate","")))</f>
        <v/>
      </c>
    </row>
    <row r="1261" spans="3:14" x14ac:dyDescent="0.3">
      <c r="C1261" s="16"/>
      <c r="G1261" s="5" t="str">
        <f t="shared" si="100"/>
        <v/>
      </c>
      <c r="H1261" t="str">
        <f>IF(A1261="","",IFERROR(_xlfn.XLOOKUP(D1261,Setup!$E$15:$E$79,Setup!$F$15:$F$79),"Miscellaneous"))</f>
        <v/>
      </c>
      <c r="I1261" t="str">
        <f>IF(A1261="","",IFERROR(_xlfn.XLOOKUP(D1261,Setup!$E$15:$E$79,Setup!$G$15:$G$79),"Uncategorized"))</f>
        <v/>
      </c>
      <c r="J1261" t="str">
        <f t="shared" si="101"/>
        <v/>
      </c>
      <c r="K1261" s="4" t="str">
        <f t="shared" si="102"/>
        <v/>
      </c>
      <c r="L1261" s="47">
        <f t="shared" si="103"/>
        <v>0</v>
      </c>
      <c r="M1261" s="47">
        <f t="shared" si="104"/>
        <v>0</v>
      </c>
      <c r="N1261" t="str">
        <f>IF(A1261="","",IF(D1261="Category Pending","Needs categorization",IF(COUNTIFS($A$2:A1261,A1261,$B$2:B1261,B1261,$E$2:E1261,E1261)&gt;1,"Possible duplicate","")))</f>
        <v/>
      </c>
    </row>
    <row r="1262" spans="3:14" x14ac:dyDescent="0.3">
      <c r="C1262" s="16"/>
      <c r="G1262" s="5" t="str">
        <f t="shared" si="100"/>
        <v/>
      </c>
      <c r="H1262" t="str">
        <f>IF(A1262="","",IFERROR(_xlfn.XLOOKUP(D1262,Setup!$E$15:$E$79,Setup!$F$15:$F$79),"Miscellaneous"))</f>
        <v/>
      </c>
      <c r="I1262" t="str">
        <f>IF(A1262="","",IFERROR(_xlfn.XLOOKUP(D1262,Setup!$E$15:$E$79,Setup!$G$15:$G$79),"Uncategorized"))</f>
        <v/>
      </c>
      <c r="J1262" t="str">
        <f t="shared" si="101"/>
        <v/>
      </c>
      <c r="K1262" s="4" t="str">
        <f t="shared" si="102"/>
        <v/>
      </c>
      <c r="L1262" s="47">
        <f t="shared" si="103"/>
        <v>0</v>
      </c>
      <c r="M1262" s="47">
        <f t="shared" si="104"/>
        <v>0</v>
      </c>
      <c r="N1262" t="str">
        <f>IF(A1262="","",IF(D1262="Category Pending","Needs categorization",IF(COUNTIFS($A$2:A1262,A1262,$B$2:B1262,B1262,$E$2:E1262,E1262)&gt;1,"Possible duplicate","")))</f>
        <v/>
      </c>
    </row>
    <row r="1263" spans="3:14" x14ac:dyDescent="0.3">
      <c r="C1263" s="16"/>
      <c r="G1263" s="5" t="str">
        <f t="shared" si="100"/>
        <v/>
      </c>
      <c r="H1263" t="str">
        <f>IF(A1263="","",IFERROR(_xlfn.XLOOKUP(D1263,Setup!$E$15:$E$79,Setup!$F$15:$F$79),"Miscellaneous"))</f>
        <v/>
      </c>
      <c r="I1263" t="str">
        <f>IF(A1263="","",IFERROR(_xlfn.XLOOKUP(D1263,Setup!$E$15:$E$79,Setup!$G$15:$G$79),"Uncategorized"))</f>
        <v/>
      </c>
      <c r="J1263" t="str">
        <f t="shared" si="101"/>
        <v/>
      </c>
      <c r="K1263" s="4" t="str">
        <f t="shared" si="102"/>
        <v/>
      </c>
      <c r="L1263" s="47">
        <f t="shared" si="103"/>
        <v>0</v>
      </c>
      <c r="M1263" s="47">
        <f t="shared" si="104"/>
        <v>0</v>
      </c>
      <c r="N1263" t="str">
        <f>IF(A1263="","",IF(D1263="Category Pending","Needs categorization",IF(COUNTIFS($A$2:A1263,A1263,$B$2:B1263,B1263,$E$2:E1263,E1263)&gt;1,"Possible duplicate","")))</f>
        <v/>
      </c>
    </row>
    <row r="1264" spans="3:14" x14ac:dyDescent="0.3">
      <c r="C1264" s="16"/>
      <c r="G1264" s="5" t="str">
        <f t="shared" si="100"/>
        <v/>
      </c>
      <c r="H1264" t="str">
        <f>IF(A1264="","",IFERROR(_xlfn.XLOOKUP(D1264,Setup!$E$15:$E$79,Setup!$F$15:$F$79),"Miscellaneous"))</f>
        <v/>
      </c>
      <c r="I1264" t="str">
        <f>IF(A1264="","",IFERROR(_xlfn.XLOOKUP(D1264,Setup!$E$15:$E$79,Setup!$G$15:$G$79),"Uncategorized"))</f>
        <v/>
      </c>
      <c r="J1264" t="str">
        <f t="shared" si="101"/>
        <v/>
      </c>
      <c r="K1264" s="4" t="str">
        <f t="shared" si="102"/>
        <v/>
      </c>
      <c r="L1264" s="47">
        <f t="shared" si="103"/>
        <v>0</v>
      </c>
      <c r="M1264" s="47">
        <f t="shared" si="104"/>
        <v>0</v>
      </c>
      <c r="N1264" t="str">
        <f>IF(A1264="","",IF(D1264="Category Pending","Needs categorization",IF(COUNTIFS($A$2:A1264,A1264,$B$2:B1264,B1264,$E$2:E1264,E1264)&gt;1,"Possible duplicate","")))</f>
        <v/>
      </c>
    </row>
    <row r="1265" spans="3:14" x14ac:dyDescent="0.3">
      <c r="C1265" s="16"/>
      <c r="G1265" s="5" t="str">
        <f t="shared" si="100"/>
        <v/>
      </c>
      <c r="H1265" t="str">
        <f>IF(A1265="","",IFERROR(_xlfn.XLOOKUP(D1265,Setup!$E$15:$E$79,Setup!$F$15:$F$79),"Miscellaneous"))</f>
        <v/>
      </c>
      <c r="I1265" t="str">
        <f>IF(A1265="","",IFERROR(_xlfn.XLOOKUP(D1265,Setup!$E$15:$E$79,Setup!$G$15:$G$79),"Uncategorized"))</f>
        <v/>
      </c>
      <c r="J1265" t="str">
        <f t="shared" si="101"/>
        <v/>
      </c>
      <c r="K1265" s="4" t="str">
        <f t="shared" si="102"/>
        <v/>
      </c>
      <c r="L1265" s="47">
        <f t="shared" si="103"/>
        <v>0</v>
      </c>
      <c r="M1265" s="47">
        <f t="shared" si="104"/>
        <v>0</v>
      </c>
      <c r="N1265" t="str">
        <f>IF(A1265="","",IF(D1265="Category Pending","Needs categorization",IF(COUNTIFS($A$2:A1265,A1265,$B$2:B1265,B1265,$E$2:E1265,E1265)&gt;1,"Possible duplicate","")))</f>
        <v/>
      </c>
    </row>
    <row r="1266" spans="3:14" x14ac:dyDescent="0.3">
      <c r="C1266" s="16"/>
      <c r="G1266" s="5" t="str">
        <f t="shared" si="100"/>
        <v/>
      </c>
      <c r="H1266" t="str">
        <f>IF(A1266="","",IFERROR(_xlfn.XLOOKUP(D1266,Setup!$E$15:$E$79,Setup!$F$15:$F$79),"Miscellaneous"))</f>
        <v/>
      </c>
      <c r="I1266" t="str">
        <f>IF(A1266="","",IFERROR(_xlfn.XLOOKUP(D1266,Setup!$E$15:$E$79,Setup!$G$15:$G$79),"Uncategorized"))</f>
        <v/>
      </c>
      <c r="J1266" t="str">
        <f t="shared" si="101"/>
        <v/>
      </c>
      <c r="K1266" s="4" t="str">
        <f t="shared" si="102"/>
        <v/>
      </c>
      <c r="L1266" s="47">
        <f t="shared" si="103"/>
        <v>0</v>
      </c>
      <c r="M1266" s="47">
        <f t="shared" si="104"/>
        <v>0</v>
      </c>
      <c r="N1266" t="str">
        <f>IF(A1266="","",IF(D1266="Category Pending","Needs categorization",IF(COUNTIFS($A$2:A1266,A1266,$B$2:B1266,B1266,$E$2:E1266,E1266)&gt;1,"Possible duplicate","")))</f>
        <v/>
      </c>
    </row>
    <row r="1267" spans="3:14" x14ac:dyDescent="0.3">
      <c r="C1267" s="16"/>
      <c r="G1267" s="5" t="str">
        <f t="shared" si="100"/>
        <v/>
      </c>
      <c r="H1267" t="str">
        <f>IF(A1267="","",IFERROR(_xlfn.XLOOKUP(D1267,Setup!$E$15:$E$79,Setup!$F$15:$F$79),"Miscellaneous"))</f>
        <v/>
      </c>
      <c r="I1267" t="str">
        <f>IF(A1267="","",IFERROR(_xlfn.XLOOKUP(D1267,Setup!$E$15:$E$79,Setup!$G$15:$G$79),"Uncategorized"))</f>
        <v/>
      </c>
      <c r="J1267" t="str">
        <f t="shared" si="101"/>
        <v/>
      </c>
      <c r="K1267" s="4" t="str">
        <f t="shared" si="102"/>
        <v/>
      </c>
      <c r="L1267" s="47">
        <f t="shared" si="103"/>
        <v>0</v>
      </c>
      <c r="M1267" s="47">
        <f t="shared" si="104"/>
        <v>0</v>
      </c>
      <c r="N1267" t="str">
        <f>IF(A1267="","",IF(D1267="Category Pending","Needs categorization",IF(COUNTIFS($A$2:A1267,A1267,$B$2:B1267,B1267,$E$2:E1267,E1267)&gt;1,"Possible duplicate","")))</f>
        <v/>
      </c>
    </row>
    <row r="1268" spans="3:14" x14ac:dyDescent="0.3">
      <c r="C1268" s="16"/>
      <c r="G1268" s="5" t="str">
        <f t="shared" si="100"/>
        <v/>
      </c>
      <c r="H1268" t="str">
        <f>IF(A1268="","",IFERROR(_xlfn.XLOOKUP(D1268,Setup!$E$15:$E$79,Setup!$F$15:$F$79),"Miscellaneous"))</f>
        <v/>
      </c>
      <c r="I1268" t="str">
        <f>IF(A1268="","",IFERROR(_xlfn.XLOOKUP(D1268,Setup!$E$15:$E$79,Setup!$G$15:$G$79),"Uncategorized"))</f>
        <v/>
      </c>
      <c r="J1268" t="str">
        <f t="shared" si="101"/>
        <v/>
      </c>
      <c r="K1268" s="4" t="str">
        <f t="shared" si="102"/>
        <v/>
      </c>
      <c r="L1268" s="47">
        <f t="shared" si="103"/>
        <v>0</v>
      </c>
      <c r="M1268" s="47">
        <f t="shared" si="104"/>
        <v>0</v>
      </c>
      <c r="N1268" t="str">
        <f>IF(A1268="","",IF(D1268="Category Pending","Needs categorization",IF(COUNTIFS($A$2:A1268,A1268,$B$2:B1268,B1268,$E$2:E1268,E1268)&gt;1,"Possible duplicate","")))</f>
        <v/>
      </c>
    </row>
    <row r="1269" spans="3:14" x14ac:dyDescent="0.3">
      <c r="C1269" s="16"/>
      <c r="G1269" s="5" t="str">
        <f t="shared" si="100"/>
        <v/>
      </c>
      <c r="H1269" t="str">
        <f>IF(A1269="","",IFERROR(_xlfn.XLOOKUP(D1269,Setup!$E$15:$E$79,Setup!$F$15:$F$79),"Miscellaneous"))</f>
        <v/>
      </c>
      <c r="I1269" t="str">
        <f>IF(A1269="","",IFERROR(_xlfn.XLOOKUP(D1269,Setup!$E$15:$E$79,Setup!$G$15:$G$79),"Uncategorized"))</f>
        <v/>
      </c>
      <c r="J1269" t="str">
        <f t="shared" si="101"/>
        <v/>
      </c>
      <c r="K1269" s="4" t="str">
        <f t="shared" si="102"/>
        <v/>
      </c>
      <c r="L1269" s="47">
        <f t="shared" si="103"/>
        <v>0</v>
      </c>
      <c r="M1269" s="47">
        <f t="shared" si="104"/>
        <v>0</v>
      </c>
      <c r="N1269" t="str">
        <f>IF(A1269="","",IF(D1269="Category Pending","Needs categorization",IF(COUNTIFS($A$2:A1269,A1269,$B$2:B1269,B1269,$E$2:E1269,E1269)&gt;1,"Possible duplicate","")))</f>
        <v/>
      </c>
    </row>
    <row r="1270" spans="3:14" x14ac:dyDescent="0.3">
      <c r="C1270" s="16"/>
      <c r="G1270" s="5" t="str">
        <f t="shared" si="100"/>
        <v/>
      </c>
      <c r="H1270" t="str">
        <f>IF(A1270="","",IFERROR(_xlfn.XLOOKUP(D1270,Setup!$E$15:$E$79,Setup!$F$15:$F$79),"Miscellaneous"))</f>
        <v/>
      </c>
      <c r="I1270" t="str">
        <f>IF(A1270="","",IFERROR(_xlfn.XLOOKUP(D1270,Setup!$E$15:$E$79,Setup!$G$15:$G$79),"Uncategorized"))</f>
        <v/>
      </c>
      <c r="J1270" t="str">
        <f t="shared" si="101"/>
        <v/>
      </c>
      <c r="K1270" s="4" t="str">
        <f t="shared" si="102"/>
        <v/>
      </c>
      <c r="L1270" s="47">
        <f t="shared" si="103"/>
        <v>0</v>
      </c>
      <c r="M1270" s="47">
        <f t="shared" si="104"/>
        <v>0</v>
      </c>
      <c r="N1270" t="str">
        <f>IF(A1270="","",IF(D1270="Category Pending","Needs categorization",IF(COUNTIFS($A$2:A1270,A1270,$B$2:B1270,B1270,$E$2:E1270,E1270)&gt;1,"Possible duplicate","")))</f>
        <v/>
      </c>
    </row>
    <row r="1271" spans="3:14" x14ac:dyDescent="0.3">
      <c r="C1271" s="16"/>
      <c r="G1271" s="5" t="str">
        <f t="shared" si="100"/>
        <v/>
      </c>
      <c r="H1271" t="str">
        <f>IF(A1271="","",IFERROR(_xlfn.XLOOKUP(D1271,Setup!$E$15:$E$79,Setup!$F$15:$F$79),"Miscellaneous"))</f>
        <v/>
      </c>
      <c r="I1271" t="str">
        <f>IF(A1271="","",IFERROR(_xlfn.XLOOKUP(D1271,Setup!$E$15:$E$79,Setup!$G$15:$G$79),"Uncategorized"))</f>
        <v/>
      </c>
      <c r="J1271" t="str">
        <f t="shared" si="101"/>
        <v/>
      </c>
      <c r="K1271" s="4" t="str">
        <f t="shared" si="102"/>
        <v/>
      </c>
      <c r="L1271" s="47">
        <f t="shared" si="103"/>
        <v>0</v>
      </c>
      <c r="M1271" s="47">
        <f t="shared" si="104"/>
        <v>0</v>
      </c>
      <c r="N1271" t="str">
        <f>IF(A1271="","",IF(D1271="Category Pending","Needs categorization",IF(COUNTIFS($A$2:A1271,A1271,$B$2:B1271,B1271,$E$2:E1271,E1271)&gt;1,"Possible duplicate","")))</f>
        <v/>
      </c>
    </row>
    <row r="1272" spans="3:14" x14ac:dyDescent="0.3">
      <c r="C1272" s="16"/>
      <c r="G1272" s="5" t="str">
        <f t="shared" si="100"/>
        <v/>
      </c>
      <c r="H1272" t="str">
        <f>IF(A1272="","",IFERROR(_xlfn.XLOOKUP(D1272,Setup!$E$15:$E$79,Setup!$F$15:$F$79),"Miscellaneous"))</f>
        <v/>
      </c>
      <c r="I1272" t="str">
        <f>IF(A1272="","",IFERROR(_xlfn.XLOOKUP(D1272,Setup!$E$15:$E$79,Setup!$G$15:$G$79),"Uncategorized"))</f>
        <v/>
      </c>
      <c r="J1272" t="str">
        <f t="shared" si="101"/>
        <v/>
      </c>
      <c r="K1272" s="4" t="str">
        <f t="shared" si="102"/>
        <v/>
      </c>
      <c r="L1272" s="47">
        <f t="shared" si="103"/>
        <v>0</v>
      </c>
      <c r="M1272" s="47">
        <f t="shared" si="104"/>
        <v>0</v>
      </c>
      <c r="N1272" t="str">
        <f>IF(A1272="","",IF(D1272="Category Pending","Needs categorization",IF(COUNTIFS($A$2:A1272,A1272,$B$2:B1272,B1272,$E$2:E1272,E1272)&gt;1,"Possible duplicate","")))</f>
        <v/>
      </c>
    </row>
    <row r="1273" spans="3:14" x14ac:dyDescent="0.3">
      <c r="C1273" s="16"/>
      <c r="G1273" s="5" t="str">
        <f t="shared" si="100"/>
        <v/>
      </c>
      <c r="H1273" t="str">
        <f>IF(A1273="","",IFERROR(_xlfn.XLOOKUP(D1273,Setup!$E$15:$E$79,Setup!$F$15:$F$79),"Miscellaneous"))</f>
        <v/>
      </c>
      <c r="I1273" t="str">
        <f>IF(A1273="","",IFERROR(_xlfn.XLOOKUP(D1273,Setup!$E$15:$E$79,Setup!$G$15:$G$79),"Uncategorized"))</f>
        <v/>
      </c>
      <c r="J1273" t="str">
        <f t="shared" si="101"/>
        <v/>
      </c>
      <c r="K1273" s="4" t="str">
        <f t="shared" si="102"/>
        <v/>
      </c>
      <c r="L1273" s="47">
        <f t="shared" si="103"/>
        <v>0</v>
      </c>
      <c r="M1273" s="47">
        <f t="shared" si="104"/>
        <v>0</v>
      </c>
      <c r="N1273" t="str">
        <f>IF(A1273="","",IF(D1273="Category Pending","Needs categorization",IF(COUNTIFS($A$2:A1273,A1273,$B$2:B1273,B1273,$E$2:E1273,E1273)&gt;1,"Possible duplicate","")))</f>
        <v/>
      </c>
    </row>
    <row r="1274" spans="3:14" x14ac:dyDescent="0.3">
      <c r="C1274" s="16"/>
      <c r="G1274" s="5" t="str">
        <f t="shared" si="100"/>
        <v/>
      </c>
      <c r="H1274" t="str">
        <f>IF(A1274="","",IFERROR(_xlfn.XLOOKUP(D1274,Setup!$E$15:$E$79,Setup!$F$15:$F$79),"Miscellaneous"))</f>
        <v/>
      </c>
      <c r="I1274" t="str">
        <f>IF(A1274="","",IFERROR(_xlfn.XLOOKUP(D1274,Setup!$E$15:$E$79,Setup!$G$15:$G$79),"Uncategorized"))</f>
        <v/>
      </c>
      <c r="J1274" t="str">
        <f t="shared" si="101"/>
        <v/>
      </c>
      <c r="K1274" s="4" t="str">
        <f t="shared" si="102"/>
        <v/>
      </c>
      <c r="L1274" s="47">
        <f t="shared" si="103"/>
        <v>0</v>
      </c>
      <c r="M1274" s="47">
        <f t="shared" si="104"/>
        <v>0</v>
      </c>
      <c r="N1274" t="str">
        <f>IF(A1274="","",IF(D1274="Category Pending","Needs categorization",IF(COUNTIFS($A$2:A1274,A1274,$B$2:B1274,B1274,$E$2:E1274,E1274)&gt;1,"Possible duplicate","")))</f>
        <v/>
      </c>
    </row>
    <row r="1275" spans="3:14" x14ac:dyDescent="0.3">
      <c r="C1275" s="16"/>
      <c r="G1275" s="5" t="str">
        <f t="shared" si="100"/>
        <v/>
      </c>
      <c r="H1275" t="str">
        <f>IF(A1275="","",IFERROR(_xlfn.XLOOKUP(D1275,Setup!$E$15:$E$79,Setup!$F$15:$F$79),"Miscellaneous"))</f>
        <v/>
      </c>
      <c r="I1275" t="str">
        <f>IF(A1275="","",IFERROR(_xlfn.XLOOKUP(D1275,Setup!$E$15:$E$79,Setup!$G$15:$G$79),"Uncategorized"))</f>
        <v/>
      </c>
      <c r="J1275" t="str">
        <f t="shared" si="101"/>
        <v/>
      </c>
      <c r="K1275" s="4" t="str">
        <f t="shared" si="102"/>
        <v/>
      </c>
      <c r="L1275" s="47">
        <f t="shared" si="103"/>
        <v>0</v>
      </c>
      <c r="M1275" s="47">
        <f t="shared" si="104"/>
        <v>0</v>
      </c>
      <c r="N1275" t="str">
        <f>IF(A1275="","",IF(D1275="Category Pending","Needs categorization",IF(COUNTIFS($A$2:A1275,A1275,$B$2:B1275,B1275,$E$2:E1275,E1275)&gt;1,"Possible duplicate","")))</f>
        <v/>
      </c>
    </row>
    <row r="1276" spans="3:14" x14ac:dyDescent="0.3">
      <c r="C1276" s="16"/>
      <c r="G1276" s="5" t="str">
        <f t="shared" si="100"/>
        <v/>
      </c>
      <c r="H1276" t="str">
        <f>IF(A1276="","",IFERROR(_xlfn.XLOOKUP(D1276,Setup!$E$15:$E$79,Setup!$F$15:$F$79),"Miscellaneous"))</f>
        <v/>
      </c>
      <c r="I1276" t="str">
        <f>IF(A1276="","",IFERROR(_xlfn.XLOOKUP(D1276,Setup!$E$15:$E$79,Setup!$G$15:$G$79),"Uncategorized"))</f>
        <v/>
      </c>
      <c r="J1276" t="str">
        <f t="shared" si="101"/>
        <v/>
      </c>
      <c r="K1276" s="4" t="str">
        <f t="shared" si="102"/>
        <v/>
      </c>
      <c r="L1276" s="47">
        <f t="shared" si="103"/>
        <v>0</v>
      </c>
      <c r="M1276" s="47">
        <f t="shared" si="104"/>
        <v>0</v>
      </c>
      <c r="N1276" t="str">
        <f>IF(A1276="","",IF(D1276="Category Pending","Needs categorization",IF(COUNTIFS($A$2:A1276,A1276,$B$2:B1276,B1276,$E$2:E1276,E1276)&gt;1,"Possible duplicate","")))</f>
        <v/>
      </c>
    </row>
    <row r="1277" spans="3:14" x14ac:dyDescent="0.3">
      <c r="C1277" s="16"/>
      <c r="G1277" s="5" t="str">
        <f t="shared" si="100"/>
        <v/>
      </c>
      <c r="H1277" t="str">
        <f>IF(A1277="","",IFERROR(_xlfn.XLOOKUP(D1277,Setup!$E$15:$E$79,Setup!$F$15:$F$79),"Miscellaneous"))</f>
        <v/>
      </c>
      <c r="I1277" t="str">
        <f>IF(A1277="","",IFERROR(_xlfn.XLOOKUP(D1277,Setup!$E$15:$E$79,Setup!$G$15:$G$79),"Uncategorized"))</f>
        <v/>
      </c>
      <c r="J1277" t="str">
        <f t="shared" si="101"/>
        <v/>
      </c>
      <c r="K1277" s="4" t="str">
        <f t="shared" si="102"/>
        <v/>
      </c>
      <c r="L1277" s="47">
        <f t="shared" si="103"/>
        <v>0</v>
      </c>
      <c r="M1277" s="47">
        <f t="shared" si="104"/>
        <v>0</v>
      </c>
      <c r="N1277" t="str">
        <f>IF(A1277="","",IF(D1277="Category Pending","Needs categorization",IF(COUNTIFS($A$2:A1277,A1277,$B$2:B1277,B1277,$E$2:E1277,E1277)&gt;1,"Possible duplicate","")))</f>
        <v/>
      </c>
    </row>
    <row r="1278" spans="3:14" x14ac:dyDescent="0.3">
      <c r="C1278" s="16"/>
      <c r="G1278" s="5" t="str">
        <f t="shared" si="100"/>
        <v/>
      </c>
      <c r="H1278" t="str">
        <f>IF(A1278="","",IFERROR(_xlfn.XLOOKUP(D1278,Setup!$E$15:$E$79,Setup!$F$15:$F$79),"Miscellaneous"))</f>
        <v/>
      </c>
      <c r="I1278" t="str">
        <f>IF(A1278="","",IFERROR(_xlfn.XLOOKUP(D1278,Setup!$E$15:$E$79,Setup!$G$15:$G$79),"Uncategorized"))</f>
        <v/>
      </c>
      <c r="J1278" t="str">
        <f t="shared" si="101"/>
        <v/>
      </c>
      <c r="K1278" s="4" t="str">
        <f t="shared" si="102"/>
        <v/>
      </c>
      <c r="L1278" s="47">
        <f t="shared" si="103"/>
        <v>0</v>
      </c>
      <c r="M1278" s="47">
        <f t="shared" si="104"/>
        <v>0</v>
      </c>
      <c r="N1278" t="str">
        <f>IF(A1278="","",IF(D1278="Category Pending","Needs categorization",IF(COUNTIFS($A$2:A1278,A1278,$B$2:B1278,B1278,$E$2:E1278,E1278)&gt;1,"Possible duplicate","")))</f>
        <v/>
      </c>
    </row>
    <row r="1279" spans="3:14" x14ac:dyDescent="0.3">
      <c r="C1279" s="16"/>
      <c r="G1279" s="5" t="str">
        <f t="shared" si="100"/>
        <v/>
      </c>
      <c r="H1279" t="str">
        <f>IF(A1279="","",IFERROR(_xlfn.XLOOKUP(D1279,Setup!$E$15:$E$79,Setup!$F$15:$F$79),"Miscellaneous"))</f>
        <v/>
      </c>
      <c r="I1279" t="str">
        <f>IF(A1279="","",IFERROR(_xlfn.XLOOKUP(D1279,Setup!$E$15:$E$79,Setup!$G$15:$G$79),"Uncategorized"))</f>
        <v/>
      </c>
      <c r="J1279" t="str">
        <f t="shared" si="101"/>
        <v/>
      </c>
      <c r="K1279" s="4" t="str">
        <f t="shared" si="102"/>
        <v/>
      </c>
      <c r="L1279" s="47">
        <f t="shared" si="103"/>
        <v>0</v>
      </c>
      <c r="M1279" s="47">
        <f t="shared" si="104"/>
        <v>0</v>
      </c>
      <c r="N1279" t="str">
        <f>IF(A1279="","",IF(D1279="Category Pending","Needs categorization",IF(COUNTIFS($A$2:A1279,A1279,$B$2:B1279,B1279,$E$2:E1279,E1279)&gt;1,"Possible duplicate","")))</f>
        <v/>
      </c>
    </row>
    <row r="1280" spans="3:14" x14ac:dyDescent="0.3">
      <c r="C1280" s="16"/>
      <c r="G1280" s="5" t="str">
        <f t="shared" si="100"/>
        <v/>
      </c>
      <c r="H1280" t="str">
        <f>IF(A1280="","",IFERROR(_xlfn.XLOOKUP(D1280,Setup!$E$15:$E$79,Setup!$F$15:$F$79),"Miscellaneous"))</f>
        <v/>
      </c>
      <c r="I1280" t="str">
        <f>IF(A1280="","",IFERROR(_xlfn.XLOOKUP(D1280,Setup!$E$15:$E$79,Setup!$G$15:$G$79),"Uncategorized"))</f>
        <v/>
      </c>
      <c r="J1280" t="str">
        <f t="shared" si="101"/>
        <v/>
      </c>
      <c r="K1280" s="4" t="str">
        <f t="shared" si="102"/>
        <v/>
      </c>
      <c r="L1280" s="47">
        <f t="shared" si="103"/>
        <v>0</v>
      </c>
      <c r="M1280" s="47">
        <f t="shared" si="104"/>
        <v>0</v>
      </c>
      <c r="N1280" t="str">
        <f>IF(A1280="","",IF(D1280="Category Pending","Needs categorization",IF(COUNTIFS($A$2:A1280,A1280,$B$2:B1280,B1280,$E$2:E1280,E1280)&gt;1,"Possible duplicate","")))</f>
        <v/>
      </c>
    </row>
    <row r="1281" spans="3:14" x14ac:dyDescent="0.3">
      <c r="C1281" s="16"/>
      <c r="G1281" s="5" t="str">
        <f t="shared" si="100"/>
        <v/>
      </c>
      <c r="H1281" t="str">
        <f>IF(A1281="","",IFERROR(_xlfn.XLOOKUP(D1281,Setup!$E$15:$E$79,Setup!$F$15:$F$79),"Miscellaneous"))</f>
        <v/>
      </c>
      <c r="I1281" t="str">
        <f>IF(A1281="","",IFERROR(_xlfn.XLOOKUP(D1281,Setup!$E$15:$E$79,Setup!$G$15:$G$79),"Uncategorized"))</f>
        <v/>
      </c>
      <c r="J1281" t="str">
        <f t="shared" si="101"/>
        <v/>
      </c>
      <c r="K1281" s="4" t="str">
        <f t="shared" si="102"/>
        <v/>
      </c>
      <c r="L1281" s="47">
        <f t="shared" si="103"/>
        <v>0</v>
      </c>
      <c r="M1281" s="47">
        <f t="shared" si="104"/>
        <v>0</v>
      </c>
      <c r="N1281" t="str">
        <f>IF(A1281="","",IF(D1281="Category Pending","Needs categorization",IF(COUNTIFS($A$2:A1281,A1281,$B$2:B1281,B1281,$E$2:E1281,E1281)&gt;1,"Possible duplicate","")))</f>
        <v/>
      </c>
    </row>
    <row r="1282" spans="3:14" x14ac:dyDescent="0.3">
      <c r="C1282" s="16"/>
      <c r="G1282" s="5" t="str">
        <f t="shared" si="100"/>
        <v/>
      </c>
      <c r="H1282" t="str">
        <f>IF(A1282="","",IFERROR(_xlfn.XLOOKUP(D1282,Setup!$E$15:$E$79,Setup!$F$15:$F$79),"Miscellaneous"))</f>
        <v/>
      </c>
      <c r="I1282" t="str">
        <f>IF(A1282="","",IFERROR(_xlfn.XLOOKUP(D1282,Setup!$E$15:$E$79,Setup!$G$15:$G$79),"Uncategorized"))</f>
        <v/>
      </c>
      <c r="J1282" t="str">
        <f t="shared" si="101"/>
        <v/>
      </c>
      <c r="K1282" s="4" t="str">
        <f t="shared" si="102"/>
        <v/>
      </c>
      <c r="L1282" s="47">
        <f t="shared" si="103"/>
        <v>0</v>
      </c>
      <c r="M1282" s="47">
        <f t="shared" si="104"/>
        <v>0</v>
      </c>
      <c r="N1282" t="str">
        <f>IF(A1282="","",IF(D1282="Category Pending","Needs categorization",IF(COUNTIFS($A$2:A1282,A1282,$B$2:B1282,B1282,$E$2:E1282,E1282)&gt;1,"Possible duplicate","")))</f>
        <v/>
      </c>
    </row>
    <row r="1283" spans="3:14" x14ac:dyDescent="0.3">
      <c r="C1283" s="16"/>
      <c r="G1283" s="5" t="str">
        <f t="shared" si="100"/>
        <v/>
      </c>
      <c r="H1283" t="str">
        <f>IF(A1283="","",IFERROR(_xlfn.XLOOKUP(D1283,Setup!$E$15:$E$79,Setup!$F$15:$F$79),"Miscellaneous"))</f>
        <v/>
      </c>
      <c r="I1283" t="str">
        <f>IF(A1283="","",IFERROR(_xlfn.XLOOKUP(D1283,Setup!$E$15:$E$79,Setup!$G$15:$G$79),"Uncategorized"))</f>
        <v/>
      </c>
      <c r="J1283" t="str">
        <f t="shared" si="101"/>
        <v/>
      </c>
      <c r="K1283" s="4" t="str">
        <f t="shared" si="102"/>
        <v/>
      </c>
      <c r="L1283" s="47">
        <f t="shared" si="103"/>
        <v>0</v>
      </c>
      <c r="M1283" s="47">
        <f t="shared" si="104"/>
        <v>0</v>
      </c>
      <c r="N1283" t="str">
        <f>IF(A1283="","",IF(D1283="Category Pending","Needs categorization",IF(COUNTIFS($A$2:A1283,A1283,$B$2:B1283,B1283,$E$2:E1283,E1283)&gt;1,"Possible duplicate","")))</f>
        <v/>
      </c>
    </row>
    <row r="1284" spans="3:14" x14ac:dyDescent="0.3">
      <c r="C1284" s="16"/>
      <c r="G1284" s="5" t="str">
        <f t="shared" si="100"/>
        <v/>
      </c>
      <c r="H1284" t="str">
        <f>IF(A1284="","",IFERROR(_xlfn.XLOOKUP(D1284,Setup!$E$15:$E$79,Setup!$F$15:$F$79),"Miscellaneous"))</f>
        <v/>
      </c>
      <c r="I1284" t="str">
        <f>IF(A1284="","",IFERROR(_xlfn.XLOOKUP(D1284,Setup!$E$15:$E$79,Setup!$G$15:$G$79),"Uncategorized"))</f>
        <v/>
      </c>
      <c r="J1284" t="str">
        <f t="shared" si="101"/>
        <v/>
      </c>
      <c r="K1284" s="4" t="str">
        <f t="shared" si="102"/>
        <v/>
      </c>
      <c r="L1284" s="47">
        <f t="shared" si="103"/>
        <v>0</v>
      </c>
      <c r="M1284" s="47">
        <f t="shared" si="104"/>
        <v>0</v>
      </c>
      <c r="N1284" t="str">
        <f>IF(A1284="","",IF(D1284="Category Pending","Needs categorization",IF(COUNTIFS($A$2:A1284,A1284,$B$2:B1284,B1284,$E$2:E1284,E1284)&gt;1,"Possible duplicate","")))</f>
        <v/>
      </c>
    </row>
    <row r="1285" spans="3:14" x14ac:dyDescent="0.3">
      <c r="C1285" s="16"/>
      <c r="G1285" s="5" t="str">
        <f t="shared" si="100"/>
        <v/>
      </c>
      <c r="H1285" t="str">
        <f>IF(A1285="","",IFERROR(_xlfn.XLOOKUP(D1285,Setup!$E$15:$E$79,Setup!$F$15:$F$79),"Miscellaneous"))</f>
        <v/>
      </c>
      <c r="I1285" t="str">
        <f>IF(A1285="","",IFERROR(_xlfn.XLOOKUP(D1285,Setup!$E$15:$E$79,Setup!$G$15:$G$79),"Uncategorized"))</f>
        <v/>
      </c>
      <c r="J1285" t="str">
        <f t="shared" si="101"/>
        <v/>
      </c>
      <c r="K1285" s="4" t="str">
        <f t="shared" si="102"/>
        <v/>
      </c>
      <c r="L1285" s="47">
        <f t="shared" si="103"/>
        <v>0</v>
      </c>
      <c r="M1285" s="47">
        <f t="shared" si="104"/>
        <v>0</v>
      </c>
      <c r="N1285" t="str">
        <f>IF(A1285="","",IF(D1285="Category Pending","Needs categorization",IF(COUNTIFS($A$2:A1285,A1285,$B$2:B1285,B1285,$E$2:E1285,E1285)&gt;1,"Possible duplicate","")))</f>
        <v/>
      </c>
    </row>
    <row r="1286" spans="3:14" x14ac:dyDescent="0.3">
      <c r="C1286" s="16"/>
      <c r="G1286" s="5" t="str">
        <f t="shared" si="100"/>
        <v/>
      </c>
      <c r="H1286" t="str">
        <f>IF(A1286="","",IFERROR(_xlfn.XLOOKUP(D1286,Setup!$E$15:$E$79,Setup!$F$15:$F$79),"Miscellaneous"))</f>
        <v/>
      </c>
      <c r="I1286" t="str">
        <f>IF(A1286="","",IFERROR(_xlfn.XLOOKUP(D1286,Setup!$E$15:$E$79,Setup!$G$15:$G$79),"Uncategorized"))</f>
        <v/>
      </c>
      <c r="J1286" t="str">
        <f t="shared" si="101"/>
        <v/>
      </c>
      <c r="K1286" s="4" t="str">
        <f t="shared" si="102"/>
        <v/>
      </c>
      <c r="L1286" s="47">
        <f t="shared" si="103"/>
        <v>0</v>
      </c>
      <c r="M1286" s="47">
        <f t="shared" si="104"/>
        <v>0</v>
      </c>
      <c r="N1286" t="str">
        <f>IF(A1286="","",IF(D1286="Category Pending","Needs categorization",IF(COUNTIFS($A$2:A1286,A1286,$B$2:B1286,B1286,$E$2:E1286,E1286)&gt;1,"Possible duplicate","")))</f>
        <v/>
      </c>
    </row>
    <row r="1287" spans="3:14" x14ac:dyDescent="0.3">
      <c r="C1287" s="16"/>
      <c r="G1287" s="5" t="str">
        <f t="shared" si="100"/>
        <v/>
      </c>
      <c r="H1287" t="str">
        <f>IF(A1287="","",IFERROR(_xlfn.XLOOKUP(D1287,Setup!$E$15:$E$79,Setup!$F$15:$F$79),"Miscellaneous"))</f>
        <v/>
      </c>
      <c r="I1287" t="str">
        <f>IF(A1287="","",IFERROR(_xlfn.XLOOKUP(D1287,Setup!$E$15:$E$79,Setup!$G$15:$G$79),"Uncategorized"))</f>
        <v/>
      </c>
      <c r="J1287" t="str">
        <f t="shared" si="101"/>
        <v/>
      </c>
      <c r="K1287" s="4" t="str">
        <f t="shared" si="102"/>
        <v/>
      </c>
      <c r="L1287" s="47">
        <f t="shared" si="103"/>
        <v>0</v>
      </c>
      <c r="M1287" s="47">
        <f t="shared" si="104"/>
        <v>0</v>
      </c>
      <c r="N1287" t="str">
        <f>IF(A1287="","",IF(D1287="Category Pending","Needs categorization",IF(COUNTIFS($A$2:A1287,A1287,$B$2:B1287,B1287,$E$2:E1287,E1287)&gt;1,"Possible duplicate","")))</f>
        <v/>
      </c>
    </row>
    <row r="1288" spans="3:14" x14ac:dyDescent="0.3">
      <c r="C1288" s="16"/>
      <c r="G1288" s="5" t="str">
        <f t="shared" si="100"/>
        <v/>
      </c>
      <c r="H1288" t="str">
        <f>IF(A1288="","",IFERROR(_xlfn.XLOOKUP(D1288,Setup!$E$15:$E$79,Setup!$F$15:$F$79),"Miscellaneous"))</f>
        <v/>
      </c>
      <c r="I1288" t="str">
        <f>IF(A1288="","",IFERROR(_xlfn.XLOOKUP(D1288,Setup!$E$15:$E$79,Setup!$G$15:$G$79),"Uncategorized"))</f>
        <v/>
      </c>
      <c r="J1288" t="str">
        <f t="shared" si="101"/>
        <v/>
      </c>
      <c r="K1288" s="4" t="str">
        <f t="shared" si="102"/>
        <v/>
      </c>
      <c r="L1288" s="47">
        <f t="shared" si="103"/>
        <v>0</v>
      </c>
      <c r="M1288" s="47">
        <f t="shared" si="104"/>
        <v>0</v>
      </c>
      <c r="N1288" t="str">
        <f>IF(A1288="","",IF(D1288="Category Pending","Needs categorization",IF(COUNTIFS($A$2:A1288,A1288,$B$2:B1288,B1288,$E$2:E1288,E1288)&gt;1,"Possible duplicate","")))</f>
        <v/>
      </c>
    </row>
    <row r="1289" spans="3:14" x14ac:dyDescent="0.3">
      <c r="C1289" s="16"/>
      <c r="G1289" s="5" t="str">
        <f t="shared" si="100"/>
        <v/>
      </c>
      <c r="H1289" t="str">
        <f>IF(A1289="","",IFERROR(_xlfn.XLOOKUP(D1289,Setup!$E$15:$E$79,Setup!$F$15:$F$79),"Miscellaneous"))</f>
        <v/>
      </c>
      <c r="I1289" t="str">
        <f>IF(A1289="","",IFERROR(_xlfn.XLOOKUP(D1289,Setup!$E$15:$E$79,Setup!$G$15:$G$79),"Uncategorized"))</f>
        <v/>
      </c>
      <c r="J1289" t="str">
        <f t="shared" si="101"/>
        <v/>
      </c>
      <c r="K1289" s="4" t="str">
        <f t="shared" si="102"/>
        <v/>
      </c>
      <c r="L1289" s="47">
        <f t="shared" si="103"/>
        <v>0</v>
      </c>
      <c r="M1289" s="47">
        <f t="shared" si="104"/>
        <v>0</v>
      </c>
      <c r="N1289" t="str">
        <f>IF(A1289="","",IF(D1289="Category Pending","Needs categorization",IF(COUNTIFS($A$2:A1289,A1289,$B$2:B1289,B1289,$E$2:E1289,E1289)&gt;1,"Possible duplicate","")))</f>
        <v/>
      </c>
    </row>
    <row r="1290" spans="3:14" x14ac:dyDescent="0.3">
      <c r="C1290" s="16"/>
      <c r="G1290" s="5" t="str">
        <f t="shared" si="100"/>
        <v/>
      </c>
      <c r="H1290" t="str">
        <f>IF(A1290="","",IFERROR(_xlfn.XLOOKUP(D1290,Setup!$E$15:$E$79,Setup!$F$15:$F$79),"Miscellaneous"))</f>
        <v/>
      </c>
      <c r="I1290" t="str">
        <f>IF(A1290="","",IFERROR(_xlfn.XLOOKUP(D1290,Setup!$E$15:$E$79,Setup!$G$15:$G$79),"Uncategorized"))</f>
        <v/>
      </c>
      <c r="J1290" t="str">
        <f t="shared" si="101"/>
        <v/>
      </c>
      <c r="K1290" s="4" t="str">
        <f t="shared" si="102"/>
        <v/>
      </c>
      <c r="L1290" s="47">
        <f t="shared" si="103"/>
        <v>0</v>
      </c>
      <c r="M1290" s="47">
        <f t="shared" si="104"/>
        <v>0</v>
      </c>
      <c r="N1290" t="str">
        <f>IF(A1290="","",IF(D1290="Category Pending","Needs categorization",IF(COUNTIFS($A$2:A1290,A1290,$B$2:B1290,B1290,$E$2:E1290,E1290)&gt;1,"Possible duplicate","")))</f>
        <v/>
      </c>
    </row>
    <row r="1291" spans="3:14" x14ac:dyDescent="0.3">
      <c r="C1291" s="16"/>
      <c r="G1291" s="5" t="str">
        <f t="shared" si="100"/>
        <v/>
      </c>
      <c r="H1291" t="str">
        <f>IF(A1291="","",IFERROR(_xlfn.XLOOKUP(D1291,Setup!$E$15:$E$79,Setup!$F$15:$F$79),"Miscellaneous"))</f>
        <v/>
      </c>
      <c r="I1291" t="str">
        <f>IF(A1291="","",IFERROR(_xlfn.XLOOKUP(D1291,Setup!$E$15:$E$79,Setup!$G$15:$G$79),"Uncategorized"))</f>
        <v/>
      </c>
      <c r="J1291" t="str">
        <f t="shared" si="101"/>
        <v/>
      </c>
      <c r="K1291" s="4" t="str">
        <f t="shared" si="102"/>
        <v/>
      </c>
      <c r="L1291" s="47">
        <f t="shared" si="103"/>
        <v>0</v>
      </c>
      <c r="M1291" s="47">
        <f t="shared" si="104"/>
        <v>0</v>
      </c>
      <c r="N1291" t="str">
        <f>IF(A1291="","",IF(D1291="Category Pending","Needs categorization",IF(COUNTIFS($A$2:A1291,A1291,$B$2:B1291,B1291,$E$2:E1291,E1291)&gt;1,"Possible duplicate","")))</f>
        <v/>
      </c>
    </row>
    <row r="1292" spans="3:14" x14ac:dyDescent="0.3">
      <c r="C1292" s="16"/>
      <c r="G1292" s="5" t="str">
        <f t="shared" si="100"/>
        <v/>
      </c>
      <c r="H1292" t="str">
        <f>IF(A1292="","",IFERROR(_xlfn.XLOOKUP(D1292,Setup!$E$15:$E$79,Setup!$F$15:$F$79),"Miscellaneous"))</f>
        <v/>
      </c>
      <c r="I1292" t="str">
        <f>IF(A1292="","",IFERROR(_xlfn.XLOOKUP(D1292,Setup!$E$15:$E$79,Setup!$G$15:$G$79),"Uncategorized"))</f>
        <v/>
      </c>
      <c r="J1292" t="str">
        <f t="shared" si="101"/>
        <v/>
      </c>
      <c r="K1292" s="4" t="str">
        <f t="shared" si="102"/>
        <v/>
      </c>
      <c r="L1292" s="47">
        <f t="shared" si="103"/>
        <v>0</v>
      </c>
      <c r="M1292" s="47">
        <f t="shared" si="104"/>
        <v>0</v>
      </c>
      <c r="N1292" t="str">
        <f>IF(A1292="","",IF(D1292="Category Pending","Needs categorization",IF(COUNTIFS($A$2:A1292,A1292,$B$2:B1292,B1292,$E$2:E1292,E1292)&gt;1,"Possible duplicate","")))</f>
        <v/>
      </c>
    </row>
    <row r="1293" spans="3:14" x14ac:dyDescent="0.3">
      <c r="C1293" s="16"/>
      <c r="G1293" s="5" t="str">
        <f t="shared" si="100"/>
        <v/>
      </c>
      <c r="H1293" t="str">
        <f>IF(A1293="","",IFERROR(_xlfn.XLOOKUP(D1293,Setup!$E$15:$E$79,Setup!$F$15:$F$79),"Miscellaneous"))</f>
        <v/>
      </c>
      <c r="I1293" t="str">
        <f>IF(A1293="","",IFERROR(_xlfn.XLOOKUP(D1293,Setup!$E$15:$E$79,Setup!$G$15:$G$79),"Uncategorized"))</f>
        <v/>
      </c>
      <c r="J1293" t="str">
        <f t="shared" si="101"/>
        <v/>
      </c>
      <c r="K1293" s="4" t="str">
        <f t="shared" si="102"/>
        <v/>
      </c>
      <c r="L1293" s="47">
        <f t="shared" si="103"/>
        <v>0</v>
      </c>
      <c r="M1293" s="47">
        <f t="shared" si="104"/>
        <v>0</v>
      </c>
      <c r="N1293" t="str">
        <f>IF(A1293="","",IF(D1293="Category Pending","Needs categorization",IF(COUNTIFS($A$2:A1293,A1293,$B$2:B1293,B1293,$E$2:E1293,E1293)&gt;1,"Possible duplicate","")))</f>
        <v/>
      </c>
    </row>
    <row r="1294" spans="3:14" x14ac:dyDescent="0.3">
      <c r="C1294" s="16"/>
      <c r="G1294" s="5" t="str">
        <f t="shared" si="100"/>
        <v/>
      </c>
      <c r="H1294" t="str">
        <f>IF(A1294="","",IFERROR(_xlfn.XLOOKUP(D1294,Setup!$E$15:$E$79,Setup!$F$15:$F$79),"Miscellaneous"))</f>
        <v/>
      </c>
      <c r="I1294" t="str">
        <f>IF(A1294="","",IFERROR(_xlfn.XLOOKUP(D1294,Setup!$E$15:$E$79,Setup!$G$15:$G$79),"Uncategorized"))</f>
        <v/>
      </c>
      <c r="J1294" t="str">
        <f t="shared" si="101"/>
        <v/>
      </c>
      <c r="K1294" s="4" t="str">
        <f t="shared" si="102"/>
        <v/>
      </c>
      <c r="L1294" s="47">
        <f t="shared" si="103"/>
        <v>0</v>
      </c>
      <c r="M1294" s="47">
        <f t="shared" si="104"/>
        <v>0</v>
      </c>
      <c r="N1294" t="str">
        <f>IF(A1294="","",IF(D1294="Category Pending","Needs categorization",IF(COUNTIFS($A$2:A1294,A1294,$B$2:B1294,B1294,$E$2:E1294,E1294)&gt;1,"Possible duplicate","")))</f>
        <v/>
      </c>
    </row>
    <row r="1295" spans="3:14" x14ac:dyDescent="0.3">
      <c r="C1295" s="16"/>
      <c r="G1295" s="5" t="str">
        <f t="shared" si="100"/>
        <v/>
      </c>
      <c r="H1295" t="str">
        <f>IF(A1295="","",IFERROR(_xlfn.XLOOKUP(D1295,Setup!$E$15:$E$79,Setup!$F$15:$F$79),"Miscellaneous"))</f>
        <v/>
      </c>
      <c r="I1295" t="str">
        <f>IF(A1295="","",IFERROR(_xlfn.XLOOKUP(D1295,Setup!$E$15:$E$79,Setup!$G$15:$G$79),"Uncategorized"))</f>
        <v/>
      </c>
      <c r="J1295" t="str">
        <f t="shared" si="101"/>
        <v/>
      </c>
      <c r="K1295" s="4" t="str">
        <f t="shared" si="102"/>
        <v/>
      </c>
      <c r="L1295" s="47">
        <f t="shared" si="103"/>
        <v>0</v>
      </c>
      <c r="M1295" s="47">
        <f t="shared" si="104"/>
        <v>0</v>
      </c>
      <c r="N1295" t="str">
        <f>IF(A1295="","",IF(D1295="Category Pending","Needs categorization",IF(COUNTIFS($A$2:A1295,A1295,$B$2:B1295,B1295,$E$2:E1295,E1295)&gt;1,"Possible duplicate","")))</f>
        <v/>
      </c>
    </row>
    <row r="1296" spans="3:14" x14ac:dyDescent="0.3">
      <c r="C1296" s="16"/>
      <c r="G1296" s="5" t="str">
        <f t="shared" si="100"/>
        <v/>
      </c>
      <c r="H1296" t="str">
        <f>IF(A1296="","",IFERROR(_xlfn.XLOOKUP(D1296,Setup!$E$15:$E$79,Setup!$F$15:$F$79),"Miscellaneous"))</f>
        <v/>
      </c>
      <c r="I1296" t="str">
        <f>IF(A1296="","",IFERROR(_xlfn.XLOOKUP(D1296,Setup!$E$15:$E$79,Setup!$G$15:$G$79),"Uncategorized"))</f>
        <v/>
      </c>
      <c r="J1296" t="str">
        <f t="shared" si="101"/>
        <v/>
      </c>
      <c r="K1296" s="4" t="str">
        <f t="shared" si="102"/>
        <v/>
      </c>
      <c r="L1296" s="47">
        <f t="shared" si="103"/>
        <v>0</v>
      </c>
      <c r="M1296" s="47">
        <f t="shared" si="104"/>
        <v>0</v>
      </c>
      <c r="N1296" t="str">
        <f>IF(A1296="","",IF(D1296="Category Pending","Needs categorization",IF(COUNTIFS($A$2:A1296,A1296,$B$2:B1296,B1296,$E$2:E1296,E1296)&gt;1,"Possible duplicate","")))</f>
        <v/>
      </c>
    </row>
    <row r="1297" spans="3:14" x14ac:dyDescent="0.3">
      <c r="C1297" s="16"/>
      <c r="G1297" s="5" t="str">
        <f t="shared" si="100"/>
        <v/>
      </c>
      <c r="H1297" t="str">
        <f>IF(A1297="","",IFERROR(_xlfn.XLOOKUP(D1297,Setup!$E$15:$E$79,Setup!$F$15:$F$79),"Miscellaneous"))</f>
        <v/>
      </c>
      <c r="I1297" t="str">
        <f>IF(A1297="","",IFERROR(_xlfn.XLOOKUP(D1297,Setup!$E$15:$E$79,Setup!$G$15:$G$79),"Uncategorized"))</f>
        <v/>
      </c>
      <c r="J1297" t="str">
        <f t="shared" si="101"/>
        <v/>
      </c>
      <c r="K1297" s="4" t="str">
        <f t="shared" si="102"/>
        <v/>
      </c>
      <c r="L1297" s="47">
        <f t="shared" si="103"/>
        <v>0</v>
      </c>
      <c r="M1297" s="47">
        <f t="shared" si="104"/>
        <v>0</v>
      </c>
      <c r="N1297" t="str">
        <f>IF(A1297="","",IF(D1297="Category Pending","Needs categorization",IF(COUNTIFS($A$2:A1297,A1297,$B$2:B1297,B1297,$E$2:E1297,E1297)&gt;1,"Possible duplicate","")))</f>
        <v/>
      </c>
    </row>
    <row r="1298" spans="3:14" x14ac:dyDescent="0.3">
      <c r="C1298" s="16"/>
      <c r="G1298" s="5" t="str">
        <f t="shared" si="100"/>
        <v/>
      </c>
      <c r="H1298" t="str">
        <f>IF(A1298="","",IFERROR(_xlfn.XLOOKUP(D1298,Setup!$E$15:$E$79,Setup!$F$15:$F$79),"Miscellaneous"))</f>
        <v/>
      </c>
      <c r="I1298" t="str">
        <f>IF(A1298="","",IFERROR(_xlfn.XLOOKUP(D1298,Setup!$E$15:$E$79,Setup!$G$15:$G$79),"Uncategorized"))</f>
        <v/>
      </c>
      <c r="J1298" t="str">
        <f t="shared" si="101"/>
        <v/>
      </c>
      <c r="K1298" s="4" t="str">
        <f t="shared" si="102"/>
        <v/>
      </c>
      <c r="L1298" s="47">
        <f t="shared" si="103"/>
        <v>0</v>
      </c>
      <c r="M1298" s="47">
        <f t="shared" si="104"/>
        <v>0</v>
      </c>
      <c r="N1298" t="str">
        <f>IF(A1298="","",IF(D1298="Category Pending","Needs categorization",IF(COUNTIFS($A$2:A1298,A1298,$B$2:B1298,B1298,$E$2:E1298,E1298)&gt;1,"Possible duplicate","")))</f>
        <v/>
      </c>
    </row>
    <row r="1299" spans="3:14" x14ac:dyDescent="0.3">
      <c r="C1299" s="16"/>
      <c r="G1299" s="5" t="str">
        <f t="shared" si="100"/>
        <v/>
      </c>
      <c r="H1299" t="str">
        <f>IF(A1299="","",IFERROR(_xlfn.XLOOKUP(D1299,Setup!$E$15:$E$79,Setup!$F$15:$F$79),"Miscellaneous"))</f>
        <v/>
      </c>
      <c r="I1299" t="str">
        <f>IF(A1299="","",IFERROR(_xlfn.XLOOKUP(D1299,Setup!$E$15:$E$79,Setup!$G$15:$G$79),"Uncategorized"))</f>
        <v/>
      </c>
      <c r="J1299" t="str">
        <f t="shared" si="101"/>
        <v/>
      </c>
      <c r="K1299" s="4" t="str">
        <f t="shared" si="102"/>
        <v/>
      </c>
      <c r="L1299" s="47">
        <f t="shared" si="103"/>
        <v>0</v>
      </c>
      <c r="M1299" s="47">
        <f t="shared" si="104"/>
        <v>0</v>
      </c>
      <c r="N1299" t="str">
        <f>IF(A1299="","",IF(D1299="Category Pending","Needs categorization",IF(COUNTIFS($A$2:A1299,A1299,$B$2:B1299,B1299,$E$2:E1299,E1299)&gt;1,"Possible duplicate","")))</f>
        <v/>
      </c>
    </row>
    <row r="1300" spans="3:14" x14ac:dyDescent="0.3">
      <c r="C1300" s="16"/>
      <c r="G1300" s="5" t="str">
        <f t="shared" si="100"/>
        <v/>
      </c>
      <c r="H1300" t="str">
        <f>IF(A1300="","",IFERROR(_xlfn.XLOOKUP(D1300,Setup!$E$15:$E$79,Setup!$F$15:$F$79),"Miscellaneous"))</f>
        <v/>
      </c>
      <c r="I1300" t="str">
        <f>IF(A1300="","",IFERROR(_xlfn.XLOOKUP(D1300,Setup!$E$15:$E$79,Setup!$G$15:$G$79),"Uncategorized"))</f>
        <v/>
      </c>
      <c r="J1300" t="str">
        <f t="shared" si="101"/>
        <v/>
      </c>
      <c r="K1300" s="4" t="str">
        <f t="shared" si="102"/>
        <v/>
      </c>
      <c r="L1300" s="47">
        <f t="shared" si="103"/>
        <v>0</v>
      </c>
      <c r="M1300" s="47">
        <f t="shared" si="104"/>
        <v>0</v>
      </c>
      <c r="N1300" t="str">
        <f>IF(A1300="","",IF(D1300="Category Pending","Needs categorization",IF(COUNTIFS($A$2:A1300,A1300,$B$2:B1300,B1300,$E$2:E1300,E1300)&gt;1,"Possible duplicate","")))</f>
        <v/>
      </c>
    </row>
    <row r="1301" spans="3:14" x14ac:dyDescent="0.3">
      <c r="C1301" s="16"/>
      <c r="G1301" s="5" t="str">
        <f t="shared" si="100"/>
        <v/>
      </c>
      <c r="H1301" t="str">
        <f>IF(A1301="","",IFERROR(_xlfn.XLOOKUP(D1301,Setup!$E$15:$E$79,Setup!$F$15:$F$79),"Miscellaneous"))</f>
        <v/>
      </c>
      <c r="I1301" t="str">
        <f>IF(A1301="","",IFERROR(_xlfn.XLOOKUP(D1301,Setup!$E$15:$E$79,Setup!$G$15:$G$79),"Uncategorized"))</f>
        <v/>
      </c>
      <c r="J1301" t="str">
        <f t="shared" si="101"/>
        <v/>
      </c>
      <c r="K1301" s="4" t="str">
        <f t="shared" si="102"/>
        <v/>
      </c>
      <c r="L1301" s="47">
        <f t="shared" si="103"/>
        <v>0</v>
      </c>
      <c r="M1301" s="47">
        <f t="shared" si="104"/>
        <v>0</v>
      </c>
      <c r="N1301" t="str">
        <f>IF(A1301="","",IF(D1301="Category Pending","Needs categorization",IF(COUNTIFS($A$2:A1301,A1301,$B$2:B1301,B1301,$E$2:E1301,E1301)&gt;1,"Possible duplicate","")))</f>
        <v/>
      </c>
    </row>
    <row r="1302" spans="3:14" x14ac:dyDescent="0.3">
      <c r="C1302" s="16"/>
      <c r="G1302" s="5" t="str">
        <f t="shared" si="100"/>
        <v/>
      </c>
      <c r="H1302" t="str">
        <f>IF(A1302="","",IFERROR(_xlfn.XLOOKUP(D1302,Setup!$E$15:$E$79,Setup!$F$15:$F$79),"Miscellaneous"))</f>
        <v/>
      </c>
      <c r="I1302" t="str">
        <f>IF(A1302="","",IFERROR(_xlfn.XLOOKUP(D1302,Setup!$E$15:$E$79,Setup!$G$15:$G$79),"Uncategorized"))</f>
        <v/>
      </c>
      <c r="J1302" t="str">
        <f t="shared" si="101"/>
        <v/>
      </c>
      <c r="K1302" s="4" t="str">
        <f t="shared" si="102"/>
        <v/>
      </c>
      <c r="L1302" s="47">
        <f t="shared" si="103"/>
        <v>0</v>
      </c>
      <c r="M1302" s="47">
        <f t="shared" si="104"/>
        <v>0</v>
      </c>
      <c r="N1302" t="str">
        <f>IF(A1302="","",IF(D1302="Category Pending","Needs categorization",IF(COUNTIFS($A$2:A1302,A1302,$B$2:B1302,B1302,$E$2:E1302,E1302)&gt;1,"Possible duplicate","")))</f>
        <v/>
      </c>
    </row>
    <row r="1303" spans="3:14" x14ac:dyDescent="0.3">
      <c r="C1303" s="16"/>
      <c r="G1303" s="5" t="str">
        <f t="shared" si="100"/>
        <v/>
      </c>
      <c r="H1303" t="str">
        <f>IF(A1303="","",IFERROR(_xlfn.XLOOKUP(D1303,Setup!$E$15:$E$79,Setup!$F$15:$F$79),"Miscellaneous"))</f>
        <v/>
      </c>
      <c r="I1303" t="str">
        <f>IF(A1303="","",IFERROR(_xlfn.XLOOKUP(D1303,Setup!$E$15:$E$79,Setup!$G$15:$G$79),"Uncategorized"))</f>
        <v/>
      </c>
      <c r="J1303" t="str">
        <f t="shared" si="101"/>
        <v/>
      </c>
      <c r="K1303" s="4" t="str">
        <f t="shared" si="102"/>
        <v/>
      </c>
      <c r="L1303" s="47">
        <f t="shared" si="103"/>
        <v>0</v>
      </c>
      <c r="M1303" s="47">
        <f t="shared" si="104"/>
        <v>0</v>
      </c>
      <c r="N1303" t="str">
        <f>IF(A1303="","",IF(D1303="Category Pending","Needs categorization",IF(COUNTIFS($A$2:A1303,A1303,$B$2:B1303,B1303,$E$2:E1303,E1303)&gt;1,"Possible duplicate","")))</f>
        <v/>
      </c>
    </row>
    <row r="1304" spans="3:14" x14ac:dyDescent="0.3">
      <c r="C1304" s="16"/>
      <c r="G1304" s="5" t="str">
        <f t="shared" si="100"/>
        <v/>
      </c>
      <c r="H1304" t="str">
        <f>IF(A1304="","",IFERROR(_xlfn.XLOOKUP(D1304,Setup!$E$15:$E$79,Setup!$F$15:$F$79),"Miscellaneous"))</f>
        <v/>
      </c>
      <c r="I1304" t="str">
        <f>IF(A1304="","",IFERROR(_xlfn.XLOOKUP(D1304,Setup!$E$15:$E$79,Setup!$G$15:$G$79),"Uncategorized"))</f>
        <v/>
      </c>
      <c r="J1304" t="str">
        <f t="shared" si="101"/>
        <v/>
      </c>
      <c r="K1304" s="4" t="str">
        <f t="shared" si="102"/>
        <v/>
      </c>
      <c r="L1304" s="47">
        <f t="shared" si="103"/>
        <v>0</v>
      </c>
      <c r="M1304" s="47">
        <f t="shared" si="104"/>
        <v>0</v>
      </c>
      <c r="N1304" t="str">
        <f>IF(A1304="","",IF(D1304="Category Pending","Needs categorization",IF(COUNTIFS($A$2:A1304,A1304,$B$2:B1304,B1304,$E$2:E1304,E1304)&gt;1,"Possible duplicate","")))</f>
        <v/>
      </c>
    </row>
    <row r="1305" spans="3:14" x14ac:dyDescent="0.3">
      <c r="C1305" s="16"/>
      <c r="G1305" s="5" t="str">
        <f t="shared" si="100"/>
        <v/>
      </c>
      <c r="H1305" t="str">
        <f>IF(A1305="","",IFERROR(_xlfn.XLOOKUP(D1305,Setup!$E$15:$E$79,Setup!$F$15:$F$79),"Miscellaneous"))</f>
        <v/>
      </c>
      <c r="I1305" t="str">
        <f>IF(A1305="","",IFERROR(_xlfn.XLOOKUP(D1305,Setup!$E$15:$E$79,Setup!$G$15:$G$79),"Uncategorized"))</f>
        <v/>
      </c>
      <c r="J1305" t="str">
        <f t="shared" si="101"/>
        <v/>
      </c>
      <c r="K1305" s="4" t="str">
        <f t="shared" si="102"/>
        <v/>
      </c>
      <c r="L1305" s="47">
        <f t="shared" si="103"/>
        <v>0</v>
      </c>
      <c r="M1305" s="47">
        <f t="shared" si="104"/>
        <v>0</v>
      </c>
      <c r="N1305" t="str">
        <f>IF(A1305="","",IF(D1305="Category Pending","Needs categorization",IF(COUNTIFS($A$2:A1305,A1305,$B$2:B1305,B1305,$E$2:E1305,E1305)&gt;1,"Possible duplicate","")))</f>
        <v/>
      </c>
    </row>
    <row r="1306" spans="3:14" x14ac:dyDescent="0.3">
      <c r="C1306" s="16"/>
      <c r="G1306" s="5" t="str">
        <f t="shared" si="100"/>
        <v/>
      </c>
      <c r="H1306" t="str">
        <f>IF(A1306="","",IFERROR(_xlfn.XLOOKUP(D1306,Setup!$E$15:$E$79,Setup!$F$15:$F$79),"Miscellaneous"))</f>
        <v/>
      </c>
      <c r="I1306" t="str">
        <f>IF(A1306="","",IFERROR(_xlfn.XLOOKUP(D1306,Setup!$E$15:$E$79,Setup!$G$15:$G$79),"Uncategorized"))</f>
        <v/>
      </c>
      <c r="J1306" t="str">
        <f t="shared" si="101"/>
        <v/>
      </c>
      <c r="K1306" s="4" t="str">
        <f t="shared" si="102"/>
        <v/>
      </c>
      <c r="L1306" s="47">
        <f t="shared" si="103"/>
        <v>0</v>
      </c>
      <c r="M1306" s="47">
        <f t="shared" si="104"/>
        <v>0</v>
      </c>
      <c r="N1306" t="str">
        <f>IF(A1306="","",IF(D1306="Category Pending","Needs categorization",IF(COUNTIFS($A$2:A1306,A1306,$B$2:B1306,B1306,$E$2:E1306,E1306)&gt;1,"Possible duplicate","")))</f>
        <v/>
      </c>
    </row>
    <row r="1307" spans="3:14" x14ac:dyDescent="0.3">
      <c r="C1307" s="16"/>
      <c r="G1307" s="5" t="str">
        <f t="shared" si="100"/>
        <v/>
      </c>
      <c r="H1307" t="str">
        <f>IF(A1307="","",IFERROR(_xlfn.XLOOKUP(D1307,Setup!$E$15:$E$79,Setup!$F$15:$F$79),"Miscellaneous"))</f>
        <v/>
      </c>
      <c r="I1307" t="str">
        <f>IF(A1307="","",IFERROR(_xlfn.XLOOKUP(D1307,Setup!$E$15:$E$79,Setup!$G$15:$G$79),"Uncategorized"))</f>
        <v/>
      </c>
      <c r="J1307" t="str">
        <f t="shared" si="101"/>
        <v/>
      </c>
      <c r="K1307" s="4" t="str">
        <f t="shared" si="102"/>
        <v/>
      </c>
      <c r="L1307" s="47">
        <f t="shared" si="103"/>
        <v>0</v>
      </c>
      <c r="M1307" s="47">
        <f t="shared" si="104"/>
        <v>0</v>
      </c>
      <c r="N1307" t="str">
        <f>IF(A1307="","",IF(D1307="Category Pending","Needs categorization",IF(COUNTIFS($A$2:A1307,A1307,$B$2:B1307,B1307,$E$2:E1307,E1307)&gt;1,"Possible duplicate","")))</f>
        <v/>
      </c>
    </row>
    <row r="1308" spans="3:14" x14ac:dyDescent="0.3">
      <c r="C1308" s="16"/>
      <c r="G1308" s="5" t="str">
        <f t="shared" si="100"/>
        <v/>
      </c>
      <c r="H1308" t="str">
        <f>IF(A1308="","",IFERROR(_xlfn.XLOOKUP(D1308,Setup!$E$15:$E$79,Setup!$F$15:$F$79),"Miscellaneous"))</f>
        <v/>
      </c>
      <c r="I1308" t="str">
        <f>IF(A1308="","",IFERROR(_xlfn.XLOOKUP(D1308,Setup!$E$15:$E$79,Setup!$G$15:$G$79),"Uncategorized"))</f>
        <v/>
      </c>
      <c r="J1308" t="str">
        <f t="shared" si="101"/>
        <v/>
      </c>
      <c r="K1308" s="4" t="str">
        <f t="shared" si="102"/>
        <v/>
      </c>
      <c r="L1308" s="47">
        <f t="shared" si="103"/>
        <v>0</v>
      </c>
      <c r="M1308" s="47">
        <f t="shared" si="104"/>
        <v>0</v>
      </c>
      <c r="N1308" t="str">
        <f>IF(A1308="","",IF(D1308="Category Pending","Needs categorization",IF(COUNTIFS($A$2:A1308,A1308,$B$2:B1308,B1308,$E$2:E1308,E1308)&gt;1,"Possible duplicate","")))</f>
        <v/>
      </c>
    </row>
    <row r="1309" spans="3:14" x14ac:dyDescent="0.3">
      <c r="C1309" s="16"/>
      <c r="G1309" s="5" t="str">
        <f t="shared" si="100"/>
        <v/>
      </c>
      <c r="H1309" t="str">
        <f>IF(A1309="","",IFERROR(_xlfn.XLOOKUP(D1309,Setup!$E$15:$E$79,Setup!$F$15:$F$79),"Miscellaneous"))</f>
        <v/>
      </c>
      <c r="I1309" t="str">
        <f>IF(A1309="","",IFERROR(_xlfn.XLOOKUP(D1309,Setup!$E$15:$E$79,Setup!$G$15:$G$79),"Uncategorized"))</f>
        <v/>
      </c>
      <c r="J1309" t="str">
        <f t="shared" si="101"/>
        <v/>
      </c>
      <c r="K1309" s="4" t="str">
        <f t="shared" si="102"/>
        <v/>
      </c>
      <c r="L1309" s="47">
        <f t="shared" si="103"/>
        <v>0</v>
      </c>
      <c r="M1309" s="47">
        <f t="shared" si="104"/>
        <v>0</v>
      </c>
      <c r="N1309" t="str">
        <f>IF(A1309="","",IF(D1309="Category Pending","Needs categorization",IF(COUNTIFS($A$2:A1309,A1309,$B$2:B1309,B1309,$E$2:E1309,E1309)&gt;1,"Possible duplicate","")))</f>
        <v/>
      </c>
    </row>
    <row r="1310" spans="3:14" x14ac:dyDescent="0.3">
      <c r="C1310" s="16"/>
      <c r="G1310" s="5" t="str">
        <f t="shared" si="100"/>
        <v/>
      </c>
      <c r="H1310" t="str">
        <f>IF(A1310="","",IFERROR(_xlfn.XLOOKUP(D1310,Setup!$E$15:$E$79,Setup!$F$15:$F$79),"Miscellaneous"))</f>
        <v/>
      </c>
      <c r="I1310" t="str">
        <f>IF(A1310="","",IFERROR(_xlfn.XLOOKUP(D1310,Setup!$E$15:$E$79,Setup!$G$15:$G$79),"Uncategorized"))</f>
        <v/>
      </c>
      <c r="J1310" t="str">
        <f t="shared" si="101"/>
        <v/>
      </c>
      <c r="K1310" s="4" t="str">
        <f t="shared" si="102"/>
        <v/>
      </c>
      <c r="L1310" s="47">
        <f t="shared" si="103"/>
        <v>0</v>
      </c>
      <c r="M1310" s="47">
        <f t="shared" si="104"/>
        <v>0</v>
      </c>
      <c r="N1310" t="str">
        <f>IF(A1310="","",IF(D1310="Category Pending","Needs categorization",IF(COUNTIFS($A$2:A1310,A1310,$B$2:B1310,B1310,$E$2:E1310,E1310)&gt;1,"Possible duplicate","")))</f>
        <v/>
      </c>
    </row>
    <row r="1311" spans="3:14" x14ac:dyDescent="0.3">
      <c r="C1311" s="16"/>
      <c r="G1311" s="5" t="str">
        <f t="shared" si="100"/>
        <v/>
      </c>
      <c r="H1311" t="str">
        <f>IF(A1311="","",IFERROR(_xlfn.XLOOKUP(D1311,Setup!$E$15:$E$79,Setup!$F$15:$F$79),"Miscellaneous"))</f>
        <v/>
      </c>
      <c r="I1311" t="str">
        <f>IF(A1311="","",IFERROR(_xlfn.XLOOKUP(D1311,Setup!$E$15:$E$79,Setup!$G$15:$G$79),"Uncategorized"))</f>
        <v/>
      </c>
      <c r="J1311" t="str">
        <f t="shared" si="101"/>
        <v/>
      </c>
      <c r="K1311" s="4" t="str">
        <f t="shared" si="102"/>
        <v/>
      </c>
      <c r="L1311" s="47">
        <f t="shared" si="103"/>
        <v>0</v>
      </c>
      <c r="M1311" s="47">
        <f t="shared" si="104"/>
        <v>0</v>
      </c>
      <c r="N1311" t="str">
        <f>IF(A1311="","",IF(D1311="Category Pending","Needs categorization",IF(COUNTIFS($A$2:A1311,A1311,$B$2:B1311,B1311,$E$2:E1311,E1311)&gt;1,"Possible duplicate","")))</f>
        <v/>
      </c>
    </row>
    <row r="1312" spans="3:14" x14ac:dyDescent="0.3">
      <c r="C1312" s="16"/>
      <c r="G1312" s="5" t="str">
        <f t="shared" si="100"/>
        <v/>
      </c>
      <c r="H1312" t="str">
        <f>IF(A1312="","",IFERROR(_xlfn.XLOOKUP(D1312,Setup!$E$15:$E$79,Setup!$F$15:$F$79),"Miscellaneous"))</f>
        <v/>
      </c>
      <c r="I1312" t="str">
        <f>IF(A1312="","",IFERROR(_xlfn.XLOOKUP(D1312,Setup!$E$15:$E$79,Setup!$G$15:$G$79),"Uncategorized"))</f>
        <v/>
      </c>
      <c r="J1312" t="str">
        <f t="shared" si="101"/>
        <v/>
      </c>
      <c r="K1312" s="4" t="str">
        <f t="shared" si="102"/>
        <v/>
      </c>
      <c r="L1312" s="47">
        <f t="shared" si="103"/>
        <v>0</v>
      </c>
      <c r="M1312" s="47">
        <f t="shared" si="104"/>
        <v>0</v>
      </c>
      <c r="N1312" t="str">
        <f>IF(A1312="","",IF(D1312="Category Pending","Needs categorization",IF(COUNTIFS($A$2:A1312,A1312,$B$2:B1312,B1312,$E$2:E1312,E1312)&gt;1,"Possible duplicate","")))</f>
        <v/>
      </c>
    </row>
    <row r="1313" spans="3:14" x14ac:dyDescent="0.3">
      <c r="C1313" s="16"/>
      <c r="G1313" s="5" t="str">
        <f t="shared" ref="G1313:G1376" si="105">IF(A1313="","","Checking")</f>
        <v/>
      </c>
      <c r="H1313" t="str">
        <f>IF(A1313="","",IFERROR(_xlfn.XLOOKUP(D1313,Setup!$E$15:$E$79,Setup!$F$15:$F$79),"Miscellaneous"))</f>
        <v/>
      </c>
      <c r="I1313" t="str">
        <f>IF(A1313="","",IFERROR(_xlfn.XLOOKUP(D1313,Setup!$E$15:$E$79,Setup!$G$15:$G$79),"Uncategorized"))</f>
        <v/>
      </c>
      <c r="J1313" t="str">
        <f t="shared" ref="J1313:J1376" si="106">IF(A1313="","",IF(OR(H1313="Transfers",H1313="Income",D1313="Transfer",D1313="Category Pending"),"No","Yes"))</f>
        <v/>
      </c>
      <c r="K1313" s="4" t="str">
        <f t="shared" ref="K1313:K1376" si="107">IF(A1313="","",IF(A1313&gt;=46232,TEXT(DATE(YEAR(A1313),MONTH(A1313)+1,1),"mmmm yyyy"),TEXT(DATE(YEAR(A1313),MONTH(A1313),1),"mmmm yyyy")))</f>
        <v/>
      </c>
      <c r="L1313" s="47">
        <f t="shared" ref="L1313:L1376" si="108">IF(AND(J1313="Yes",E1313&lt;0),-E1313,0)</f>
        <v>0</v>
      </c>
      <c r="M1313" s="47">
        <f t="shared" ref="M1313:M1376" si="109">IF(AND(J1313="Yes",E1313&gt;0),E1313,0)</f>
        <v>0</v>
      </c>
      <c r="N1313" t="str">
        <f>IF(A1313="","",IF(D1313="Category Pending","Needs categorization",IF(COUNTIFS($A$2:A1313,A1313,$B$2:B1313,B1313,$E$2:E1313,E1313)&gt;1,"Possible duplicate","")))</f>
        <v/>
      </c>
    </row>
    <row r="1314" spans="3:14" x14ac:dyDescent="0.3">
      <c r="C1314" s="16"/>
      <c r="G1314" s="5" t="str">
        <f t="shared" si="105"/>
        <v/>
      </c>
      <c r="H1314" t="str">
        <f>IF(A1314="","",IFERROR(_xlfn.XLOOKUP(D1314,Setup!$E$15:$E$79,Setup!$F$15:$F$79),"Miscellaneous"))</f>
        <v/>
      </c>
      <c r="I1314" t="str">
        <f>IF(A1314="","",IFERROR(_xlfn.XLOOKUP(D1314,Setup!$E$15:$E$79,Setup!$G$15:$G$79),"Uncategorized"))</f>
        <v/>
      </c>
      <c r="J1314" t="str">
        <f t="shared" si="106"/>
        <v/>
      </c>
      <c r="K1314" s="4" t="str">
        <f t="shared" si="107"/>
        <v/>
      </c>
      <c r="L1314" s="47">
        <f t="shared" si="108"/>
        <v>0</v>
      </c>
      <c r="M1314" s="47">
        <f t="shared" si="109"/>
        <v>0</v>
      </c>
      <c r="N1314" t="str">
        <f>IF(A1314="","",IF(D1314="Category Pending","Needs categorization",IF(COUNTIFS($A$2:A1314,A1314,$B$2:B1314,B1314,$E$2:E1314,E1314)&gt;1,"Possible duplicate","")))</f>
        <v/>
      </c>
    </row>
    <row r="1315" spans="3:14" x14ac:dyDescent="0.3">
      <c r="C1315" s="16"/>
      <c r="G1315" s="5" t="str">
        <f t="shared" si="105"/>
        <v/>
      </c>
      <c r="H1315" t="str">
        <f>IF(A1315="","",IFERROR(_xlfn.XLOOKUP(D1315,Setup!$E$15:$E$79,Setup!$F$15:$F$79),"Miscellaneous"))</f>
        <v/>
      </c>
      <c r="I1315" t="str">
        <f>IF(A1315="","",IFERROR(_xlfn.XLOOKUP(D1315,Setup!$E$15:$E$79,Setup!$G$15:$G$79),"Uncategorized"))</f>
        <v/>
      </c>
      <c r="J1315" t="str">
        <f t="shared" si="106"/>
        <v/>
      </c>
      <c r="K1315" s="4" t="str">
        <f t="shared" si="107"/>
        <v/>
      </c>
      <c r="L1315" s="47">
        <f t="shared" si="108"/>
        <v>0</v>
      </c>
      <c r="M1315" s="47">
        <f t="shared" si="109"/>
        <v>0</v>
      </c>
      <c r="N1315" t="str">
        <f>IF(A1315="","",IF(D1315="Category Pending","Needs categorization",IF(COUNTIFS($A$2:A1315,A1315,$B$2:B1315,B1315,$E$2:E1315,E1315)&gt;1,"Possible duplicate","")))</f>
        <v/>
      </c>
    </row>
    <row r="1316" spans="3:14" x14ac:dyDescent="0.3">
      <c r="C1316" s="16"/>
      <c r="G1316" s="5" t="str">
        <f t="shared" si="105"/>
        <v/>
      </c>
      <c r="H1316" t="str">
        <f>IF(A1316="","",IFERROR(_xlfn.XLOOKUP(D1316,Setup!$E$15:$E$79,Setup!$F$15:$F$79),"Miscellaneous"))</f>
        <v/>
      </c>
      <c r="I1316" t="str">
        <f>IF(A1316="","",IFERROR(_xlfn.XLOOKUP(D1316,Setup!$E$15:$E$79,Setup!$G$15:$G$79),"Uncategorized"))</f>
        <v/>
      </c>
      <c r="J1316" t="str">
        <f t="shared" si="106"/>
        <v/>
      </c>
      <c r="K1316" s="4" t="str">
        <f t="shared" si="107"/>
        <v/>
      </c>
      <c r="L1316" s="47">
        <f t="shared" si="108"/>
        <v>0</v>
      </c>
      <c r="M1316" s="47">
        <f t="shared" si="109"/>
        <v>0</v>
      </c>
      <c r="N1316" t="str">
        <f>IF(A1316="","",IF(D1316="Category Pending","Needs categorization",IF(COUNTIFS($A$2:A1316,A1316,$B$2:B1316,B1316,$E$2:E1316,E1316)&gt;1,"Possible duplicate","")))</f>
        <v/>
      </c>
    </row>
    <row r="1317" spans="3:14" x14ac:dyDescent="0.3">
      <c r="C1317" s="16"/>
      <c r="G1317" s="5" t="str">
        <f t="shared" si="105"/>
        <v/>
      </c>
      <c r="H1317" t="str">
        <f>IF(A1317="","",IFERROR(_xlfn.XLOOKUP(D1317,Setup!$E$15:$E$79,Setup!$F$15:$F$79),"Miscellaneous"))</f>
        <v/>
      </c>
      <c r="I1317" t="str">
        <f>IF(A1317="","",IFERROR(_xlfn.XLOOKUP(D1317,Setup!$E$15:$E$79,Setup!$G$15:$G$79),"Uncategorized"))</f>
        <v/>
      </c>
      <c r="J1317" t="str">
        <f t="shared" si="106"/>
        <v/>
      </c>
      <c r="K1317" s="4" t="str">
        <f t="shared" si="107"/>
        <v/>
      </c>
      <c r="L1317" s="47">
        <f t="shared" si="108"/>
        <v>0</v>
      </c>
      <c r="M1317" s="47">
        <f t="shared" si="109"/>
        <v>0</v>
      </c>
      <c r="N1317" t="str">
        <f>IF(A1317="","",IF(D1317="Category Pending","Needs categorization",IF(COUNTIFS($A$2:A1317,A1317,$B$2:B1317,B1317,$E$2:E1317,E1317)&gt;1,"Possible duplicate","")))</f>
        <v/>
      </c>
    </row>
    <row r="1318" spans="3:14" x14ac:dyDescent="0.3">
      <c r="C1318" s="16"/>
      <c r="G1318" s="5" t="str">
        <f t="shared" si="105"/>
        <v/>
      </c>
      <c r="H1318" t="str">
        <f>IF(A1318="","",IFERROR(_xlfn.XLOOKUP(D1318,Setup!$E$15:$E$79,Setup!$F$15:$F$79),"Miscellaneous"))</f>
        <v/>
      </c>
      <c r="I1318" t="str">
        <f>IF(A1318="","",IFERROR(_xlfn.XLOOKUP(D1318,Setup!$E$15:$E$79,Setup!$G$15:$G$79),"Uncategorized"))</f>
        <v/>
      </c>
      <c r="J1318" t="str">
        <f t="shared" si="106"/>
        <v/>
      </c>
      <c r="K1318" s="4" t="str">
        <f t="shared" si="107"/>
        <v/>
      </c>
      <c r="L1318" s="47">
        <f t="shared" si="108"/>
        <v>0</v>
      </c>
      <c r="M1318" s="47">
        <f t="shared" si="109"/>
        <v>0</v>
      </c>
      <c r="N1318" t="str">
        <f>IF(A1318="","",IF(D1318="Category Pending","Needs categorization",IF(COUNTIFS($A$2:A1318,A1318,$B$2:B1318,B1318,$E$2:E1318,E1318)&gt;1,"Possible duplicate","")))</f>
        <v/>
      </c>
    </row>
    <row r="1319" spans="3:14" x14ac:dyDescent="0.3">
      <c r="C1319" s="16"/>
      <c r="G1319" s="5" t="str">
        <f t="shared" si="105"/>
        <v/>
      </c>
      <c r="H1319" t="str">
        <f>IF(A1319="","",IFERROR(_xlfn.XLOOKUP(D1319,Setup!$E$15:$E$79,Setup!$F$15:$F$79),"Miscellaneous"))</f>
        <v/>
      </c>
      <c r="I1319" t="str">
        <f>IF(A1319="","",IFERROR(_xlfn.XLOOKUP(D1319,Setup!$E$15:$E$79,Setup!$G$15:$G$79),"Uncategorized"))</f>
        <v/>
      </c>
      <c r="J1319" t="str">
        <f t="shared" si="106"/>
        <v/>
      </c>
      <c r="K1319" s="4" t="str">
        <f t="shared" si="107"/>
        <v/>
      </c>
      <c r="L1319" s="47">
        <f t="shared" si="108"/>
        <v>0</v>
      </c>
      <c r="M1319" s="47">
        <f t="shared" si="109"/>
        <v>0</v>
      </c>
      <c r="N1319" t="str">
        <f>IF(A1319="","",IF(D1319="Category Pending","Needs categorization",IF(COUNTIFS($A$2:A1319,A1319,$B$2:B1319,B1319,$E$2:E1319,E1319)&gt;1,"Possible duplicate","")))</f>
        <v/>
      </c>
    </row>
    <row r="1320" spans="3:14" x14ac:dyDescent="0.3">
      <c r="C1320" s="16"/>
      <c r="G1320" s="5" t="str">
        <f t="shared" si="105"/>
        <v/>
      </c>
      <c r="H1320" t="str">
        <f>IF(A1320="","",IFERROR(_xlfn.XLOOKUP(D1320,Setup!$E$15:$E$79,Setup!$F$15:$F$79),"Miscellaneous"))</f>
        <v/>
      </c>
      <c r="I1320" t="str">
        <f>IF(A1320="","",IFERROR(_xlfn.XLOOKUP(D1320,Setup!$E$15:$E$79,Setup!$G$15:$G$79),"Uncategorized"))</f>
        <v/>
      </c>
      <c r="J1320" t="str">
        <f t="shared" si="106"/>
        <v/>
      </c>
      <c r="K1320" s="4" t="str">
        <f t="shared" si="107"/>
        <v/>
      </c>
      <c r="L1320" s="47">
        <f t="shared" si="108"/>
        <v>0</v>
      </c>
      <c r="M1320" s="47">
        <f t="shared" si="109"/>
        <v>0</v>
      </c>
      <c r="N1320" t="str">
        <f>IF(A1320="","",IF(D1320="Category Pending","Needs categorization",IF(COUNTIFS($A$2:A1320,A1320,$B$2:B1320,B1320,$E$2:E1320,E1320)&gt;1,"Possible duplicate","")))</f>
        <v/>
      </c>
    </row>
    <row r="1321" spans="3:14" x14ac:dyDescent="0.3">
      <c r="C1321" s="16"/>
      <c r="G1321" s="5" t="str">
        <f t="shared" si="105"/>
        <v/>
      </c>
      <c r="H1321" t="str">
        <f>IF(A1321="","",IFERROR(_xlfn.XLOOKUP(D1321,Setup!$E$15:$E$79,Setup!$F$15:$F$79),"Miscellaneous"))</f>
        <v/>
      </c>
      <c r="I1321" t="str">
        <f>IF(A1321="","",IFERROR(_xlfn.XLOOKUP(D1321,Setup!$E$15:$E$79,Setup!$G$15:$G$79),"Uncategorized"))</f>
        <v/>
      </c>
      <c r="J1321" t="str">
        <f t="shared" si="106"/>
        <v/>
      </c>
      <c r="K1321" s="4" t="str">
        <f t="shared" si="107"/>
        <v/>
      </c>
      <c r="L1321" s="47">
        <f t="shared" si="108"/>
        <v>0</v>
      </c>
      <c r="M1321" s="47">
        <f t="shared" si="109"/>
        <v>0</v>
      </c>
      <c r="N1321" t="str">
        <f>IF(A1321="","",IF(D1321="Category Pending","Needs categorization",IF(COUNTIFS($A$2:A1321,A1321,$B$2:B1321,B1321,$E$2:E1321,E1321)&gt;1,"Possible duplicate","")))</f>
        <v/>
      </c>
    </row>
    <row r="1322" spans="3:14" x14ac:dyDescent="0.3">
      <c r="C1322" s="16"/>
      <c r="G1322" s="5" t="str">
        <f t="shared" si="105"/>
        <v/>
      </c>
      <c r="H1322" t="str">
        <f>IF(A1322="","",IFERROR(_xlfn.XLOOKUP(D1322,Setup!$E$15:$E$79,Setup!$F$15:$F$79),"Miscellaneous"))</f>
        <v/>
      </c>
      <c r="I1322" t="str">
        <f>IF(A1322="","",IFERROR(_xlfn.XLOOKUP(D1322,Setup!$E$15:$E$79,Setup!$G$15:$G$79),"Uncategorized"))</f>
        <v/>
      </c>
      <c r="J1322" t="str">
        <f t="shared" si="106"/>
        <v/>
      </c>
      <c r="K1322" s="4" t="str">
        <f t="shared" si="107"/>
        <v/>
      </c>
      <c r="L1322" s="47">
        <f t="shared" si="108"/>
        <v>0</v>
      </c>
      <c r="M1322" s="47">
        <f t="shared" si="109"/>
        <v>0</v>
      </c>
      <c r="N1322" t="str">
        <f>IF(A1322="","",IF(D1322="Category Pending","Needs categorization",IF(COUNTIFS($A$2:A1322,A1322,$B$2:B1322,B1322,$E$2:E1322,E1322)&gt;1,"Possible duplicate","")))</f>
        <v/>
      </c>
    </row>
    <row r="1323" spans="3:14" x14ac:dyDescent="0.3">
      <c r="C1323" s="16"/>
      <c r="G1323" s="5" t="str">
        <f t="shared" si="105"/>
        <v/>
      </c>
      <c r="H1323" t="str">
        <f>IF(A1323="","",IFERROR(_xlfn.XLOOKUP(D1323,Setup!$E$15:$E$79,Setup!$F$15:$F$79),"Miscellaneous"))</f>
        <v/>
      </c>
      <c r="I1323" t="str">
        <f>IF(A1323="","",IFERROR(_xlfn.XLOOKUP(D1323,Setup!$E$15:$E$79,Setup!$G$15:$G$79),"Uncategorized"))</f>
        <v/>
      </c>
      <c r="J1323" t="str">
        <f t="shared" si="106"/>
        <v/>
      </c>
      <c r="K1323" s="4" t="str">
        <f t="shared" si="107"/>
        <v/>
      </c>
      <c r="L1323" s="47">
        <f t="shared" si="108"/>
        <v>0</v>
      </c>
      <c r="M1323" s="47">
        <f t="shared" si="109"/>
        <v>0</v>
      </c>
      <c r="N1323" t="str">
        <f>IF(A1323="","",IF(D1323="Category Pending","Needs categorization",IF(COUNTIFS($A$2:A1323,A1323,$B$2:B1323,B1323,$E$2:E1323,E1323)&gt;1,"Possible duplicate","")))</f>
        <v/>
      </c>
    </row>
    <row r="1324" spans="3:14" x14ac:dyDescent="0.3">
      <c r="C1324" s="16"/>
      <c r="G1324" s="5" t="str">
        <f t="shared" si="105"/>
        <v/>
      </c>
      <c r="H1324" t="str">
        <f>IF(A1324="","",IFERROR(_xlfn.XLOOKUP(D1324,Setup!$E$15:$E$79,Setup!$F$15:$F$79),"Miscellaneous"))</f>
        <v/>
      </c>
      <c r="I1324" t="str">
        <f>IF(A1324="","",IFERROR(_xlfn.XLOOKUP(D1324,Setup!$E$15:$E$79,Setup!$G$15:$G$79),"Uncategorized"))</f>
        <v/>
      </c>
      <c r="J1324" t="str">
        <f t="shared" si="106"/>
        <v/>
      </c>
      <c r="K1324" s="4" t="str">
        <f t="shared" si="107"/>
        <v/>
      </c>
      <c r="L1324" s="47">
        <f t="shared" si="108"/>
        <v>0</v>
      </c>
      <c r="M1324" s="47">
        <f t="shared" si="109"/>
        <v>0</v>
      </c>
      <c r="N1324" t="str">
        <f>IF(A1324="","",IF(D1324="Category Pending","Needs categorization",IF(COUNTIFS($A$2:A1324,A1324,$B$2:B1324,B1324,$E$2:E1324,E1324)&gt;1,"Possible duplicate","")))</f>
        <v/>
      </c>
    </row>
    <row r="1325" spans="3:14" x14ac:dyDescent="0.3">
      <c r="C1325" s="16"/>
      <c r="G1325" s="5" t="str">
        <f t="shared" si="105"/>
        <v/>
      </c>
      <c r="H1325" t="str">
        <f>IF(A1325="","",IFERROR(_xlfn.XLOOKUP(D1325,Setup!$E$15:$E$79,Setup!$F$15:$F$79),"Miscellaneous"))</f>
        <v/>
      </c>
      <c r="I1325" t="str">
        <f>IF(A1325="","",IFERROR(_xlfn.XLOOKUP(D1325,Setup!$E$15:$E$79,Setup!$G$15:$G$79),"Uncategorized"))</f>
        <v/>
      </c>
      <c r="J1325" t="str">
        <f t="shared" si="106"/>
        <v/>
      </c>
      <c r="K1325" s="4" t="str">
        <f t="shared" si="107"/>
        <v/>
      </c>
      <c r="L1325" s="47">
        <f t="shared" si="108"/>
        <v>0</v>
      </c>
      <c r="M1325" s="47">
        <f t="shared" si="109"/>
        <v>0</v>
      </c>
      <c r="N1325" t="str">
        <f>IF(A1325="","",IF(D1325="Category Pending","Needs categorization",IF(COUNTIFS($A$2:A1325,A1325,$B$2:B1325,B1325,$E$2:E1325,E1325)&gt;1,"Possible duplicate","")))</f>
        <v/>
      </c>
    </row>
    <row r="1326" spans="3:14" x14ac:dyDescent="0.3">
      <c r="C1326" s="16"/>
      <c r="G1326" s="5" t="str">
        <f t="shared" si="105"/>
        <v/>
      </c>
      <c r="H1326" t="str">
        <f>IF(A1326="","",IFERROR(_xlfn.XLOOKUP(D1326,Setup!$E$15:$E$79,Setup!$F$15:$F$79),"Miscellaneous"))</f>
        <v/>
      </c>
      <c r="I1326" t="str">
        <f>IF(A1326="","",IFERROR(_xlfn.XLOOKUP(D1326,Setup!$E$15:$E$79,Setup!$G$15:$G$79),"Uncategorized"))</f>
        <v/>
      </c>
      <c r="J1326" t="str">
        <f t="shared" si="106"/>
        <v/>
      </c>
      <c r="K1326" s="4" t="str">
        <f t="shared" si="107"/>
        <v/>
      </c>
      <c r="L1326" s="47">
        <f t="shared" si="108"/>
        <v>0</v>
      </c>
      <c r="M1326" s="47">
        <f t="shared" si="109"/>
        <v>0</v>
      </c>
      <c r="N1326" t="str">
        <f>IF(A1326="","",IF(D1326="Category Pending","Needs categorization",IF(COUNTIFS($A$2:A1326,A1326,$B$2:B1326,B1326,$E$2:E1326,E1326)&gt;1,"Possible duplicate","")))</f>
        <v/>
      </c>
    </row>
    <row r="1327" spans="3:14" x14ac:dyDescent="0.3">
      <c r="C1327" s="16"/>
      <c r="G1327" s="5" t="str">
        <f t="shared" si="105"/>
        <v/>
      </c>
      <c r="H1327" t="str">
        <f>IF(A1327="","",IFERROR(_xlfn.XLOOKUP(D1327,Setup!$E$15:$E$79,Setup!$F$15:$F$79),"Miscellaneous"))</f>
        <v/>
      </c>
      <c r="I1327" t="str">
        <f>IF(A1327="","",IFERROR(_xlfn.XLOOKUP(D1327,Setup!$E$15:$E$79,Setup!$G$15:$G$79),"Uncategorized"))</f>
        <v/>
      </c>
      <c r="J1327" t="str">
        <f t="shared" si="106"/>
        <v/>
      </c>
      <c r="K1327" s="4" t="str">
        <f t="shared" si="107"/>
        <v/>
      </c>
      <c r="L1327" s="47">
        <f t="shared" si="108"/>
        <v>0</v>
      </c>
      <c r="M1327" s="47">
        <f t="shared" si="109"/>
        <v>0</v>
      </c>
      <c r="N1327" t="str">
        <f>IF(A1327="","",IF(D1327="Category Pending","Needs categorization",IF(COUNTIFS($A$2:A1327,A1327,$B$2:B1327,B1327,$E$2:E1327,E1327)&gt;1,"Possible duplicate","")))</f>
        <v/>
      </c>
    </row>
    <row r="1328" spans="3:14" x14ac:dyDescent="0.3">
      <c r="C1328" s="16"/>
      <c r="G1328" s="5" t="str">
        <f t="shared" si="105"/>
        <v/>
      </c>
      <c r="H1328" t="str">
        <f>IF(A1328="","",IFERROR(_xlfn.XLOOKUP(D1328,Setup!$E$15:$E$79,Setup!$F$15:$F$79),"Miscellaneous"))</f>
        <v/>
      </c>
      <c r="I1328" t="str">
        <f>IF(A1328="","",IFERROR(_xlfn.XLOOKUP(D1328,Setup!$E$15:$E$79,Setup!$G$15:$G$79),"Uncategorized"))</f>
        <v/>
      </c>
      <c r="J1328" t="str">
        <f t="shared" si="106"/>
        <v/>
      </c>
      <c r="K1328" s="4" t="str">
        <f t="shared" si="107"/>
        <v/>
      </c>
      <c r="L1328" s="47">
        <f t="shared" si="108"/>
        <v>0</v>
      </c>
      <c r="M1328" s="47">
        <f t="shared" si="109"/>
        <v>0</v>
      </c>
      <c r="N1328" t="str">
        <f>IF(A1328="","",IF(D1328="Category Pending","Needs categorization",IF(COUNTIFS($A$2:A1328,A1328,$B$2:B1328,B1328,$E$2:E1328,E1328)&gt;1,"Possible duplicate","")))</f>
        <v/>
      </c>
    </row>
    <row r="1329" spans="3:14" x14ac:dyDescent="0.3">
      <c r="C1329" s="16"/>
      <c r="G1329" s="5" t="str">
        <f t="shared" si="105"/>
        <v/>
      </c>
      <c r="H1329" t="str">
        <f>IF(A1329="","",IFERROR(_xlfn.XLOOKUP(D1329,Setup!$E$15:$E$79,Setup!$F$15:$F$79),"Miscellaneous"))</f>
        <v/>
      </c>
      <c r="I1329" t="str">
        <f>IF(A1329="","",IFERROR(_xlfn.XLOOKUP(D1329,Setup!$E$15:$E$79,Setup!$G$15:$G$79),"Uncategorized"))</f>
        <v/>
      </c>
      <c r="J1329" t="str">
        <f t="shared" si="106"/>
        <v/>
      </c>
      <c r="K1329" s="4" t="str">
        <f t="shared" si="107"/>
        <v/>
      </c>
      <c r="L1329" s="47">
        <f t="shared" si="108"/>
        <v>0</v>
      </c>
      <c r="M1329" s="47">
        <f t="shared" si="109"/>
        <v>0</v>
      </c>
      <c r="N1329" t="str">
        <f>IF(A1329="","",IF(D1329="Category Pending","Needs categorization",IF(COUNTIFS($A$2:A1329,A1329,$B$2:B1329,B1329,$E$2:E1329,E1329)&gt;1,"Possible duplicate","")))</f>
        <v/>
      </c>
    </row>
    <row r="1330" spans="3:14" x14ac:dyDescent="0.3">
      <c r="C1330" s="16"/>
      <c r="G1330" s="5" t="str">
        <f t="shared" si="105"/>
        <v/>
      </c>
      <c r="H1330" t="str">
        <f>IF(A1330="","",IFERROR(_xlfn.XLOOKUP(D1330,Setup!$E$15:$E$79,Setup!$F$15:$F$79),"Miscellaneous"))</f>
        <v/>
      </c>
      <c r="I1330" t="str">
        <f>IF(A1330="","",IFERROR(_xlfn.XLOOKUP(D1330,Setup!$E$15:$E$79,Setup!$G$15:$G$79),"Uncategorized"))</f>
        <v/>
      </c>
      <c r="J1330" t="str">
        <f t="shared" si="106"/>
        <v/>
      </c>
      <c r="K1330" s="4" t="str">
        <f t="shared" si="107"/>
        <v/>
      </c>
      <c r="L1330" s="47">
        <f t="shared" si="108"/>
        <v>0</v>
      </c>
      <c r="M1330" s="47">
        <f t="shared" si="109"/>
        <v>0</v>
      </c>
      <c r="N1330" t="str">
        <f>IF(A1330="","",IF(D1330="Category Pending","Needs categorization",IF(COUNTIFS($A$2:A1330,A1330,$B$2:B1330,B1330,$E$2:E1330,E1330)&gt;1,"Possible duplicate","")))</f>
        <v/>
      </c>
    </row>
    <row r="1331" spans="3:14" x14ac:dyDescent="0.3">
      <c r="C1331" s="16"/>
      <c r="G1331" s="5" t="str">
        <f t="shared" si="105"/>
        <v/>
      </c>
      <c r="H1331" t="str">
        <f>IF(A1331="","",IFERROR(_xlfn.XLOOKUP(D1331,Setup!$E$15:$E$79,Setup!$F$15:$F$79),"Miscellaneous"))</f>
        <v/>
      </c>
      <c r="I1331" t="str">
        <f>IF(A1331="","",IFERROR(_xlfn.XLOOKUP(D1331,Setup!$E$15:$E$79,Setup!$G$15:$G$79),"Uncategorized"))</f>
        <v/>
      </c>
      <c r="J1331" t="str">
        <f t="shared" si="106"/>
        <v/>
      </c>
      <c r="K1331" s="4" t="str">
        <f t="shared" si="107"/>
        <v/>
      </c>
      <c r="L1331" s="47">
        <f t="shared" si="108"/>
        <v>0</v>
      </c>
      <c r="M1331" s="47">
        <f t="shared" si="109"/>
        <v>0</v>
      </c>
      <c r="N1331" t="str">
        <f>IF(A1331="","",IF(D1331="Category Pending","Needs categorization",IF(COUNTIFS($A$2:A1331,A1331,$B$2:B1331,B1331,$E$2:E1331,E1331)&gt;1,"Possible duplicate","")))</f>
        <v/>
      </c>
    </row>
    <row r="1332" spans="3:14" x14ac:dyDescent="0.3">
      <c r="C1332" s="16"/>
      <c r="G1332" s="5" t="str">
        <f t="shared" si="105"/>
        <v/>
      </c>
      <c r="H1332" t="str">
        <f>IF(A1332="","",IFERROR(_xlfn.XLOOKUP(D1332,Setup!$E$15:$E$79,Setup!$F$15:$F$79),"Miscellaneous"))</f>
        <v/>
      </c>
      <c r="I1332" t="str">
        <f>IF(A1332="","",IFERROR(_xlfn.XLOOKUP(D1332,Setup!$E$15:$E$79,Setup!$G$15:$G$79),"Uncategorized"))</f>
        <v/>
      </c>
      <c r="J1332" t="str">
        <f t="shared" si="106"/>
        <v/>
      </c>
      <c r="K1332" s="4" t="str">
        <f t="shared" si="107"/>
        <v/>
      </c>
      <c r="L1332" s="47">
        <f t="shared" si="108"/>
        <v>0</v>
      </c>
      <c r="M1332" s="47">
        <f t="shared" si="109"/>
        <v>0</v>
      </c>
      <c r="N1332" t="str">
        <f>IF(A1332="","",IF(D1332="Category Pending","Needs categorization",IF(COUNTIFS($A$2:A1332,A1332,$B$2:B1332,B1332,$E$2:E1332,E1332)&gt;1,"Possible duplicate","")))</f>
        <v/>
      </c>
    </row>
    <row r="1333" spans="3:14" x14ac:dyDescent="0.3">
      <c r="C1333" s="16"/>
      <c r="G1333" s="5" t="str">
        <f t="shared" si="105"/>
        <v/>
      </c>
      <c r="H1333" t="str">
        <f>IF(A1333="","",IFERROR(_xlfn.XLOOKUP(D1333,Setup!$E$15:$E$79,Setup!$F$15:$F$79),"Miscellaneous"))</f>
        <v/>
      </c>
      <c r="I1333" t="str">
        <f>IF(A1333="","",IFERROR(_xlfn.XLOOKUP(D1333,Setup!$E$15:$E$79,Setup!$G$15:$G$79),"Uncategorized"))</f>
        <v/>
      </c>
      <c r="J1333" t="str">
        <f t="shared" si="106"/>
        <v/>
      </c>
      <c r="K1333" s="4" t="str">
        <f t="shared" si="107"/>
        <v/>
      </c>
      <c r="L1333" s="47">
        <f t="shared" si="108"/>
        <v>0</v>
      </c>
      <c r="M1333" s="47">
        <f t="shared" si="109"/>
        <v>0</v>
      </c>
      <c r="N1333" t="str">
        <f>IF(A1333="","",IF(D1333="Category Pending","Needs categorization",IF(COUNTIFS($A$2:A1333,A1333,$B$2:B1333,B1333,$E$2:E1333,E1333)&gt;1,"Possible duplicate","")))</f>
        <v/>
      </c>
    </row>
    <row r="1334" spans="3:14" x14ac:dyDescent="0.3">
      <c r="C1334" s="16"/>
      <c r="G1334" s="5" t="str">
        <f t="shared" si="105"/>
        <v/>
      </c>
      <c r="H1334" t="str">
        <f>IF(A1334="","",IFERROR(_xlfn.XLOOKUP(D1334,Setup!$E$15:$E$79,Setup!$F$15:$F$79),"Miscellaneous"))</f>
        <v/>
      </c>
      <c r="I1334" t="str">
        <f>IF(A1334="","",IFERROR(_xlfn.XLOOKUP(D1334,Setup!$E$15:$E$79,Setup!$G$15:$G$79),"Uncategorized"))</f>
        <v/>
      </c>
      <c r="J1334" t="str">
        <f t="shared" si="106"/>
        <v/>
      </c>
      <c r="K1334" s="4" t="str">
        <f t="shared" si="107"/>
        <v/>
      </c>
      <c r="L1334" s="47">
        <f t="shared" si="108"/>
        <v>0</v>
      </c>
      <c r="M1334" s="47">
        <f t="shared" si="109"/>
        <v>0</v>
      </c>
      <c r="N1334" t="str">
        <f>IF(A1334="","",IF(D1334="Category Pending","Needs categorization",IF(COUNTIFS($A$2:A1334,A1334,$B$2:B1334,B1334,$E$2:E1334,E1334)&gt;1,"Possible duplicate","")))</f>
        <v/>
      </c>
    </row>
    <row r="1335" spans="3:14" x14ac:dyDescent="0.3">
      <c r="C1335" s="16"/>
      <c r="G1335" s="5" t="str">
        <f t="shared" si="105"/>
        <v/>
      </c>
      <c r="H1335" t="str">
        <f>IF(A1335="","",IFERROR(_xlfn.XLOOKUP(D1335,Setup!$E$15:$E$79,Setup!$F$15:$F$79),"Miscellaneous"))</f>
        <v/>
      </c>
      <c r="I1335" t="str">
        <f>IF(A1335="","",IFERROR(_xlfn.XLOOKUP(D1335,Setup!$E$15:$E$79,Setup!$G$15:$G$79),"Uncategorized"))</f>
        <v/>
      </c>
      <c r="J1335" t="str">
        <f t="shared" si="106"/>
        <v/>
      </c>
      <c r="K1335" s="4" t="str">
        <f t="shared" si="107"/>
        <v/>
      </c>
      <c r="L1335" s="47">
        <f t="shared" si="108"/>
        <v>0</v>
      </c>
      <c r="M1335" s="47">
        <f t="shared" si="109"/>
        <v>0</v>
      </c>
      <c r="N1335" t="str">
        <f>IF(A1335="","",IF(D1335="Category Pending","Needs categorization",IF(COUNTIFS($A$2:A1335,A1335,$B$2:B1335,B1335,$E$2:E1335,E1335)&gt;1,"Possible duplicate","")))</f>
        <v/>
      </c>
    </row>
    <row r="1336" spans="3:14" x14ac:dyDescent="0.3">
      <c r="C1336" s="16"/>
      <c r="G1336" s="5" t="str">
        <f t="shared" si="105"/>
        <v/>
      </c>
      <c r="H1336" t="str">
        <f>IF(A1336="","",IFERROR(_xlfn.XLOOKUP(D1336,Setup!$E$15:$E$79,Setup!$F$15:$F$79),"Miscellaneous"))</f>
        <v/>
      </c>
      <c r="I1336" t="str">
        <f>IF(A1336="","",IFERROR(_xlfn.XLOOKUP(D1336,Setup!$E$15:$E$79,Setup!$G$15:$G$79),"Uncategorized"))</f>
        <v/>
      </c>
      <c r="J1336" t="str">
        <f t="shared" si="106"/>
        <v/>
      </c>
      <c r="K1336" s="4" t="str">
        <f t="shared" si="107"/>
        <v/>
      </c>
      <c r="L1336" s="47">
        <f t="shared" si="108"/>
        <v>0</v>
      </c>
      <c r="M1336" s="47">
        <f t="shared" si="109"/>
        <v>0</v>
      </c>
      <c r="N1336" t="str">
        <f>IF(A1336="","",IF(D1336="Category Pending","Needs categorization",IF(COUNTIFS($A$2:A1336,A1336,$B$2:B1336,B1336,$E$2:E1336,E1336)&gt;1,"Possible duplicate","")))</f>
        <v/>
      </c>
    </row>
    <row r="1337" spans="3:14" x14ac:dyDescent="0.3">
      <c r="C1337" s="16"/>
      <c r="G1337" s="5" t="str">
        <f t="shared" si="105"/>
        <v/>
      </c>
      <c r="H1337" t="str">
        <f>IF(A1337="","",IFERROR(_xlfn.XLOOKUP(D1337,Setup!$E$15:$E$79,Setup!$F$15:$F$79),"Miscellaneous"))</f>
        <v/>
      </c>
      <c r="I1337" t="str">
        <f>IF(A1337="","",IFERROR(_xlfn.XLOOKUP(D1337,Setup!$E$15:$E$79,Setup!$G$15:$G$79),"Uncategorized"))</f>
        <v/>
      </c>
      <c r="J1337" t="str">
        <f t="shared" si="106"/>
        <v/>
      </c>
      <c r="K1337" s="4" t="str">
        <f t="shared" si="107"/>
        <v/>
      </c>
      <c r="L1337" s="47">
        <f t="shared" si="108"/>
        <v>0</v>
      </c>
      <c r="M1337" s="47">
        <f t="shared" si="109"/>
        <v>0</v>
      </c>
      <c r="N1337" t="str">
        <f>IF(A1337="","",IF(D1337="Category Pending","Needs categorization",IF(COUNTIFS($A$2:A1337,A1337,$B$2:B1337,B1337,$E$2:E1337,E1337)&gt;1,"Possible duplicate","")))</f>
        <v/>
      </c>
    </row>
    <row r="1338" spans="3:14" x14ac:dyDescent="0.3">
      <c r="C1338" s="16"/>
      <c r="G1338" s="5" t="str">
        <f t="shared" si="105"/>
        <v/>
      </c>
      <c r="H1338" t="str">
        <f>IF(A1338="","",IFERROR(_xlfn.XLOOKUP(D1338,Setup!$E$15:$E$79,Setup!$F$15:$F$79),"Miscellaneous"))</f>
        <v/>
      </c>
      <c r="I1338" t="str">
        <f>IF(A1338="","",IFERROR(_xlfn.XLOOKUP(D1338,Setup!$E$15:$E$79,Setup!$G$15:$G$79),"Uncategorized"))</f>
        <v/>
      </c>
      <c r="J1338" t="str">
        <f t="shared" si="106"/>
        <v/>
      </c>
      <c r="K1338" s="4" t="str">
        <f t="shared" si="107"/>
        <v/>
      </c>
      <c r="L1338" s="47">
        <f t="shared" si="108"/>
        <v>0</v>
      </c>
      <c r="M1338" s="47">
        <f t="shared" si="109"/>
        <v>0</v>
      </c>
      <c r="N1338" t="str">
        <f>IF(A1338="","",IF(D1338="Category Pending","Needs categorization",IF(COUNTIFS($A$2:A1338,A1338,$B$2:B1338,B1338,$E$2:E1338,E1338)&gt;1,"Possible duplicate","")))</f>
        <v/>
      </c>
    </row>
    <row r="1339" spans="3:14" x14ac:dyDescent="0.3">
      <c r="C1339" s="16"/>
      <c r="G1339" s="5" t="str">
        <f t="shared" si="105"/>
        <v/>
      </c>
      <c r="H1339" t="str">
        <f>IF(A1339="","",IFERROR(_xlfn.XLOOKUP(D1339,Setup!$E$15:$E$79,Setup!$F$15:$F$79),"Miscellaneous"))</f>
        <v/>
      </c>
      <c r="I1339" t="str">
        <f>IF(A1339="","",IFERROR(_xlfn.XLOOKUP(D1339,Setup!$E$15:$E$79,Setup!$G$15:$G$79),"Uncategorized"))</f>
        <v/>
      </c>
      <c r="J1339" t="str">
        <f t="shared" si="106"/>
        <v/>
      </c>
      <c r="K1339" s="4" t="str">
        <f t="shared" si="107"/>
        <v/>
      </c>
      <c r="L1339" s="47">
        <f t="shared" si="108"/>
        <v>0</v>
      </c>
      <c r="M1339" s="47">
        <f t="shared" si="109"/>
        <v>0</v>
      </c>
      <c r="N1339" t="str">
        <f>IF(A1339="","",IF(D1339="Category Pending","Needs categorization",IF(COUNTIFS($A$2:A1339,A1339,$B$2:B1339,B1339,$E$2:E1339,E1339)&gt;1,"Possible duplicate","")))</f>
        <v/>
      </c>
    </row>
    <row r="1340" spans="3:14" x14ac:dyDescent="0.3">
      <c r="C1340" s="16"/>
      <c r="G1340" s="5" t="str">
        <f t="shared" si="105"/>
        <v/>
      </c>
      <c r="H1340" t="str">
        <f>IF(A1340="","",IFERROR(_xlfn.XLOOKUP(D1340,Setup!$E$15:$E$79,Setup!$F$15:$F$79),"Miscellaneous"))</f>
        <v/>
      </c>
      <c r="I1340" t="str">
        <f>IF(A1340="","",IFERROR(_xlfn.XLOOKUP(D1340,Setup!$E$15:$E$79,Setup!$G$15:$G$79),"Uncategorized"))</f>
        <v/>
      </c>
      <c r="J1340" t="str">
        <f t="shared" si="106"/>
        <v/>
      </c>
      <c r="K1340" s="4" t="str">
        <f t="shared" si="107"/>
        <v/>
      </c>
      <c r="L1340" s="47">
        <f t="shared" si="108"/>
        <v>0</v>
      </c>
      <c r="M1340" s="47">
        <f t="shared" si="109"/>
        <v>0</v>
      </c>
      <c r="N1340" t="str">
        <f>IF(A1340="","",IF(D1340="Category Pending","Needs categorization",IF(COUNTIFS($A$2:A1340,A1340,$B$2:B1340,B1340,$E$2:E1340,E1340)&gt;1,"Possible duplicate","")))</f>
        <v/>
      </c>
    </row>
    <row r="1341" spans="3:14" x14ac:dyDescent="0.3">
      <c r="C1341" s="16"/>
      <c r="G1341" s="5" t="str">
        <f t="shared" si="105"/>
        <v/>
      </c>
      <c r="H1341" t="str">
        <f>IF(A1341="","",IFERROR(_xlfn.XLOOKUP(D1341,Setup!$E$15:$E$79,Setup!$F$15:$F$79),"Miscellaneous"))</f>
        <v/>
      </c>
      <c r="I1341" t="str">
        <f>IF(A1341="","",IFERROR(_xlfn.XLOOKUP(D1341,Setup!$E$15:$E$79,Setup!$G$15:$G$79),"Uncategorized"))</f>
        <v/>
      </c>
      <c r="J1341" t="str">
        <f t="shared" si="106"/>
        <v/>
      </c>
      <c r="K1341" s="4" t="str">
        <f t="shared" si="107"/>
        <v/>
      </c>
      <c r="L1341" s="47">
        <f t="shared" si="108"/>
        <v>0</v>
      </c>
      <c r="M1341" s="47">
        <f t="shared" si="109"/>
        <v>0</v>
      </c>
      <c r="N1341" t="str">
        <f>IF(A1341="","",IF(D1341="Category Pending","Needs categorization",IF(COUNTIFS($A$2:A1341,A1341,$B$2:B1341,B1341,$E$2:E1341,E1341)&gt;1,"Possible duplicate","")))</f>
        <v/>
      </c>
    </row>
    <row r="1342" spans="3:14" x14ac:dyDescent="0.3">
      <c r="C1342" s="16"/>
      <c r="G1342" s="5" t="str">
        <f t="shared" si="105"/>
        <v/>
      </c>
      <c r="H1342" t="str">
        <f>IF(A1342="","",IFERROR(_xlfn.XLOOKUP(D1342,Setup!$E$15:$E$79,Setup!$F$15:$F$79),"Miscellaneous"))</f>
        <v/>
      </c>
      <c r="I1342" t="str">
        <f>IF(A1342="","",IFERROR(_xlfn.XLOOKUP(D1342,Setup!$E$15:$E$79,Setup!$G$15:$G$79),"Uncategorized"))</f>
        <v/>
      </c>
      <c r="J1342" t="str">
        <f t="shared" si="106"/>
        <v/>
      </c>
      <c r="K1342" s="4" t="str">
        <f t="shared" si="107"/>
        <v/>
      </c>
      <c r="L1342" s="47">
        <f t="shared" si="108"/>
        <v>0</v>
      </c>
      <c r="M1342" s="47">
        <f t="shared" si="109"/>
        <v>0</v>
      </c>
      <c r="N1342" t="str">
        <f>IF(A1342="","",IF(D1342="Category Pending","Needs categorization",IF(COUNTIFS($A$2:A1342,A1342,$B$2:B1342,B1342,$E$2:E1342,E1342)&gt;1,"Possible duplicate","")))</f>
        <v/>
      </c>
    </row>
    <row r="1343" spans="3:14" x14ac:dyDescent="0.3">
      <c r="C1343" s="16"/>
      <c r="G1343" s="5" t="str">
        <f t="shared" si="105"/>
        <v/>
      </c>
      <c r="H1343" t="str">
        <f>IF(A1343="","",IFERROR(_xlfn.XLOOKUP(D1343,Setup!$E$15:$E$79,Setup!$F$15:$F$79),"Miscellaneous"))</f>
        <v/>
      </c>
      <c r="I1343" t="str">
        <f>IF(A1343="","",IFERROR(_xlfn.XLOOKUP(D1343,Setup!$E$15:$E$79,Setup!$G$15:$G$79),"Uncategorized"))</f>
        <v/>
      </c>
      <c r="J1343" t="str">
        <f t="shared" si="106"/>
        <v/>
      </c>
      <c r="K1343" s="4" t="str">
        <f t="shared" si="107"/>
        <v/>
      </c>
      <c r="L1343" s="47">
        <f t="shared" si="108"/>
        <v>0</v>
      </c>
      <c r="M1343" s="47">
        <f t="shared" si="109"/>
        <v>0</v>
      </c>
      <c r="N1343" t="str">
        <f>IF(A1343="","",IF(D1343="Category Pending","Needs categorization",IF(COUNTIFS($A$2:A1343,A1343,$B$2:B1343,B1343,$E$2:E1343,E1343)&gt;1,"Possible duplicate","")))</f>
        <v/>
      </c>
    </row>
    <row r="1344" spans="3:14" x14ac:dyDescent="0.3">
      <c r="C1344" s="16"/>
      <c r="G1344" s="5" t="str">
        <f t="shared" si="105"/>
        <v/>
      </c>
      <c r="H1344" t="str">
        <f>IF(A1344="","",IFERROR(_xlfn.XLOOKUP(D1344,Setup!$E$15:$E$79,Setup!$F$15:$F$79),"Miscellaneous"))</f>
        <v/>
      </c>
      <c r="I1344" t="str">
        <f>IF(A1344="","",IFERROR(_xlfn.XLOOKUP(D1344,Setup!$E$15:$E$79,Setup!$G$15:$G$79),"Uncategorized"))</f>
        <v/>
      </c>
      <c r="J1344" t="str">
        <f t="shared" si="106"/>
        <v/>
      </c>
      <c r="K1344" s="4" t="str">
        <f t="shared" si="107"/>
        <v/>
      </c>
      <c r="L1344" s="47">
        <f t="shared" si="108"/>
        <v>0</v>
      </c>
      <c r="M1344" s="47">
        <f t="shared" si="109"/>
        <v>0</v>
      </c>
      <c r="N1344" t="str">
        <f>IF(A1344="","",IF(D1344="Category Pending","Needs categorization",IF(COUNTIFS($A$2:A1344,A1344,$B$2:B1344,B1344,$E$2:E1344,E1344)&gt;1,"Possible duplicate","")))</f>
        <v/>
      </c>
    </row>
    <row r="1345" spans="3:14" x14ac:dyDescent="0.3">
      <c r="C1345" s="16"/>
      <c r="G1345" s="5" t="str">
        <f t="shared" si="105"/>
        <v/>
      </c>
      <c r="H1345" t="str">
        <f>IF(A1345="","",IFERROR(_xlfn.XLOOKUP(D1345,Setup!$E$15:$E$79,Setup!$F$15:$F$79),"Miscellaneous"))</f>
        <v/>
      </c>
      <c r="I1345" t="str">
        <f>IF(A1345="","",IFERROR(_xlfn.XLOOKUP(D1345,Setup!$E$15:$E$79,Setup!$G$15:$G$79),"Uncategorized"))</f>
        <v/>
      </c>
      <c r="J1345" t="str">
        <f t="shared" si="106"/>
        <v/>
      </c>
      <c r="K1345" s="4" t="str">
        <f t="shared" si="107"/>
        <v/>
      </c>
      <c r="L1345" s="47">
        <f t="shared" si="108"/>
        <v>0</v>
      </c>
      <c r="M1345" s="47">
        <f t="shared" si="109"/>
        <v>0</v>
      </c>
      <c r="N1345" t="str">
        <f>IF(A1345="","",IF(D1345="Category Pending","Needs categorization",IF(COUNTIFS($A$2:A1345,A1345,$B$2:B1345,B1345,$E$2:E1345,E1345)&gt;1,"Possible duplicate","")))</f>
        <v/>
      </c>
    </row>
    <row r="1346" spans="3:14" x14ac:dyDescent="0.3">
      <c r="C1346" s="16"/>
      <c r="G1346" s="5" t="str">
        <f t="shared" si="105"/>
        <v/>
      </c>
      <c r="H1346" t="str">
        <f>IF(A1346="","",IFERROR(_xlfn.XLOOKUP(D1346,Setup!$E$15:$E$79,Setup!$F$15:$F$79),"Miscellaneous"))</f>
        <v/>
      </c>
      <c r="I1346" t="str">
        <f>IF(A1346="","",IFERROR(_xlfn.XLOOKUP(D1346,Setup!$E$15:$E$79,Setup!$G$15:$G$79),"Uncategorized"))</f>
        <v/>
      </c>
      <c r="J1346" t="str">
        <f t="shared" si="106"/>
        <v/>
      </c>
      <c r="K1346" s="4" t="str">
        <f t="shared" si="107"/>
        <v/>
      </c>
      <c r="L1346" s="47">
        <f t="shared" si="108"/>
        <v>0</v>
      </c>
      <c r="M1346" s="47">
        <f t="shared" si="109"/>
        <v>0</v>
      </c>
      <c r="N1346" t="str">
        <f>IF(A1346="","",IF(D1346="Category Pending","Needs categorization",IF(COUNTIFS($A$2:A1346,A1346,$B$2:B1346,B1346,$E$2:E1346,E1346)&gt;1,"Possible duplicate","")))</f>
        <v/>
      </c>
    </row>
    <row r="1347" spans="3:14" x14ac:dyDescent="0.3">
      <c r="C1347" s="16"/>
      <c r="G1347" s="5" t="str">
        <f t="shared" si="105"/>
        <v/>
      </c>
      <c r="H1347" t="str">
        <f>IF(A1347="","",IFERROR(_xlfn.XLOOKUP(D1347,Setup!$E$15:$E$79,Setup!$F$15:$F$79),"Miscellaneous"))</f>
        <v/>
      </c>
      <c r="I1347" t="str">
        <f>IF(A1347="","",IFERROR(_xlfn.XLOOKUP(D1347,Setup!$E$15:$E$79,Setup!$G$15:$G$79),"Uncategorized"))</f>
        <v/>
      </c>
      <c r="J1347" t="str">
        <f t="shared" si="106"/>
        <v/>
      </c>
      <c r="K1347" s="4" t="str">
        <f t="shared" si="107"/>
        <v/>
      </c>
      <c r="L1347" s="47">
        <f t="shared" si="108"/>
        <v>0</v>
      </c>
      <c r="M1347" s="47">
        <f t="shared" si="109"/>
        <v>0</v>
      </c>
      <c r="N1347" t="str">
        <f>IF(A1347="","",IF(D1347="Category Pending","Needs categorization",IF(COUNTIFS($A$2:A1347,A1347,$B$2:B1347,B1347,$E$2:E1347,E1347)&gt;1,"Possible duplicate","")))</f>
        <v/>
      </c>
    </row>
    <row r="1348" spans="3:14" x14ac:dyDescent="0.3">
      <c r="C1348" s="16"/>
      <c r="G1348" s="5" t="str">
        <f t="shared" si="105"/>
        <v/>
      </c>
      <c r="H1348" t="str">
        <f>IF(A1348="","",IFERROR(_xlfn.XLOOKUP(D1348,Setup!$E$15:$E$79,Setup!$F$15:$F$79),"Miscellaneous"))</f>
        <v/>
      </c>
      <c r="I1348" t="str">
        <f>IF(A1348="","",IFERROR(_xlfn.XLOOKUP(D1348,Setup!$E$15:$E$79,Setup!$G$15:$G$79),"Uncategorized"))</f>
        <v/>
      </c>
      <c r="J1348" t="str">
        <f t="shared" si="106"/>
        <v/>
      </c>
      <c r="K1348" s="4" t="str">
        <f t="shared" si="107"/>
        <v/>
      </c>
      <c r="L1348" s="47">
        <f t="shared" si="108"/>
        <v>0</v>
      </c>
      <c r="M1348" s="47">
        <f t="shared" si="109"/>
        <v>0</v>
      </c>
      <c r="N1348" t="str">
        <f>IF(A1348="","",IF(D1348="Category Pending","Needs categorization",IF(COUNTIFS($A$2:A1348,A1348,$B$2:B1348,B1348,$E$2:E1348,E1348)&gt;1,"Possible duplicate","")))</f>
        <v/>
      </c>
    </row>
    <row r="1349" spans="3:14" x14ac:dyDescent="0.3">
      <c r="C1349" s="16"/>
      <c r="G1349" s="5" t="str">
        <f t="shared" si="105"/>
        <v/>
      </c>
      <c r="H1349" t="str">
        <f>IF(A1349="","",IFERROR(_xlfn.XLOOKUP(D1349,Setup!$E$15:$E$79,Setup!$F$15:$F$79),"Miscellaneous"))</f>
        <v/>
      </c>
      <c r="I1349" t="str">
        <f>IF(A1349="","",IFERROR(_xlfn.XLOOKUP(D1349,Setup!$E$15:$E$79,Setup!$G$15:$G$79),"Uncategorized"))</f>
        <v/>
      </c>
      <c r="J1349" t="str">
        <f t="shared" si="106"/>
        <v/>
      </c>
      <c r="K1349" s="4" t="str">
        <f t="shared" si="107"/>
        <v/>
      </c>
      <c r="L1349" s="47">
        <f t="shared" si="108"/>
        <v>0</v>
      </c>
      <c r="M1349" s="47">
        <f t="shared" si="109"/>
        <v>0</v>
      </c>
      <c r="N1349" t="str">
        <f>IF(A1349="","",IF(D1349="Category Pending","Needs categorization",IF(COUNTIFS($A$2:A1349,A1349,$B$2:B1349,B1349,$E$2:E1349,E1349)&gt;1,"Possible duplicate","")))</f>
        <v/>
      </c>
    </row>
    <row r="1350" spans="3:14" x14ac:dyDescent="0.3">
      <c r="C1350" s="16"/>
      <c r="G1350" s="5" t="str">
        <f t="shared" si="105"/>
        <v/>
      </c>
      <c r="H1350" t="str">
        <f>IF(A1350="","",IFERROR(_xlfn.XLOOKUP(D1350,Setup!$E$15:$E$79,Setup!$F$15:$F$79),"Miscellaneous"))</f>
        <v/>
      </c>
      <c r="I1350" t="str">
        <f>IF(A1350="","",IFERROR(_xlfn.XLOOKUP(D1350,Setup!$E$15:$E$79,Setup!$G$15:$G$79),"Uncategorized"))</f>
        <v/>
      </c>
      <c r="J1350" t="str">
        <f t="shared" si="106"/>
        <v/>
      </c>
      <c r="K1350" s="4" t="str">
        <f t="shared" si="107"/>
        <v/>
      </c>
      <c r="L1350" s="47">
        <f t="shared" si="108"/>
        <v>0</v>
      </c>
      <c r="M1350" s="47">
        <f t="shared" si="109"/>
        <v>0</v>
      </c>
      <c r="N1350" t="str">
        <f>IF(A1350="","",IF(D1350="Category Pending","Needs categorization",IF(COUNTIFS($A$2:A1350,A1350,$B$2:B1350,B1350,$E$2:E1350,E1350)&gt;1,"Possible duplicate","")))</f>
        <v/>
      </c>
    </row>
    <row r="1351" spans="3:14" x14ac:dyDescent="0.3">
      <c r="C1351" s="16"/>
      <c r="G1351" s="5" t="str">
        <f t="shared" si="105"/>
        <v/>
      </c>
      <c r="H1351" t="str">
        <f>IF(A1351="","",IFERROR(_xlfn.XLOOKUP(D1351,Setup!$E$15:$E$79,Setup!$F$15:$F$79),"Miscellaneous"))</f>
        <v/>
      </c>
      <c r="I1351" t="str">
        <f>IF(A1351="","",IFERROR(_xlfn.XLOOKUP(D1351,Setup!$E$15:$E$79,Setup!$G$15:$G$79),"Uncategorized"))</f>
        <v/>
      </c>
      <c r="J1351" t="str">
        <f t="shared" si="106"/>
        <v/>
      </c>
      <c r="K1351" s="4" t="str">
        <f t="shared" si="107"/>
        <v/>
      </c>
      <c r="L1351" s="47">
        <f t="shared" si="108"/>
        <v>0</v>
      </c>
      <c r="M1351" s="47">
        <f t="shared" si="109"/>
        <v>0</v>
      </c>
      <c r="N1351" t="str">
        <f>IF(A1351="","",IF(D1351="Category Pending","Needs categorization",IF(COUNTIFS($A$2:A1351,A1351,$B$2:B1351,B1351,$E$2:E1351,E1351)&gt;1,"Possible duplicate","")))</f>
        <v/>
      </c>
    </row>
    <row r="1352" spans="3:14" x14ac:dyDescent="0.3">
      <c r="C1352" s="16"/>
      <c r="G1352" s="5" t="str">
        <f t="shared" si="105"/>
        <v/>
      </c>
      <c r="H1352" t="str">
        <f>IF(A1352="","",IFERROR(_xlfn.XLOOKUP(D1352,Setup!$E$15:$E$79,Setup!$F$15:$F$79),"Miscellaneous"))</f>
        <v/>
      </c>
      <c r="I1352" t="str">
        <f>IF(A1352="","",IFERROR(_xlfn.XLOOKUP(D1352,Setup!$E$15:$E$79,Setup!$G$15:$G$79),"Uncategorized"))</f>
        <v/>
      </c>
      <c r="J1352" t="str">
        <f t="shared" si="106"/>
        <v/>
      </c>
      <c r="K1352" s="4" t="str">
        <f t="shared" si="107"/>
        <v/>
      </c>
      <c r="L1352" s="47">
        <f t="shared" si="108"/>
        <v>0</v>
      </c>
      <c r="M1352" s="47">
        <f t="shared" si="109"/>
        <v>0</v>
      </c>
      <c r="N1352" t="str">
        <f>IF(A1352="","",IF(D1352="Category Pending","Needs categorization",IF(COUNTIFS($A$2:A1352,A1352,$B$2:B1352,B1352,$E$2:E1352,E1352)&gt;1,"Possible duplicate","")))</f>
        <v/>
      </c>
    </row>
    <row r="1353" spans="3:14" x14ac:dyDescent="0.3">
      <c r="C1353" s="16"/>
      <c r="G1353" s="5" t="str">
        <f t="shared" si="105"/>
        <v/>
      </c>
      <c r="H1353" t="str">
        <f>IF(A1353="","",IFERROR(_xlfn.XLOOKUP(D1353,Setup!$E$15:$E$79,Setup!$F$15:$F$79),"Miscellaneous"))</f>
        <v/>
      </c>
      <c r="I1353" t="str">
        <f>IF(A1353="","",IFERROR(_xlfn.XLOOKUP(D1353,Setup!$E$15:$E$79,Setup!$G$15:$G$79),"Uncategorized"))</f>
        <v/>
      </c>
      <c r="J1353" t="str">
        <f t="shared" si="106"/>
        <v/>
      </c>
      <c r="K1353" s="4" t="str">
        <f t="shared" si="107"/>
        <v/>
      </c>
      <c r="L1353" s="47">
        <f t="shared" si="108"/>
        <v>0</v>
      </c>
      <c r="M1353" s="47">
        <f t="shared" si="109"/>
        <v>0</v>
      </c>
      <c r="N1353" t="str">
        <f>IF(A1353="","",IF(D1353="Category Pending","Needs categorization",IF(COUNTIFS($A$2:A1353,A1353,$B$2:B1353,B1353,$E$2:E1353,E1353)&gt;1,"Possible duplicate","")))</f>
        <v/>
      </c>
    </row>
    <row r="1354" spans="3:14" x14ac:dyDescent="0.3">
      <c r="C1354" s="16"/>
      <c r="G1354" s="5" t="str">
        <f t="shared" si="105"/>
        <v/>
      </c>
      <c r="H1354" t="str">
        <f>IF(A1354="","",IFERROR(_xlfn.XLOOKUP(D1354,Setup!$E$15:$E$79,Setup!$F$15:$F$79),"Miscellaneous"))</f>
        <v/>
      </c>
      <c r="I1354" t="str">
        <f>IF(A1354="","",IFERROR(_xlfn.XLOOKUP(D1354,Setup!$E$15:$E$79,Setup!$G$15:$G$79),"Uncategorized"))</f>
        <v/>
      </c>
      <c r="J1354" t="str">
        <f t="shared" si="106"/>
        <v/>
      </c>
      <c r="K1354" s="4" t="str">
        <f t="shared" si="107"/>
        <v/>
      </c>
      <c r="L1354" s="47">
        <f t="shared" si="108"/>
        <v>0</v>
      </c>
      <c r="M1354" s="47">
        <f t="shared" si="109"/>
        <v>0</v>
      </c>
      <c r="N1354" t="str">
        <f>IF(A1354="","",IF(D1354="Category Pending","Needs categorization",IF(COUNTIFS($A$2:A1354,A1354,$B$2:B1354,B1354,$E$2:E1354,E1354)&gt;1,"Possible duplicate","")))</f>
        <v/>
      </c>
    </row>
    <row r="1355" spans="3:14" x14ac:dyDescent="0.3">
      <c r="C1355" s="16"/>
      <c r="G1355" s="5" t="str">
        <f t="shared" si="105"/>
        <v/>
      </c>
      <c r="H1355" t="str">
        <f>IF(A1355="","",IFERROR(_xlfn.XLOOKUP(D1355,Setup!$E$15:$E$79,Setup!$F$15:$F$79),"Miscellaneous"))</f>
        <v/>
      </c>
      <c r="I1355" t="str">
        <f>IF(A1355="","",IFERROR(_xlfn.XLOOKUP(D1355,Setup!$E$15:$E$79,Setup!$G$15:$G$79),"Uncategorized"))</f>
        <v/>
      </c>
      <c r="J1355" t="str">
        <f t="shared" si="106"/>
        <v/>
      </c>
      <c r="K1355" s="4" t="str">
        <f t="shared" si="107"/>
        <v/>
      </c>
      <c r="L1355" s="47">
        <f t="shared" si="108"/>
        <v>0</v>
      </c>
      <c r="M1355" s="47">
        <f t="shared" si="109"/>
        <v>0</v>
      </c>
      <c r="N1355" t="str">
        <f>IF(A1355="","",IF(D1355="Category Pending","Needs categorization",IF(COUNTIFS($A$2:A1355,A1355,$B$2:B1355,B1355,$E$2:E1355,E1355)&gt;1,"Possible duplicate","")))</f>
        <v/>
      </c>
    </row>
    <row r="1356" spans="3:14" x14ac:dyDescent="0.3">
      <c r="C1356" s="16"/>
      <c r="G1356" s="5" t="str">
        <f t="shared" si="105"/>
        <v/>
      </c>
      <c r="H1356" t="str">
        <f>IF(A1356="","",IFERROR(_xlfn.XLOOKUP(D1356,Setup!$E$15:$E$79,Setup!$F$15:$F$79),"Miscellaneous"))</f>
        <v/>
      </c>
      <c r="I1356" t="str">
        <f>IF(A1356="","",IFERROR(_xlfn.XLOOKUP(D1356,Setup!$E$15:$E$79,Setup!$G$15:$G$79),"Uncategorized"))</f>
        <v/>
      </c>
      <c r="J1356" t="str">
        <f t="shared" si="106"/>
        <v/>
      </c>
      <c r="K1356" s="4" t="str">
        <f t="shared" si="107"/>
        <v/>
      </c>
      <c r="L1356" s="47">
        <f t="shared" si="108"/>
        <v>0</v>
      </c>
      <c r="M1356" s="47">
        <f t="shared" si="109"/>
        <v>0</v>
      </c>
      <c r="N1356" t="str">
        <f>IF(A1356="","",IF(D1356="Category Pending","Needs categorization",IF(COUNTIFS($A$2:A1356,A1356,$B$2:B1356,B1356,$E$2:E1356,E1356)&gt;1,"Possible duplicate","")))</f>
        <v/>
      </c>
    </row>
    <row r="1357" spans="3:14" x14ac:dyDescent="0.3">
      <c r="C1357" s="16"/>
      <c r="G1357" s="5" t="str">
        <f t="shared" si="105"/>
        <v/>
      </c>
      <c r="H1357" t="str">
        <f>IF(A1357="","",IFERROR(_xlfn.XLOOKUP(D1357,Setup!$E$15:$E$79,Setup!$F$15:$F$79),"Miscellaneous"))</f>
        <v/>
      </c>
      <c r="I1357" t="str">
        <f>IF(A1357="","",IFERROR(_xlfn.XLOOKUP(D1357,Setup!$E$15:$E$79,Setup!$G$15:$G$79),"Uncategorized"))</f>
        <v/>
      </c>
      <c r="J1357" t="str">
        <f t="shared" si="106"/>
        <v/>
      </c>
      <c r="K1357" s="4" t="str">
        <f t="shared" si="107"/>
        <v/>
      </c>
      <c r="L1357" s="47">
        <f t="shared" si="108"/>
        <v>0</v>
      </c>
      <c r="M1357" s="47">
        <f t="shared" si="109"/>
        <v>0</v>
      </c>
      <c r="N1357" t="str">
        <f>IF(A1357="","",IF(D1357="Category Pending","Needs categorization",IF(COUNTIFS($A$2:A1357,A1357,$B$2:B1357,B1357,$E$2:E1357,E1357)&gt;1,"Possible duplicate","")))</f>
        <v/>
      </c>
    </row>
    <row r="1358" spans="3:14" x14ac:dyDescent="0.3">
      <c r="C1358" s="16"/>
      <c r="G1358" s="5" t="str">
        <f t="shared" si="105"/>
        <v/>
      </c>
      <c r="H1358" t="str">
        <f>IF(A1358="","",IFERROR(_xlfn.XLOOKUP(D1358,Setup!$E$15:$E$79,Setup!$F$15:$F$79),"Miscellaneous"))</f>
        <v/>
      </c>
      <c r="I1358" t="str">
        <f>IF(A1358="","",IFERROR(_xlfn.XLOOKUP(D1358,Setup!$E$15:$E$79,Setup!$G$15:$G$79),"Uncategorized"))</f>
        <v/>
      </c>
      <c r="J1358" t="str">
        <f t="shared" si="106"/>
        <v/>
      </c>
      <c r="K1358" s="4" t="str">
        <f t="shared" si="107"/>
        <v/>
      </c>
      <c r="L1358" s="47">
        <f t="shared" si="108"/>
        <v>0</v>
      </c>
      <c r="M1358" s="47">
        <f t="shared" si="109"/>
        <v>0</v>
      </c>
      <c r="N1358" t="str">
        <f>IF(A1358="","",IF(D1358="Category Pending","Needs categorization",IF(COUNTIFS($A$2:A1358,A1358,$B$2:B1358,B1358,$E$2:E1358,E1358)&gt;1,"Possible duplicate","")))</f>
        <v/>
      </c>
    </row>
    <row r="1359" spans="3:14" x14ac:dyDescent="0.3">
      <c r="C1359" s="16"/>
      <c r="G1359" s="5" t="str">
        <f t="shared" si="105"/>
        <v/>
      </c>
      <c r="H1359" t="str">
        <f>IF(A1359="","",IFERROR(_xlfn.XLOOKUP(D1359,Setup!$E$15:$E$79,Setup!$F$15:$F$79),"Miscellaneous"))</f>
        <v/>
      </c>
      <c r="I1359" t="str">
        <f>IF(A1359="","",IFERROR(_xlfn.XLOOKUP(D1359,Setup!$E$15:$E$79,Setup!$G$15:$G$79),"Uncategorized"))</f>
        <v/>
      </c>
      <c r="J1359" t="str">
        <f t="shared" si="106"/>
        <v/>
      </c>
      <c r="K1359" s="4" t="str">
        <f t="shared" si="107"/>
        <v/>
      </c>
      <c r="L1359" s="47">
        <f t="shared" si="108"/>
        <v>0</v>
      </c>
      <c r="M1359" s="47">
        <f t="shared" si="109"/>
        <v>0</v>
      </c>
      <c r="N1359" t="str">
        <f>IF(A1359="","",IF(D1359="Category Pending","Needs categorization",IF(COUNTIFS($A$2:A1359,A1359,$B$2:B1359,B1359,$E$2:E1359,E1359)&gt;1,"Possible duplicate","")))</f>
        <v/>
      </c>
    </row>
    <row r="1360" spans="3:14" x14ac:dyDescent="0.3">
      <c r="C1360" s="16"/>
      <c r="G1360" s="5" t="str">
        <f t="shared" si="105"/>
        <v/>
      </c>
      <c r="H1360" t="str">
        <f>IF(A1360="","",IFERROR(_xlfn.XLOOKUP(D1360,Setup!$E$15:$E$79,Setup!$F$15:$F$79),"Miscellaneous"))</f>
        <v/>
      </c>
      <c r="I1360" t="str">
        <f>IF(A1360="","",IFERROR(_xlfn.XLOOKUP(D1360,Setup!$E$15:$E$79,Setup!$G$15:$G$79),"Uncategorized"))</f>
        <v/>
      </c>
      <c r="J1360" t="str">
        <f t="shared" si="106"/>
        <v/>
      </c>
      <c r="K1360" s="4" t="str">
        <f t="shared" si="107"/>
        <v/>
      </c>
      <c r="L1360" s="47">
        <f t="shared" si="108"/>
        <v>0</v>
      </c>
      <c r="M1360" s="47">
        <f t="shared" si="109"/>
        <v>0</v>
      </c>
      <c r="N1360" t="str">
        <f>IF(A1360="","",IF(D1360="Category Pending","Needs categorization",IF(COUNTIFS($A$2:A1360,A1360,$B$2:B1360,B1360,$E$2:E1360,E1360)&gt;1,"Possible duplicate","")))</f>
        <v/>
      </c>
    </row>
    <row r="1361" spans="3:14" x14ac:dyDescent="0.3">
      <c r="C1361" s="16"/>
      <c r="G1361" s="5" t="str">
        <f t="shared" si="105"/>
        <v/>
      </c>
      <c r="H1361" t="str">
        <f>IF(A1361="","",IFERROR(_xlfn.XLOOKUP(D1361,Setup!$E$15:$E$79,Setup!$F$15:$F$79),"Miscellaneous"))</f>
        <v/>
      </c>
      <c r="I1361" t="str">
        <f>IF(A1361="","",IFERROR(_xlfn.XLOOKUP(D1361,Setup!$E$15:$E$79,Setup!$G$15:$G$79),"Uncategorized"))</f>
        <v/>
      </c>
      <c r="J1361" t="str">
        <f t="shared" si="106"/>
        <v/>
      </c>
      <c r="K1361" s="4" t="str">
        <f t="shared" si="107"/>
        <v/>
      </c>
      <c r="L1361" s="47">
        <f t="shared" si="108"/>
        <v>0</v>
      </c>
      <c r="M1361" s="47">
        <f t="shared" si="109"/>
        <v>0</v>
      </c>
      <c r="N1361" t="str">
        <f>IF(A1361="","",IF(D1361="Category Pending","Needs categorization",IF(COUNTIFS($A$2:A1361,A1361,$B$2:B1361,B1361,$E$2:E1361,E1361)&gt;1,"Possible duplicate","")))</f>
        <v/>
      </c>
    </row>
    <row r="1362" spans="3:14" x14ac:dyDescent="0.3">
      <c r="C1362" s="16"/>
      <c r="G1362" s="5" t="str">
        <f t="shared" si="105"/>
        <v/>
      </c>
      <c r="H1362" t="str">
        <f>IF(A1362="","",IFERROR(_xlfn.XLOOKUP(D1362,Setup!$E$15:$E$79,Setup!$F$15:$F$79),"Miscellaneous"))</f>
        <v/>
      </c>
      <c r="I1362" t="str">
        <f>IF(A1362="","",IFERROR(_xlfn.XLOOKUP(D1362,Setup!$E$15:$E$79,Setup!$G$15:$G$79),"Uncategorized"))</f>
        <v/>
      </c>
      <c r="J1362" t="str">
        <f t="shared" si="106"/>
        <v/>
      </c>
      <c r="K1362" s="4" t="str">
        <f t="shared" si="107"/>
        <v/>
      </c>
      <c r="L1362" s="47">
        <f t="shared" si="108"/>
        <v>0</v>
      </c>
      <c r="M1362" s="47">
        <f t="shared" si="109"/>
        <v>0</v>
      </c>
      <c r="N1362" t="str">
        <f>IF(A1362="","",IF(D1362="Category Pending","Needs categorization",IF(COUNTIFS($A$2:A1362,A1362,$B$2:B1362,B1362,$E$2:E1362,E1362)&gt;1,"Possible duplicate","")))</f>
        <v/>
      </c>
    </row>
    <row r="1363" spans="3:14" x14ac:dyDescent="0.3">
      <c r="C1363" s="16"/>
      <c r="G1363" s="5" t="str">
        <f t="shared" si="105"/>
        <v/>
      </c>
      <c r="H1363" t="str">
        <f>IF(A1363="","",IFERROR(_xlfn.XLOOKUP(D1363,Setup!$E$15:$E$79,Setup!$F$15:$F$79),"Miscellaneous"))</f>
        <v/>
      </c>
      <c r="I1363" t="str">
        <f>IF(A1363="","",IFERROR(_xlfn.XLOOKUP(D1363,Setup!$E$15:$E$79,Setup!$G$15:$G$79),"Uncategorized"))</f>
        <v/>
      </c>
      <c r="J1363" t="str">
        <f t="shared" si="106"/>
        <v/>
      </c>
      <c r="K1363" s="4" t="str">
        <f t="shared" si="107"/>
        <v/>
      </c>
      <c r="L1363" s="47">
        <f t="shared" si="108"/>
        <v>0</v>
      </c>
      <c r="M1363" s="47">
        <f t="shared" si="109"/>
        <v>0</v>
      </c>
      <c r="N1363" t="str">
        <f>IF(A1363="","",IF(D1363="Category Pending","Needs categorization",IF(COUNTIFS($A$2:A1363,A1363,$B$2:B1363,B1363,$E$2:E1363,E1363)&gt;1,"Possible duplicate","")))</f>
        <v/>
      </c>
    </row>
    <row r="1364" spans="3:14" x14ac:dyDescent="0.3">
      <c r="C1364" s="16"/>
      <c r="G1364" s="5" t="str">
        <f t="shared" si="105"/>
        <v/>
      </c>
      <c r="H1364" t="str">
        <f>IF(A1364="","",IFERROR(_xlfn.XLOOKUP(D1364,Setup!$E$15:$E$79,Setup!$F$15:$F$79),"Miscellaneous"))</f>
        <v/>
      </c>
      <c r="I1364" t="str">
        <f>IF(A1364="","",IFERROR(_xlfn.XLOOKUP(D1364,Setup!$E$15:$E$79,Setup!$G$15:$G$79),"Uncategorized"))</f>
        <v/>
      </c>
      <c r="J1364" t="str">
        <f t="shared" si="106"/>
        <v/>
      </c>
      <c r="K1364" s="4" t="str">
        <f t="shared" si="107"/>
        <v/>
      </c>
      <c r="L1364" s="47">
        <f t="shared" si="108"/>
        <v>0</v>
      </c>
      <c r="M1364" s="47">
        <f t="shared" si="109"/>
        <v>0</v>
      </c>
      <c r="N1364" t="str">
        <f>IF(A1364="","",IF(D1364="Category Pending","Needs categorization",IF(COUNTIFS($A$2:A1364,A1364,$B$2:B1364,B1364,$E$2:E1364,E1364)&gt;1,"Possible duplicate","")))</f>
        <v/>
      </c>
    </row>
    <row r="1365" spans="3:14" x14ac:dyDescent="0.3">
      <c r="C1365" s="16"/>
      <c r="G1365" s="5" t="str">
        <f t="shared" si="105"/>
        <v/>
      </c>
      <c r="H1365" t="str">
        <f>IF(A1365="","",IFERROR(_xlfn.XLOOKUP(D1365,Setup!$E$15:$E$79,Setup!$F$15:$F$79),"Miscellaneous"))</f>
        <v/>
      </c>
      <c r="I1365" t="str">
        <f>IF(A1365="","",IFERROR(_xlfn.XLOOKUP(D1365,Setup!$E$15:$E$79,Setup!$G$15:$G$79),"Uncategorized"))</f>
        <v/>
      </c>
      <c r="J1365" t="str">
        <f t="shared" si="106"/>
        <v/>
      </c>
      <c r="K1365" s="4" t="str">
        <f t="shared" si="107"/>
        <v/>
      </c>
      <c r="L1365" s="47">
        <f t="shared" si="108"/>
        <v>0</v>
      </c>
      <c r="M1365" s="47">
        <f t="shared" si="109"/>
        <v>0</v>
      </c>
      <c r="N1365" t="str">
        <f>IF(A1365="","",IF(D1365="Category Pending","Needs categorization",IF(COUNTIFS($A$2:A1365,A1365,$B$2:B1365,B1365,$E$2:E1365,E1365)&gt;1,"Possible duplicate","")))</f>
        <v/>
      </c>
    </row>
    <row r="1366" spans="3:14" x14ac:dyDescent="0.3">
      <c r="C1366" s="16"/>
      <c r="G1366" s="5" t="str">
        <f t="shared" si="105"/>
        <v/>
      </c>
      <c r="H1366" t="str">
        <f>IF(A1366="","",IFERROR(_xlfn.XLOOKUP(D1366,Setup!$E$15:$E$79,Setup!$F$15:$F$79),"Miscellaneous"))</f>
        <v/>
      </c>
      <c r="I1366" t="str">
        <f>IF(A1366="","",IFERROR(_xlfn.XLOOKUP(D1366,Setup!$E$15:$E$79,Setup!$G$15:$G$79),"Uncategorized"))</f>
        <v/>
      </c>
      <c r="J1366" t="str">
        <f t="shared" si="106"/>
        <v/>
      </c>
      <c r="K1366" s="4" t="str">
        <f t="shared" si="107"/>
        <v/>
      </c>
      <c r="L1366" s="47">
        <f t="shared" si="108"/>
        <v>0</v>
      </c>
      <c r="M1366" s="47">
        <f t="shared" si="109"/>
        <v>0</v>
      </c>
      <c r="N1366" t="str">
        <f>IF(A1366="","",IF(D1366="Category Pending","Needs categorization",IF(COUNTIFS($A$2:A1366,A1366,$B$2:B1366,B1366,$E$2:E1366,E1366)&gt;1,"Possible duplicate","")))</f>
        <v/>
      </c>
    </row>
    <row r="1367" spans="3:14" x14ac:dyDescent="0.3">
      <c r="C1367" s="16"/>
      <c r="G1367" s="5" t="str">
        <f t="shared" si="105"/>
        <v/>
      </c>
      <c r="H1367" t="str">
        <f>IF(A1367="","",IFERROR(_xlfn.XLOOKUP(D1367,Setup!$E$15:$E$79,Setup!$F$15:$F$79),"Miscellaneous"))</f>
        <v/>
      </c>
      <c r="I1367" t="str">
        <f>IF(A1367="","",IFERROR(_xlfn.XLOOKUP(D1367,Setup!$E$15:$E$79,Setup!$G$15:$G$79),"Uncategorized"))</f>
        <v/>
      </c>
      <c r="J1367" t="str">
        <f t="shared" si="106"/>
        <v/>
      </c>
      <c r="K1367" s="4" t="str">
        <f t="shared" si="107"/>
        <v/>
      </c>
      <c r="L1367" s="47">
        <f t="shared" si="108"/>
        <v>0</v>
      </c>
      <c r="M1367" s="47">
        <f t="shared" si="109"/>
        <v>0</v>
      </c>
      <c r="N1367" t="str">
        <f>IF(A1367="","",IF(D1367="Category Pending","Needs categorization",IF(COUNTIFS($A$2:A1367,A1367,$B$2:B1367,B1367,$E$2:E1367,E1367)&gt;1,"Possible duplicate","")))</f>
        <v/>
      </c>
    </row>
    <row r="1368" spans="3:14" x14ac:dyDescent="0.3">
      <c r="C1368" s="16"/>
      <c r="G1368" s="5" t="str">
        <f t="shared" si="105"/>
        <v/>
      </c>
      <c r="H1368" t="str">
        <f>IF(A1368="","",IFERROR(_xlfn.XLOOKUP(D1368,Setup!$E$15:$E$79,Setup!$F$15:$F$79),"Miscellaneous"))</f>
        <v/>
      </c>
      <c r="I1368" t="str">
        <f>IF(A1368="","",IFERROR(_xlfn.XLOOKUP(D1368,Setup!$E$15:$E$79,Setup!$G$15:$G$79),"Uncategorized"))</f>
        <v/>
      </c>
      <c r="J1368" t="str">
        <f t="shared" si="106"/>
        <v/>
      </c>
      <c r="K1368" s="4" t="str">
        <f t="shared" si="107"/>
        <v/>
      </c>
      <c r="L1368" s="47">
        <f t="shared" si="108"/>
        <v>0</v>
      </c>
      <c r="M1368" s="47">
        <f t="shared" si="109"/>
        <v>0</v>
      </c>
      <c r="N1368" t="str">
        <f>IF(A1368="","",IF(D1368="Category Pending","Needs categorization",IF(COUNTIFS($A$2:A1368,A1368,$B$2:B1368,B1368,$E$2:E1368,E1368)&gt;1,"Possible duplicate","")))</f>
        <v/>
      </c>
    </row>
    <row r="1369" spans="3:14" x14ac:dyDescent="0.3">
      <c r="C1369" s="16"/>
      <c r="G1369" s="5" t="str">
        <f t="shared" si="105"/>
        <v/>
      </c>
      <c r="H1369" t="str">
        <f>IF(A1369="","",IFERROR(_xlfn.XLOOKUP(D1369,Setup!$E$15:$E$79,Setup!$F$15:$F$79),"Miscellaneous"))</f>
        <v/>
      </c>
      <c r="I1369" t="str">
        <f>IF(A1369="","",IFERROR(_xlfn.XLOOKUP(D1369,Setup!$E$15:$E$79,Setup!$G$15:$G$79),"Uncategorized"))</f>
        <v/>
      </c>
      <c r="J1369" t="str">
        <f t="shared" si="106"/>
        <v/>
      </c>
      <c r="K1369" s="4" t="str">
        <f t="shared" si="107"/>
        <v/>
      </c>
      <c r="L1369" s="47">
        <f t="shared" si="108"/>
        <v>0</v>
      </c>
      <c r="M1369" s="47">
        <f t="shared" si="109"/>
        <v>0</v>
      </c>
      <c r="N1369" t="str">
        <f>IF(A1369="","",IF(D1369="Category Pending","Needs categorization",IF(COUNTIFS($A$2:A1369,A1369,$B$2:B1369,B1369,$E$2:E1369,E1369)&gt;1,"Possible duplicate","")))</f>
        <v/>
      </c>
    </row>
    <row r="1370" spans="3:14" x14ac:dyDescent="0.3">
      <c r="C1370" s="16"/>
      <c r="G1370" s="5" t="str">
        <f t="shared" si="105"/>
        <v/>
      </c>
      <c r="H1370" t="str">
        <f>IF(A1370="","",IFERROR(_xlfn.XLOOKUP(D1370,Setup!$E$15:$E$79,Setup!$F$15:$F$79),"Miscellaneous"))</f>
        <v/>
      </c>
      <c r="I1370" t="str">
        <f>IF(A1370="","",IFERROR(_xlfn.XLOOKUP(D1370,Setup!$E$15:$E$79,Setup!$G$15:$G$79),"Uncategorized"))</f>
        <v/>
      </c>
      <c r="J1370" t="str">
        <f t="shared" si="106"/>
        <v/>
      </c>
      <c r="K1370" s="4" t="str">
        <f t="shared" si="107"/>
        <v/>
      </c>
      <c r="L1370" s="47">
        <f t="shared" si="108"/>
        <v>0</v>
      </c>
      <c r="M1370" s="47">
        <f t="shared" si="109"/>
        <v>0</v>
      </c>
      <c r="N1370" t="str">
        <f>IF(A1370="","",IF(D1370="Category Pending","Needs categorization",IF(COUNTIFS($A$2:A1370,A1370,$B$2:B1370,B1370,$E$2:E1370,E1370)&gt;1,"Possible duplicate","")))</f>
        <v/>
      </c>
    </row>
    <row r="1371" spans="3:14" x14ac:dyDescent="0.3">
      <c r="C1371" s="16"/>
      <c r="G1371" s="5" t="str">
        <f t="shared" si="105"/>
        <v/>
      </c>
      <c r="H1371" t="str">
        <f>IF(A1371="","",IFERROR(_xlfn.XLOOKUP(D1371,Setup!$E$15:$E$79,Setup!$F$15:$F$79),"Miscellaneous"))</f>
        <v/>
      </c>
      <c r="I1371" t="str">
        <f>IF(A1371="","",IFERROR(_xlfn.XLOOKUP(D1371,Setup!$E$15:$E$79,Setup!$G$15:$G$79),"Uncategorized"))</f>
        <v/>
      </c>
      <c r="J1371" t="str">
        <f t="shared" si="106"/>
        <v/>
      </c>
      <c r="K1371" s="4" t="str">
        <f t="shared" si="107"/>
        <v/>
      </c>
      <c r="L1371" s="47">
        <f t="shared" si="108"/>
        <v>0</v>
      </c>
      <c r="M1371" s="47">
        <f t="shared" si="109"/>
        <v>0</v>
      </c>
      <c r="N1371" t="str">
        <f>IF(A1371="","",IF(D1371="Category Pending","Needs categorization",IF(COUNTIFS($A$2:A1371,A1371,$B$2:B1371,B1371,$E$2:E1371,E1371)&gt;1,"Possible duplicate","")))</f>
        <v/>
      </c>
    </row>
    <row r="1372" spans="3:14" x14ac:dyDescent="0.3">
      <c r="C1372" s="16"/>
      <c r="G1372" s="5" t="str">
        <f t="shared" si="105"/>
        <v/>
      </c>
      <c r="H1372" t="str">
        <f>IF(A1372="","",IFERROR(_xlfn.XLOOKUP(D1372,Setup!$E$15:$E$79,Setup!$F$15:$F$79),"Miscellaneous"))</f>
        <v/>
      </c>
      <c r="I1372" t="str">
        <f>IF(A1372="","",IFERROR(_xlfn.XLOOKUP(D1372,Setup!$E$15:$E$79,Setup!$G$15:$G$79),"Uncategorized"))</f>
        <v/>
      </c>
      <c r="J1372" t="str">
        <f t="shared" si="106"/>
        <v/>
      </c>
      <c r="K1372" s="4" t="str">
        <f t="shared" si="107"/>
        <v/>
      </c>
      <c r="L1372" s="47">
        <f t="shared" si="108"/>
        <v>0</v>
      </c>
      <c r="M1372" s="47">
        <f t="shared" si="109"/>
        <v>0</v>
      </c>
      <c r="N1372" t="str">
        <f>IF(A1372="","",IF(D1372="Category Pending","Needs categorization",IF(COUNTIFS($A$2:A1372,A1372,$B$2:B1372,B1372,$E$2:E1372,E1372)&gt;1,"Possible duplicate","")))</f>
        <v/>
      </c>
    </row>
    <row r="1373" spans="3:14" x14ac:dyDescent="0.3">
      <c r="C1373" s="16"/>
      <c r="G1373" s="5" t="str">
        <f t="shared" si="105"/>
        <v/>
      </c>
      <c r="H1373" t="str">
        <f>IF(A1373="","",IFERROR(_xlfn.XLOOKUP(D1373,Setup!$E$15:$E$79,Setup!$F$15:$F$79),"Miscellaneous"))</f>
        <v/>
      </c>
      <c r="I1373" t="str">
        <f>IF(A1373="","",IFERROR(_xlfn.XLOOKUP(D1373,Setup!$E$15:$E$79,Setup!$G$15:$G$79),"Uncategorized"))</f>
        <v/>
      </c>
      <c r="J1373" t="str">
        <f t="shared" si="106"/>
        <v/>
      </c>
      <c r="K1373" s="4" t="str">
        <f t="shared" si="107"/>
        <v/>
      </c>
      <c r="L1373" s="47">
        <f t="shared" si="108"/>
        <v>0</v>
      </c>
      <c r="M1373" s="47">
        <f t="shared" si="109"/>
        <v>0</v>
      </c>
      <c r="N1373" t="str">
        <f>IF(A1373="","",IF(D1373="Category Pending","Needs categorization",IF(COUNTIFS($A$2:A1373,A1373,$B$2:B1373,B1373,$E$2:E1373,E1373)&gt;1,"Possible duplicate","")))</f>
        <v/>
      </c>
    </row>
    <row r="1374" spans="3:14" x14ac:dyDescent="0.3">
      <c r="C1374" s="16"/>
      <c r="G1374" s="5" t="str">
        <f t="shared" si="105"/>
        <v/>
      </c>
      <c r="H1374" t="str">
        <f>IF(A1374="","",IFERROR(_xlfn.XLOOKUP(D1374,Setup!$E$15:$E$79,Setup!$F$15:$F$79),"Miscellaneous"))</f>
        <v/>
      </c>
      <c r="I1374" t="str">
        <f>IF(A1374="","",IFERROR(_xlfn.XLOOKUP(D1374,Setup!$E$15:$E$79,Setup!$G$15:$G$79),"Uncategorized"))</f>
        <v/>
      </c>
      <c r="J1374" t="str">
        <f t="shared" si="106"/>
        <v/>
      </c>
      <c r="K1374" s="4" t="str">
        <f t="shared" si="107"/>
        <v/>
      </c>
      <c r="L1374" s="47">
        <f t="shared" si="108"/>
        <v>0</v>
      </c>
      <c r="M1374" s="47">
        <f t="shared" si="109"/>
        <v>0</v>
      </c>
      <c r="N1374" t="str">
        <f>IF(A1374="","",IF(D1374="Category Pending","Needs categorization",IF(COUNTIFS($A$2:A1374,A1374,$B$2:B1374,B1374,$E$2:E1374,E1374)&gt;1,"Possible duplicate","")))</f>
        <v/>
      </c>
    </row>
    <row r="1375" spans="3:14" x14ac:dyDescent="0.3">
      <c r="C1375" s="16"/>
      <c r="G1375" s="5" t="str">
        <f t="shared" si="105"/>
        <v/>
      </c>
      <c r="H1375" t="str">
        <f>IF(A1375="","",IFERROR(_xlfn.XLOOKUP(D1375,Setup!$E$15:$E$79,Setup!$F$15:$F$79),"Miscellaneous"))</f>
        <v/>
      </c>
      <c r="I1375" t="str">
        <f>IF(A1375="","",IFERROR(_xlfn.XLOOKUP(D1375,Setup!$E$15:$E$79,Setup!$G$15:$G$79),"Uncategorized"))</f>
        <v/>
      </c>
      <c r="J1375" t="str">
        <f t="shared" si="106"/>
        <v/>
      </c>
      <c r="K1375" s="4" t="str">
        <f t="shared" si="107"/>
        <v/>
      </c>
      <c r="L1375" s="47">
        <f t="shared" si="108"/>
        <v>0</v>
      </c>
      <c r="M1375" s="47">
        <f t="shared" si="109"/>
        <v>0</v>
      </c>
      <c r="N1375" t="str">
        <f>IF(A1375="","",IF(D1375="Category Pending","Needs categorization",IF(COUNTIFS($A$2:A1375,A1375,$B$2:B1375,B1375,$E$2:E1375,E1375)&gt;1,"Possible duplicate","")))</f>
        <v/>
      </c>
    </row>
    <row r="1376" spans="3:14" x14ac:dyDescent="0.3">
      <c r="C1376" s="16"/>
      <c r="G1376" s="5" t="str">
        <f t="shared" si="105"/>
        <v/>
      </c>
      <c r="H1376" t="str">
        <f>IF(A1376="","",IFERROR(_xlfn.XLOOKUP(D1376,Setup!$E$15:$E$79,Setup!$F$15:$F$79),"Miscellaneous"))</f>
        <v/>
      </c>
      <c r="I1376" t="str">
        <f>IF(A1376="","",IFERROR(_xlfn.XLOOKUP(D1376,Setup!$E$15:$E$79,Setup!$G$15:$G$79),"Uncategorized"))</f>
        <v/>
      </c>
      <c r="J1376" t="str">
        <f t="shared" si="106"/>
        <v/>
      </c>
      <c r="K1376" s="4" t="str">
        <f t="shared" si="107"/>
        <v/>
      </c>
      <c r="L1376" s="47">
        <f t="shared" si="108"/>
        <v>0</v>
      </c>
      <c r="M1376" s="47">
        <f t="shared" si="109"/>
        <v>0</v>
      </c>
      <c r="N1376" t="str">
        <f>IF(A1376="","",IF(D1376="Category Pending","Needs categorization",IF(COUNTIFS($A$2:A1376,A1376,$B$2:B1376,B1376,$E$2:E1376,E1376)&gt;1,"Possible duplicate","")))</f>
        <v/>
      </c>
    </row>
    <row r="1377" spans="3:14" x14ac:dyDescent="0.3">
      <c r="C1377" s="16"/>
      <c r="G1377" s="5" t="str">
        <f t="shared" ref="G1377:G1440" si="110">IF(A1377="","","Checking")</f>
        <v/>
      </c>
      <c r="H1377" t="str">
        <f>IF(A1377="","",IFERROR(_xlfn.XLOOKUP(D1377,Setup!$E$15:$E$79,Setup!$F$15:$F$79),"Miscellaneous"))</f>
        <v/>
      </c>
      <c r="I1377" t="str">
        <f>IF(A1377="","",IFERROR(_xlfn.XLOOKUP(D1377,Setup!$E$15:$E$79,Setup!$G$15:$G$79),"Uncategorized"))</f>
        <v/>
      </c>
      <c r="J1377" t="str">
        <f t="shared" ref="J1377:J1440" si="111">IF(A1377="","",IF(OR(H1377="Transfers",H1377="Income",D1377="Transfer",D1377="Category Pending"),"No","Yes"))</f>
        <v/>
      </c>
      <c r="K1377" s="4" t="str">
        <f t="shared" ref="K1377:K1440" si="112">IF(A1377="","",IF(A1377&gt;=46232,TEXT(DATE(YEAR(A1377),MONTH(A1377)+1,1),"mmmm yyyy"),TEXT(DATE(YEAR(A1377),MONTH(A1377),1),"mmmm yyyy")))</f>
        <v/>
      </c>
      <c r="L1377" s="47">
        <f t="shared" ref="L1377:L1440" si="113">IF(AND(J1377="Yes",E1377&lt;0),-E1377,0)</f>
        <v>0</v>
      </c>
      <c r="M1377" s="47">
        <f t="shared" ref="M1377:M1440" si="114">IF(AND(J1377="Yes",E1377&gt;0),E1377,0)</f>
        <v>0</v>
      </c>
      <c r="N1377" t="str">
        <f>IF(A1377="","",IF(D1377="Category Pending","Needs categorization",IF(COUNTIFS($A$2:A1377,A1377,$B$2:B1377,B1377,$E$2:E1377,E1377)&gt;1,"Possible duplicate","")))</f>
        <v/>
      </c>
    </row>
    <row r="1378" spans="3:14" x14ac:dyDescent="0.3">
      <c r="C1378" s="16"/>
      <c r="G1378" s="5" t="str">
        <f t="shared" si="110"/>
        <v/>
      </c>
      <c r="H1378" t="str">
        <f>IF(A1378="","",IFERROR(_xlfn.XLOOKUP(D1378,Setup!$E$15:$E$79,Setup!$F$15:$F$79),"Miscellaneous"))</f>
        <v/>
      </c>
      <c r="I1378" t="str">
        <f>IF(A1378="","",IFERROR(_xlfn.XLOOKUP(D1378,Setup!$E$15:$E$79,Setup!$G$15:$G$79),"Uncategorized"))</f>
        <v/>
      </c>
      <c r="J1378" t="str">
        <f t="shared" si="111"/>
        <v/>
      </c>
      <c r="K1378" s="4" t="str">
        <f t="shared" si="112"/>
        <v/>
      </c>
      <c r="L1378" s="47">
        <f t="shared" si="113"/>
        <v>0</v>
      </c>
      <c r="M1378" s="47">
        <f t="shared" si="114"/>
        <v>0</v>
      </c>
      <c r="N1378" t="str">
        <f>IF(A1378="","",IF(D1378="Category Pending","Needs categorization",IF(COUNTIFS($A$2:A1378,A1378,$B$2:B1378,B1378,$E$2:E1378,E1378)&gt;1,"Possible duplicate","")))</f>
        <v/>
      </c>
    </row>
    <row r="1379" spans="3:14" x14ac:dyDescent="0.3">
      <c r="C1379" s="16"/>
      <c r="G1379" s="5" t="str">
        <f t="shared" si="110"/>
        <v/>
      </c>
      <c r="H1379" t="str">
        <f>IF(A1379="","",IFERROR(_xlfn.XLOOKUP(D1379,Setup!$E$15:$E$79,Setup!$F$15:$F$79),"Miscellaneous"))</f>
        <v/>
      </c>
      <c r="I1379" t="str">
        <f>IF(A1379="","",IFERROR(_xlfn.XLOOKUP(D1379,Setup!$E$15:$E$79,Setup!$G$15:$G$79),"Uncategorized"))</f>
        <v/>
      </c>
      <c r="J1379" t="str">
        <f t="shared" si="111"/>
        <v/>
      </c>
      <c r="K1379" s="4" t="str">
        <f t="shared" si="112"/>
        <v/>
      </c>
      <c r="L1379" s="47">
        <f t="shared" si="113"/>
        <v>0</v>
      </c>
      <c r="M1379" s="47">
        <f t="shared" si="114"/>
        <v>0</v>
      </c>
      <c r="N1379" t="str">
        <f>IF(A1379="","",IF(D1379="Category Pending","Needs categorization",IF(COUNTIFS($A$2:A1379,A1379,$B$2:B1379,B1379,$E$2:E1379,E1379)&gt;1,"Possible duplicate","")))</f>
        <v/>
      </c>
    </row>
    <row r="1380" spans="3:14" x14ac:dyDescent="0.3">
      <c r="C1380" s="16"/>
      <c r="G1380" s="5" t="str">
        <f t="shared" si="110"/>
        <v/>
      </c>
      <c r="H1380" t="str">
        <f>IF(A1380="","",IFERROR(_xlfn.XLOOKUP(D1380,Setup!$E$15:$E$79,Setup!$F$15:$F$79),"Miscellaneous"))</f>
        <v/>
      </c>
      <c r="I1380" t="str">
        <f>IF(A1380="","",IFERROR(_xlfn.XLOOKUP(D1380,Setup!$E$15:$E$79,Setup!$G$15:$G$79),"Uncategorized"))</f>
        <v/>
      </c>
      <c r="J1380" t="str">
        <f t="shared" si="111"/>
        <v/>
      </c>
      <c r="K1380" s="4" t="str">
        <f t="shared" si="112"/>
        <v/>
      </c>
      <c r="L1380" s="47">
        <f t="shared" si="113"/>
        <v>0</v>
      </c>
      <c r="M1380" s="47">
        <f t="shared" si="114"/>
        <v>0</v>
      </c>
      <c r="N1380" t="str">
        <f>IF(A1380="","",IF(D1380="Category Pending","Needs categorization",IF(COUNTIFS($A$2:A1380,A1380,$B$2:B1380,B1380,$E$2:E1380,E1380)&gt;1,"Possible duplicate","")))</f>
        <v/>
      </c>
    </row>
    <row r="1381" spans="3:14" x14ac:dyDescent="0.3">
      <c r="C1381" s="16"/>
      <c r="G1381" s="5" t="str">
        <f t="shared" si="110"/>
        <v/>
      </c>
      <c r="H1381" t="str">
        <f>IF(A1381="","",IFERROR(_xlfn.XLOOKUP(D1381,Setup!$E$15:$E$79,Setup!$F$15:$F$79),"Miscellaneous"))</f>
        <v/>
      </c>
      <c r="I1381" t="str">
        <f>IF(A1381="","",IFERROR(_xlfn.XLOOKUP(D1381,Setup!$E$15:$E$79,Setup!$G$15:$G$79),"Uncategorized"))</f>
        <v/>
      </c>
      <c r="J1381" t="str">
        <f t="shared" si="111"/>
        <v/>
      </c>
      <c r="K1381" s="4" t="str">
        <f t="shared" si="112"/>
        <v/>
      </c>
      <c r="L1381" s="47">
        <f t="shared" si="113"/>
        <v>0</v>
      </c>
      <c r="M1381" s="47">
        <f t="shared" si="114"/>
        <v>0</v>
      </c>
      <c r="N1381" t="str">
        <f>IF(A1381="","",IF(D1381="Category Pending","Needs categorization",IF(COUNTIFS($A$2:A1381,A1381,$B$2:B1381,B1381,$E$2:E1381,E1381)&gt;1,"Possible duplicate","")))</f>
        <v/>
      </c>
    </row>
    <row r="1382" spans="3:14" x14ac:dyDescent="0.3">
      <c r="C1382" s="16"/>
      <c r="G1382" s="5" t="str">
        <f t="shared" si="110"/>
        <v/>
      </c>
      <c r="H1382" t="str">
        <f>IF(A1382="","",IFERROR(_xlfn.XLOOKUP(D1382,Setup!$E$15:$E$79,Setup!$F$15:$F$79),"Miscellaneous"))</f>
        <v/>
      </c>
      <c r="I1382" t="str">
        <f>IF(A1382="","",IFERROR(_xlfn.XLOOKUP(D1382,Setup!$E$15:$E$79,Setup!$G$15:$G$79),"Uncategorized"))</f>
        <v/>
      </c>
      <c r="J1382" t="str">
        <f t="shared" si="111"/>
        <v/>
      </c>
      <c r="K1382" s="4" t="str">
        <f t="shared" si="112"/>
        <v/>
      </c>
      <c r="L1382" s="47">
        <f t="shared" si="113"/>
        <v>0</v>
      </c>
      <c r="M1382" s="47">
        <f t="shared" si="114"/>
        <v>0</v>
      </c>
      <c r="N1382" t="str">
        <f>IF(A1382="","",IF(D1382="Category Pending","Needs categorization",IF(COUNTIFS($A$2:A1382,A1382,$B$2:B1382,B1382,$E$2:E1382,E1382)&gt;1,"Possible duplicate","")))</f>
        <v/>
      </c>
    </row>
    <row r="1383" spans="3:14" x14ac:dyDescent="0.3">
      <c r="C1383" s="16"/>
      <c r="G1383" s="5" t="str">
        <f t="shared" si="110"/>
        <v/>
      </c>
      <c r="H1383" t="str">
        <f>IF(A1383="","",IFERROR(_xlfn.XLOOKUP(D1383,Setup!$E$15:$E$79,Setup!$F$15:$F$79),"Miscellaneous"))</f>
        <v/>
      </c>
      <c r="I1383" t="str">
        <f>IF(A1383="","",IFERROR(_xlfn.XLOOKUP(D1383,Setup!$E$15:$E$79,Setup!$G$15:$G$79),"Uncategorized"))</f>
        <v/>
      </c>
      <c r="J1383" t="str">
        <f t="shared" si="111"/>
        <v/>
      </c>
      <c r="K1383" s="4" t="str">
        <f t="shared" si="112"/>
        <v/>
      </c>
      <c r="L1383" s="47">
        <f t="shared" si="113"/>
        <v>0</v>
      </c>
      <c r="M1383" s="47">
        <f t="shared" si="114"/>
        <v>0</v>
      </c>
      <c r="N1383" t="str">
        <f>IF(A1383="","",IF(D1383="Category Pending","Needs categorization",IF(COUNTIFS($A$2:A1383,A1383,$B$2:B1383,B1383,$E$2:E1383,E1383)&gt;1,"Possible duplicate","")))</f>
        <v/>
      </c>
    </row>
    <row r="1384" spans="3:14" x14ac:dyDescent="0.3">
      <c r="C1384" s="16"/>
      <c r="G1384" s="5" t="str">
        <f t="shared" si="110"/>
        <v/>
      </c>
      <c r="H1384" t="str">
        <f>IF(A1384="","",IFERROR(_xlfn.XLOOKUP(D1384,Setup!$E$15:$E$79,Setup!$F$15:$F$79),"Miscellaneous"))</f>
        <v/>
      </c>
      <c r="I1384" t="str">
        <f>IF(A1384="","",IFERROR(_xlfn.XLOOKUP(D1384,Setup!$E$15:$E$79,Setup!$G$15:$G$79),"Uncategorized"))</f>
        <v/>
      </c>
      <c r="J1384" t="str">
        <f t="shared" si="111"/>
        <v/>
      </c>
      <c r="K1384" s="4" t="str">
        <f t="shared" si="112"/>
        <v/>
      </c>
      <c r="L1384" s="47">
        <f t="shared" si="113"/>
        <v>0</v>
      </c>
      <c r="M1384" s="47">
        <f t="shared" si="114"/>
        <v>0</v>
      </c>
      <c r="N1384" t="str">
        <f>IF(A1384="","",IF(D1384="Category Pending","Needs categorization",IF(COUNTIFS($A$2:A1384,A1384,$B$2:B1384,B1384,$E$2:E1384,E1384)&gt;1,"Possible duplicate","")))</f>
        <v/>
      </c>
    </row>
    <row r="1385" spans="3:14" x14ac:dyDescent="0.3">
      <c r="C1385" s="16"/>
      <c r="G1385" s="5" t="str">
        <f t="shared" si="110"/>
        <v/>
      </c>
      <c r="H1385" t="str">
        <f>IF(A1385="","",IFERROR(_xlfn.XLOOKUP(D1385,Setup!$E$15:$E$79,Setup!$F$15:$F$79),"Miscellaneous"))</f>
        <v/>
      </c>
      <c r="I1385" t="str">
        <f>IF(A1385="","",IFERROR(_xlfn.XLOOKUP(D1385,Setup!$E$15:$E$79,Setup!$G$15:$G$79),"Uncategorized"))</f>
        <v/>
      </c>
      <c r="J1385" t="str">
        <f t="shared" si="111"/>
        <v/>
      </c>
      <c r="K1385" s="4" t="str">
        <f t="shared" si="112"/>
        <v/>
      </c>
      <c r="L1385" s="47">
        <f t="shared" si="113"/>
        <v>0</v>
      </c>
      <c r="M1385" s="47">
        <f t="shared" si="114"/>
        <v>0</v>
      </c>
      <c r="N1385" t="str">
        <f>IF(A1385="","",IF(D1385="Category Pending","Needs categorization",IF(COUNTIFS($A$2:A1385,A1385,$B$2:B1385,B1385,$E$2:E1385,E1385)&gt;1,"Possible duplicate","")))</f>
        <v/>
      </c>
    </row>
    <row r="1386" spans="3:14" x14ac:dyDescent="0.3">
      <c r="C1386" s="16"/>
      <c r="G1386" s="5" t="str">
        <f t="shared" si="110"/>
        <v/>
      </c>
      <c r="H1386" t="str">
        <f>IF(A1386="","",IFERROR(_xlfn.XLOOKUP(D1386,Setup!$E$15:$E$79,Setup!$F$15:$F$79),"Miscellaneous"))</f>
        <v/>
      </c>
      <c r="I1386" t="str">
        <f>IF(A1386="","",IFERROR(_xlfn.XLOOKUP(D1386,Setup!$E$15:$E$79,Setup!$G$15:$G$79),"Uncategorized"))</f>
        <v/>
      </c>
      <c r="J1386" t="str">
        <f t="shared" si="111"/>
        <v/>
      </c>
      <c r="K1386" s="4" t="str">
        <f t="shared" si="112"/>
        <v/>
      </c>
      <c r="L1386" s="47">
        <f t="shared" si="113"/>
        <v>0</v>
      </c>
      <c r="M1386" s="47">
        <f t="shared" si="114"/>
        <v>0</v>
      </c>
      <c r="N1386" t="str">
        <f>IF(A1386="","",IF(D1386="Category Pending","Needs categorization",IF(COUNTIFS($A$2:A1386,A1386,$B$2:B1386,B1386,$E$2:E1386,E1386)&gt;1,"Possible duplicate","")))</f>
        <v/>
      </c>
    </row>
    <row r="1387" spans="3:14" x14ac:dyDescent="0.3">
      <c r="C1387" s="16"/>
      <c r="G1387" s="5" t="str">
        <f t="shared" si="110"/>
        <v/>
      </c>
      <c r="H1387" t="str">
        <f>IF(A1387="","",IFERROR(_xlfn.XLOOKUP(D1387,Setup!$E$15:$E$79,Setup!$F$15:$F$79),"Miscellaneous"))</f>
        <v/>
      </c>
      <c r="I1387" t="str">
        <f>IF(A1387="","",IFERROR(_xlfn.XLOOKUP(D1387,Setup!$E$15:$E$79,Setup!$G$15:$G$79),"Uncategorized"))</f>
        <v/>
      </c>
      <c r="J1387" t="str">
        <f t="shared" si="111"/>
        <v/>
      </c>
      <c r="K1387" s="4" t="str">
        <f t="shared" si="112"/>
        <v/>
      </c>
      <c r="L1387" s="47">
        <f t="shared" si="113"/>
        <v>0</v>
      </c>
      <c r="M1387" s="47">
        <f t="shared" si="114"/>
        <v>0</v>
      </c>
      <c r="N1387" t="str">
        <f>IF(A1387="","",IF(D1387="Category Pending","Needs categorization",IF(COUNTIFS($A$2:A1387,A1387,$B$2:B1387,B1387,$E$2:E1387,E1387)&gt;1,"Possible duplicate","")))</f>
        <v/>
      </c>
    </row>
    <row r="1388" spans="3:14" x14ac:dyDescent="0.3">
      <c r="C1388" s="16"/>
      <c r="G1388" s="5" t="str">
        <f t="shared" si="110"/>
        <v/>
      </c>
      <c r="H1388" t="str">
        <f>IF(A1388="","",IFERROR(_xlfn.XLOOKUP(D1388,Setup!$E$15:$E$79,Setup!$F$15:$F$79),"Miscellaneous"))</f>
        <v/>
      </c>
      <c r="I1388" t="str">
        <f>IF(A1388="","",IFERROR(_xlfn.XLOOKUP(D1388,Setup!$E$15:$E$79,Setup!$G$15:$G$79),"Uncategorized"))</f>
        <v/>
      </c>
      <c r="J1388" t="str">
        <f t="shared" si="111"/>
        <v/>
      </c>
      <c r="K1388" s="4" t="str">
        <f t="shared" si="112"/>
        <v/>
      </c>
      <c r="L1388" s="47">
        <f t="shared" si="113"/>
        <v>0</v>
      </c>
      <c r="M1388" s="47">
        <f t="shared" si="114"/>
        <v>0</v>
      </c>
      <c r="N1388" t="str">
        <f>IF(A1388="","",IF(D1388="Category Pending","Needs categorization",IF(COUNTIFS($A$2:A1388,A1388,$B$2:B1388,B1388,$E$2:E1388,E1388)&gt;1,"Possible duplicate","")))</f>
        <v/>
      </c>
    </row>
    <row r="1389" spans="3:14" x14ac:dyDescent="0.3">
      <c r="C1389" s="16"/>
      <c r="G1389" s="5" t="str">
        <f t="shared" si="110"/>
        <v/>
      </c>
      <c r="H1389" t="str">
        <f>IF(A1389="","",IFERROR(_xlfn.XLOOKUP(D1389,Setup!$E$15:$E$79,Setup!$F$15:$F$79),"Miscellaneous"))</f>
        <v/>
      </c>
      <c r="I1389" t="str">
        <f>IF(A1389="","",IFERROR(_xlfn.XLOOKUP(D1389,Setup!$E$15:$E$79,Setup!$G$15:$G$79),"Uncategorized"))</f>
        <v/>
      </c>
      <c r="J1389" t="str">
        <f t="shared" si="111"/>
        <v/>
      </c>
      <c r="K1389" s="4" t="str">
        <f t="shared" si="112"/>
        <v/>
      </c>
      <c r="L1389" s="47">
        <f t="shared" si="113"/>
        <v>0</v>
      </c>
      <c r="M1389" s="47">
        <f t="shared" si="114"/>
        <v>0</v>
      </c>
      <c r="N1389" t="str">
        <f>IF(A1389="","",IF(D1389="Category Pending","Needs categorization",IF(COUNTIFS($A$2:A1389,A1389,$B$2:B1389,B1389,$E$2:E1389,E1389)&gt;1,"Possible duplicate","")))</f>
        <v/>
      </c>
    </row>
    <row r="1390" spans="3:14" x14ac:dyDescent="0.3">
      <c r="C1390" s="16"/>
      <c r="G1390" s="5" t="str">
        <f t="shared" si="110"/>
        <v/>
      </c>
      <c r="H1390" t="str">
        <f>IF(A1390="","",IFERROR(_xlfn.XLOOKUP(D1390,Setup!$E$15:$E$79,Setup!$F$15:$F$79),"Miscellaneous"))</f>
        <v/>
      </c>
      <c r="I1390" t="str">
        <f>IF(A1390="","",IFERROR(_xlfn.XLOOKUP(D1390,Setup!$E$15:$E$79,Setup!$G$15:$G$79),"Uncategorized"))</f>
        <v/>
      </c>
      <c r="J1390" t="str">
        <f t="shared" si="111"/>
        <v/>
      </c>
      <c r="K1390" s="4" t="str">
        <f t="shared" si="112"/>
        <v/>
      </c>
      <c r="L1390" s="47">
        <f t="shared" si="113"/>
        <v>0</v>
      </c>
      <c r="M1390" s="47">
        <f t="shared" si="114"/>
        <v>0</v>
      </c>
      <c r="N1390" t="str">
        <f>IF(A1390="","",IF(D1390="Category Pending","Needs categorization",IF(COUNTIFS($A$2:A1390,A1390,$B$2:B1390,B1390,$E$2:E1390,E1390)&gt;1,"Possible duplicate","")))</f>
        <v/>
      </c>
    </row>
    <row r="1391" spans="3:14" x14ac:dyDescent="0.3">
      <c r="C1391" s="16"/>
      <c r="G1391" s="5" t="str">
        <f t="shared" si="110"/>
        <v/>
      </c>
      <c r="H1391" t="str">
        <f>IF(A1391="","",IFERROR(_xlfn.XLOOKUP(D1391,Setup!$E$15:$E$79,Setup!$F$15:$F$79),"Miscellaneous"))</f>
        <v/>
      </c>
      <c r="I1391" t="str">
        <f>IF(A1391="","",IFERROR(_xlfn.XLOOKUP(D1391,Setup!$E$15:$E$79,Setup!$G$15:$G$79),"Uncategorized"))</f>
        <v/>
      </c>
      <c r="J1391" t="str">
        <f t="shared" si="111"/>
        <v/>
      </c>
      <c r="K1391" s="4" t="str">
        <f t="shared" si="112"/>
        <v/>
      </c>
      <c r="L1391" s="47">
        <f t="shared" si="113"/>
        <v>0</v>
      </c>
      <c r="M1391" s="47">
        <f t="shared" si="114"/>
        <v>0</v>
      </c>
      <c r="N1391" t="str">
        <f>IF(A1391="","",IF(D1391="Category Pending","Needs categorization",IF(COUNTIFS($A$2:A1391,A1391,$B$2:B1391,B1391,$E$2:E1391,E1391)&gt;1,"Possible duplicate","")))</f>
        <v/>
      </c>
    </row>
    <row r="1392" spans="3:14" x14ac:dyDescent="0.3">
      <c r="C1392" s="16"/>
      <c r="G1392" s="5" t="str">
        <f t="shared" si="110"/>
        <v/>
      </c>
      <c r="H1392" t="str">
        <f>IF(A1392="","",IFERROR(_xlfn.XLOOKUP(D1392,Setup!$E$15:$E$79,Setup!$F$15:$F$79),"Miscellaneous"))</f>
        <v/>
      </c>
      <c r="I1392" t="str">
        <f>IF(A1392="","",IFERROR(_xlfn.XLOOKUP(D1392,Setup!$E$15:$E$79,Setup!$G$15:$G$79),"Uncategorized"))</f>
        <v/>
      </c>
      <c r="J1392" t="str">
        <f t="shared" si="111"/>
        <v/>
      </c>
      <c r="K1392" s="4" t="str">
        <f t="shared" si="112"/>
        <v/>
      </c>
      <c r="L1392" s="47">
        <f t="shared" si="113"/>
        <v>0</v>
      </c>
      <c r="M1392" s="47">
        <f t="shared" si="114"/>
        <v>0</v>
      </c>
      <c r="N1392" t="str">
        <f>IF(A1392="","",IF(D1392="Category Pending","Needs categorization",IF(COUNTIFS($A$2:A1392,A1392,$B$2:B1392,B1392,$E$2:E1392,E1392)&gt;1,"Possible duplicate","")))</f>
        <v/>
      </c>
    </row>
    <row r="1393" spans="3:14" x14ac:dyDescent="0.3">
      <c r="C1393" s="16"/>
      <c r="G1393" s="5" t="str">
        <f t="shared" si="110"/>
        <v/>
      </c>
      <c r="H1393" t="str">
        <f>IF(A1393="","",IFERROR(_xlfn.XLOOKUP(D1393,Setup!$E$15:$E$79,Setup!$F$15:$F$79),"Miscellaneous"))</f>
        <v/>
      </c>
      <c r="I1393" t="str">
        <f>IF(A1393="","",IFERROR(_xlfn.XLOOKUP(D1393,Setup!$E$15:$E$79,Setup!$G$15:$G$79),"Uncategorized"))</f>
        <v/>
      </c>
      <c r="J1393" t="str">
        <f t="shared" si="111"/>
        <v/>
      </c>
      <c r="K1393" s="4" t="str">
        <f t="shared" si="112"/>
        <v/>
      </c>
      <c r="L1393" s="47">
        <f t="shared" si="113"/>
        <v>0</v>
      </c>
      <c r="M1393" s="47">
        <f t="shared" si="114"/>
        <v>0</v>
      </c>
      <c r="N1393" t="str">
        <f>IF(A1393="","",IF(D1393="Category Pending","Needs categorization",IF(COUNTIFS($A$2:A1393,A1393,$B$2:B1393,B1393,$E$2:E1393,E1393)&gt;1,"Possible duplicate","")))</f>
        <v/>
      </c>
    </row>
    <row r="1394" spans="3:14" x14ac:dyDescent="0.3">
      <c r="C1394" s="16"/>
      <c r="G1394" s="5" t="str">
        <f t="shared" si="110"/>
        <v/>
      </c>
      <c r="H1394" t="str">
        <f>IF(A1394="","",IFERROR(_xlfn.XLOOKUP(D1394,Setup!$E$15:$E$79,Setup!$F$15:$F$79),"Miscellaneous"))</f>
        <v/>
      </c>
      <c r="I1394" t="str">
        <f>IF(A1394="","",IFERROR(_xlfn.XLOOKUP(D1394,Setup!$E$15:$E$79,Setup!$G$15:$G$79),"Uncategorized"))</f>
        <v/>
      </c>
      <c r="J1394" t="str">
        <f t="shared" si="111"/>
        <v/>
      </c>
      <c r="K1394" s="4" t="str">
        <f t="shared" si="112"/>
        <v/>
      </c>
      <c r="L1394" s="47">
        <f t="shared" si="113"/>
        <v>0</v>
      </c>
      <c r="M1394" s="47">
        <f t="shared" si="114"/>
        <v>0</v>
      </c>
      <c r="N1394" t="str">
        <f>IF(A1394="","",IF(D1394="Category Pending","Needs categorization",IF(COUNTIFS($A$2:A1394,A1394,$B$2:B1394,B1394,$E$2:E1394,E1394)&gt;1,"Possible duplicate","")))</f>
        <v/>
      </c>
    </row>
    <row r="1395" spans="3:14" x14ac:dyDescent="0.3">
      <c r="C1395" s="16"/>
      <c r="G1395" s="5" t="str">
        <f t="shared" si="110"/>
        <v/>
      </c>
      <c r="H1395" t="str">
        <f>IF(A1395="","",IFERROR(_xlfn.XLOOKUP(D1395,Setup!$E$15:$E$79,Setup!$F$15:$F$79),"Miscellaneous"))</f>
        <v/>
      </c>
      <c r="I1395" t="str">
        <f>IF(A1395="","",IFERROR(_xlfn.XLOOKUP(D1395,Setup!$E$15:$E$79,Setup!$G$15:$G$79),"Uncategorized"))</f>
        <v/>
      </c>
      <c r="J1395" t="str">
        <f t="shared" si="111"/>
        <v/>
      </c>
      <c r="K1395" s="4" t="str">
        <f t="shared" si="112"/>
        <v/>
      </c>
      <c r="L1395" s="47">
        <f t="shared" si="113"/>
        <v>0</v>
      </c>
      <c r="M1395" s="47">
        <f t="shared" si="114"/>
        <v>0</v>
      </c>
      <c r="N1395" t="str">
        <f>IF(A1395="","",IF(D1395="Category Pending","Needs categorization",IF(COUNTIFS($A$2:A1395,A1395,$B$2:B1395,B1395,$E$2:E1395,E1395)&gt;1,"Possible duplicate","")))</f>
        <v/>
      </c>
    </row>
    <row r="1396" spans="3:14" x14ac:dyDescent="0.3">
      <c r="C1396" s="16"/>
      <c r="G1396" s="5" t="str">
        <f t="shared" si="110"/>
        <v/>
      </c>
      <c r="H1396" t="str">
        <f>IF(A1396="","",IFERROR(_xlfn.XLOOKUP(D1396,Setup!$E$15:$E$79,Setup!$F$15:$F$79),"Miscellaneous"))</f>
        <v/>
      </c>
      <c r="I1396" t="str">
        <f>IF(A1396="","",IFERROR(_xlfn.XLOOKUP(D1396,Setup!$E$15:$E$79,Setup!$G$15:$G$79),"Uncategorized"))</f>
        <v/>
      </c>
      <c r="J1396" t="str">
        <f t="shared" si="111"/>
        <v/>
      </c>
      <c r="K1396" s="4" t="str">
        <f t="shared" si="112"/>
        <v/>
      </c>
      <c r="L1396" s="47">
        <f t="shared" si="113"/>
        <v>0</v>
      </c>
      <c r="M1396" s="47">
        <f t="shared" si="114"/>
        <v>0</v>
      </c>
      <c r="N1396" t="str">
        <f>IF(A1396="","",IF(D1396="Category Pending","Needs categorization",IF(COUNTIFS($A$2:A1396,A1396,$B$2:B1396,B1396,$E$2:E1396,E1396)&gt;1,"Possible duplicate","")))</f>
        <v/>
      </c>
    </row>
    <row r="1397" spans="3:14" x14ac:dyDescent="0.3">
      <c r="C1397" s="16"/>
      <c r="G1397" s="5" t="str">
        <f t="shared" si="110"/>
        <v/>
      </c>
      <c r="H1397" t="str">
        <f>IF(A1397="","",IFERROR(_xlfn.XLOOKUP(D1397,Setup!$E$15:$E$79,Setup!$F$15:$F$79),"Miscellaneous"))</f>
        <v/>
      </c>
      <c r="I1397" t="str">
        <f>IF(A1397="","",IFERROR(_xlfn.XLOOKUP(D1397,Setup!$E$15:$E$79,Setup!$G$15:$G$79),"Uncategorized"))</f>
        <v/>
      </c>
      <c r="J1397" t="str">
        <f t="shared" si="111"/>
        <v/>
      </c>
      <c r="K1397" s="4" t="str">
        <f t="shared" si="112"/>
        <v/>
      </c>
      <c r="L1397" s="47">
        <f t="shared" si="113"/>
        <v>0</v>
      </c>
      <c r="M1397" s="47">
        <f t="shared" si="114"/>
        <v>0</v>
      </c>
      <c r="N1397" t="str">
        <f>IF(A1397="","",IF(D1397="Category Pending","Needs categorization",IF(COUNTIFS($A$2:A1397,A1397,$B$2:B1397,B1397,$E$2:E1397,E1397)&gt;1,"Possible duplicate","")))</f>
        <v/>
      </c>
    </row>
    <row r="1398" spans="3:14" x14ac:dyDescent="0.3">
      <c r="C1398" s="16"/>
      <c r="G1398" s="5" t="str">
        <f t="shared" si="110"/>
        <v/>
      </c>
      <c r="H1398" t="str">
        <f>IF(A1398="","",IFERROR(_xlfn.XLOOKUP(D1398,Setup!$E$15:$E$79,Setup!$F$15:$F$79),"Miscellaneous"))</f>
        <v/>
      </c>
      <c r="I1398" t="str">
        <f>IF(A1398="","",IFERROR(_xlfn.XLOOKUP(D1398,Setup!$E$15:$E$79,Setup!$G$15:$G$79),"Uncategorized"))</f>
        <v/>
      </c>
      <c r="J1398" t="str">
        <f t="shared" si="111"/>
        <v/>
      </c>
      <c r="K1398" s="4" t="str">
        <f t="shared" si="112"/>
        <v/>
      </c>
      <c r="L1398" s="47">
        <f t="shared" si="113"/>
        <v>0</v>
      </c>
      <c r="M1398" s="47">
        <f t="shared" si="114"/>
        <v>0</v>
      </c>
      <c r="N1398" t="str">
        <f>IF(A1398="","",IF(D1398="Category Pending","Needs categorization",IF(COUNTIFS($A$2:A1398,A1398,$B$2:B1398,B1398,$E$2:E1398,E1398)&gt;1,"Possible duplicate","")))</f>
        <v/>
      </c>
    </row>
    <row r="1399" spans="3:14" x14ac:dyDescent="0.3">
      <c r="C1399" s="16"/>
      <c r="G1399" s="5" t="str">
        <f t="shared" si="110"/>
        <v/>
      </c>
      <c r="H1399" t="str">
        <f>IF(A1399="","",IFERROR(_xlfn.XLOOKUP(D1399,Setup!$E$15:$E$79,Setup!$F$15:$F$79),"Miscellaneous"))</f>
        <v/>
      </c>
      <c r="I1399" t="str">
        <f>IF(A1399="","",IFERROR(_xlfn.XLOOKUP(D1399,Setup!$E$15:$E$79,Setup!$G$15:$G$79),"Uncategorized"))</f>
        <v/>
      </c>
      <c r="J1399" t="str">
        <f t="shared" si="111"/>
        <v/>
      </c>
      <c r="K1399" s="4" t="str">
        <f t="shared" si="112"/>
        <v/>
      </c>
      <c r="L1399" s="47">
        <f t="shared" si="113"/>
        <v>0</v>
      </c>
      <c r="M1399" s="47">
        <f t="shared" si="114"/>
        <v>0</v>
      </c>
      <c r="N1399" t="str">
        <f>IF(A1399="","",IF(D1399="Category Pending","Needs categorization",IF(COUNTIFS($A$2:A1399,A1399,$B$2:B1399,B1399,$E$2:E1399,E1399)&gt;1,"Possible duplicate","")))</f>
        <v/>
      </c>
    </row>
    <row r="1400" spans="3:14" x14ac:dyDescent="0.3">
      <c r="C1400" s="16"/>
      <c r="G1400" s="5" t="str">
        <f t="shared" si="110"/>
        <v/>
      </c>
      <c r="H1400" t="str">
        <f>IF(A1400="","",IFERROR(_xlfn.XLOOKUP(D1400,Setup!$E$15:$E$79,Setup!$F$15:$F$79),"Miscellaneous"))</f>
        <v/>
      </c>
      <c r="I1400" t="str">
        <f>IF(A1400="","",IFERROR(_xlfn.XLOOKUP(D1400,Setup!$E$15:$E$79,Setup!$G$15:$G$79),"Uncategorized"))</f>
        <v/>
      </c>
      <c r="J1400" t="str">
        <f t="shared" si="111"/>
        <v/>
      </c>
      <c r="K1400" s="4" t="str">
        <f t="shared" si="112"/>
        <v/>
      </c>
      <c r="L1400" s="47">
        <f t="shared" si="113"/>
        <v>0</v>
      </c>
      <c r="M1400" s="47">
        <f t="shared" si="114"/>
        <v>0</v>
      </c>
      <c r="N1400" t="str">
        <f>IF(A1400="","",IF(D1400="Category Pending","Needs categorization",IF(COUNTIFS($A$2:A1400,A1400,$B$2:B1400,B1400,$E$2:E1400,E1400)&gt;1,"Possible duplicate","")))</f>
        <v/>
      </c>
    </row>
    <row r="1401" spans="3:14" x14ac:dyDescent="0.3">
      <c r="C1401" s="16"/>
      <c r="G1401" s="5" t="str">
        <f t="shared" si="110"/>
        <v/>
      </c>
      <c r="H1401" t="str">
        <f>IF(A1401="","",IFERROR(_xlfn.XLOOKUP(D1401,Setup!$E$15:$E$79,Setup!$F$15:$F$79),"Miscellaneous"))</f>
        <v/>
      </c>
      <c r="I1401" t="str">
        <f>IF(A1401="","",IFERROR(_xlfn.XLOOKUP(D1401,Setup!$E$15:$E$79,Setup!$G$15:$G$79),"Uncategorized"))</f>
        <v/>
      </c>
      <c r="J1401" t="str">
        <f t="shared" si="111"/>
        <v/>
      </c>
      <c r="K1401" s="4" t="str">
        <f t="shared" si="112"/>
        <v/>
      </c>
      <c r="L1401" s="47">
        <f t="shared" si="113"/>
        <v>0</v>
      </c>
      <c r="M1401" s="47">
        <f t="shared" si="114"/>
        <v>0</v>
      </c>
      <c r="N1401" t="str">
        <f>IF(A1401="","",IF(D1401="Category Pending","Needs categorization",IF(COUNTIFS($A$2:A1401,A1401,$B$2:B1401,B1401,$E$2:E1401,E1401)&gt;1,"Possible duplicate","")))</f>
        <v/>
      </c>
    </row>
    <row r="1402" spans="3:14" x14ac:dyDescent="0.3">
      <c r="C1402" s="16"/>
      <c r="G1402" s="5" t="str">
        <f t="shared" si="110"/>
        <v/>
      </c>
      <c r="H1402" t="str">
        <f>IF(A1402="","",IFERROR(_xlfn.XLOOKUP(D1402,Setup!$E$15:$E$79,Setup!$F$15:$F$79),"Miscellaneous"))</f>
        <v/>
      </c>
      <c r="I1402" t="str">
        <f>IF(A1402="","",IFERROR(_xlfn.XLOOKUP(D1402,Setup!$E$15:$E$79,Setup!$G$15:$G$79),"Uncategorized"))</f>
        <v/>
      </c>
      <c r="J1402" t="str">
        <f t="shared" si="111"/>
        <v/>
      </c>
      <c r="K1402" s="4" t="str">
        <f t="shared" si="112"/>
        <v/>
      </c>
      <c r="L1402" s="47">
        <f t="shared" si="113"/>
        <v>0</v>
      </c>
      <c r="M1402" s="47">
        <f t="shared" si="114"/>
        <v>0</v>
      </c>
      <c r="N1402" t="str">
        <f>IF(A1402="","",IF(D1402="Category Pending","Needs categorization",IF(COUNTIFS($A$2:A1402,A1402,$B$2:B1402,B1402,$E$2:E1402,E1402)&gt;1,"Possible duplicate","")))</f>
        <v/>
      </c>
    </row>
    <row r="1403" spans="3:14" x14ac:dyDescent="0.3">
      <c r="C1403" s="16"/>
      <c r="G1403" s="5" t="str">
        <f t="shared" si="110"/>
        <v/>
      </c>
      <c r="H1403" t="str">
        <f>IF(A1403="","",IFERROR(_xlfn.XLOOKUP(D1403,Setup!$E$15:$E$79,Setup!$F$15:$F$79),"Miscellaneous"))</f>
        <v/>
      </c>
      <c r="I1403" t="str">
        <f>IF(A1403="","",IFERROR(_xlfn.XLOOKUP(D1403,Setup!$E$15:$E$79,Setup!$G$15:$G$79),"Uncategorized"))</f>
        <v/>
      </c>
      <c r="J1403" t="str">
        <f t="shared" si="111"/>
        <v/>
      </c>
      <c r="K1403" s="4" t="str">
        <f t="shared" si="112"/>
        <v/>
      </c>
      <c r="L1403" s="47">
        <f t="shared" si="113"/>
        <v>0</v>
      </c>
      <c r="M1403" s="47">
        <f t="shared" si="114"/>
        <v>0</v>
      </c>
      <c r="N1403" t="str">
        <f>IF(A1403="","",IF(D1403="Category Pending","Needs categorization",IF(COUNTIFS($A$2:A1403,A1403,$B$2:B1403,B1403,$E$2:E1403,E1403)&gt;1,"Possible duplicate","")))</f>
        <v/>
      </c>
    </row>
    <row r="1404" spans="3:14" x14ac:dyDescent="0.3">
      <c r="C1404" s="16"/>
      <c r="G1404" s="5" t="str">
        <f t="shared" si="110"/>
        <v/>
      </c>
      <c r="H1404" t="str">
        <f>IF(A1404="","",IFERROR(_xlfn.XLOOKUP(D1404,Setup!$E$15:$E$79,Setup!$F$15:$F$79),"Miscellaneous"))</f>
        <v/>
      </c>
      <c r="I1404" t="str">
        <f>IF(A1404="","",IFERROR(_xlfn.XLOOKUP(D1404,Setup!$E$15:$E$79,Setup!$G$15:$G$79),"Uncategorized"))</f>
        <v/>
      </c>
      <c r="J1404" t="str">
        <f t="shared" si="111"/>
        <v/>
      </c>
      <c r="K1404" s="4" t="str">
        <f t="shared" si="112"/>
        <v/>
      </c>
      <c r="L1404" s="47">
        <f t="shared" si="113"/>
        <v>0</v>
      </c>
      <c r="M1404" s="47">
        <f t="shared" si="114"/>
        <v>0</v>
      </c>
      <c r="N1404" t="str">
        <f>IF(A1404="","",IF(D1404="Category Pending","Needs categorization",IF(COUNTIFS($A$2:A1404,A1404,$B$2:B1404,B1404,$E$2:E1404,E1404)&gt;1,"Possible duplicate","")))</f>
        <v/>
      </c>
    </row>
    <row r="1405" spans="3:14" x14ac:dyDescent="0.3">
      <c r="C1405" s="16"/>
      <c r="G1405" s="5" t="str">
        <f t="shared" si="110"/>
        <v/>
      </c>
      <c r="H1405" t="str">
        <f>IF(A1405="","",IFERROR(_xlfn.XLOOKUP(D1405,Setup!$E$15:$E$79,Setup!$F$15:$F$79),"Miscellaneous"))</f>
        <v/>
      </c>
      <c r="I1405" t="str">
        <f>IF(A1405="","",IFERROR(_xlfn.XLOOKUP(D1405,Setup!$E$15:$E$79,Setup!$G$15:$G$79),"Uncategorized"))</f>
        <v/>
      </c>
      <c r="J1405" t="str">
        <f t="shared" si="111"/>
        <v/>
      </c>
      <c r="K1405" s="4" t="str">
        <f t="shared" si="112"/>
        <v/>
      </c>
      <c r="L1405" s="47">
        <f t="shared" si="113"/>
        <v>0</v>
      </c>
      <c r="M1405" s="47">
        <f t="shared" si="114"/>
        <v>0</v>
      </c>
      <c r="N1405" t="str">
        <f>IF(A1405="","",IF(D1405="Category Pending","Needs categorization",IF(COUNTIFS($A$2:A1405,A1405,$B$2:B1405,B1405,$E$2:E1405,E1405)&gt;1,"Possible duplicate","")))</f>
        <v/>
      </c>
    </row>
    <row r="1406" spans="3:14" x14ac:dyDescent="0.3">
      <c r="C1406" s="16"/>
      <c r="G1406" s="5" t="str">
        <f t="shared" si="110"/>
        <v/>
      </c>
      <c r="H1406" t="str">
        <f>IF(A1406="","",IFERROR(_xlfn.XLOOKUP(D1406,Setup!$E$15:$E$79,Setup!$F$15:$F$79),"Miscellaneous"))</f>
        <v/>
      </c>
      <c r="I1406" t="str">
        <f>IF(A1406="","",IFERROR(_xlfn.XLOOKUP(D1406,Setup!$E$15:$E$79,Setup!$G$15:$G$79),"Uncategorized"))</f>
        <v/>
      </c>
      <c r="J1406" t="str">
        <f t="shared" si="111"/>
        <v/>
      </c>
      <c r="K1406" s="4" t="str">
        <f t="shared" si="112"/>
        <v/>
      </c>
      <c r="L1406" s="47">
        <f t="shared" si="113"/>
        <v>0</v>
      </c>
      <c r="M1406" s="47">
        <f t="shared" si="114"/>
        <v>0</v>
      </c>
      <c r="N1406" t="str">
        <f>IF(A1406="","",IF(D1406="Category Pending","Needs categorization",IF(COUNTIFS($A$2:A1406,A1406,$B$2:B1406,B1406,$E$2:E1406,E1406)&gt;1,"Possible duplicate","")))</f>
        <v/>
      </c>
    </row>
    <row r="1407" spans="3:14" x14ac:dyDescent="0.3">
      <c r="C1407" s="16"/>
      <c r="G1407" s="5" t="str">
        <f t="shared" si="110"/>
        <v/>
      </c>
      <c r="H1407" t="str">
        <f>IF(A1407="","",IFERROR(_xlfn.XLOOKUP(D1407,Setup!$E$15:$E$79,Setup!$F$15:$F$79),"Miscellaneous"))</f>
        <v/>
      </c>
      <c r="I1407" t="str">
        <f>IF(A1407="","",IFERROR(_xlfn.XLOOKUP(D1407,Setup!$E$15:$E$79,Setup!$G$15:$G$79),"Uncategorized"))</f>
        <v/>
      </c>
      <c r="J1407" t="str">
        <f t="shared" si="111"/>
        <v/>
      </c>
      <c r="K1407" s="4" t="str">
        <f t="shared" si="112"/>
        <v/>
      </c>
      <c r="L1407" s="47">
        <f t="shared" si="113"/>
        <v>0</v>
      </c>
      <c r="M1407" s="47">
        <f t="shared" si="114"/>
        <v>0</v>
      </c>
      <c r="N1407" t="str">
        <f>IF(A1407="","",IF(D1407="Category Pending","Needs categorization",IF(COUNTIFS($A$2:A1407,A1407,$B$2:B1407,B1407,$E$2:E1407,E1407)&gt;1,"Possible duplicate","")))</f>
        <v/>
      </c>
    </row>
    <row r="1408" spans="3:14" x14ac:dyDescent="0.3">
      <c r="C1408" s="16"/>
      <c r="G1408" s="5" t="str">
        <f t="shared" si="110"/>
        <v/>
      </c>
      <c r="H1408" t="str">
        <f>IF(A1408="","",IFERROR(_xlfn.XLOOKUP(D1408,Setup!$E$15:$E$79,Setup!$F$15:$F$79),"Miscellaneous"))</f>
        <v/>
      </c>
      <c r="I1408" t="str">
        <f>IF(A1408="","",IFERROR(_xlfn.XLOOKUP(D1408,Setup!$E$15:$E$79,Setup!$G$15:$G$79),"Uncategorized"))</f>
        <v/>
      </c>
      <c r="J1408" t="str">
        <f t="shared" si="111"/>
        <v/>
      </c>
      <c r="K1408" s="4" t="str">
        <f t="shared" si="112"/>
        <v/>
      </c>
      <c r="L1408" s="47">
        <f t="shared" si="113"/>
        <v>0</v>
      </c>
      <c r="M1408" s="47">
        <f t="shared" si="114"/>
        <v>0</v>
      </c>
      <c r="N1408" t="str">
        <f>IF(A1408="","",IF(D1408="Category Pending","Needs categorization",IF(COUNTIFS($A$2:A1408,A1408,$B$2:B1408,B1408,$E$2:E1408,E1408)&gt;1,"Possible duplicate","")))</f>
        <v/>
      </c>
    </row>
    <row r="1409" spans="3:14" x14ac:dyDescent="0.3">
      <c r="C1409" s="16"/>
      <c r="G1409" s="5" t="str">
        <f t="shared" si="110"/>
        <v/>
      </c>
      <c r="H1409" t="str">
        <f>IF(A1409="","",IFERROR(_xlfn.XLOOKUP(D1409,Setup!$E$15:$E$79,Setup!$F$15:$F$79),"Miscellaneous"))</f>
        <v/>
      </c>
      <c r="I1409" t="str">
        <f>IF(A1409="","",IFERROR(_xlfn.XLOOKUP(D1409,Setup!$E$15:$E$79,Setup!$G$15:$G$79),"Uncategorized"))</f>
        <v/>
      </c>
      <c r="J1409" t="str">
        <f t="shared" si="111"/>
        <v/>
      </c>
      <c r="K1409" s="4" t="str">
        <f t="shared" si="112"/>
        <v/>
      </c>
      <c r="L1409" s="47">
        <f t="shared" si="113"/>
        <v>0</v>
      </c>
      <c r="M1409" s="47">
        <f t="shared" si="114"/>
        <v>0</v>
      </c>
      <c r="N1409" t="str">
        <f>IF(A1409="","",IF(D1409="Category Pending","Needs categorization",IF(COUNTIFS($A$2:A1409,A1409,$B$2:B1409,B1409,$E$2:E1409,E1409)&gt;1,"Possible duplicate","")))</f>
        <v/>
      </c>
    </row>
    <row r="1410" spans="3:14" x14ac:dyDescent="0.3">
      <c r="C1410" s="16"/>
      <c r="G1410" s="5" t="str">
        <f t="shared" si="110"/>
        <v/>
      </c>
      <c r="H1410" t="str">
        <f>IF(A1410="","",IFERROR(_xlfn.XLOOKUP(D1410,Setup!$E$15:$E$79,Setup!$F$15:$F$79),"Miscellaneous"))</f>
        <v/>
      </c>
      <c r="I1410" t="str">
        <f>IF(A1410="","",IFERROR(_xlfn.XLOOKUP(D1410,Setup!$E$15:$E$79,Setup!$G$15:$G$79),"Uncategorized"))</f>
        <v/>
      </c>
      <c r="J1410" t="str">
        <f t="shared" si="111"/>
        <v/>
      </c>
      <c r="K1410" s="4" t="str">
        <f t="shared" si="112"/>
        <v/>
      </c>
      <c r="L1410" s="47">
        <f t="shared" si="113"/>
        <v>0</v>
      </c>
      <c r="M1410" s="47">
        <f t="shared" si="114"/>
        <v>0</v>
      </c>
      <c r="N1410" t="str">
        <f>IF(A1410="","",IF(D1410="Category Pending","Needs categorization",IF(COUNTIFS($A$2:A1410,A1410,$B$2:B1410,B1410,$E$2:E1410,E1410)&gt;1,"Possible duplicate","")))</f>
        <v/>
      </c>
    </row>
    <row r="1411" spans="3:14" x14ac:dyDescent="0.3">
      <c r="C1411" s="16"/>
      <c r="G1411" s="5" t="str">
        <f t="shared" si="110"/>
        <v/>
      </c>
      <c r="H1411" t="str">
        <f>IF(A1411="","",IFERROR(_xlfn.XLOOKUP(D1411,Setup!$E$15:$E$79,Setup!$F$15:$F$79),"Miscellaneous"))</f>
        <v/>
      </c>
      <c r="I1411" t="str">
        <f>IF(A1411="","",IFERROR(_xlfn.XLOOKUP(D1411,Setup!$E$15:$E$79,Setup!$G$15:$G$79),"Uncategorized"))</f>
        <v/>
      </c>
      <c r="J1411" t="str">
        <f t="shared" si="111"/>
        <v/>
      </c>
      <c r="K1411" s="4" t="str">
        <f t="shared" si="112"/>
        <v/>
      </c>
      <c r="L1411" s="47">
        <f t="shared" si="113"/>
        <v>0</v>
      </c>
      <c r="M1411" s="47">
        <f t="shared" si="114"/>
        <v>0</v>
      </c>
      <c r="N1411" t="str">
        <f>IF(A1411="","",IF(D1411="Category Pending","Needs categorization",IF(COUNTIFS($A$2:A1411,A1411,$B$2:B1411,B1411,$E$2:E1411,E1411)&gt;1,"Possible duplicate","")))</f>
        <v/>
      </c>
    </row>
    <row r="1412" spans="3:14" x14ac:dyDescent="0.3">
      <c r="C1412" s="16"/>
      <c r="G1412" s="5" t="str">
        <f t="shared" si="110"/>
        <v/>
      </c>
      <c r="H1412" t="str">
        <f>IF(A1412="","",IFERROR(_xlfn.XLOOKUP(D1412,Setup!$E$15:$E$79,Setup!$F$15:$F$79),"Miscellaneous"))</f>
        <v/>
      </c>
      <c r="I1412" t="str">
        <f>IF(A1412="","",IFERROR(_xlfn.XLOOKUP(D1412,Setup!$E$15:$E$79,Setup!$G$15:$G$79),"Uncategorized"))</f>
        <v/>
      </c>
      <c r="J1412" t="str">
        <f t="shared" si="111"/>
        <v/>
      </c>
      <c r="K1412" s="4" t="str">
        <f t="shared" si="112"/>
        <v/>
      </c>
      <c r="L1412" s="47">
        <f t="shared" si="113"/>
        <v>0</v>
      </c>
      <c r="M1412" s="47">
        <f t="shared" si="114"/>
        <v>0</v>
      </c>
      <c r="N1412" t="str">
        <f>IF(A1412="","",IF(D1412="Category Pending","Needs categorization",IF(COUNTIFS($A$2:A1412,A1412,$B$2:B1412,B1412,$E$2:E1412,E1412)&gt;1,"Possible duplicate","")))</f>
        <v/>
      </c>
    </row>
    <row r="1413" spans="3:14" x14ac:dyDescent="0.3">
      <c r="C1413" s="16"/>
      <c r="G1413" s="5" t="str">
        <f t="shared" si="110"/>
        <v/>
      </c>
      <c r="H1413" t="str">
        <f>IF(A1413="","",IFERROR(_xlfn.XLOOKUP(D1413,Setup!$E$15:$E$79,Setup!$F$15:$F$79),"Miscellaneous"))</f>
        <v/>
      </c>
      <c r="I1413" t="str">
        <f>IF(A1413="","",IFERROR(_xlfn.XLOOKUP(D1413,Setup!$E$15:$E$79,Setup!$G$15:$G$79),"Uncategorized"))</f>
        <v/>
      </c>
      <c r="J1413" t="str">
        <f t="shared" si="111"/>
        <v/>
      </c>
      <c r="K1413" s="4" t="str">
        <f t="shared" si="112"/>
        <v/>
      </c>
      <c r="L1413" s="47">
        <f t="shared" si="113"/>
        <v>0</v>
      </c>
      <c r="M1413" s="47">
        <f t="shared" si="114"/>
        <v>0</v>
      </c>
      <c r="N1413" t="str">
        <f>IF(A1413="","",IF(D1413="Category Pending","Needs categorization",IF(COUNTIFS($A$2:A1413,A1413,$B$2:B1413,B1413,$E$2:E1413,E1413)&gt;1,"Possible duplicate","")))</f>
        <v/>
      </c>
    </row>
    <row r="1414" spans="3:14" x14ac:dyDescent="0.3">
      <c r="C1414" s="16"/>
      <c r="G1414" s="5" t="str">
        <f t="shared" si="110"/>
        <v/>
      </c>
      <c r="H1414" t="str">
        <f>IF(A1414="","",IFERROR(_xlfn.XLOOKUP(D1414,Setup!$E$15:$E$79,Setup!$F$15:$F$79),"Miscellaneous"))</f>
        <v/>
      </c>
      <c r="I1414" t="str">
        <f>IF(A1414="","",IFERROR(_xlfn.XLOOKUP(D1414,Setup!$E$15:$E$79,Setup!$G$15:$G$79),"Uncategorized"))</f>
        <v/>
      </c>
      <c r="J1414" t="str">
        <f t="shared" si="111"/>
        <v/>
      </c>
      <c r="K1414" s="4" t="str">
        <f t="shared" si="112"/>
        <v/>
      </c>
      <c r="L1414" s="47">
        <f t="shared" si="113"/>
        <v>0</v>
      </c>
      <c r="M1414" s="47">
        <f t="shared" si="114"/>
        <v>0</v>
      </c>
      <c r="N1414" t="str">
        <f>IF(A1414="","",IF(D1414="Category Pending","Needs categorization",IF(COUNTIFS($A$2:A1414,A1414,$B$2:B1414,B1414,$E$2:E1414,E1414)&gt;1,"Possible duplicate","")))</f>
        <v/>
      </c>
    </row>
    <row r="1415" spans="3:14" x14ac:dyDescent="0.3">
      <c r="C1415" s="16"/>
      <c r="G1415" s="5" t="str">
        <f t="shared" si="110"/>
        <v/>
      </c>
      <c r="H1415" t="str">
        <f>IF(A1415="","",IFERROR(_xlfn.XLOOKUP(D1415,Setup!$E$15:$E$79,Setup!$F$15:$F$79),"Miscellaneous"))</f>
        <v/>
      </c>
      <c r="I1415" t="str">
        <f>IF(A1415="","",IFERROR(_xlfn.XLOOKUP(D1415,Setup!$E$15:$E$79,Setup!$G$15:$G$79),"Uncategorized"))</f>
        <v/>
      </c>
      <c r="J1415" t="str">
        <f t="shared" si="111"/>
        <v/>
      </c>
      <c r="K1415" s="4" t="str">
        <f t="shared" si="112"/>
        <v/>
      </c>
      <c r="L1415" s="47">
        <f t="shared" si="113"/>
        <v>0</v>
      </c>
      <c r="M1415" s="47">
        <f t="shared" si="114"/>
        <v>0</v>
      </c>
      <c r="N1415" t="str">
        <f>IF(A1415="","",IF(D1415="Category Pending","Needs categorization",IF(COUNTIFS($A$2:A1415,A1415,$B$2:B1415,B1415,$E$2:E1415,E1415)&gt;1,"Possible duplicate","")))</f>
        <v/>
      </c>
    </row>
    <row r="1416" spans="3:14" x14ac:dyDescent="0.3">
      <c r="C1416" s="16"/>
      <c r="G1416" s="5" t="str">
        <f t="shared" si="110"/>
        <v/>
      </c>
      <c r="H1416" t="str">
        <f>IF(A1416="","",IFERROR(_xlfn.XLOOKUP(D1416,Setup!$E$15:$E$79,Setup!$F$15:$F$79),"Miscellaneous"))</f>
        <v/>
      </c>
      <c r="I1416" t="str">
        <f>IF(A1416="","",IFERROR(_xlfn.XLOOKUP(D1416,Setup!$E$15:$E$79,Setup!$G$15:$G$79),"Uncategorized"))</f>
        <v/>
      </c>
      <c r="J1416" t="str">
        <f t="shared" si="111"/>
        <v/>
      </c>
      <c r="K1416" s="4" t="str">
        <f t="shared" si="112"/>
        <v/>
      </c>
      <c r="L1416" s="47">
        <f t="shared" si="113"/>
        <v>0</v>
      </c>
      <c r="M1416" s="47">
        <f t="shared" si="114"/>
        <v>0</v>
      </c>
      <c r="N1416" t="str">
        <f>IF(A1416="","",IF(D1416="Category Pending","Needs categorization",IF(COUNTIFS($A$2:A1416,A1416,$B$2:B1416,B1416,$E$2:E1416,E1416)&gt;1,"Possible duplicate","")))</f>
        <v/>
      </c>
    </row>
    <row r="1417" spans="3:14" x14ac:dyDescent="0.3">
      <c r="C1417" s="16"/>
      <c r="G1417" s="5" t="str">
        <f t="shared" si="110"/>
        <v/>
      </c>
      <c r="H1417" t="str">
        <f>IF(A1417="","",IFERROR(_xlfn.XLOOKUP(D1417,Setup!$E$15:$E$79,Setup!$F$15:$F$79),"Miscellaneous"))</f>
        <v/>
      </c>
      <c r="I1417" t="str">
        <f>IF(A1417="","",IFERROR(_xlfn.XLOOKUP(D1417,Setup!$E$15:$E$79,Setup!$G$15:$G$79),"Uncategorized"))</f>
        <v/>
      </c>
      <c r="J1417" t="str">
        <f t="shared" si="111"/>
        <v/>
      </c>
      <c r="K1417" s="4" t="str">
        <f t="shared" si="112"/>
        <v/>
      </c>
      <c r="L1417" s="47">
        <f t="shared" si="113"/>
        <v>0</v>
      </c>
      <c r="M1417" s="47">
        <f t="shared" si="114"/>
        <v>0</v>
      </c>
      <c r="N1417" t="str">
        <f>IF(A1417="","",IF(D1417="Category Pending","Needs categorization",IF(COUNTIFS($A$2:A1417,A1417,$B$2:B1417,B1417,$E$2:E1417,E1417)&gt;1,"Possible duplicate","")))</f>
        <v/>
      </c>
    </row>
    <row r="1418" spans="3:14" x14ac:dyDescent="0.3">
      <c r="C1418" s="16"/>
      <c r="G1418" s="5" t="str">
        <f t="shared" si="110"/>
        <v/>
      </c>
      <c r="H1418" t="str">
        <f>IF(A1418="","",IFERROR(_xlfn.XLOOKUP(D1418,Setup!$E$15:$E$79,Setup!$F$15:$F$79),"Miscellaneous"))</f>
        <v/>
      </c>
      <c r="I1418" t="str">
        <f>IF(A1418="","",IFERROR(_xlfn.XLOOKUP(D1418,Setup!$E$15:$E$79,Setup!$G$15:$G$79),"Uncategorized"))</f>
        <v/>
      </c>
      <c r="J1418" t="str">
        <f t="shared" si="111"/>
        <v/>
      </c>
      <c r="K1418" s="4" t="str">
        <f t="shared" si="112"/>
        <v/>
      </c>
      <c r="L1418" s="47">
        <f t="shared" si="113"/>
        <v>0</v>
      </c>
      <c r="M1418" s="47">
        <f t="shared" si="114"/>
        <v>0</v>
      </c>
      <c r="N1418" t="str">
        <f>IF(A1418="","",IF(D1418="Category Pending","Needs categorization",IF(COUNTIFS($A$2:A1418,A1418,$B$2:B1418,B1418,$E$2:E1418,E1418)&gt;1,"Possible duplicate","")))</f>
        <v/>
      </c>
    </row>
    <row r="1419" spans="3:14" x14ac:dyDescent="0.3">
      <c r="C1419" s="16"/>
      <c r="G1419" s="5" t="str">
        <f t="shared" si="110"/>
        <v/>
      </c>
      <c r="H1419" t="str">
        <f>IF(A1419="","",IFERROR(_xlfn.XLOOKUP(D1419,Setup!$E$15:$E$79,Setup!$F$15:$F$79),"Miscellaneous"))</f>
        <v/>
      </c>
      <c r="I1419" t="str">
        <f>IF(A1419="","",IFERROR(_xlfn.XLOOKUP(D1419,Setup!$E$15:$E$79,Setup!$G$15:$G$79),"Uncategorized"))</f>
        <v/>
      </c>
      <c r="J1419" t="str">
        <f t="shared" si="111"/>
        <v/>
      </c>
      <c r="K1419" s="4" t="str">
        <f t="shared" si="112"/>
        <v/>
      </c>
      <c r="L1419" s="47">
        <f t="shared" si="113"/>
        <v>0</v>
      </c>
      <c r="M1419" s="47">
        <f t="shared" si="114"/>
        <v>0</v>
      </c>
      <c r="N1419" t="str">
        <f>IF(A1419="","",IF(D1419="Category Pending","Needs categorization",IF(COUNTIFS($A$2:A1419,A1419,$B$2:B1419,B1419,$E$2:E1419,E1419)&gt;1,"Possible duplicate","")))</f>
        <v/>
      </c>
    </row>
    <row r="1420" spans="3:14" x14ac:dyDescent="0.3">
      <c r="C1420" s="16"/>
      <c r="G1420" s="5" t="str">
        <f t="shared" si="110"/>
        <v/>
      </c>
      <c r="H1420" t="str">
        <f>IF(A1420="","",IFERROR(_xlfn.XLOOKUP(D1420,Setup!$E$15:$E$79,Setup!$F$15:$F$79),"Miscellaneous"))</f>
        <v/>
      </c>
      <c r="I1420" t="str">
        <f>IF(A1420="","",IFERROR(_xlfn.XLOOKUP(D1420,Setup!$E$15:$E$79,Setup!$G$15:$G$79),"Uncategorized"))</f>
        <v/>
      </c>
      <c r="J1420" t="str">
        <f t="shared" si="111"/>
        <v/>
      </c>
      <c r="K1420" s="4" t="str">
        <f t="shared" si="112"/>
        <v/>
      </c>
      <c r="L1420" s="47">
        <f t="shared" si="113"/>
        <v>0</v>
      </c>
      <c r="M1420" s="47">
        <f t="shared" si="114"/>
        <v>0</v>
      </c>
      <c r="N1420" t="str">
        <f>IF(A1420="","",IF(D1420="Category Pending","Needs categorization",IF(COUNTIFS($A$2:A1420,A1420,$B$2:B1420,B1420,$E$2:E1420,E1420)&gt;1,"Possible duplicate","")))</f>
        <v/>
      </c>
    </row>
    <row r="1421" spans="3:14" x14ac:dyDescent="0.3">
      <c r="C1421" s="16"/>
      <c r="G1421" s="5" t="str">
        <f t="shared" si="110"/>
        <v/>
      </c>
      <c r="H1421" t="str">
        <f>IF(A1421="","",IFERROR(_xlfn.XLOOKUP(D1421,Setup!$E$15:$E$79,Setup!$F$15:$F$79),"Miscellaneous"))</f>
        <v/>
      </c>
      <c r="I1421" t="str">
        <f>IF(A1421="","",IFERROR(_xlfn.XLOOKUP(D1421,Setup!$E$15:$E$79,Setup!$G$15:$G$79),"Uncategorized"))</f>
        <v/>
      </c>
      <c r="J1421" t="str">
        <f t="shared" si="111"/>
        <v/>
      </c>
      <c r="K1421" s="4" t="str">
        <f t="shared" si="112"/>
        <v/>
      </c>
      <c r="L1421" s="47">
        <f t="shared" si="113"/>
        <v>0</v>
      </c>
      <c r="M1421" s="47">
        <f t="shared" si="114"/>
        <v>0</v>
      </c>
      <c r="N1421" t="str">
        <f>IF(A1421="","",IF(D1421="Category Pending","Needs categorization",IF(COUNTIFS($A$2:A1421,A1421,$B$2:B1421,B1421,$E$2:E1421,E1421)&gt;1,"Possible duplicate","")))</f>
        <v/>
      </c>
    </row>
    <row r="1422" spans="3:14" x14ac:dyDescent="0.3">
      <c r="C1422" s="16"/>
      <c r="G1422" s="5" t="str">
        <f t="shared" si="110"/>
        <v/>
      </c>
      <c r="H1422" t="str">
        <f>IF(A1422="","",IFERROR(_xlfn.XLOOKUP(D1422,Setup!$E$15:$E$79,Setup!$F$15:$F$79),"Miscellaneous"))</f>
        <v/>
      </c>
      <c r="I1422" t="str">
        <f>IF(A1422="","",IFERROR(_xlfn.XLOOKUP(D1422,Setup!$E$15:$E$79,Setup!$G$15:$G$79),"Uncategorized"))</f>
        <v/>
      </c>
      <c r="J1422" t="str">
        <f t="shared" si="111"/>
        <v/>
      </c>
      <c r="K1422" s="4" t="str">
        <f t="shared" si="112"/>
        <v/>
      </c>
      <c r="L1422" s="47">
        <f t="shared" si="113"/>
        <v>0</v>
      </c>
      <c r="M1422" s="47">
        <f t="shared" si="114"/>
        <v>0</v>
      </c>
      <c r="N1422" t="str">
        <f>IF(A1422="","",IF(D1422="Category Pending","Needs categorization",IF(COUNTIFS($A$2:A1422,A1422,$B$2:B1422,B1422,$E$2:E1422,E1422)&gt;1,"Possible duplicate","")))</f>
        <v/>
      </c>
    </row>
    <row r="1423" spans="3:14" x14ac:dyDescent="0.3">
      <c r="C1423" s="16"/>
      <c r="G1423" s="5" t="str">
        <f t="shared" si="110"/>
        <v/>
      </c>
      <c r="H1423" t="str">
        <f>IF(A1423="","",IFERROR(_xlfn.XLOOKUP(D1423,Setup!$E$15:$E$79,Setup!$F$15:$F$79),"Miscellaneous"))</f>
        <v/>
      </c>
      <c r="I1423" t="str">
        <f>IF(A1423="","",IFERROR(_xlfn.XLOOKUP(D1423,Setup!$E$15:$E$79,Setup!$G$15:$G$79),"Uncategorized"))</f>
        <v/>
      </c>
      <c r="J1423" t="str">
        <f t="shared" si="111"/>
        <v/>
      </c>
      <c r="K1423" s="4" t="str">
        <f t="shared" si="112"/>
        <v/>
      </c>
      <c r="L1423" s="47">
        <f t="shared" si="113"/>
        <v>0</v>
      </c>
      <c r="M1423" s="47">
        <f t="shared" si="114"/>
        <v>0</v>
      </c>
      <c r="N1423" t="str">
        <f>IF(A1423="","",IF(D1423="Category Pending","Needs categorization",IF(COUNTIFS($A$2:A1423,A1423,$B$2:B1423,B1423,$E$2:E1423,E1423)&gt;1,"Possible duplicate","")))</f>
        <v/>
      </c>
    </row>
    <row r="1424" spans="3:14" x14ac:dyDescent="0.3">
      <c r="C1424" s="16"/>
      <c r="G1424" s="5" t="str">
        <f t="shared" si="110"/>
        <v/>
      </c>
      <c r="H1424" t="str">
        <f>IF(A1424="","",IFERROR(_xlfn.XLOOKUP(D1424,Setup!$E$15:$E$79,Setup!$F$15:$F$79),"Miscellaneous"))</f>
        <v/>
      </c>
      <c r="I1424" t="str">
        <f>IF(A1424="","",IFERROR(_xlfn.XLOOKUP(D1424,Setup!$E$15:$E$79,Setup!$G$15:$G$79),"Uncategorized"))</f>
        <v/>
      </c>
      <c r="J1424" t="str">
        <f t="shared" si="111"/>
        <v/>
      </c>
      <c r="K1424" s="4" t="str">
        <f t="shared" si="112"/>
        <v/>
      </c>
      <c r="L1424" s="47">
        <f t="shared" si="113"/>
        <v>0</v>
      </c>
      <c r="M1424" s="47">
        <f t="shared" si="114"/>
        <v>0</v>
      </c>
      <c r="N1424" t="str">
        <f>IF(A1424="","",IF(D1424="Category Pending","Needs categorization",IF(COUNTIFS($A$2:A1424,A1424,$B$2:B1424,B1424,$E$2:E1424,E1424)&gt;1,"Possible duplicate","")))</f>
        <v/>
      </c>
    </row>
    <row r="1425" spans="3:14" x14ac:dyDescent="0.3">
      <c r="C1425" s="16"/>
      <c r="G1425" s="5" t="str">
        <f t="shared" si="110"/>
        <v/>
      </c>
      <c r="H1425" t="str">
        <f>IF(A1425="","",IFERROR(_xlfn.XLOOKUP(D1425,Setup!$E$15:$E$79,Setup!$F$15:$F$79),"Miscellaneous"))</f>
        <v/>
      </c>
      <c r="I1425" t="str">
        <f>IF(A1425="","",IFERROR(_xlfn.XLOOKUP(D1425,Setup!$E$15:$E$79,Setup!$G$15:$G$79),"Uncategorized"))</f>
        <v/>
      </c>
      <c r="J1425" t="str">
        <f t="shared" si="111"/>
        <v/>
      </c>
      <c r="K1425" s="4" t="str">
        <f t="shared" si="112"/>
        <v/>
      </c>
      <c r="L1425" s="47">
        <f t="shared" si="113"/>
        <v>0</v>
      </c>
      <c r="M1425" s="47">
        <f t="shared" si="114"/>
        <v>0</v>
      </c>
      <c r="N1425" t="str">
        <f>IF(A1425="","",IF(D1425="Category Pending","Needs categorization",IF(COUNTIFS($A$2:A1425,A1425,$B$2:B1425,B1425,$E$2:E1425,E1425)&gt;1,"Possible duplicate","")))</f>
        <v/>
      </c>
    </row>
    <row r="1426" spans="3:14" x14ac:dyDescent="0.3">
      <c r="C1426" s="16"/>
      <c r="G1426" s="5" t="str">
        <f t="shared" si="110"/>
        <v/>
      </c>
      <c r="H1426" t="str">
        <f>IF(A1426="","",IFERROR(_xlfn.XLOOKUP(D1426,Setup!$E$15:$E$79,Setup!$F$15:$F$79),"Miscellaneous"))</f>
        <v/>
      </c>
      <c r="I1426" t="str">
        <f>IF(A1426="","",IFERROR(_xlfn.XLOOKUP(D1426,Setup!$E$15:$E$79,Setup!$G$15:$G$79),"Uncategorized"))</f>
        <v/>
      </c>
      <c r="J1426" t="str">
        <f t="shared" si="111"/>
        <v/>
      </c>
      <c r="K1426" s="4" t="str">
        <f t="shared" si="112"/>
        <v/>
      </c>
      <c r="L1426" s="47">
        <f t="shared" si="113"/>
        <v>0</v>
      </c>
      <c r="M1426" s="47">
        <f t="shared" si="114"/>
        <v>0</v>
      </c>
      <c r="N1426" t="str">
        <f>IF(A1426="","",IF(D1426="Category Pending","Needs categorization",IF(COUNTIFS($A$2:A1426,A1426,$B$2:B1426,B1426,$E$2:E1426,E1426)&gt;1,"Possible duplicate","")))</f>
        <v/>
      </c>
    </row>
    <row r="1427" spans="3:14" x14ac:dyDescent="0.3">
      <c r="C1427" s="16"/>
      <c r="G1427" s="5" t="str">
        <f t="shared" si="110"/>
        <v/>
      </c>
      <c r="H1427" t="str">
        <f>IF(A1427="","",IFERROR(_xlfn.XLOOKUP(D1427,Setup!$E$15:$E$79,Setup!$F$15:$F$79),"Miscellaneous"))</f>
        <v/>
      </c>
      <c r="I1427" t="str">
        <f>IF(A1427="","",IFERROR(_xlfn.XLOOKUP(D1427,Setup!$E$15:$E$79,Setup!$G$15:$G$79),"Uncategorized"))</f>
        <v/>
      </c>
      <c r="J1427" t="str">
        <f t="shared" si="111"/>
        <v/>
      </c>
      <c r="K1427" s="4" t="str">
        <f t="shared" si="112"/>
        <v/>
      </c>
      <c r="L1427" s="47">
        <f t="shared" si="113"/>
        <v>0</v>
      </c>
      <c r="M1427" s="47">
        <f t="shared" si="114"/>
        <v>0</v>
      </c>
      <c r="N1427" t="str">
        <f>IF(A1427="","",IF(D1427="Category Pending","Needs categorization",IF(COUNTIFS($A$2:A1427,A1427,$B$2:B1427,B1427,$E$2:E1427,E1427)&gt;1,"Possible duplicate","")))</f>
        <v/>
      </c>
    </row>
    <row r="1428" spans="3:14" x14ac:dyDescent="0.3">
      <c r="C1428" s="16"/>
      <c r="G1428" s="5" t="str">
        <f t="shared" si="110"/>
        <v/>
      </c>
      <c r="H1428" t="str">
        <f>IF(A1428="","",IFERROR(_xlfn.XLOOKUP(D1428,Setup!$E$15:$E$79,Setup!$F$15:$F$79),"Miscellaneous"))</f>
        <v/>
      </c>
      <c r="I1428" t="str">
        <f>IF(A1428="","",IFERROR(_xlfn.XLOOKUP(D1428,Setup!$E$15:$E$79,Setup!$G$15:$G$79),"Uncategorized"))</f>
        <v/>
      </c>
      <c r="J1428" t="str">
        <f t="shared" si="111"/>
        <v/>
      </c>
      <c r="K1428" s="4" t="str">
        <f t="shared" si="112"/>
        <v/>
      </c>
      <c r="L1428" s="47">
        <f t="shared" si="113"/>
        <v>0</v>
      </c>
      <c r="M1428" s="47">
        <f t="shared" si="114"/>
        <v>0</v>
      </c>
      <c r="N1428" t="str">
        <f>IF(A1428="","",IF(D1428="Category Pending","Needs categorization",IF(COUNTIFS($A$2:A1428,A1428,$B$2:B1428,B1428,$E$2:E1428,E1428)&gt;1,"Possible duplicate","")))</f>
        <v/>
      </c>
    </row>
    <row r="1429" spans="3:14" x14ac:dyDescent="0.3">
      <c r="C1429" s="16"/>
      <c r="G1429" s="5" t="str">
        <f t="shared" si="110"/>
        <v/>
      </c>
      <c r="H1429" t="str">
        <f>IF(A1429="","",IFERROR(_xlfn.XLOOKUP(D1429,Setup!$E$15:$E$79,Setup!$F$15:$F$79),"Miscellaneous"))</f>
        <v/>
      </c>
      <c r="I1429" t="str">
        <f>IF(A1429="","",IFERROR(_xlfn.XLOOKUP(D1429,Setup!$E$15:$E$79,Setup!$G$15:$G$79),"Uncategorized"))</f>
        <v/>
      </c>
      <c r="J1429" t="str">
        <f t="shared" si="111"/>
        <v/>
      </c>
      <c r="K1429" s="4" t="str">
        <f t="shared" si="112"/>
        <v/>
      </c>
      <c r="L1429" s="47">
        <f t="shared" si="113"/>
        <v>0</v>
      </c>
      <c r="M1429" s="47">
        <f t="shared" si="114"/>
        <v>0</v>
      </c>
      <c r="N1429" t="str">
        <f>IF(A1429="","",IF(D1429="Category Pending","Needs categorization",IF(COUNTIFS($A$2:A1429,A1429,$B$2:B1429,B1429,$E$2:E1429,E1429)&gt;1,"Possible duplicate","")))</f>
        <v/>
      </c>
    </row>
    <row r="1430" spans="3:14" x14ac:dyDescent="0.3">
      <c r="C1430" s="16"/>
      <c r="G1430" s="5" t="str">
        <f t="shared" si="110"/>
        <v/>
      </c>
      <c r="H1430" t="str">
        <f>IF(A1430="","",IFERROR(_xlfn.XLOOKUP(D1430,Setup!$E$15:$E$79,Setup!$F$15:$F$79),"Miscellaneous"))</f>
        <v/>
      </c>
      <c r="I1430" t="str">
        <f>IF(A1430="","",IFERROR(_xlfn.XLOOKUP(D1430,Setup!$E$15:$E$79,Setup!$G$15:$G$79),"Uncategorized"))</f>
        <v/>
      </c>
      <c r="J1430" t="str">
        <f t="shared" si="111"/>
        <v/>
      </c>
      <c r="K1430" s="4" t="str">
        <f t="shared" si="112"/>
        <v/>
      </c>
      <c r="L1430" s="47">
        <f t="shared" si="113"/>
        <v>0</v>
      </c>
      <c r="M1430" s="47">
        <f t="shared" si="114"/>
        <v>0</v>
      </c>
      <c r="N1430" t="str">
        <f>IF(A1430="","",IF(D1430="Category Pending","Needs categorization",IF(COUNTIFS($A$2:A1430,A1430,$B$2:B1430,B1430,$E$2:E1430,E1430)&gt;1,"Possible duplicate","")))</f>
        <v/>
      </c>
    </row>
    <row r="1431" spans="3:14" x14ac:dyDescent="0.3">
      <c r="C1431" s="16"/>
      <c r="G1431" s="5" t="str">
        <f t="shared" si="110"/>
        <v/>
      </c>
      <c r="H1431" t="str">
        <f>IF(A1431="","",IFERROR(_xlfn.XLOOKUP(D1431,Setup!$E$15:$E$79,Setup!$F$15:$F$79),"Miscellaneous"))</f>
        <v/>
      </c>
      <c r="I1431" t="str">
        <f>IF(A1431="","",IFERROR(_xlfn.XLOOKUP(D1431,Setup!$E$15:$E$79,Setup!$G$15:$G$79),"Uncategorized"))</f>
        <v/>
      </c>
      <c r="J1431" t="str">
        <f t="shared" si="111"/>
        <v/>
      </c>
      <c r="K1431" s="4" t="str">
        <f t="shared" si="112"/>
        <v/>
      </c>
      <c r="L1431" s="47">
        <f t="shared" si="113"/>
        <v>0</v>
      </c>
      <c r="M1431" s="47">
        <f t="shared" si="114"/>
        <v>0</v>
      </c>
      <c r="N1431" t="str">
        <f>IF(A1431="","",IF(D1431="Category Pending","Needs categorization",IF(COUNTIFS($A$2:A1431,A1431,$B$2:B1431,B1431,$E$2:E1431,E1431)&gt;1,"Possible duplicate","")))</f>
        <v/>
      </c>
    </row>
    <row r="1432" spans="3:14" x14ac:dyDescent="0.3">
      <c r="C1432" s="16"/>
      <c r="G1432" s="5" t="str">
        <f t="shared" si="110"/>
        <v/>
      </c>
      <c r="H1432" t="str">
        <f>IF(A1432="","",IFERROR(_xlfn.XLOOKUP(D1432,Setup!$E$15:$E$79,Setup!$F$15:$F$79),"Miscellaneous"))</f>
        <v/>
      </c>
      <c r="I1432" t="str">
        <f>IF(A1432="","",IFERROR(_xlfn.XLOOKUP(D1432,Setup!$E$15:$E$79,Setup!$G$15:$G$79),"Uncategorized"))</f>
        <v/>
      </c>
      <c r="J1432" t="str">
        <f t="shared" si="111"/>
        <v/>
      </c>
      <c r="K1432" s="4" t="str">
        <f t="shared" si="112"/>
        <v/>
      </c>
      <c r="L1432" s="47">
        <f t="shared" si="113"/>
        <v>0</v>
      </c>
      <c r="M1432" s="47">
        <f t="shared" si="114"/>
        <v>0</v>
      </c>
      <c r="N1432" t="str">
        <f>IF(A1432="","",IF(D1432="Category Pending","Needs categorization",IF(COUNTIFS($A$2:A1432,A1432,$B$2:B1432,B1432,$E$2:E1432,E1432)&gt;1,"Possible duplicate","")))</f>
        <v/>
      </c>
    </row>
    <row r="1433" spans="3:14" x14ac:dyDescent="0.3">
      <c r="C1433" s="16"/>
      <c r="G1433" s="5" t="str">
        <f t="shared" si="110"/>
        <v/>
      </c>
      <c r="H1433" t="str">
        <f>IF(A1433="","",IFERROR(_xlfn.XLOOKUP(D1433,Setup!$E$15:$E$79,Setup!$F$15:$F$79),"Miscellaneous"))</f>
        <v/>
      </c>
      <c r="I1433" t="str">
        <f>IF(A1433="","",IFERROR(_xlfn.XLOOKUP(D1433,Setup!$E$15:$E$79,Setup!$G$15:$G$79),"Uncategorized"))</f>
        <v/>
      </c>
      <c r="J1433" t="str">
        <f t="shared" si="111"/>
        <v/>
      </c>
      <c r="K1433" s="4" t="str">
        <f t="shared" si="112"/>
        <v/>
      </c>
      <c r="L1433" s="47">
        <f t="shared" si="113"/>
        <v>0</v>
      </c>
      <c r="M1433" s="47">
        <f t="shared" si="114"/>
        <v>0</v>
      </c>
      <c r="N1433" t="str">
        <f>IF(A1433="","",IF(D1433="Category Pending","Needs categorization",IF(COUNTIFS($A$2:A1433,A1433,$B$2:B1433,B1433,$E$2:E1433,E1433)&gt;1,"Possible duplicate","")))</f>
        <v/>
      </c>
    </row>
    <row r="1434" spans="3:14" x14ac:dyDescent="0.3">
      <c r="C1434" s="16"/>
      <c r="G1434" s="5" t="str">
        <f t="shared" si="110"/>
        <v/>
      </c>
      <c r="H1434" t="str">
        <f>IF(A1434="","",IFERROR(_xlfn.XLOOKUP(D1434,Setup!$E$15:$E$79,Setup!$F$15:$F$79),"Miscellaneous"))</f>
        <v/>
      </c>
      <c r="I1434" t="str">
        <f>IF(A1434="","",IFERROR(_xlfn.XLOOKUP(D1434,Setup!$E$15:$E$79,Setup!$G$15:$G$79),"Uncategorized"))</f>
        <v/>
      </c>
      <c r="J1434" t="str">
        <f t="shared" si="111"/>
        <v/>
      </c>
      <c r="K1434" s="4" t="str">
        <f t="shared" si="112"/>
        <v/>
      </c>
      <c r="L1434" s="47">
        <f t="shared" si="113"/>
        <v>0</v>
      </c>
      <c r="M1434" s="47">
        <f t="shared" si="114"/>
        <v>0</v>
      </c>
      <c r="N1434" t="str">
        <f>IF(A1434="","",IF(D1434="Category Pending","Needs categorization",IF(COUNTIFS($A$2:A1434,A1434,$B$2:B1434,B1434,$E$2:E1434,E1434)&gt;1,"Possible duplicate","")))</f>
        <v/>
      </c>
    </row>
    <row r="1435" spans="3:14" x14ac:dyDescent="0.3">
      <c r="C1435" s="16"/>
      <c r="G1435" s="5" t="str">
        <f t="shared" si="110"/>
        <v/>
      </c>
      <c r="H1435" t="str">
        <f>IF(A1435="","",IFERROR(_xlfn.XLOOKUP(D1435,Setup!$E$15:$E$79,Setup!$F$15:$F$79),"Miscellaneous"))</f>
        <v/>
      </c>
      <c r="I1435" t="str">
        <f>IF(A1435="","",IFERROR(_xlfn.XLOOKUP(D1435,Setup!$E$15:$E$79,Setup!$G$15:$G$79),"Uncategorized"))</f>
        <v/>
      </c>
      <c r="J1435" t="str">
        <f t="shared" si="111"/>
        <v/>
      </c>
      <c r="K1435" s="4" t="str">
        <f t="shared" si="112"/>
        <v/>
      </c>
      <c r="L1435" s="47">
        <f t="shared" si="113"/>
        <v>0</v>
      </c>
      <c r="M1435" s="47">
        <f t="shared" si="114"/>
        <v>0</v>
      </c>
      <c r="N1435" t="str">
        <f>IF(A1435="","",IF(D1435="Category Pending","Needs categorization",IF(COUNTIFS($A$2:A1435,A1435,$B$2:B1435,B1435,$E$2:E1435,E1435)&gt;1,"Possible duplicate","")))</f>
        <v/>
      </c>
    </row>
    <row r="1436" spans="3:14" x14ac:dyDescent="0.3">
      <c r="C1436" s="16"/>
      <c r="G1436" s="5" t="str">
        <f t="shared" si="110"/>
        <v/>
      </c>
      <c r="H1436" t="str">
        <f>IF(A1436="","",IFERROR(_xlfn.XLOOKUP(D1436,Setup!$E$15:$E$79,Setup!$F$15:$F$79),"Miscellaneous"))</f>
        <v/>
      </c>
      <c r="I1436" t="str">
        <f>IF(A1436="","",IFERROR(_xlfn.XLOOKUP(D1436,Setup!$E$15:$E$79,Setup!$G$15:$G$79),"Uncategorized"))</f>
        <v/>
      </c>
      <c r="J1436" t="str">
        <f t="shared" si="111"/>
        <v/>
      </c>
      <c r="K1436" s="4" t="str">
        <f t="shared" si="112"/>
        <v/>
      </c>
      <c r="L1436" s="47">
        <f t="shared" si="113"/>
        <v>0</v>
      </c>
      <c r="M1436" s="47">
        <f t="shared" si="114"/>
        <v>0</v>
      </c>
      <c r="N1436" t="str">
        <f>IF(A1436="","",IF(D1436="Category Pending","Needs categorization",IF(COUNTIFS($A$2:A1436,A1436,$B$2:B1436,B1436,$E$2:E1436,E1436)&gt;1,"Possible duplicate","")))</f>
        <v/>
      </c>
    </row>
    <row r="1437" spans="3:14" x14ac:dyDescent="0.3">
      <c r="C1437" s="16"/>
      <c r="G1437" s="5" t="str">
        <f t="shared" si="110"/>
        <v/>
      </c>
      <c r="H1437" t="str">
        <f>IF(A1437="","",IFERROR(_xlfn.XLOOKUP(D1437,Setup!$E$15:$E$79,Setup!$F$15:$F$79),"Miscellaneous"))</f>
        <v/>
      </c>
      <c r="I1437" t="str">
        <f>IF(A1437="","",IFERROR(_xlfn.XLOOKUP(D1437,Setup!$E$15:$E$79,Setup!$G$15:$G$79),"Uncategorized"))</f>
        <v/>
      </c>
      <c r="J1437" t="str">
        <f t="shared" si="111"/>
        <v/>
      </c>
      <c r="K1437" s="4" t="str">
        <f t="shared" si="112"/>
        <v/>
      </c>
      <c r="L1437" s="47">
        <f t="shared" si="113"/>
        <v>0</v>
      </c>
      <c r="M1437" s="47">
        <f t="shared" si="114"/>
        <v>0</v>
      </c>
      <c r="N1437" t="str">
        <f>IF(A1437="","",IF(D1437="Category Pending","Needs categorization",IF(COUNTIFS($A$2:A1437,A1437,$B$2:B1437,B1437,$E$2:E1437,E1437)&gt;1,"Possible duplicate","")))</f>
        <v/>
      </c>
    </row>
    <row r="1438" spans="3:14" x14ac:dyDescent="0.3">
      <c r="C1438" s="16"/>
      <c r="G1438" s="5" t="str">
        <f t="shared" si="110"/>
        <v/>
      </c>
      <c r="H1438" t="str">
        <f>IF(A1438="","",IFERROR(_xlfn.XLOOKUP(D1438,Setup!$E$15:$E$79,Setup!$F$15:$F$79),"Miscellaneous"))</f>
        <v/>
      </c>
      <c r="I1438" t="str">
        <f>IF(A1438="","",IFERROR(_xlfn.XLOOKUP(D1438,Setup!$E$15:$E$79,Setup!$G$15:$G$79),"Uncategorized"))</f>
        <v/>
      </c>
      <c r="J1438" t="str">
        <f t="shared" si="111"/>
        <v/>
      </c>
      <c r="K1438" s="4" t="str">
        <f t="shared" si="112"/>
        <v/>
      </c>
      <c r="L1438" s="47">
        <f t="shared" si="113"/>
        <v>0</v>
      </c>
      <c r="M1438" s="47">
        <f t="shared" si="114"/>
        <v>0</v>
      </c>
      <c r="N1438" t="str">
        <f>IF(A1438="","",IF(D1438="Category Pending","Needs categorization",IF(COUNTIFS($A$2:A1438,A1438,$B$2:B1438,B1438,$E$2:E1438,E1438)&gt;1,"Possible duplicate","")))</f>
        <v/>
      </c>
    </row>
    <row r="1439" spans="3:14" x14ac:dyDescent="0.3">
      <c r="C1439" s="16"/>
      <c r="G1439" s="5" t="str">
        <f t="shared" si="110"/>
        <v/>
      </c>
      <c r="H1439" t="str">
        <f>IF(A1439="","",IFERROR(_xlfn.XLOOKUP(D1439,Setup!$E$15:$E$79,Setup!$F$15:$F$79),"Miscellaneous"))</f>
        <v/>
      </c>
      <c r="I1439" t="str">
        <f>IF(A1439="","",IFERROR(_xlfn.XLOOKUP(D1439,Setup!$E$15:$E$79,Setup!$G$15:$G$79),"Uncategorized"))</f>
        <v/>
      </c>
      <c r="J1439" t="str">
        <f t="shared" si="111"/>
        <v/>
      </c>
      <c r="K1439" s="4" t="str">
        <f t="shared" si="112"/>
        <v/>
      </c>
      <c r="L1439" s="47">
        <f t="shared" si="113"/>
        <v>0</v>
      </c>
      <c r="M1439" s="47">
        <f t="shared" si="114"/>
        <v>0</v>
      </c>
      <c r="N1439" t="str">
        <f>IF(A1439="","",IF(D1439="Category Pending","Needs categorization",IF(COUNTIFS($A$2:A1439,A1439,$B$2:B1439,B1439,$E$2:E1439,E1439)&gt;1,"Possible duplicate","")))</f>
        <v/>
      </c>
    </row>
    <row r="1440" spans="3:14" x14ac:dyDescent="0.3">
      <c r="C1440" s="16"/>
      <c r="G1440" s="5" t="str">
        <f t="shared" si="110"/>
        <v/>
      </c>
      <c r="H1440" t="str">
        <f>IF(A1440="","",IFERROR(_xlfn.XLOOKUP(D1440,Setup!$E$15:$E$79,Setup!$F$15:$F$79),"Miscellaneous"))</f>
        <v/>
      </c>
      <c r="I1440" t="str">
        <f>IF(A1440="","",IFERROR(_xlfn.XLOOKUP(D1440,Setup!$E$15:$E$79,Setup!$G$15:$G$79),"Uncategorized"))</f>
        <v/>
      </c>
      <c r="J1440" t="str">
        <f t="shared" si="111"/>
        <v/>
      </c>
      <c r="K1440" s="4" t="str">
        <f t="shared" si="112"/>
        <v/>
      </c>
      <c r="L1440" s="47">
        <f t="shared" si="113"/>
        <v>0</v>
      </c>
      <c r="M1440" s="47">
        <f t="shared" si="114"/>
        <v>0</v>
      </c>
      <c r="N1440" t="str">
        <f>IF(A1440="","",IF(D1440="Category Pending","Needs categorization",IF(COUNTIFS($A$2:A1440,A1440,$B$2:B1440,B1440,$E$2:E1440,E1440)&gt;1,"Possible duplicate","")))</f>
        <v/>
      </c>
    </row>
    <row r="1441" spans="3:14" x14ac:dyDescent="0.3">
      <c r="C1441" s="16"/>
      <c r="G1441" s="5" t="str">
        <f t="shared" ref="G1441:G1504" si="115">IF(A1441="","","Checking")</f>
        <v/>
      </c>
      <c r="H1441" t="str">
        <f>IF(A1441="","",IFERROR(_xlfn.XLOOKUP(D1441,Setup!$E$15:$E$79,Setup!$F$15:$F$79),"Miscellaneous"))</f>
        <v/>
      </c>
      <c r="I1441" t="str">
        <f>IF(A1441="","",IFERROR(_xlfn.XLOOKUP(D1441,Setup!$E$15:$E$79,Setup!$G$15:$G$79),"Uncategorized"))</f>
        <v/>
      </c>
      <c r="J1441" t="str">
        <f t="shared" ref="J1441:J1504" si="116">IF(A1441="","",IF(OR(H1441="Transfers",H1441="Income",D1441="Transfer",D1441="Category Pending"),"No","Yes"))</f>
        <v/>
      </c>
      <c r="K1441" s="4" t="str">
        <f t="shared" ref="K1441:K1504" si="117">IF(A1441="","",IF(A1441&gt;=46232,TEXT(DATE(YEAR(A1441),MONTH(A1441)+1,1),"mmmm yyyy"),TEXT(DATE(YEAR(A1441),MONTH(A1441),1),"mmmm yyyy")))</f>
        <v/>
      </c>
      <c r="L1441" s="47">
        <f t="shared" ref="L1441:L1504" si="118">IF(AND(J1441="Yes",E1441&lt;0),-E1441,0)</f>
        <v>0</v>
      </c>
      <c r="M1441" s="47">
        <f t="shared" ref="M1441:M1504" si="119">IF(AND(J1441="Yes",E1441&gt;0),E1441,0)</f>
        <v>0</v>
      </c>
      <c r="N1441" t="str">
        <f>IF(A1441="","",IF(D1441="Category Pending","Needs categorization",IF(COUNTIFS($A$2:A1441,A1441,$B$2:B1441,B1441,$E$2:E1441,E1441)&gt;1,"Possible duplicate","")))</f>
        <v/>
      </c>
    </row>
    <row r="1442" spans="3:14" x14ac:dyDescent="0.3">
      <c r="C1442" s="16"/>
      <c r="G1442" s="5" t="str">
        <f t="shared" si="115"/>
        <v/>
      </c>
      <c r="H1442" t="str">
        <f>IF(A1442="","",IFERROR(_xlfn.XLOOKUP(D1442,Setup!$E$15:$E$79,Setup!$F$15:$F$79),"Miscellaneous"))</f>
        <v/>
      </c>
      <c r="I1442" t="str">
        <f>IF(A1442="","",IFERROR(_xlfn.XLOOKUP(D1442,Setup!$E$15:$E$79,Setup!$G$15:$G$79),"Uncategorized"))</f>
        <v/>
      </c>
      <c r="J1442" t="str">
        <f t="shared" si="116"/>
        <v/>
      </c>
      <c r="K1442" s="4" t="str">
        <f t="shared" si="117"/>
        <v/>
      </c>
      <c r="L1442" s="47">
        <f t="shared" si="118"/>
        <v>0</v>
      </c>
      <c r="M1442" s="47">
        <f t="shared" si="119"/>
        <v>0</v>
      </c>
      <c r="N1442" t="str">
        <f>IF(A1442="","",IF(D1442="Category Pending","Needs categorization",IF(COUNTIFS($A$2:A1442,A1442,$B$2:B1442,B1442,$E$2:E1442,E1442)&gt;1,"Possible duplicate","")))</f>
        <v/>
      </c>
    </row>
    <row r="1443" spans="3:14" x14ac:dyDescent="0.3">
      <c r="C1443" s="16"/>
      <c r="G1443" s="5" t="str">
        <f t="shared" si="115"/>
        <v/>
      </c>
      <c r="H1443" t="str">
        <f>IF(A1443="","",IFERROR(_xlfn.XLOOKUP(D1443,Setup!$E$15:$E$79,Setup!$F$15:$F$79),"Miscellaneous"))</f>
        <v/>
      </c>
      <c r="I1443" t="str">
        <f>IF(A1443="","",IFERROR(_xlfn.XLOOKUP(D1443,Setup!$E$15:$E$79,Setup!$G$15:$G$79),"Uncategorized"))</f>
        <v/>
      </c>
      <c r="J1443" t="str">
        <f t="shared" si="116"/>
        <v/>
      </c>
      <c r="K1443" s="4" t="str">
        <f t="shared" si="117"/>
        <v/>
      </c>
      <c r="L1443" s="47">
        <f t="shared" si="118"/>
        <v>0</v>
      </c>
      <c r="M1443" s="47">
        <f t="shared" si="119"/>
        <v>0</v>
      </c>
      <c r="N1443" t="str">
        <f>IF(A1443="","",IF(D1443="Category Pending","Needs categorization",IF(COUNTIFS($A$2:A1443,A1443,$B$2:B1443,B1443,$E$2:E1443,E1443)&gt;1,"Possible duplicate","")))</f>
        <v/>
      </c>
    </row>
    <row r="1444" spans="3:14" x14ac:dyDescent="0.3">
      <c r="C1444" s="16"/>
      <c r="G1444" s="5" t="str">
        <f t="shared" si="115"/>
        <v/>
      </c>
      <c r="H1444" t="str">
        <f>IF(A1444="","",IFERROR(_xlfn.XLOOKUP(D1444,Setup!$E$15:$E$79,Setup!$F$15:$F$79),"Miscellaneous"))</f>
        <v/>
      </c>
      <c r="I1444" t="str">
        <f>IF(A1444="","",IFERROR(_xlfn.XLOOKUP(D1444,Setup!$E$15:$E$79,Setup!$G$15:$G$79),"Uncategorized"))</f>
        <v/>
      </c>
      <c r="J1444" t="str">
        <f t="shared" si="116"/>
        <v/>
      </c>
      <c r="K1444" s="4" t="str">
        <f t="shared" si="117"/>
        <v/>
      </c>
      <c r="L1444" s="47">
        <f t="shared" si="118"/>
        <v>0</v>
      </c>
      <c r="M1444" s="47">
        <f t="shared" si="119"/>
        <v>0</v>
      </c>
      <c r="N1444" t="str">
        <f>IF(A1444="","",IF(D1444="Category Pending","Needs categorization",IF(COUNTIFS($A$2:A1444,A1444,$B$2:B1444,B1444,$E$2:E1444,E1444)&gt;1,"Possible duplicate","")))</f>
        <v/>
      </c>
    </row>
    <row r="1445" spans="3:14" x14ac:dyDescent="0.3">
      <c r="C1445" s="16"/>
      <c r="G1445" s="5" t="str">
        <f t="shared" si="115"/>
        <v/>
      </c>
      <c r="H1445" t="str">
        <f>IF(A1445="","",IFERROR(_xlfn.XLOOKUP(D1445,Setup!$E$15:$E$79,Setup!$F$15:$F$79),"Miscellaneous"))</f>
        <v/>
      </c>
      <c r="I1445" t="str">
        <f>IF(A1445="","",IFERROR(_xlfn.XLOOKUP(D1445,Setup!$E$15:$E$79,Setup!$G$15:$G$79),"Uncategorized"))</f>
        <v/>
      </c>
      <c r="J1445" t="str">
        <f t="shared" si="116"/>
        <v/>
      </c>
      <c r="K1445" s="4" t="str">
        <f t="shared" si="117"/>
        <v/>
      </c>
      <c r="L1445" s="47">
        <f t="shared" si="118"/>
        <v>0</v>
      </c>
      <c r="M1445" s="47">
        <f t="shared" si="119"/>
        <v>0</v>
      </c>
      <c r="N1445" t="str">
        <f>IF(A1445="","",IF(D1445="Category Pending","Needs categorization",IF(COUNTIFS($A$2:A1445,A1445,$B$2:B1445,B1445,$E$2:E1445,E1445)&gt;1,"Possible duplicate","")))</f>
        <v/>
      </c>
    </row>
    <row r="1446" spans="3:14" x14ac:dyDescent="0.3">
      <c r="C1446" s="16"/>
      <c r="G1446" s="5" t="str">
        <f t="shared" si="115"/>
        <v/>
      </c>
      <c r="H1446" t="str">
        <f>IF(A1446="","",IFERROR(_xlfn.XLOOKUP(D1446,Setup!$E$15:$E$79,Setup!$F$15:$F$79),"Miscellaneous"))</f>
        <v/>
      </c>
      <c r="I1446" t="str">
        <f>IF(A1446="","",IFERROR(_xlfn.XLOOKUP(D1446,Setup!$E$15:$E$79,Setup!$G$15:$G$79),"Uncategorized"))</f>
        <v/>
      </c>
      <c r="J1446" t="str">
        <f t="shared" si="116"/>
        <v/>
      </c>
      <c r="K1446" s="4" t="str">
        <f t="shared" si="117"/>
        <v/>
      </c>
      <c r="L1446" s="47">
        <f t="shared" si="118"/>
        <v>0</v>
      </c>
      <c r="M1446" s="47">
        <f t="shared" si="119"/>
        <v>0</v>
      </c>
      <c r="N1446" t="str">
        <f>IF(A1446="","",IF(D1446="Category Pending","Needs categorization",IF(COUNTIFS($A$2:A1446,A1446,$B$2:B1446,B1446,$E$2:E1446,E1446)&gt;1,"Possible duplicate","")))</f>
        <v/>
      </c>
    </row>
    <row r="1447" spans="3:14" x14ac:dyDescent="0.3">
      <c r="C1447" s="16"/>
      <c r="G1447" s="5" t="str">
        <f t="shared" si="115"/>
        <v/>
      </c>
      <c r="H1447" t="str">
        <f>IF(A1447="","",IFERROR(_xlfn.XLOOKUP(D1447,Setup!$E$15:$E$79,Setup!$F$15:$F$79),"Miscellaneous"))</f>
        <v/>
      </c>
      <c r="I1447" t="str">
        <f>IF(A1447="","",IFERROR(_xlfn.XLOOKUP(D1447,Setup!$E$15:$E$79,Setup!$G$15:$G$79),"Uncategorized"))</f>
        <v/>
      </c>
      <c r="J1447" t="str">
        <f t="shared" si="116"/>
        <v/>
      </c>
      <c r="K1447" s="4" t="str">
        <f t="shared" si="117"/>
        <v/>
      </c>
      <c r="L1447" s="47">
        <f t="shared" si="118"/>
        <v>0</v>
      </c>
      <c r="M1447" s="47">
        <f t="shared" si="119"/>
        <v>0</v>
      </c>
      <c r="N1447" t="str">
        <f>IF(A1447="","",IF(D1447="Category Pending","Needs categorization",IF(COUNTIFS($A$2:A1447,A1447,$B$2:B1447,B1447,$E$2:E1447,E1447)&gt;1,"Possible duplicate","")))</f>
        <v/>
      </c>
    </row>
    <row r="1448" spans="3:14" x14ac:dyDescent="0.3">
      <c r="C1448" s="16"/>
      <c r="G1448" s="5" t="str">
        <f t="shared" si="115"/>
        <v/>
      </c>
      <c r="H1448" t="str">
        <f>IF(A1448="","",IFERROR(_xlfn.XLOOKUP(D1448,Setup!$E$15:$E$79,Setup!$F$15:$F$79),"Miscellaneous"))</f>
        <v/>
      </c>
      <c r="I1448" t="str">
        <f>IF(A1448="","",IFERROR(_xlfn.XLOOKUP(D1448,Setup!$E$15:$E$79,Setup!$G$15:$G$79),"Uncategorized"))</f>
        <v/>
      </c>
      <c r="J1448" t="str">
        <f t="shared" si="116"/>
        <v/>
      </c>
      <c r="K1448" s="4" t="str">
        <f t="shared" si="117"/>
        <v/>
      </c>
      <c r="L1448" s="47">
        <f t="shared" si="118"/>
        <v>0</v>
      </c>
      <c r="M1448" s="47">
        <f t="shared" si="119"/>
        <v>0</v>
      </c>
      <c r="N1448" t="str">
        <f>IF(A1448="","",IF(D1448="Category Pending","Needs categorization",IF(COUNTIFS($A$2:A1448,A1448,$B$2:B1448,B1448,$E$2:E1448,E1448)&gt;1,"Possible duplicate","")))</f>
        <v/>
      </c>
    </row>
    <row r="1449" spans="3:14" x14ac:dyDescent="0.3">
      <c r="C1449" s="16"/>
      <c r="G1449" s="5" t="str">
        <f t="shared" si="115"/>
        <v/>
      </c>
      <c r="H1449" t="str">
        <f>IF(A1449="","",IFERROR(_xlfn.XLOOKUP(D1449,Setup!$E$15:$E$79,Setup!$F$15:$F$79),"Miscellaneous"))</f>
        <v/>
      </c>
      <c r="I1449" t="str">
        <f>IF(A1449="","",IFERROR(_xlfn.XLOOKUP(D1449,Setup!$E$15:$E$79,Setup!$G$15:$G$79),"Uncategorized"))</f>
        <v/>
      </c>
      <c r="J1449" t="str">
        <f t="shared" si="116"/>
        <v/>
      </c>
      <c r="K1449" s="4" t="str">
        <f t="shared" si="117"/>
        <v/>
      </c>
      <c r="L1449" s="47">
        <f t="shared" si="118"/>
        <v>0</v>
      </c>
      <c r="M1449" s="47">
        <f t="shared" si="119"/>
        <v>0</v>
      </c>
      <c r="N1449" t="str">
        <f>IF(A1449="","",IF(D1449="Category Pending","Needs categorization",IF(COUNTIFS($A$2:A1449,A1449,$B$2:B1449,B1449,$E$2:E1449,E1449)&gt;1,"Possible duplicate","")))</f>
        <v/>
      </c>
    </row>
    <row r="1450" spans="3:14" x14ac:dyDescent="0.3">
      <c r="C1450" s="16"/>
      <c r="G1450" s="5" t="str">
        <f t="shared" si="115"/>
        <v/>
      </c>
      <c r="H1450" t="str">
        <f>IF(A1450="","",IFERROR(_xlfn.XLOOKUP(D1450,Setup!$E$15:$E$79,Setup!$F$15:$F$79),"Miscellaneous"))</f>
        <v/>
      </c>
      <c r="I1450" t="str">
        <f>IF(A1450="","",IFERROR(_xlfn.XLOOKUP(D1450,Setup!$E$15:$E$79,Setup!$G$15:$G$79),"Uncategorized"))</f>
        <v/>
      </c>
      <c r="J1450" t="str">
        <f t="shared" si="116"/>
        <v/>
      </c>
      <c r="K1450" s="4" t="str">
        <f t="shared" si="117"/>
        <v/>
      </c>
      <c r="L1450" s="47">
        <f t="shared" si="118"/>
        <v>0</v>
      </c>
      <c r="M1450" s="47">
        <f t="shared" si="119"/>
        <v>0</v>
      </c>
      <c r="N1450" t="str">
        <f>IF(A1450="","",IF(D1450="Category Pending","Needs categorization",IF(COUNTIFS($A$2:A1450,A1450,$B$2:B1450,B1450,$E$2:E1450,E1450)&gt;1,"Possible duplicate","")))</f>
        <v/>
      </c>
    </row>
    <row r="1451" spans="3:14" x14ac:dyDescent="0.3">
      <c r="C1451" s="16"/>
      <c r="G1451" s="5" t="str">
        <f t="shared" si="115"/>
        <v/>
      </c>
      <c r="H1451" t="str">
        <f>IF(A1451="","",IFERROR(_xlfn.XLOOKUP(D1451,Setup!$E$15:$E$79,Setup!$F$15:$F$79),"Miscellaneous"))</f>
        <v/>
      </c>
      <c r="I1451" t="str">
        <f>IF(A1451="","",IFERROR(_xlfn.XLOOKUP(D1451,Setup!$E$15:$E$79,Setup!$G$15:$G$79),"Uncategorized"))</f>
        <v/>
      </c>
      <c r="J1451" t="str">
        <f t="shared" si="116"/>
        <v/>
      </c>
      <c r="K1451" s="4" t="str">
        <f t="shared" si="117"/>
        <v/>
      </c>
      <c r="L1451" s="47">
        <f t="shared" si="118"/>
        <v>0</v>
      </c>
      <c r="M1451" s="47">
        <f t="shared" si="119"/>
        <v>0</v>
      </c>
      <c r="N1451" t="str">
        <f>IF(A1451="","",IF(D1451="Category Pending","Needs categorization",IF(COUNTIFS($A$2:A1451,A1451,$B$2:B1451,B1451,$E$2:E1451,E1451)&gt;1,"Possible duplicate","")))</f>
        <v/>
      </c>
    </row>
    <row r="1452" spans="3:14" x14ac:dyDescent="0.3">
      <c r="C1452" s="16"/>
      <c r="G1452" s="5" t="str">
        <f t="shared" si="115"/>
        <v/>
      </c>
      <c r="H1452" t="str">
        <f>IF(A1452="","",IFERROR(_xlfn.XLOOKUP(D1452,Setup!$E$15:$E$79,Setup!$F$15:$F$79),"Miscellaneous"))</f>
        <v/>
      </c>
      <c r="I1452" t="str">
        <f>IF(A1452="","",IFERROR(_xlfn.XLOOKUP(D1452,Setup!$E$15:$E$79,Setup!$G$15:$G$79),"Uncategorized"))</f>
        <v/>
      </c>
      <c r="J1452" t="str">
        <f t="shared" si="116"/>
        <v/>
      </c>
      <c r="K1452" s="4" t="str">
        <f t="shared" si="117"/>
        <v/>
      </c>
      <c r="L1452" s="47">
        <f t="shared" si="118"/>
        <v>0</v>
      </c>
      <c r="M1452" s="47">
        <f t="shared" si="119"/>
        <v>0</v>
      </c>
      <c r="N1452" t="str">
        <f>IF(A1452="","",IF(D1452="Category Pending","Needs categorization",IF(COUNTIFS($A$2:A1452,A1452,$B$2:B1452,B1452,$E$2:E1452,E1452)&gt;1,"Possible duplicate","")))</f>
        <v/>
      </c>
    </row>
    <row r="1453" spans="3:14" x14ac:dyDescent="0.3">
      <c r="C1453" s="16"/>
      <c r="G1453" s="5" t="str">
        <f t="shared" si="115"/>
        <v/>
      </c>
      <c r="H1453" t="str">
        <f>IF(A1453="","",IFERROR(_xlfn.XLOOKUP(D1453,Setup!$E$15:$E$79,Setup!$F$15:$F$79),"Miscellaneous"))</f>
        <v/>
      </c>
      <c r="I1453" t="str">
        <f>IF(A1453="","",IFERROR(_xlfn.XLOOKUP(D1453,Setup!$E$15:$E$79,Setup!$G$15:$G$79),"Uncategorized"))</f>
        <v/>
      </c>
      <c r="J1453" t="str">
        <f t="shared" si="116"/>
        <v/>
      </c>
      <c r="K1453" s="4" t="str">
        <f t="shared" si="117"/>
        <v/>
      </c>
      <c r="L1453" s="47">
        <f t="shared" si="118"/>
        <v>0</v>
      </c>
      <c r="M1453" s="47">
        <f t="shared" si="119"/>
        <v>0</v>
      </c>
      <c r="N1453" t="str">
        <f>IF(A1453="","",IF(D1453="Category Pending","Needs categorization",IF(COUNTIFS($A$2:A1453,A1453,$B$2:B1453,B1453,$E$2:E1453,E1453)&gt;1,"Possible duplicate","")))</f>
        <v/>
      </c>
    </row>
    <row r="1454" spans="3:14" x14ac:dyDescent="0.3">
      <c r="C1454" s="16"/>
      <c r="G1454" s="5" t="str">
        <f t="shared" si="115"/>
        <v/>
      </c>
      <c r="H1454" t="str">
        <f>IF(A1454="","",IFERROR(_xlfn.XLOOKUP(D1454,Setup!$E$15:$E$79,Setup!$F$15:$F$79),"Miscellaneous"))</f>
        <v/>
      </c>
      <c r="I1454" t="str">
        <f>IF(A1454="","",IFERROR(_xlfn.XLOOKUP(D1454,Setup!$E$15:$E$79,Setup!$G$15:$G$79),"Uncategorized"))</f>
        <v/>
      </c>
      <c r="J1454" t="str">
        <f t="shared" si="116"/>
        <v/>
      </c>
      <c r="K1454" s="4" t="str">
        <f t="shared" si="117"/>
        <v/>
      </c>
      <c r="L1454" s="47">
        <f t="shared" si="118"/>
        <v>0</v>
      </c>
      <c r="M1454" s="47">
        <f t="shared" si="119"/>
        <v>0</v>
      </c>
      <c r="N1454" t="str">
        <f>IF(A1454="","",IF(D1454="Category Pending","Needs categorization",IF(COUNTIFS($A$2:A1454,A1454,$B$2:B1454,B1454,$E$2:E1454,E1454)&gt;1,"Possible duplicate","")))</f>
        <v/>
      </c>
    </row>
    <row r="1455" spans="3:14" x14ac:dyDescent="0.3">
      <c r="C1455" s="16"/>
      <c r="G1455" s="5" t="str">
        <f t="shared" si="115"/>
        <v/>
      </c>
      <c r="H1455" t="str">
        <f>IF(A1455="","",IFERROR(_xlfn.XLOOKUP(D1455,Setup!$E$15:$E$79,Setup!$F$15:$F$79),"Miscellaneous"))</f>
        <v/>
      </c>
      <c r="I1455" t="str">
        <f>IF(A1455="","",IFERROR(_xlfn.XLOOKUP(D1455,Setup!$E$15:$E$79,Setup!$G$15:$G$79),"Uncategorized"))</f>
        <v/>
      </c>
      <c r="J1455" t="str">
        <f t="shared" si="116"/>
        <v/>
      </c>
      <c r="K1455" s="4" t="str">
        <f t="shared" si="117"/>
        <v/>
      </c>
      <c r="L1455" s="47">
        <f t="shared" si="118"/>
        <v>0</v>
      </c>
      <c r="M1455" s="47">
        <f t="shared" si="119"/>
        <v>0</v>
      </c>
      <c r="N1455" t="str">
        <f>IF(A1455="","",IF(D1455="Category Pending","Needs categorization",IF(COUNTIFS($A$2:A1455,A1455,$B$2:B1455,B1455,$E$2:E1455,E1455)&gt;1,"Possible duplicate","")))</f>
        <v/>
      </c>
    </row>
    <row r="1456" spans="3:14" x14ac:dyDescent="0.3">
      <c r="C1456" s="16"/>
      <c r="G1456" s="5" t="str">
        <f t="shared" si="115"/>
        <v/>
      </c>
      <c r="H1456" t="str">
        <f>IF(A1456="","",IFERROR(_xlfn.XLOOKUP(D1456,Setup!$E$15:$E$79,Setup!$F$15:$F$79),"Miscellaneous"))</f>
        <v/>
      </c>
      <c r="I1456" t="str">
        <f>IF(A1456="","",IFERROR(_xlfn.XLOOKUP(D1456,Setup!$E$15:$E$79,Setup!$G$15:$G$79),"Uncategorized"))</f>
        <v/>
      </c>
      <c r="J1456" t="str">
        <f t="shared" si="116"/>
        <v/>
      </c>
      <c r="K1456" s="4" t="str">
        <f t="shared" si="117"/>
        <v/>
      </c>
      <c r="L1456" s="47">
        <f t="shared" si="118"/>
        <v>0</v>
      </c>
      <c r="M1456" s="47">
        <f t="shared" si="119"/>
        <v>0</v>
      </c>
      <c r="N1456" t="str">
        <f>IF(A1456="","",IF(D1456="Category Pending","Needs categorization",IF(COUNTIFS($A$2:A1456,A1456,$B$2:B1456,B1456,$E$2:E1456,E1456)&gt;1,"Possible duplicate","")))</f>
        <v/>
      </c>
    </row>
    <row r="1457" spans="3:14" x14ac:dyDescent="0.3">
      <c r="C1457" s="16"/>
      <c r="G1457" s="5" t="str">
        <f t="shared" si="115"/>
        <v/>
      </c>
      <c r="H1457" t="str">
        <f>IF(A1457="","",IFERROR(_xlfn.XLOOKUP(D1457,Setup!$E$15:$E$79,Setup!$F$15:$F$79),"Miscellaneous"))</f>
        <v/>
      </c>
      <c r="I1457" t="str">
        <f>IF(A1457="","",IFERROR(_xlfn.XLOOKUP(D1457,Setup!$E$15:$E$79,Setup!$G$15:$G$79),"Uncategorized"))</f>
        <v/>
      </c>
      <c r="J1457" t="str">
        <f t="shared" si="116"/>
        <v/>
      </c>
      <c r="K1457" s="4" t="str">
        <f t="shared" si="117"/>
        <v/>
      </c>
      <c r="L1457" s="47">
        <f t="shared" si="118"/>
        <v>0</v>
      </c>
      <c r="M1457" s="47">
        <f t="shared" si="119"/>
        <v>0</v>
      </c>
      <c r="N1457" t="str">
        <f>IF(A1457="","",IF(D1457="Category Pending","Needs categorization",IF(COUNTIFS($A$2:A1457,A1457,$B$2:B1457,B1457,$E$2:E1457,E1457)&gt;1,"Possible duplicate","")))</f>
        <v/>
      </c>
    </row>
    <row r="1458" spans="3:14" x14ac:dyDescent="0.3">
      <c r="C1458" s="16"/>
      <c r="G1458" s="5" t="str">
        <f t="shared" si="115"/>
        <v/>
      </c>
      <c r="H1458" t="str">
        <f>IF(A1458="","",IFERROR(_xlfn.XLOOKUP(D1458,Setup!$E$15:$E$79,Setup!$F$15:$F$79),"Miscellaneous"))</f>
        <v/>
      </c>
      <c r="I1458" t="str">
        <f>IF(A1458="","",IFERROR(_xlfn.XLOOKUP(D1458,Setup!$E$15:$E$79,Setup!$G$15:$G$79),"Uncategorized"))</f>
        <v/>
      </c>
      <c r="J1458" t="str">
        <f t="shared" si="116"/>
        <v/>
      </c>
      <c r="K1458" s="4" t="str">
        <f t="shared" si="117"/>
        <v/>
      </c>
      <c r="L1458" s="47">
        <f t="shared" si="118"/>
        <v>0</v>
      </c>
      <c r="M1458" s="47">
        <f t="shared" si="119"/>
        <v>0</v>
      </c>
      <c r="N1458" t="str">
        <f>IF(A1458="","",IF(D1458="Category Pending","Needs categorization",IF(COUNTIFS($A$2:A1458,A1458,$B$2:B1458,B1458,$E$2:E1458,E1458)&gt;1,"Possible duplicate","")))</f>
        <v/>
      </c>
    </row>
    <row r="1459" spans="3:14" x14ac:dyDescent="0.3">
      <c r="C1459" s="16"/>
      <c r="G1459" s="5" t="str">
        <f t="shared" si="115"/>
        <v/>
      </c>
      <c r="H1459" t="str">
        <f>IF(A1459="","",IFERROR(_xlfn.XLOOKUP(D1459,Setup!$E$15:$E$79,Setup!$F$15:$F$79),"Miscellaneous"))</f>
        <v/>
      </c>
      <c r="I1459" t="str">
        <f>IF(A1459="","",IFERROR(_xlfn.XLOOKUP(D1459,Setup!$E$15:$E$79,Setup!$G$15:$G$79),"Uncategorized"))</f>
        <v/>
      </c>
      <c r="J1459" t="str">
        <f t="shared" si="116"/>
        <v/>
      </c>
      <c r="K1459" s="4" t="str">
        <f t="shared" si="117"/>
        <v/>
      </c>
      <c r="L1459" s="47">
        <f t="shared" si="118"/>
        <v>0</v>
      </c>
      <c r="M1459" s="47">
        <f t="shared" si="119"/>
        <v>0</v>
      </c>
      <c r="N1459" t="str">
        <f>IF(A1459="","",IF(D1459="Category Pending","Needs categorization",IF(COUNTIFS($A$2:A1459,A1459,$B$2:B1459,B1459,$E$2:E1459,E1459)&gt;1,"Possible duplicate","")))</f>
        <v/>
      </c>
    </row>
    <row r="1460" spans="3:14" x14ac:dyDescent="0.3">
      <c r="C1460" s="16"/>
      <c r="G1460" s="5" t="str">
        <f t="shared" si="115"/>
        <v/>
      </c>
      <c r="H1460" t="str">
        <f>IF(A1460="","",IFERROR(_xlfn.XLOOKUP(D1460,Setup!$E$15:$E$79,Setup!$F$15:$F$79),"Miscellaneous"))</f>
        <v/>
      </c>
      <c r="I1460" t="str">
        <f>IF(A1460="","",IFERROR(_xlfn.XLOOKUP(D1460,Setup!$E$15:$E$79,Setup!$G$15:$G$79),"Uncategorized"))</f>
        <v/>
      </c>
      <c r="J1460" t="str">
        <f t="shared" si="116"/>
        <v/>
      </c>
      <c r="K1460" s="4" t="str">
        <f t="shared" si="117"/>
        <v/>
      </c>
      <c r="L1460" s="47">
        <f t="shared" si="118"/>
        <v>0</v>
      </c>
      <c r="M1460" s="47">
        <f t="shared" si="119"/>
        <v>0</v>
      </c>
      <c r="N1460" t="str">
        <f>IF(A1460="","",IF(D1460="Category Pending","Needs categorization",IF(COUNTIFS($A$2:A1460,A1460,$B$2:B1460,B1460,$E$2:E1460,E1460)&gt;1,"Possible duplicate","")))</f>
        <v/>
      </c>
    </row>
    <row r="1461" spans="3:14" x14ac:dyDescent="0.3">
      <c r="C1461" s="16"/>
      <c r="G1461" s="5" t="str">
        <f t="shared" si="115"/>
        <v/>
      </c>
      <c r="H1461" t="str">
        <f>IF(A1461="","",IFERROR(_xlfn.XLOOKUP(D1461,Setup!$E$15:$E$79,Setup!$F$15:$F$79),"Miscellaneous"))</f>
        <v/>
      </c>
      <c r="I1461" t="str">
        <f>IF(A1461="","",IFERROR(_xlfn.XLOOKUP(D1461,Setup!$E$15:$E$79,Setup!$G$15:$G$79),"Uncategorized"))</f>
        <v/>
      </c>
      <c r="J1461" t="str">
        <f t="shared" si="116"/>
        <v/>
      </c>
      <c r="K1461" s="4" t="str">
        <f t="shared" si="117"/>
        <v/>
      </c>
      <c r="L1461" s="47">
        <f t="shared" si="118"/>
        <v>0</v>
      </c>
      <c r="M1461" s="47">
        <f t="shared" si="119"/>
        <v>0</v>
      </c>
      <c r="N1461" t="str">
        <f>IF(A1461="","",IF(D1461="Category Pending","Needs categorization",IF(COUNTIFS($A$2:A1461,A1461,$B$2:B1461,B1461,$E$2:E1461,E1461)&gt;1,"Possible duplicate","")))</f>
        <v/>
      </c>
    </row>
    <row r="1462" spans="3:14" x14ac:dyDescent="0.3">
      <c r="C1462" s="16"/>
      <c r="G1462" s="5" t="str">
        <f t="shared" si="115"/>
        <v/>
      </c>
      <c r="H1462" t="str">
        <f>IF(A1462="","",IFERROR(_xlfn.XLOOKUP(D1462,Setup!$E$15:$E$79,Setup!$F$15:$F$79),"Miscellaneous"))</f>
        <v/>
      </c>
      <c r="I1462" t="str">
        <f>IF(A1462="","",IFERROR(_xlfn.XLOOKUP(D1462,Setup!$E$15:$E$79,Setup!$G$15:$G$79),"Uncategorized"))</f>
        <v/>
      </c>
      <c r="J1462" t="str">
        <f t="shared" si="116"/>
        <v/>
      </c>
      <c r="K1462" s="4" t="str">
        <f t="shared" si="117"/>
        <v/>
      </c>
      <c r="L1462" s="47">
        <f t="shared" si="118"/>
        <v>0</v>
      </c>
      <c r="M1462" s="47">
        <f t="shared" si="119"/>
        <v>0</v>
      </c>
      <c r="N1462" t="str">
        <f>IF(A1462="","",IF(D1462="Category Pending","Needs categorization",IF(COUNTIFS($A$2:A1462,A1462,$B$2:B1462,B1462,$E$2:E1462,E1462)&gt;1,"Possible duplicate","")))</f>
        <v/>
      </c>
    </row>
    <row r="1463" spans="3:14" x14ac:dyDescent="0.3">
      <c r="C1463" s="16"/>
      <c r="G1463" s="5" t="str">
        <f t="shared" si="115"/>
        <v/>
      </c>
      <c r="H1463" t="str">
        <f>IF(A1463="","",IFERROR(_xlfn.XLOOKUP(D1463,Setup!$E$15:$E$79,Setup!$F$15:$F$79),"Miscellaneous"))</f>
        <v/>
      </c>
      <c r="I1463" t="str">
        <f>IF(A1463="","",IFERROR(_xlfn.XLOOKUP(D1463,Setup!$E$15:$E$79,Setup!$G$15:$G$79),"Uncategorized"))</f>
        <v/>
      </c>
      <c r="J1463" t="str">
        <f t="shared" si="116"/>
        <v/>
      </c>
      <c r="K1463" s="4" t="str">
        <f t="shared" si="117"/>
        <v/>
      </c>
      <c r="L1463" s="47">
        <f t="shared" si="118"/>
        <v>0</v>
      </c>
      <c r="M1463" s="47">
        <f t="shared" si="119"/>
        <v>0</v>
      </c>
      <c r="N1463" t="str">
        <f>IF(A1463="","",IF(D1463="Category Pending","Needs categorization",IF(COUNTIFS($A$2:A1463,A1463,$B$2:B1463,B1463,$E$2:E1463,E1463)&gt;1,"Possible duplicate","")))</f>
        <v/>
      </c>
    </row>
    <row r="1464" spans="3:14" x14ac:dyDescent="0.3">
      <c r="C1464" s="16"/>
      <c r="G1464" s="5" t="str">
        <f t="shared" si="115"/>
        <v/>
      </c>
      <c r="H1464" t="str">
        <f>IF(A1464="","",IFERROR(_xlfn.XLOOKUP(D1464,Setup!$E$15:$E$79,Setup!$F$15:$F$79),"Miscellaneous"))</f>
        <v/>
      </c>
      <c r="I1464" t="str">
        <f>IF(A1464="","",IFERROR(_xlfn.XLOOKUP(D1464,Setup!$E$15:$E$79,Setup!$G$15:$G$79),"Uncategorized"))</f>
        <v/>
      </c>
      <c r="J1464" t="str">
        <f t="shared" si="116"/>
        <v/>
      </c>
      <c r="K1464" s="4" t="str">
        <f t="shared" si="117"/>
        <v/>
      </c>
      <c r="L1464" s="47">
        <f t="shared" si="118"/>
        <v>0</v>
      </c>
      <c r="M1464" s="47">
        <f t="shared" si="119"/>
        <v>0</v>
      </c>
      <c r="N1464" t="str">
        <f>IF(A1464="","",IF(D1464="Category Pending","Needs categorization",IF(COUNTIFS($A$2:A1464,A1464,$B$2:B1464,B1464,$E$2:E1464,E1464)&gt;1,"Possible duplicate","")))</f>
        <v/>
      </c>
    </row>
    <row r="1465" spans="3:14" x14ac:dyDescent="0.3">
      <c r="C1465" s="16"/>
      <c r="G1465" s="5" t="str">
        <f t="shared" si="115"/>
        <v/>
      </c>
      <c r="H1465" t="str">
        <f>IF(A1465="","",IFERROR(_xlfn.XLOOKUP(D1465,Setup!$E$15:$E$79,Setup!$F$15:$F$79),"Miscellaneous"))</f>
        <v/>
      </c>
      <c r="I1465" t="str">
        <f>IF(A1465="","",IFERROR(_xlfn.XLOOKUP(D1465,Setup!$E$15:$E$79,Setup!$G$15:$G$79),"Uncategorized"))</f>
        <v/>
      </c>
      <c r="J1465" t="str">
        <f t="shared" si="116"/>
        <v/>
      </c>
      <c r="K1465" s="4" t="str">
        <f t="shared" si="117"/>
        <v/>
      </c>
      <c r="L1465" s="47">
        <f t="shared" si="118"/>
        <v>0</v>
      </c>
      <c r="M1465" s="47">
        <f t="shared" si="119"/>
        <v>0</v>
      </c>
      <c r="N1465" t="str">
        <f>IF(A1465="","",IF(D1465="Category Pending","Needs categorization",IF(COUNTIFS($A$2:A1465,A1465,$B$2:B1465,B1465,$E$2:E1465,E1465)&gt;1,"Possible duplicate","")))</f>
        <v/>
      </c>
    </row>
    <row r="1466" spans="3:14" x14ac:dyDescent="0.3">
      <c r="C1466" s="16"/>
      <c r="G1466" s="5" t="str">
        <f t="shared" si="115"/>
        <v/>
      </c>
      <c r="H1466" t="str">
        <f>IF(A1466="","",IFERROR(_xlfn.XLOOKUP(D1466,Setup!$E$15:$E$79,Setup!$F$15:$F$79),"Miscellaneous"))</f>
        <v/>
      </c>
      <c r="I1466" t="str">
        <f>IF(A1466="","",IFERROR(_xlfn.XLOOKUP(D1466,Setup!$E$15:$E$79,Setup!$G$15:$G$79),"Uncategorized"))</f>
        <v/>
      </c>
      <c r="J1466" t="str">
        <f t="shared" si="116"/>
        <v/>
      </c>
      <c r="K1466" s="4" t="str">
        <f t="shared" si="117"/>
        <v/>
      </c>
      <c r="L1466" s="47">
        <f t="shared" si="118"/>
        <v>0</v>
      </c>
      <c r="M1466" s="47">
        <f t="shared" si="119"/>
        <v>0</v>
      </c>
      <c r="N1466" t="str">
        <f>IF(A1466="","",IF(D1466="Category Pending","Needs categorization",IF(COUNTIFS($A$2:A1466,A1466,$B$2:B1466,B1466,$E$2:E1466,E1466)&gt;1,"Possible duplicate","")))</f>
        <v/>
      </c>
    </row>
    <row r="1467" spans="3:14" x14ac:dyDescent="0.3">
      <c r="C1467" s="16"/>
      <c r="G1467" s="5" t="str">
        <f t="shared" si="115"/>
        <v/>
      </c>
      <c r="H1467" t="str">
        <f>IF(A1467="","",IFERROR(_xlfn.XLOOKUP(D1467,Setup!$E$15:$E$79,Setup!$F$15:$F$79),"Miscellaneous"))</f>
        <v/>
      </c>
      <c r="I1467" t="str">
        <f>IF(A1467="","",IFERROR(_xlfn.XLOOKUP(D1467,Setup!$E$15:$E$79,Setup!$G$15:$G$79),"Uncategorized"))</f>
        <v/>
      </c>
      <c r="J1467" t="str">
        <f t="shared" si="116"/>
        <v/>
      </c>
      <c r="K1467" s="4" t="str">
        <f t="shared" si="117"/>
        <v/>
      </c>
      <c r="L1467" s="47">
        <f t="shared" si="118"/>
        <v>0</v>
      </c>
      <c r="M1467" s="47">
        <f t="shared" si="119"/>
        <v>0</v>
      </c>
      <c r="N1467" t="str">
        <f>IF(A1467="","",IF(D1467="Category Pending","Needs categorization",IF(COUNTIFS($A$2:A1467,A1467,$B$2:B1467,B1467,$E$2:E1467,E1467)&gt;1,"Possible duplicate","")))</f>
        <v/>
      </c>
    </row>
    <row r="1468" spans="3:14" x14ac:dyDescent="0.3">
      <c r="C1468" s="16"/>
      <c r="G1468" s="5" t="str">
        <f t="shared" si="115"/>
        <v/>
      </c>
      <c r="H1468" t="str">
        <f>IF(A1468="","",IFERROR(_xlfn.XLOOKUP(D1468,Setup!$E$15:$E$79,Setup!$F$15:$F$79),"Miscellaneous"))</f>
        <v/>
      </c>
      <c r="I1468" t="str">
        <f>IF(A1468="","",IFERROR(_xlfn.XLOOKUP(D1468,Setup!$E$15:$E$79,Setup!$G$15:$G$79),"Uncategorized"))</f>
        <v/>
      </c>
      <c r="J1468" t="str">
        <f t="shared" si="116"/>
        <v/>
      </c>
      <c r="K1468" s="4" t="str">
        <f t="shared" si="117"/>
        <v/>
      </c>
      <c r="L1468" s="47">
        <f t="shared" si="118"/>
        <v>0</v>
      </c>
      <c r="M1468" s="47">
        <f t="shared" si="119"/>
        <v>0</v>
      </c>
      <c r="N1468" t="str">
        <f>IF(A1468="","",IF(D1468="Category Pending","Needs categorization",IF(COUNTIFS($A$2:A1468,A1468,$B$2:B1468,B1468,$E$2:E1468,E1468)&gt;1,"Possible duplicate","")))</f>
        <v/>
      </c>
    </row>
    <row r="1469" spans="3:14" x14ac:dyDescent="0.3">
      <c r="C1469" s="16"/>
      <c r="G1469" s="5" t="str">
        <f t="shared" si="115"/>
        <v/>
      </c>
      <c r="H1469" t="str">
        <f>IF(A1469="","",IFERROR(_xlfn.XLOOKUP(D1469,Setup!$E$15:$E$79,Setup!$F$15:$F$79),"Miscellaneous"))</f>
        <v/>
      </c>
      <c r="I1469" t="str">
        <f>IF(A1469="","",IFERROR(_xlfn.XLOOKUP(D1469,Setup!$E$15:$E$79,Setup!$G$15:$G$79),"Uncategorized"))</f>
        <v/>
      </c>
      <c r="J1469" t="str">
        <f t="shared" si="116"/>
        <v/>
      </c>
      <c r="K1469" s="4" t="str">
        <f t="shared" si="117"/>
        <v/>
      </c>
      <c r="L1469" s="47">
        <f t="shared" si="118"/>
        <v>0</v>
      </c>
      <c r="M1469" s="47">
        <f t="shared" si="119"/>
        <v>0</v>
      </c>
      <c r="N1469" t="str">
        <f>IF(A1469="","",IF(D1469="Category Pending","Needs categorization",IF(COUNTIFS($A$2:A1469,A1469,$B$2:B1469,B1469,$E$2:E1469,E1469)&gt;1,"Possible duplicate","")))</f>
        <v/>
      </c>
    </row>
    <row r="1470" spans="3:14" x14ac:dyDescent="0.3">
      <c r="C1470" s="16"/>
      <c r="G1470" s="5" t="str">
        <f t="shared" si="115"/>
        <v/>
      </c>
      <c r="H1470" t="str">
        <f>IF(A1470="","",IFERROR(_xlfn.XLOOKUP(D1470,Setup!$E$15:$E$79,Setup!$F$15:$F$79),"Miscellaneous"))</f>
        <v/>
      </c>
      <c r="I1470" t="str">
        <f>IF(A1470="","",IFERROR(_xlfn.XLOOKUP(D1470,Setup!$E$15:$E$79,Setup!$G$15:$G$79),"Uncategorized"))</f>
        <v/>
      </c>
      <c r="J1470" t="str">
        <f t="shared" si="116"/>
        <v/>
      </c>
      <c r="K1470" s="4" t="str">
        <f t="shared" si="117"/>
        <v/>
      </c>
      <c r="L1470" s="47">
        <f t="shared" si="118"/>
        <v>0</v>
      </c>
      <c r="M1470" s="47">
        <f t="shared" si="119"/>
        <v>0</v>
      </c>
      <c r="N1470" t="str">
        <f>IF(A1470="","",IF(D1470="Category Pending","Needs categorization",IF(COUNTIFS($A$2:A1470,A1470,$B$2:B1470,B1470,$E$2:E1470,E1470)&gt;1,"Possible duplicate","")))</f>
        <v/>
      </c>
    </row>
    <row r="1471" spans="3:14" x14ac:dyDescent="0.3">
      <c r="C1471" s="16"/>
      <c r="G1471" s="5" t="str">
        <f t="shared" si="115"/>
        <v/>
      </c>
      <c r="H1471" t="str">
        <f>IF(A1471="","",IFERROR(_xlfn.XLOOKUP(D1471,Setup!$E$15:$E$79,Setup!$F$15:$F$79),"Miscellaneous"))</f>
        <v/>
      </c>
      <c r="I1471" t="str">
        <f>IF(A1471="","",IFERROR(_xlfn.XLOOKUP(D1471,Setup!$E$15:$E$79,Setup!$G$15:$G$79),"Uncategorized"))</f>
        <v/>
      </c>
      <c r="J1471" t="str">
        <f t="shared" si="116"/>
        <v/>
      </c>
      <c r="K1471" s="4" t="str">
        <f t="shared" si="117"/>
        <v/>
      </c>
      <c r="L1471" s="47">
        <f t="shared" si="118"/>
        <v>0</v>
      </c>
      <c r="M1471" s="47">
        <f t="shared" si="119"/>
        <v>0</v>
      </c>
      <c r="N1471" t="str">
        <f>IF(A1471="","",IF(D1471="Category Pending","Needs categorization",IF(COUNTIFS($A$2:A1471,A1471,$B$2:B1471,B1471,$E$2:E1471,E1471)&gt;1,"Possible duplicate","")))</f>
        <v/>
      </c>
    </row>
    <row r="1472" spans="3:14" x14ac:dyDescent="0.3">
      <c r="C1472" s="16"/>
      <c r="G1472" s="5" t="str">
        <f t="shared" si="115"/>
        <v/>
      </c>
      <c r="H1472" t="str">
        <f>IF(A1472="","",IFERROR(_xlfn.XLOOKUP(D1472,Setup!$E$15:$E$79,Setup!$F$15:$F$79),"Miscellaneous"))</f>
        <v/>
      </c>
      <c r="I1472" t="str">
        <f>IF(A1472="","",IFERROR(_xlfn.XLOOKUP(D1472,Setup!$E$15:$E$79,Setup!$G$15:$G$79),"Uncategorized"))</f>
        <v/>
      </c>
      <c r="J1472" t="str">
        <f t="shared" si="116"/>
        <v/>
      </c>
      <c r="K1472" s="4" t="str">
        <f t="shared" si="117"/>
        <v/>
      </c>
      <c r="L1472" s="47">
        <f t="shared" si="118"/>
        <v>0</v>
      </c>
      <c r="M1472" s="47">
        <f t="shared" si="119"/>
        <v>0</v>
      </c>
      <c r="N1472" t="str">
        <f>IF(A1472="","",IF(D1472="Category Pending","Needs categorization",IF(COUNTIFS($A$2:A1472,A1472,$B$2:B1472,B1472,$E$2:E1472,E1472)&gt;1,"Possible duplicate","")))</f>
        <v/>
      </c>
    </row>
    <row r="1473" spans="3:14" x14ac:dyDescent="0.3">
      <c r="C1473" s="16"/>
      <c r="G1473" s="5" t="str">
        <f t="shared" si="115"/>
        <v/>
      </c>
      <c r="H1473" t="str">
        <f>IF(A1473="","",IFERROR(_xlfn.XLOOKUP(D1473,Setup!$E$15:$E$79,Setup!$F$15:$F$79),"Miscellaneous"))</f>
        <v/>
      </c>
      <c r="I1473" t="str">
        <f>IF(A1473="","",IFERROR(_xlfn.XLOOKUP(D1473,Setup!$E$15:$E$79,Setup!$G$15:$G$79),"Uncategorized"))</f>
        <v/>
      </c>
      <c r="J1473" t="str">
        <f t="shared" si="116"/>
        <v/>
      </c>
      <c r="K1473" s="4" t="str">
        <f t="shared" si="117"/>
        <v/>
      </c>
      <c r="L1473" s="47">
        <f t="shared" si="118"/>
        <v>0</v>
      </c>
      <c r="M1473" s="47">
        <f t="shared" si="119"/>
        <v>0</v>
      </c>
      <c r="N1473" t="str">
        <f>IF(A1473="","",IF(D1473="Category Pending","Needs categorization",IF(COUNTIFS($A$2:A1473,A1473,$B$2:B1473,B1473,$E$2:E1473,E1473)&gt;1,"Possible duplicate","")))</f>
        <v/>
      </c>
    </row>
    <row r="1474" spans="3:14" x14ac:dyDescent="0.3">
      <c r="C1474" s="16"/>
      <c r="G1474" s="5" t="str">
        <f t="shared" si="115"/>
        <v/>
      </c>
      <c r="H1474" t="str">
        <f>IF(A1474="","",IFERROR(_xlfn.XLOOKUP(D1474,Setup!$E$15:$E$79,Setup!$F$15:$F$79),"Miscellaneous"))</f>
        <v/>
      </c>
      <c r="I1474" t="str">
        <f>IF(A1474="","",IFERROR(_xlfn.XLOOKUP(D1474,Setup!$E$15:$E$79,Setup!$G$15:$G$79),"Uncategorized"))</f>
        <v/>
      </c>
      <c r="J1474" t="str">
        <f t="shared" si="116"/>
        <v/>
      </c>
      <c r="K1474" s="4" t="str">
        <f t="shared" si="117"/>
        <v/>
      </c>
      <c r="L1474" s="47">
        <f t="shared" si="118"/>
        <v>0</v>
      </c>
      <c r="M1474" s="47">
        <f t="shared" si="119"/>
        <v>0</v>
      </c>
      <c r="N1474" t="str">
        <f>IF(A1474="","",IF(D1474="Category Pending","Needs categorization",IF(COUNTIFS($A$2:A1474,A1474,$B$2:B1474,B1474,$E$2:E1474,E1474)&gt;1,"Possible duplicate","")))</f>
        <v/>
      </c>
    </row>
    <row r="1475" spans="3:14" x14ac:dyDescent="0.3">
      <c r="C1475" s="16"/>
      <c r="G1475" s="5" t="str">
        <f t="shared" si="115"/>
        <v/>
      </c>
      <c r="H1475" t="str">
        <f>IF(A1475="","",IFERROR(_xlfn.XLOOKUP(D1475,Setup!$E$15:$E$79,Setup!$F$15:$F$79),"Miscellaneous"))</f>
        <v/>
      </c>
      <c r="I1475" t="str">
        <f>IF(A1475="","",IFERROR(_xlfn.XLOOKUP(D1475,Setup!$E$15:$E$79,Setup!$G$15:$G$79),"Uncategorized"))</f>
        <v/>
      </c>
      <c r="J1475" t="str">
        <f t="shared" si="116"/>
        <v/>
      </c>
      <c r="K1475" s="4" t="str">
        <f t="shared" si="117"/>
        <v/>
      </c>
      <c r="L1475" s="47">
        <f t="shared" si="118"/>
        <v>0</v>
      </c>
      <c r="M1475" s="47">
        <f t="shared" si="119"/>
        <v>0</v>
      </c>
      <c r="N1475" t="str">
        <f>IF(A1475="","",IF(D1475="Category Pending","Needs categorization",IF(COUNTIFS($A$2:A1475,A1475,$B$2:B1475,B1475,$E$2:E1475,E1475)&gt;1,"Possible duplicate","")))</f>
        <v/>
      </c>
    </row>
    <row r="1476" spans="3:14" x14ac:dyDescent="0.3">
      <c r="C1476" s="16"/>
      <c r="G1476" s="5" t="str">
        <f t="shared" si="115"/>
        <v/>
      </c>
      <c r="H1476" t="str">
        <f>IF(A1476="","",IFERROR(_xlfn.XLOOKUP(D1476,Setup!$E$15:$E$79,Setup!$F$15:$F$79),"Miscellaneous"))</f>
        <v/>
      </c>
      <c r="I1476" t="str">
        <f>IF(A1476="","",IFERROR(_xlfn.XLOOKUP(D1476,Setup!$E$15:$E$79,Setup!$G$15:$G$79),"Uncategorized"))</f>
        <v/>
      </c>
      <c r="J1476" t="str">
        <f t="shared" si="116"/>
        <v/>
      </c>
      <c r="K1476" s="4" t="str">
        <f t="shared" si="117"/>
        <v/>
      </c>
      <c r="L1476" s="47">
        <f t="shared" si="118"/>
        <v>0</v>
      </c>
      <c r="M1476" s="47">
        <f t="shared" si="119"/>
        <v>0</v>
      </c>
      <c r="N1476" t="str">
        <f>IF(A1476="","",IF(D1476="Category Pending","Needs categorization",IF(COUNTIFS($A$2:A1476,A1476,$B$2:B1476,B1476,$E$2:E1476,E1476)&gt;1,"Possible duplicate","")))</f>
        <v/>
      </c>
    </row>
    <row r="1477" spans="3:14" x14ac:dyDescent="0.3">
      <c r="C1477" s="16"/>
      <c r="G1477" s="5" t="str">
        <f t="shared" si="115"/>
        <v/>
      </c>
      <c r="H1477" t="str">
        <f>IF(A1477="","",IFERROR(_xlfn.XLOOKUP(D1477,Setup!$E$15:$E$79,Setup!$F$15:$F$79),"Miscellaneous"))</f>
        <v/>
      </c>
      <c r="I1477" t="str">
        <f>IF(A1477="","",IFERROR(_xlfn.XLOOKUP(D1477,Setup!$E$15:$E$79,Setup!$G$15:$G$79),"Uncategorized"))</f>
        <v/>
      </c>
      <c r="J1477" t="str">
        <f t="shared" si="116"/>
        <v/>
      </c>
      <c r="K1477" s="4" t="str">
        <f t="shared" si="117"/>
        <v/>
      </c>
      <c r="L1477" s="47">
        <f t="shared" si="118"/>
        <v>0</v>
      </c>
      <c r="M1477" s="47">
        <f t="shared" si="119"/>
        <v>0</v>
      </c>
      <c r="N1477" t="str">
        <f>IF(A1477="","",IF(D1477="Category Pending","Needs categorization",IF(COUNTIFS($A$2:A1477,A1477,$B$2:B1477,B1477,$E$2:E1477,E1477)&gt;1,"Possible duplicate","")))</f>
        <v/>
      </c>
    </row>
    <row r="1478" spans="3:14" x14ac:dyDescent="0.3">
      <c r="C1478" s="16"/>
      <c r="G1478" s="5" t="str">
        <f t="shared" si="115"/>
        <v/>
      </c>
      <c r="H1478" t="str">
        <f>IF(A1478="","",IFERROR(_xlfn.XLOOKUP(D1478,Setup!$E$15:$E$79,Setup!$F$15:$F$79),"Miscellaneous"))</f>
        <v/>
      </c>
      <c r="I1478" t="str">
        <f>IF(A1478="","",IFERROR(_xlfn.XLOOKUP(D1478,Setup!$E$15:$E$79,Setup!$G$15:$G$79),"Uncategorized"))</f>
        <v/>
      </c>
      <c r="J1478" t="str">
        <f t="shared" si="116"/>
        <v/>
      </c>
      <c r="K1478" s="4" t="str">
        <f t="shared" si="117"/>
        <v/>
      </c>
      <c r="L1478" s="47">
        <f t="shared" si="118"/>
        <v>0</v>
      </c>
      <c r="M1478" s="47">
        <f t="shared" si="119"/>
        <v>0</v>
      </c>
      <c r="N1478" t="str">
        <f>IF(A1478="","",IF(D1478="Category Pending","Needs categorization",IF(COUNTIFS($A$2:A1478,A1478,$B$2:B1478,B1478,$E$2:E1478,E1478)&gt;1,"Possible duplicate","")))</f>
        <v/>
      </c>
    </row>
    <row r="1479" spans="3:14" x14ac:dyDescent="0.3">
      <c r="C1479" s="16"/>
      <c r="G1479" s="5" t="str">
        <f t="shared" si="115"/>
        <v/>
      </c>
      <c r="H1479" t="str">
        <f>IF(A1479="","",IFERROR(_xlfn.XLOOKUP(D1479,Setup!$E$15:$E$79,Setup!$F$15:$F$79),"Miscellaneous"))</f>
        <v/>
      </c>
      <c r="I1479" t="str">
        <f>IF(A1479="","",IFERROR(_xlfn.XLOOKUP(D1479,Setup!$E$15:$E$79,Setup!$G$15:$G$79),"Uncategorized"))</f>
        <v/>
      </c>
      <c r="J1479" t="str">
        <f t="shared" si="116"/>
        <v/>
      </c>
      <c r="K1479" s="4" t="str">
        <f t="shared" si="117"/>
        <v/>
      </c>
      <c r="L1479" s="47">
        <f t="shared" si="118"/>
        <v>0</v>
      </c>
      <c r="M1479" s="47">
        <f t="shared" si="119"/>
        <v>0</v>
      </c>
      <c r="N1479" t="str">
        <f>IF(A1479="","",IF(D1479="Category Pending","Needs categorization",IF(COUNTIFS($A$2:A1479,A1479,$B$2:B1479,B1479,$E$2:E1479,E1479)&gt;1,"Possible duplicate","")))</f>
        <v/>
      </c>
    </row>
    <row r="1480" spans="3:14" x14ac:dyDescent="0.3">
      <c r="C1480" s="16"/>
      <c r="G1480" s="5" t="str">
        <f t="shared" si="115"/>
        <v/>
      </c>
      <c r="H1480" t="str">
        <f>IF(A1480="","",IFERROR(_xlfn.XLOOKUP(D1480,Setup!$E$15:$E$79,Setup!$F$15:$F$79),"Miscellaneous"))</f>
        <v/>
      </c>
      <c r="I1480" t="str">
        <f>IF(A1480="","",IFERROR(_xlfn.XLOOKUP(D1480,Setup!$E$15:$E$79,Setup!$G$15:$G$79),"Uncategorized"))</f>
        <v/>
      </c>
      <c r="J1480" t="str">
        <f t="shared" si="116"/>
        <v/>
      </c>
      <c r="K1480" s="4" t="str">
        <f t="shared" si="117"/>
        <v/>
      </c>
      <c r="L1480" s="47">
        <f t="shared" si="118"/>
        <v>0</v>
      </c>
      <c r="M1480" s="47">
        <f t="shared" si="119"/>
        <v>0</v>
      </c>
      <c r="N1480" t="str">
        <f>IF(A1480="","",IF(D1480="Category Pending","Needs categorization",IF(COUNTIFS($A$2:A1480,A1480,$B$2:B1480,B1480,$E$2:E1480,E1480)&gt;1,"Possible duplicate","")))</f>
        <v/>
      </c>
    </row>
    <row r="1481" spans="3:14" x14ac:dyDescent="0.3">
      <c r="C1481" s="16"/>
      <c r="G1481" s="5" t="str">
        <f t="shared" si="115"/>
        <v/>
      </c>
      <c r="H1481" t="str">
        <f>IF(A1481="","",IFERROR(_xlfn.XLOOKUP(D1481,Setup!$E$15:$E$79,Setup!$F$15:$F$79),"Miscellaneous"))</f>
        <v/>
      </c>
      <c r="I1481" t="str">
        <f>IF(A1481="","",IFERROR(_xlfn.XLOOKUP(D1481,Setup!$E$15:$E$79,Setup!$G$15:$G$79),"Uncategorized"))</f>
        <v/>
      </c>
      <c r="J1481" t="str">
        <f t="shared" si="116"/>
        <v/>
      </c>
      <c r="K1481" s="4" t="str">
        <f t="shared" si="117"/>
        <v/>
      </c>
      <c r="L1481" s="47">
        <f t="shared" si="118"/>
        <v>0</v>
      </c>
      <c r="M1481" s="47">
        <f t="shared" si="119"/>
        <v>0</v>
      </c>
      <c r="N1481" t="str">
        <f>IF(A1481="","",IF(D1481="Category Pending","Needs categorization",IF(COUNTIFS($A$2:A1481,A1481,$B$2:B1481,B1481,$E$2:E1481,E1481)&gt;1,"Possible duplicate","")))</f>
        <v/>
      </c>
    </row>
    <row r="1482" spans="3:14" x14ac:dyDescent="0.3">
      <c r="C1482" s="16"/>
      <c r="G1482" s="5" t="str">
        <f t="shared" si="115"/>
        <v/>
      </c>
      <c r="H1482" t="str">
        <f>IF(A1482="","",IFERROR(_xlfn.XLOOKUP(D1482,Setup!$E$15:$E$79,Setup!$F$15:$F$79),"Miscellaneous"))</f>
        <v/>
      </c>
      <c r="I1482" t="str">
        <f>IF(A1482="","",IFERROR(_xlfn.XLOOKUP(D1482,Setup!$E$15:$E$79,Setup!$G$15:$G$79),"Uncategorized"))</f>
        <v/>
      </c>
      <c r="J1482" t="str">
        <f t="shared" si="116"/>
        <v/>
      </c>
      <c r="K1482" s="4" t="str">
        <f t="shared" si="117"/>
        <v/>
      </c>
      <c r="L1482" s="47">
        <f t="shared" si="118"/>
        <v>0</v>
      </c>
      <c r="M1482" s="47">
        <f t="shared" si="119"/>
        <v>0</v>
      </c>
      <c r="N1482" t="str">
        <f>IF(A1482="","",IF(D1482="Category Pending","Needs categorization",IF(COUNTIFS($A$2:A1482,A1482,$B$2:B1482,B1482,$E$2:E1482,E1482)&gt;1,"Possible duplicate","")))</f>
        <v/>
      </c>
    </row>
    <row r="1483" spans="3:14" x14ac:dyDescent="0.3">
      <c r="C1483" s="16"/>
      <c r="G1483" s="5" t="str">
        <f t="shared" si="115"/>
        <v/>
      </c>
      <c r="H1483" t="str">
        <f>IF(A1483="","",IFERROR(_xlfn.XLOOKUP(D1483,Setup!$E$15:$E$79,Setup!$F$15:$F$79),"Miscellaneous"))</f>
        <v/>
      </c>
      <c r="I1483" t="str">
        <f>IF(A1483="","",IFERROR(_xlfn.XLOOKUP(D1483,Setup!$E$15:$E$79,Setup!$G$15:$G$79),"Uncategorized"))</f>
        <v/>
      </c>
      <c r="J1483" t="str">
        <f t="shared" si="116"/>
        <v/>
      </c>
      <c r="K1483" s="4" t="str">
        <f t="shared" si="117"/>
        <v/>
      </c>
      <c r="L1483" s="47">
        <f t="shared" si="118"/>
        <v>0</v>
      </c>
      <c r="M1483" s="47">
        <f t="shared" si="119"/>
        <v>0</v>
      </c>
      <c r="N1483" t="str">
        <f>IF(A1483="","",IF(D1483="Category Pending","Needs categorization",IF(COUNTIFS($A$2:A1483,A1483,$B$2:B1483,B1483,$E$2:E1483,E1483)&gt;1,"Possible duplicate","")))</f>
        <v/>
      </c>
    </row>
    <row r="1484" spans="3:14" x14ac:dyDescent="0.3">
      <c r="C1484" s="16"/>
      <c r="G1484" s="5" t="str">
        <f t="shared" si="115"/>
        <v/>
      </c>
      <c r="H1484" t="str">
        <f>IF(A1484="","",IFERROR(_xlfn.XLOOKUP(D1484,Setup!$E$15:$E$79,Setup!$F$15:$F$79),"Miscellaneous"))</f>
        <v/>
      </c>
      <c r="I1484" t="str">
        <f>IF(A1484="","",IFERROR(_xlfn.XLOOKUP(D1484,Setup!$E$15:$E$79,Setup!$G$15:$G$79),"Uncategorized"))</f>
        <v/>
      </c>
      <c r="J1484" t="str">
        <f t="shared" si="116"/>
        <v/>
      </c>
      <c r="K1484" s="4" t="str">
        <f t="shared" si="117"/>
        <v/>
      </c>
      <c r="L1484" s="47">
        <f t="shared" si="118"/>
        <v>0</v>
      </c>
      <c r="M1484" s="47">
        <f t="shared" si="119"/>
        <v>0</v>
      </c>
      <c r="N1484" t="str">
        <f>IF(A1484="","",IF(D1484="Category Pending","Needs categorization",IF(COUNTIFS($A$2:A1484,A1484,$B$2:B1484,B1484,$E$2:E1484,E1484)&gt;1,"Possible duplicate","")))</f>
        <v/>
      </c>
    </row>
    <row r="1485" spans="3:14" x14ac:dyDescent="0.3">
      <c r="C1485" s="16"/>
      <c r="G1485" s="5" t="str">
        <f t="shared" si="115"/>
        <v/>
      </c>
      <c r="H1485" t="str">
        <f>IF(A1485="","",IFERROR(_xlfn.XLOOKUP(D1485,Setup!$E$15:$E$79,Setup!$F$15:$F$79),"Miscellaneous"))</f>
        <v/>
      </c>
      <c r="I1485" t="str">
        <f>IF(A1485="","",IFERROR(_xlfn.XLOOKUP(D1485,Setup!$E$15:$E$79,Setup!$G$15:$G$79),"Uncategorized"))</f>
        <v/>
      </c>
      <c r="J1485" t="str">
        <f t="shared" si="116"/>
        <v/>
      </c>
      <c r="K1485" s="4" t="str">
        <f t="shared" si="117"/>
        <v/>
      </c>
      <c r="L1485" s="47">
        <f t="shared" si="118"/>
        <v>0</v>
      </c>
      <c r="M1485" s="47">
        <f t="shared" si="119"/>
        <v>0</v>
      </c>
      <c r="N1485" t="str">
        <f>IF(A1485="","",IF(D1485="Category Pending","Needs categorization",IF(COUNTIFS($A$2:A1485,A1485,$B$2:B1485,B1485,$E$2:E1485,E1485)&gt;1,"Possible duplicate","")))</f>
        <v/>
      </c>
    </row>
    <row r="1486" spans="3:14" x14ac:dyDescent="0.3">
      <c r="C1486" s="16"/>
      <c r="G1486" s="5" t="str">
        <f t="shared" si="115"/>
        <v/>
      </c>
      <c r="H1486" t="str">
        <f>IF(A1486="","",IFERROR(_xlfn.XLOOKUP(D1486,Setup!$E$15:$E$79,Setup!$F$15:$F$79),"Miscellaneous"))</f>
        <v/>
      </c>
      <c r="I1486" t="str">
        <f>IF(A1486="","",IFERROR(_xlfn.XLOOKUP(D1486,Setup!$E$15:$E$79,Setup!$G$15:$G$79),"Uncategorized"))</f>
        <v/>
      </c>
      <c r="J1486" t="str">
        <f t="shared" si="116"/>
        <v/>
      </c>
      <c r="K1486" s="4" t="str">
        <f t="shared" si="117"/>
        <v/>
      </c>
      <c r="L1486" s="47">
        <f t="shared" si="118"/>
        <v>0</v>
      </c>
      <c r="M1486" s="47">
        <f t="shared" si="119"/>
        <v>0</v>
      </c>
      <c r="N1486" t="str">
        <f>IF(A1486="","",IF(D1486="Category Pending","Needs categorization",IF(COUNTIFS($A$2:A1486,A1486,$B$2:B1486,B1486,$E$2:E1486,E1486)&gt;1,"Possible duplicate","")))</f>
        <v/>
      </c>
    </row>
    <row r="1487" spans="3:14" x14ac:dyDescent="0.3">
      <c r="C1487" s="16"/>
      <c r="G1487" s="5" t="str">
        <f t="shared" si="115"/>
        <v/>
      </c>
      <c r="H1487" t="str">
        <f>IF(A1487="","",IFERROR(_xlfn.XLOOKUP(D1487,Setup!$E$15:$E$79,Setup!$F$15:$F$79),"Miscellaneous"))</f>
        <v/>
      </c>
      <c r="I1487" t="str">
        <f>IF(A1487="","",IFERROR(_xlfn.XLOOKUP(D1487,Setup!$E$15:$E$79,Setup!$G$15:$G$79),"Uncategorized"))</f>
        <v/>
      </c>
      <c r="J1487" t="str">
        <f t="shared" si="116"/>
        <v/>
      </c>
      <c r="K1487" s="4" t="str">
        <f t="shared" si="117"/>
        <v/>
      </c>
      <c r="L1487" s="47">
        <f t="shared" si="118"/>
        <v>0</v>
      </c>
      <c r="M1487" s="47">
        <f t="shared" si="119"/>
        <v>0</v>
      </c>
      <c r="N1487" t="str">
        <f>IF(A1487="","",IF(D1487="Category Pending","Needs categorization",IF(COUNTIFS($A$2:A1487,A1487,$B$2:B1487,B1487,$E$2:E1487,E1487)&gt;1,"Possible duplicate","")))</f>
        <v/>
      </c>
    </row>
    <row r="1488" spans="3:14" x14ac:dyDescent="0.3">
      <c r="C1488" s="16"/>
      <c r="G1488" s="5" t="str">
        <f t="shared" si="115"/>
        <v/>
      </c>
      <c r="H1488" t="str">
        <f>IF(A1488="","",IFERROR(_xlfn.XLOOKUP(D1488,Setup!$E$15:$E$79,Setup!$F$15:$F$79),"Miscellaneous"))</f>
        <v/>
      </c>
      <c r="I1488" t="str">
        <f>IF(A1488="","",IFERROR(_xlfn.XLOOKUP(D1488,Setup!$E$15:$E$79,Setup!$G$15:$G$79),"Uncategorized"))</f>
        <v/>
      </c>
      <c r="J1488" t="str">
        <f t="shared" si="116"/>
        <v/>
      </c>
      <c r="K1488" s="4" t="str">
        <f t="shared" si="117"/>
        <v/>
      </c>
      <c r="L1488" s="47">
        <f t="shared" si="118"/>
        <v>0</v>
      </c>
      <c r="M1488" s="47">
        <f t="shared" si="119"/>
        <v>0</v>
      </c>
      <c r="N1488" t="str">
        <f>IF(A1488="","",IF(D1488="Category Pending","Needs categorization",IF(COUNTIFS($A$2:A1488,A1488,$B$2:B1488,B1488,$E$2:E1488,E1488)&gt;1,"Possible duplicate","")))</f>
        <v/>
      </c>
    </row>
    <row r="1489" spans="3:14" x14ac:dyDescent="0.3">
      <c r="C1489" s="16"/>
      <c r="G1489" s="5" t="str">
        <f t="shared" si="115"/>
        <v/>
      </c>
      <c r="H1489" t="str">
        <f>IF(A1489="","",IFERROR(_xlfn.XLOOKUP(D1489,Setup!$E$15:$E$79,Setup!$F$15:$F$79),"Miscellaneous"))</f>
        <v/>
      </c>
      <c r="I1489" t="str">
        <f>IF(A1489="","",IFERROR(_xlfn.XLOOKUP(D1489,Setup!$E$15:$E$79,Setup!$G$15:$G$79),"Uncategorized"))</f>
        <v/>
      </c>
      <c r="J1489" t="str">
        <f t="shared" si="116"/>
        <v/>
      </c>
      <c r="K1489" s="4" t="str">
        <f t="shared" si="117"/>
        <v/>
      </c>
      <c r="L1489" s="47">
        <f t="shared" si="118"/>
        <v>0</v>
      </c>
      <c r="M1489" s="47">
        <f t="shared" si="119"/>
        <v>0</v>
      </c>
      <c r="N1489" t="str">
        <f>IF(A1489="","",IF(D1489="Category Pending","Needs categorization",IF(COUNTIFS($A$2:A1489,A1489,$B$2:B1489,B1489,$E$2:E1489,E1489)&gt;1,"Possible duplicate","")))</f>
        <v/>
      </c>
    </row>
    <row r="1490" spans="3:14" x14ac:dyDescent="0.3">
      <c r="C1490" s="16"/>
      <c r="G1490" s="5" t="str">
        <f t="shared" si="115"/>
        <v/>
      </c>
      <c r="H1490" t="str">
        <f>IF(A1490="","",IFERROR(_xlfn.XLOOKUP(D1490,Setup!$E$15:$E$79,Setup!$F$15:$F$79),"Miscellaneous"))</f>
        <v/>
      </c>
      <c r="I1490" t="str">
        <f>IF(A1490="","",IFERROR(_xlfn.XLOOKUP(D1490,Setup!$E$15:$E$79,Setup!$G$15:$G$79),"Uncategorized"))</f>
        <v/>
      </c>
      <c r="J1490" t="str">
        <f t="shared" si="116"/>
        <v/>
      </c>
      <c r="K1490" s="4" t="str">
        <f t="shared" si="117"/>
        <v/>
      </c>
      <c r="L1490" s="47">
        <f t="shared" si="118"/>
        <v>0</v>
      </c>
      <c r="M1490" s="47">
        <f t="shared" si="119"/>
        <v>0</v>
      </c>
      <c r="N1490" t="str">
        <f>IF(A1490="","",IF(D1490="Category Pending","Needs categorization",IF(COUNTIFS($A$2:A1490,A1490,$B$2:B1490,B1490,$E$2:E1490,E1490)&gt;1,"Possible duplicate","")))</f>
        <v/>
      </c>
    </row>
    <row r="1491" spans="3:14" x14ac:dyDescent="0.3">
      <c r="C1491" s="16"/>
      <c r="G1491" s="5" t="str">
        <f t="shared" si="115"/>
        <v/>
      </c>
      <c r="H1491" t="str">
        <f>IF(A1491="","",IFERROR(_xlfn.XLOOKUP(D1491,Setup!$E$15:$E$79,Setup!$F$15:$F$79),"Miscellaneous"))</f>
        <v/>
      </c>
      <c r="I1491" t="str">
        <f>IF(A1491="","",IFERROR(_xlfn.XLOOKUP(D1491,Setup!$E$15:$E$79,Setup!$G$15:$G$79),"Uncategorized"))</f>
        <v/>
      </c>
      <c r="J1491" t="str">
        <f t="shared" si="116"/>
        <v/>
      </c>
      <c r="K1491" s="4" t="str">
        <f t="shared" si="117"/>
        <v/>
      </c>
      <c r="L1491" s="47">
        <f t="shared" si="118"/>
        <v>0</v>
      </c>
      <c r="M1491" s="47">
        <f t="shared" si="119"/>
        <v>0</v>
      </c>
      <c r="N1491" t="str">
        <f>IF(A1491="","",IF(D1491="Category Pending","Needs categorization",IF(COUNTIFS($A$2:A1491,A1491,$B$2:B1491,B1491,$E$2:E1491,E1491)&gt;1,"Possible duplicate","")))</f>
        <v/>
      </c>
    </row>
    <row r="1492" spans="3:14" x14ac:dyDescent="0.3">
      <c r="C1492" s="16"/>
      <c r="G1492" s="5" t="str">
        <f t="shared" si="115"/>
        <v/>
      </c>
      <c r="H1492" t="str">
        <f>IF(A1492="","",IFERROR(_xlfn.XLOOKUP(D1492,Setup!$E$15:$E$79,Setup!$F$15:$F$79),"Miscellaneous"))</f>
        <v/>
      </c>
      <c r="I1492" t="str">
        <f>IF(A1492="","",IFERROR(_xlfn.XLOOKUP(D1492,Setup!$E$15:$E$79,Setup!$G$15:$G$79),"Uncategorized"))</f>
        <v/>
      </c>
      <c r="J1492" t="str">
        <f t="shared" si="116"/>
        <v/>
      </c>
      <c r="K1492" s="4" t="str">
        <f t="shared" si="117"/>
        <v/>
      </c>
      <c r="L1492" s="47">
        <f t="shared" si="118"/>
        <v>0</v>
      </c>
      <c r="M1492" s="47">
        <f t="shared" si="119"/>
        <v>0</v>
      </c>
      <c r="N1492" t="str">
        <f>IF(A1492="","",IF(D1492="Category Pending","Needs categorization",IF(COUNTIFS($A$2:A1492,A1492,$B$2:B1492,B1492,$E$2:E1492,E1492)&gt;1,"Possible duplicate","")))</f>
        <v/>
      </c>
    </row>
    <row r="1493" spans="3:14" x14ac:dyDescent="0.3">
      <c r="C1493" s="16"/>
      <c r="G1493" s="5" t="str">
        <f t="shared" si="115"/>
        <v/>
      </c>
      <c r="H1493" t="str">
        <f>IF(A1493="","",IFERROR(_xlfn.XLOOKUP(D1493,Setup!$E$15:$E$79,Setup!$F$15:$F$79),"Miscellaneous"))</f>
        <v/>
      </c>
      <c r="I1493" t="str">
        <f>IF(A1493="","",IFERROR(_xlfn.XLOOKUP(D1493,Setup!$E$15:$E$79,Setup!$G$15:$G$79),"Uncategorized"))</f>
        <v/>
      </c>
      <c r="J1493" t="str">
        <f t="shared" si="116"/>
        <v/>
      </c>
      <c r="K1493" s="4" t="str">
        <f t="shared" si="117"/>
        <v/>
      </c>
      <c r="L1493" s="47">
        <f t="shared" si="118"/>
        <v>0</v>
      </c>
      <c r="M1493" s="47">
        <f t="shared" si="119"/>
        <v>0</v>
      </c>
      <c r="N1493" t="str">
        <f>IF(A1493="","",IF(D1493="Category Pending","Needs categorization",IF(COUNTIFS($A$2:A1493,A1493,$B$2:B1493,B1493,$E$2:E1493,E1493)&gt;1,"Possible duplicate","")))</f>
        <v/>
      </c>
    </row>
    <row r="1494" spans="3:14" x14ac:dyDescent="0.3">
      <c r="C1494" s="16"/>
      <c r="G1494" s="5" t="str">
        <f t="shared" si="115"/>
        <v/>
      </c>
      <c r="H1494" t="str">
        <f>IF(A1494="","",IFERROR(_xlfn.XLOOKUP(D1494,Setup!$E$15:$E$79,Setup!$F$15:$F$79),"Miscellaneous"))</f>
        <v/>
      </c>
      <c r="I1494" t="str">
        <f>IF(A1494="","",IFERROR(_xlfn.XLOOKUP(D1494,Setup!$E$15:$E$79,Setup!$G$15:$G$79),"Uncategorized"))</f>
        <v/>
      </c>
      <c r="J1494" t="str">
        <f t="shared" si="116"/>
        <v/>
      </c>
      <c r="K1494" s="4" t="str">
        <f t="shared" si="117"/>
        <v/>
      </c>
      <c r="L1494" s="47">
        <f t="shared" si="118"/>
        <v>0</v>
      </c>
      <c r="M1494" s="47">
        <f t="shared" si="119"/>
        <v>0</v>
      </c>
      <c r="N1494" t="str">
        <f>IF(A1494="","",IF(D1494="Category Pending","Needs categorization",IF(COUNTIFS($A$2:A1494,A1494,$B$2:B1494,B1494,$E$2:E1494,E1494)&gt;1,"Possible duplicate","")))</f>
        <v/>
      </c>
    </row>
    <row r="1495" spans="3:14" x14ac:dyDescent="0.3">
      <c r="C1495" s="16"/>
      <c r="G1495" s="5" t="str">
        <f t="shared" si="115"/>
        <v/>
      </c>
      <c r="H1495" t="str">
        <f>IF(A1495="","",IFERROR(_xlfn.XLOOKUP(D1495,Setup!$E$15:$E$79,Setup!$F$15:$F$79),"Miscellaneous"))</f>
        <v/>
      </c>
      <c r="I1495" t="str">
        <f>IF(A1495="","",IFERROR(_xlfn.XLOOKUP(D1495,Setup!$E$15:$E$79,Setup!$G$15:$G$79),"Uncategorized"))</f>
        <v/>
      </c>
      <c r="J1495" t="str">
        <f t="shared" si="116"/>
        <v/>
      </c>
      <c r="K1495" s="4" t="str">
        <f t="shared" si="117"/>
        <v/>
      </c>
      <c r="L1495" s="47">
        <f t="shared" si="118"/>
        <v>0</v>
      </c>
      <c r="M1495" s="47">
        <f t="shared" si="119"/>
        <v>0</v>
      </c>
      <c r="N1495" t="str">
        <f>IF(A1495="","",IF(D1495="Category Pending","Needs categorization",IF(COUNTIFS($A$2:A1495,A1495,$B$2:B1495,B1495,$E$2:E1495,E1495)&gt;1,"Possible duplicate","")))</f>
        <v/>
      </c>
    </row>
    <row r="1496" spans="3:14" x14ac:dyDescent="0.3">
      <c r="C1496" s="16"/>
      <c r="G1496" s="5" t="str">
        <f t="shared" si="115"/>
        <v/>
      </c>
      <c r="H1496" t="str">
        <f>IF(A1496="","",IFERROR(_xlfn.XLOOKUP(D1496,Setup!$E$15:$E$79,Setup!$F$15:$F$79),"Miscellaneous"))</f>
        <v/>
      </c>
      <c r="I1496" t="str">
        <f>IF(A1496="","",IFERROR(_xlfn.XLOOKUP(D1496,Setup!$E$15:$E$79,Setup!$G$15:$G$79),"Uncategorized"))</f>
        <v/>
      </c>
      <c r="J1496" t="str">
        <f t="shared" si="116"/>
        <v/>
      </c>
      <c r="K1496" s="4" t="str">
        <f t="shared" si="117"/>
        <v/>
      </c>
      <c r="L1496" s="47">
        <f t="shared" si="118"/>
        <v>0</v>
      </c>
      <c r="M1496" s="47">
        <f t="shared" si="119"/>
        <v>0</v>
      </c>
      <c r="N1496" t="str">
        <f>IF(A1496="","",IF(D1496="Category Pending","Needs categorization",IF(COUNTIFS($A$2:A1496,A1496,$B$2:B1496,B1496,$E$2:E1496,E1496)&gt;1,"Possible duplicate","")))</f>
        <v/>
      </c>
    </row>
    <row r="1497" spans="3:14" x14ac:dyDescent="0.3">
      <c r="C1497" s="16"/>
      <c r="G1497" s="5" t="str">
        <f t="shared" si="115"/>
        <v/>
      </c>
      <c r="H1497" t="str">
        <f>IF(A1497="","",IFERROR(_xlfn.XLOOKUP(D1497,Setup!$E$15:$E$79,Setup!$F$15:$F$79),"Miscellaneous"))</f>
        <v/>
      </c>
      <c r="I1497" t="str">
        <f>IF(A1497="","",IFERROR(_xlfn.XLOOKUP(D1497,Setup!$E$15:$E$79,Setup!$G$15:$G$79),"Uncategorized"))</f>
        <v/>
      </c>
      <c r="J1497" t="str">
        <f t="shared" si="116"/>
        <v/>
      </c>
      <c r="K1497" s="4" t="str">
        <f t="shared" si="117"/>
        <v/>
      </c>
      <c r="L1497" s="47">
        <f t="shared" si="118"/>
        <v>0</v>
      </c>
      <c r="M1497" s="47">
        <f t="shared" si="119"/>
        <v>0</v>
      </c>
      <c r="N1497" t="str">
        <f>IF(A1497="","",IF(D1497="Category Pending","Needs categorization",IF(COUNTIFS($A$2:A1497,A1497,$B$2:B1497,B1497,$E$2:E1497,E1497)&gt;1,"Possible duplicate","")))</f>
        <v/>
      </c>
    </row>
    <row r="1498" spans="3:14" x14ac:dyDescent="0.3">
      <c r="C1498" s="16"/>
      <c r="G1498" s="5" t="str">
        <f t="shared" si="115"/>
        <v/>
      </c>
      <c r="H1498" t="str">
        <f>IF(A1498="","",IFERROR(_xlfn.XLOOKUP(D1498,Setup!$E$15:$E$79,Setup!$F$15:$F$79),"Miscellaneous"))</f>
        <v/>
      </c>
      <c r="I1498" t="str">
        <f>IF(A1498="","",IFERROR(_xlfn.XLOOKUP(D1498,Setup!$E$15:$E$79,Setup!$G$15:$G$79),"Uncategorized"))</f>
        <v/>
      </c>
      <c r="J1498" t="str">
        <f t="shared" si="116"/>
        <v/>
      </c>
      <c r="K1498" s="4" t="str">
        <f t="shared" si="117"/>
        <v/>
      </c>
      <c r="L1498" s="47">
        <f t="shared" si="118"/>
        <v>0</v>
      </c>
      <c r="M1498" s="47">
        <f t="shared" si="119"/>
        <v>0</v>
      </c>
      <c r="N1498" t="str">
        <f>IF(A1498="","",IF(D1498="Category Pending","Needs categorization",IF(COUNTIFS($A$2:A1498,A1498,$B$2:B1498,B1498,$E$2:E1498,E1498)&gt;1,"Possible duplicate","")))</f>
        <v/>
      </c>
    </row>
    <row r="1499" spans="3:14" x14ac:dyDescent="0.3">
      <c r="C1499" s="16"/>
      <c r="G1499" s="5" t="str">
        <f t="shared" si="115"/>
        <v/>
      </c>
      <c r="H1499" t="str">
        <f>IF(A1499="","",IFERROR(_xlfn.XLOOKUP(D1499,Setup!$E$15:$E$79,Setup!$F$15:$F$79),"Miscellaneous"))</f>
        <v/>
      </c>
      <c r="I1499" t="str">
        <f>IF(A1499="","",IFERROR(_xlfn.XLOOKUP(D1499,Setup!$E$15:$E$79,Setup!$G$15:$G$79),"Uncategorized"))</f>
        <v/>
      </c>
      <c r="J1499" t="str">
        <f t="shared" si="116"/>
        <v/>
      </c>
      <c r="K1499" s="4" t="str">
        <f t="shared" si="117"/>
        <v/>
      </c>
      <c r="L1499" s="47">
        <f t="shared" si="118"/>
        <v>0</v>
      </c>
      <c r="M1499" s="47">
        <f t="shared" si="119"/>
        <v>0</v>
      </c>
      <c r="N1499" t="str">
        <f>IF(A1499="","",IF(D1499="Category Pending","Needs categorization",IF(COUNTIFS($A$2:A1499,A1499,$B$2:B1499,B1499,$E$2:E1499,E1499)&gt;1,"Possible duplicate","")))</f>
        <v/>
      </c>
    </row>
    <row r="1500" spans="3:14" x14ac:dyDescent="0.3">
      <c r="C1500" s="16"/>
      <c r="G1500" s="5" t="str">
        <f t="shared" si="115"/>
        <v/>
      </c>
      <c r="H1500" t="str">
        <f>IF(A1500="","",IFERROR(_xlfn.XLOOKUP(D1500,Setup!$E$15:$E$79,Setup!$F$15:$F$79),"Miscellaneous"))</f>
        <v/>
      </c>
      <c r="I1500" t="str">
        <f>IF(A1500="","",IFERROR(_xlfn.XLOOKUP(D1500,Setup!$E$15:$E$79,Setup!$G$15:$G$79),"Uncategorized"))</f>
        <v/>
      </c>
      <c r="J1500" t="str">
        <f t="shared" si="116"/>
        <v/>
      </c>
      <c r="K1500" s="4" t="str">
        <f t="shared" si="117"/>
        <v/>
      </c>
      <c r="L1500" s="47">
        <f t="shared" si="118"/>
        <v>0</v>
      </c>
      <c r="M1500" s="47">
        <f t="shared" si="119"/>
        <v>0</v>
      </c>
      <c r="N1500" t="str">
        <f>IF(A1500="","",IF(D1500="Category Pending","Needs categorization",IF(COUNTIFS($A$2:A1500,A1500,$B$2:B1500,B1500,$E$2:E1500,E1500)&gt;1,"Possible duplicate","")))</f>
        <v/>
      </c>
    </row>
    <row r="1501" spans="3:14" x14ac:dyDescent="0.3">
      <c r="C1501" s="16"/>
      <c r="G1501" s="5" t="str">
        <f t="shared" si="115"/>
        <v/>
      </c>
      <c r="H1501" t="str">
        <f>IF(A1501="","",IFERROR(_xlfn.XLOOKUP(D1501,Setup!$E$15:$E$79,Setup!$F$15:$F$79),"Miscellaneous"))</f>
        <v/>
      </c>
      <c r="I1501" t="str">
        <f>IF(A1501="","",IFERROR(_xlfn.XLOOKUP(D1501,Setup!$E$15:$E$79,Setup!$G$15:$G$79),"Uncategorized"))</f>
        <v/>
      </c>
      <c r="J1501" t="str">
        <f t="shared" si="116"/>
        <v/>
      </c>
      <c r="K1501" s="4" t="str">
        <f t="shared" si="117"/>
        <v/>
      </c>
      <c r="L1501" s="47">
        <f t="shared" si="118"/>
        <v>0</v>
      </c>
      <c r="M1501" s="47">
        <f t="shared" si="119"/>
        <v>0</v>
      </c>
      <c r="N1501" t="str">
        <f>IF(A1501="","",IF(D1501="Category Pending","Needs categorization",IF(COUNTIFS($A$2:A1501,A1501,$B$2:B1501,B1501,$E$2:E1501,E1501)&gt;1,"Possible duplicate","")))</f>
        <v/>
      </c>
    </row>
    <row r="1502" spans="3:14" x14ac:dyDescent="0.3">
      <c r="C1502" s="16"/>
      <c r="G1502" s="5" t="str">
        <f t="shared" si="115"/>
        <v/>
      </c>
      <c r="H1502" t="str">
        <f>IF(A1502="","",IFERROR(_xlfn.XLOOKUP(D1502,Setup!$E$15:$E$79,Setup!$F$15:$F$79),"Miscellaneous"))</f>
        <v/>
      </c>
      <c r="I1502" t="str">
        <f>IF(A1502="","",IFERROR(_xlfn.XLOOKUP(D1502,Setup!$E$15:$E$79,Setup!$G$15:$G$79),"Uncategorized"))</f>
        <v/>
      </c>
      <c r="J1502" t="str">
        <f t="shared" si="116"/>
        <v/>
      </c>
      <c r="K1502" s="4" t="str">
        <f t="shared" si="117"/>
        <v/>
      </c>
      <c r="L1502" s="47">
        <f t="shared" si="118"/>
        <v>0</v>
      </c>
      <c r="M1502" s="47">
        <f t="shared" si="119"/>
        <v>0</v>
      </c>
      <c r="N1502" t="str">
        <f>IF(A1502="","",IF(D1502="Category Pending","Needs categorization",IF(COUNTIFS($A$2:A1502,A1502,$B$2:B1502,B1502,$E$2:E1502,E1502)&gt;1,"Possible duplicate","")))</f>
        <v/>
      </c>
    </row>
    <row r="1503" spans="3:14" x14ac:dyDescent="0.3">
      <c r="C1503" s="16"/>
      <c r="G1503" s="5" t="str">
        <f t="shared" si="115"/>
        <v/>
      </c>
      <c r="H1503" t="str">
        <f>IF(A1503="","",IFERROR(_xlfn.XLOOKUP(D1503,Setup!$E$15:$E$79,Setup!$F$15:$F$79),"Miscellaneous"))</f>
        <v/>
      </c>
      <c r="I1503" t="str">
        <f>IF(A1503="","",IFERROR(_xlfn.XLOOKUP(D1503,Setup!$E$15:$E$79,Setup!$G$15:$G$79),"Uncategorized"))</f>
        <v/>
      </c>
      <c r="J1503" t="str">
        <f t="shared" si="116"/>
        <v/>
      </c>
      <c r="K1503" s="4" t="str">
        <f t="shared" si="117"/>
        <v/>
      </c>
      <c r="L1503" s="47">
        <f t="shared" si="118"/>
        <v>0</v>
      </c>
      <c r="M1503" s="47">
        <f t="shared" si="119"/>
        <v>0</v>
      </c>
      <c r="N1503" t="str">
        <f>IF(A1503="","",IF(D1503="Category Pending","Needs categorization",IF(COUNTIFS($A$2:A1503,A1503,$B$2:B1503,B1503,$E$2:E1503,E1503)&gt;1,"Possible duplicate","")))</f>
        <v/>
      </c>
    </row>
    <row r="1504" spans="3:14" x14ac:dyDescent="0.3">
      <c r="C1504" s="16"/>
      <c r="G1504" s="5" t="str">
        <f t="shared" si="115"/>
        <v/>
      </c>
      <c r="H1504" t="str">
        <f>IF(A1504="","",IFERROR(_xlfn.XLOOKUP(D1504,Setup!$E$15:$E$79,Setup!$F$15:$F$79),"Miscellaneous"))</f>
        <v/>
      </c>
      <c r="I1504" t="str">
        <f>IF(A1504="","",IFERROR(_xlfn.XLOOKUP(D1504,Setup!$E$15:$E$79,Setup!$G$15:$G$79),"Uncategorized"))</f>
        <v/>
      </c>
      <c r="J1504" t="str">
        <f t="shared" si="116"/>
        <v/>
      </c>
      <c r="K1504" s="4" t="str">
        <f t="shared" si="117"/>
        <v/>
      </c>
      <c r="L1504" s="47">
        <f t="shared" si="118"/>
        <v>0</v>
      </c>
      <c r="M1504" s="47">
        <f t="shared" si="119"/>
        <v>0</v>
      </c>
      <c r="N1504" t="str">
        <f>IF(A1504="","",IF(D1504="Category Pending","Needs categorization",IF(COUNTIFS($A$2:A1504,A1504,$B$2:B1504,B1504,$E$2:E1504,E1504)&gt;1,"Possible duplicate","")))</f>
        <v/>
      </c>
    </row>
    <row r="1505" spans="3:14" x14ac:dyDescent="0.3">
      <c r="C1505" s="16"/>
      <c r="G1505" s="5" t="str">
        <f t="shared" ref="G1505:G1568" si="120">IF(A1505="","","Checking")</f>
        <v/>
      </c>
      <c r="H1505" t="str">
        <f>IF(A1505="","",IFERROR(_xlfn.XLOOKUP(D1505,Setup!$E$15:$E$79,Setup!$F$15:$F$79),"Miscellaneous"))</f>
        <v/>
      </c>
      <c r="I1505" t="str">
        <f>IF(A1505="","",IFERROR(_xlfn.XLOOKUP(D1505,Setup!$E$15:$E$79,Setup!$G$15:$G$79),"Uncategorized"))</f>
        <v/>
      </c>
      <c r="J1505" t="str">
        <f t="shared" ref="J1505:J1568" si="121">IF(A1505="","",IF(OR(H1505="Transfers",H1505="Income",D1505="Transfer",D1505="Category Pending"),"No","Yes"))</f>
        <v/>
      </c>
      <c r="K1505" s="4" t="str">
        <f t="shared" ref="K1505:K1568" si="122">IF(A1505="","",IF(A1505&gt;=46232,TEXT(DATE(YEAR(A1505),MONTH(A1505)+1,1),"mmmm yyyy"),TEXT(DATE(YEAR(A1505),MONTH(A1505),1),"mmmm yyyy")))</f>
        <v/>
      </c>
      <c r="L1505" s="47">
        <f t="shared" ref="L1505:L1568" si="123">IF(AND(J1505="Yes",E1505&lt;0),-E1505,0)</f>
        <v>0</v>
      </c>
      <c r="M1505" s="47">
        <f t="shared" ref="M1505:M1568" si="124">IF(AND(J1505="Yes",E1505&gt;0),E1505,0)</f>
        <v>0</v>
      </c>
      <c r="N1505" t="str">
        <f>IF(A1505="","",IF(D1505="Category Pending","Needs categorization",IF(COUNTIFS($A$2:A1505,A1505,$B$2:B1505,B1505,$E$2:E1505,E1505)&gt;1,"Possible duplicate","")))</f>
        <v/>
      </c>
    </row>
    <row r="1506" spans="3:14" x14ac:dyDescent="0.3">
      <c r="C1506" s="16"/>
      <c r="G1506" s="5" t="str">
        <f t="shared" si="120"/>
        <v/>
      </c>
      <c r="H1506" t="str">
        <f>IF(A1506="","",IFERROR(_xlfn.XLOOKUP(D1506,Setup!$E$15:$E$79,Setup!$F$15:$F$79),"Miscellaneous"))</f>
        <v/>
      </c>
      <c r="I1506" t="str">
        <f>IF(A1506="","",IFERROR(_xlfn.XLOOKUP(D1506,Setup!$E$15:$E$79,Setup!$G$15:$G$79),"Uncategorized"))</f>
        <v/>
      </c>
      <c r="J1506" t="str">
        <f t="shared" si="121"/>
        <v/>
      </c>
      <c r="K1506" s="4" t="str">
        <f t="shared" si="122"/>
        <v/>
      </c>
      <c r="L1506" s="47">
        <f t="shared" si="123"/>
        <v>0</v>
      </c>
      <c r="M1506" s="47">
        <f t="shared" si="124"/>
        <v>0</v>
      </c>
      <c r="N1506" t="str">
        <f>IF(A1506="","",IF(D1506="Category Pending","Needs categorization",IF(COUNTIFS($A$2:A1506,A1506,$B$2:B1506,B1506,$E$2:E1506,E1506)&gt;1,"Possible duplicate","")))</f>
        <v/>
      </c>
    </row>
    <row r="1507" spans="3:14" x14ac:dyDescent="0.3">
      <c r="C1507" s="16"/>
      <c r="G1507" s="5" t="str">
        <f t="shared" si="120"/>
        <v/>
      </c>
      <c r="H1507" t="str">
        <f>IF(A1507="","",IFERROR(_xlfn.XLOOKUP(D1507,Setup!$E$15:$E$79,Setup!$F$15:$F$79),"Miscellaneous"))</f>
        <v/>
      </c>
      <c r="I1507" t="str">
        <f>IF(A1507="","",IFERROR(_xlfn.XLOOKUP(D1507,Setup!$E$15:$E$79,Setup!$G$15:$G$79),"Uncategorized"))</f>
        <v/>
      </c>
      <c r="J1507" t="str">
        <f t="shared" si="121"/>
        <v/>
      </c>
      <c r="K1507" s="4" t="str">
        <f t="shared" si="122"/>
        <v/>
      </c>
      <c r="L1507" s="47">
        <f t="shared" si="123"/>
        <v>0</v>
      </c>
      <c r="M1507" s="47">
        <f t="shared" si="124"/>
        <v>0</v>
      </c>
      <c r="N1507" t="str">
        <f>IF(A1507="","",IF(D1507="Category Pending","Needs categorization",IF(COUNTIFS($A$2:A1507,A1507,$B$2:B1507,B1507,$E$2:E1507,E1507)&gt;1,"Possible duplicate","")))</f>
        <v/>
      </c>
    </row>
    <row r="1508" spans="3:14" x14ac:dyDescent="0.3">
      <c r="C1508" s="16"/>
      <c r="G1508" s="5" t="str">
        <f t="shared" si="120"/>
        <v/>
      </c>
      <c r="H1508" t="str">
        <f>IF(A1508="","",IFERROR(_xlfn.XLOOKUP(D1508,Setup!$E$15:$E$79,Setup!$F$15:$F$79),"Miscellaneous"))</f>
        <v/>
      </c>
      <c r="I1508" t="str">
        <f>IF(A1508="","",IFERROR(_xlfn.XLOOKUP(D1508,Setup!$E$15:$E$79,Setup!$G$15:$G$79),"Uncategorized"))</f>
        <v/>
      </c>
      <c r="J1508" t="str">
        <f t="shared" si="121"/>
        <v/>
      </c>
      <c r="K1508" s="4" t="str">
        <f t="shared" si="122"/>
        <v/>
      </c>
      <c r="L1508" s="47">
        <f t="shared" si="123"/>
        <v>0</v>
      </c>
      <c r="M1508" s="47">
        <f t="shared" si="124"/>
        <v>0</v>
      </c>
      <c r="N1508" t="str">
        <f>IF(A1508="","",IF(D1508="Category Pending","Needs categorization",IF(COUNTIFS($A$2:A1508,A1508,$B$2:B1508,B1508,$E$2:E1508,E1508)&gt;1,"Possible duplicate","")))</f>
        <v/>
      </c>
    </row>
    <row r="1509" spans="3:14" x14ac:dyDescent="0.3">
      <c r="C1509" s="16"/>
      <c r="G1509" s="5" t="str">
        <f t="shared" si="120"/>
        <v/>
      </c>
      <c r="H1509" t="str">
        <f>IF(A1509="","",IFERROR(_xlfn.XLOOKUP(D1509,Setup!$E$15:$E$79,Setup!$F$15:$F$79),"Miscellaneous"))</f>
        <v/>
      </c>
      <c r="I1509" t="str">
        <f>IF(A1509="","",IFERROR(_xlfn.XLOOKUP(D1509,Setup!$E$15:$E$79,Setup!$G$15:$G$79),"Uncategorized"))</f>
        <v/>
      </c>
      <c r="J1509" t="str">
        <f t="shared" si="121"/>
        <v/>
      </c>
      <c r="K1509" s="4" t="str">
        <f t="shared" si="122"/>
        <v/>
      </c>
      <c r="L1509" s="47">
        <f t="shared" si="123"/>
        <v>0</v>
      </c>
      <c r="M1509" s="47">
        <f t="shared" si="124"/>
        <v>0</v>
      </c>
      <c r="N1509" t="str">
        <f>IF(A1509="","",IF(D1509="Category Pending","Needs categorization",IF(COUNTIFS($A$2:A1509,A1509,$B$2:B1509,B1509,$E$2:E1509,E1509)&gt;1,"Possible duplicate","")))</f>
        <v/>
      </c>
    </row>
    <row r="1510" spans="3:14" x14ac:dyDescent="0.3">
      <c r="C1510" s="16"/>
      <c r="G1510" s="5" t="str">
        <f t="shared" si="120"/>
        <v/>
      </c>
      <c r="H1510" t="str">
        <f>IF(A1510="","",IFERROR(_xlfn.XLOOKUP(D1510,Setup!$E$15:$E$79,Setup!$F$15:$F$79),"Miscellaneous"))</f>
        <v/>
      </c>
      <c r="I1510" t="str">
        <f>IF(A1510="","",IFERROR(_xlfn.XLOOKUP(D1510,Setup!$E$15:$E$79,Setup!$G$15:$G$79),"Uncategorized"))</f>
        <v/>
      </c>
      <c r="J1510" t="str">
        <f t="shared" si="121"/>
        <v/>
      </c>
      <c r="K1510" s="4" t="str">
        <f t="shared" si="122"/>
        <v/>
      </c>
      <c r="L1510" s="47">
        <f t="shared" si="123"/>
        <v>0</v>
      </c>
      <c r="M1510" s="47">
        <f t="shared" si="124"/>
        <v>0</v>
      </c>
      <c r="N1510" t="str">
        <f>IF(A1510="","",IF(D1510="Category Pending","Needs categorization",IF(COUNTIFS($A$2:A1510,A1510,$B$2:B1510,B1510,$E$2:E1510,E1510)&gt;1,"Possible duplicate","")))</f>
        <v/>
      </c>
    </row>
    <row r="1511" spans="3:14" x14ac:dyDescent="0.3">
      <c r="C1511" s="16"/>
      <c r="G1511" s="5" t="str">
        <f t="shared" si="120"/>
        <v/>
      </c>
      <c r="H1511" t="str">
        <f>IF(A1511="","",IFERROR(_xlfn.XLOOKUP(D1511,Setup!$E$15:$E$79,Setup!$F$15:$F$79),"Miscellaneous"))</f>
        <v/>
      </c>
      <c r="I1511" t="str">
        <f>IF(A1511="","",IFERROR(_xlfn.XLOOKUP(D1511,Setup!$E$15:$E$79,Setup!$G$15:$G$79),"Uncategorized"))</f>
        <v/>
      </c>
      <c r="J1511" t="str">
        <f t="shared" si="121"/>
        <v/>
      </c>
      <c r="K1511" s="4" t="str">
        <f t="shared" si="122"/>
        <v/>
      </c>
      <c r="L1511" s="47">
        <f t="shared" si="123"/>
        <v>0</v>
      </c>
      <c r="M1511" s="47">
        <f t="shared" si="124"/>
        <v>0</v>
      </c>
      <c r="N1511" t="str">
        <f>IF(A1511="","",IF(D1511="Category Pending","Needs categorization",IF(COUNTIFS($A$2:A1511,A1511,$B$2:B1511,B1511,$E$2:E1511,E1511)&gt;1,"Possible duplicate","")))</f>
        <v/>
      </c>
    </row>
    <row r="1512" spans="3:14" x14ac:dyDescent="0.3">
      <c r="C1512" s="16"/>
      <c r="G1512" s="5" t="str">
        <f t="shared" si="120"/>
        <v/>
      </c>
      <c r="H1512" t="str">
        <f>IF(A1512="","",IFERROR(_xlfn.XLOOKUP(D1512,Setup!$E$15:$E$79,Setup!$F$15:$F$79),"Miscellaneous"))</f>
        <v/>
      </c>
      <c r="I1512" t="str">
        <f>IF(A1512="","",IFERROR(_xlfn.XLOOKUP(D1512,Setup!$E$15:$E$79,Setup!$G$15:$G$79),"Uncategorized"))</f>
        <v/>
      </c>
      <c r="J1512" t="str">
        <f t="shared" si="121"/>
        <v/>
      </c>
      <c r="K1512" s="4" t="str">
        <f t="shared" si="122"/>
        <v/>
      </c>
      <c r="L1512" s="47">
        <f t="shared" si="123"/>
        <v>0</v>
      </c>
      <c r="M1512" s="47">
        <f t="shared" si="124"/>
        <v>0</v>
      </c>
      <c r="N1512" t="str">
        <f>IF(A1512="","",IF(D1512="Category Pending","Needs categorization",IF(COUNTIFS($A$2:A1512,A1512,$B$2:B1512,B1512,$E$2:E1512,E1512)&gt;1,"Possible duplicate","")))</f>
        <v/>
      </c>
    </row>
    <row r="1513" spans="3:14" x14ac:dyDescent="0.3">
      <c r="C1513" s="16"/>
      <c r="G1513" s="5" t="str">
        <f t="shared" si="120"/>
        <v/>
      </c>
      <c r="H1513" t="str">
        <f>IF(A1513="","",IFERROR(_xlfn.XLOOKUP(D1513,Setup!$E$15:$E$79,Setup!$F$15:$F$79),"Miscellaneous"))</f>
        <v/>
      </c>
      <c r="I1513" t="str">
        <f>IF(A1513="","",IFERROR(_xlfn.XLOOKUP(D1513,Setup!$E$15:$E$79,Setup!$G$15:$G$79),"Uncategorized"))</f>
        <v/>
      </c>
      <c r="J1513" t="str">
        <f t="shared" si="121"/>
        <v/>
      </c>
      <c r="K1513" s="4" t="str">
        <f t="shared" si="122"/>
        <v/>
      </c>
      <c r="L1513" s="47">
        <f t="shared" si="123"/>
        <v>0</v>
      </c>
      <c r="M1513" s="47">
        <f t="shared" si="124"/>
        <v>0</v>
      </c>
      <c r="N1513" t="str">
        <f>IF(A1513="","",IF(D1513="Category Pending","Needs categorization",IF(COUNTIFS($A$2:A1513,A1513,$B$2:B1513,B1513,$E$2:E1513,E1513)&gt;1,"Possible duplicate","")))</f>
        <v/>
      </c>
    </row>
    <row r="1514" spans="3:14" x14ac:dyDescent="0.3">
      <c r="C1514" s="16"/>
      <c r="G1514" s="5" t="str">
        <f t="shared" si="120"/>
        <v/>
      </c>
      <c r="H1514" t="str">
        <f>IF(A1514="","",IFERROR(_xlfn.XLOOKUP(D1514,Setup!$E$15:$E$79,Setup!$F$15:$F$79),"Miscellaneous"))</f>
        <v/>
      </c>
      <c r="I1514" t="str">
        <f>IF(A1514="","",IFERROR(_xlfn.XLOOKUP(D1514,Setup!$E$15:$E$79,Setup!$G$15:$G$79),"Uncategorized"))</f>
        <v/>
      </c>
      <c r="J1514" t="str">
        <f t="shared" si="121"/>
        <v/>
      </c>
      <c r="K1514" s="4" t="str">
        <f t="shared" si="122"/>
        <v/>
      </c>
      <c r="L1514" s="47">
        <f t="shared" si="123"/>
        <v>0</v>
      </c>
      <c r="M1514" s="47">
        <f t="shared" si="124"/>
        <v>0</v>
      </c>
      <c r="N1514" t="str">
        <f>IF(A1514="","",IF(D1514="Category Pending","Needs categorization",IF(COUNTIFS($A$2:A1514,A1514,$B$2:B1514,B1514,$E$2:E1514,E1514)&gt;1,"Possible duplicate","")))</f>
        <v/>
      </c>
    </row>
    <row r="1515" spans="3:14" x14ac:dyDescent="0.3">
      <c r="C1515" s="16"/>
      <c r="G1515" s="5" t="str">
        <f t="shared" si="120"/>
        <v/>
      </c>
      <c r="H1515" t="str">
        <f>IF(A1515="","",IFERROR(_xlfn.XLOOKUP(D1515,Setup!$E$15:$E$79,Setup!$F$15:$F$79),"Miscellaneous"))</f>
        <v/>
      </c>
      <c r="I1515" t="str">
        <f>IF(A1515="","",IFERROR(_xlfn.XLOOKUP(D1515,Setup!$E$15:$E$79,Setup!$G$15:$G$79),"Uncategorized"))</f>
        <v/>
      </c>
      <c r="J1515" t="str">
        <f t="shared" si="121"/>
        <v/>
      </c>
      <c r="K1515" s="4" t="str">
        <f t="shared" si="122"/>
        <v/>
      </c>
      <c r="L1515" s="47">
        <f t="shared" si="123"/>
        <v>0</v>
      </c>
      <c r="M1515" s="47">
        <f t="shared" si="124"/>
        <v>0</v>
      </c>
      <c r="N1515" t="str">
        <f>IF(A1515="","",IF(D1515="Category Pending","Needs categorization",IF(COUNTIFS($A$2:A1515,A1515,$B$2:B1515,B1515,$E$2:E1515,E1515)&gt;1,"Possible duplicate","")))</f>
        <v/>
      </c>
    </row>
    <row r="1516" spans="3:14" x14ac:dyDescent="0.3">
      <c r="C1516" s="16"/>
      <c r="G1516" s="5" t="str">
        <f t="shared" si="120"/>
        <v/>
      </c>
      <c r="H1516" t="str">
        <f>IF(A1516="","",IFERROR(_xlfn.XLOOKUP(D1516,Setup!$E$15:$E$79,Setup!$F$15:$F$79),"Miscellaneous"))</f>
        <v/>
      </c>
      <c r="I1516" t="str">
        <f>IF(A1516="","",IFERROR(_xlfn.XLOOKUP(D1516,Setup!$E$15:$E$79,Setup!$G$15:$G$79),"Uncategorized"))</f>
        <v/>
      </c>
      <c r="J1516" t="str">
        <f t="shared" si="121"/>
        <v/>
      </c>
      <c r="K1516" s="4" t="str">
        <f t="shared" si="122"/>
        <v/>
      </c>
      <c r="L1516" s="47">
        <f t="shared" si="123"/>
        <v>0</v>
      </c>
      <c r="M1516" s="47">
        <f t="shared" si="124"/>
        <v>0</v>
      </c>
      <c r="N1516" t="str">
        <f>IF(A1516="","",IF(D1516="Category Pending","Needs categorization",IF(COUNTIFS($A$2:A1516,A1516,$B$2:B1516,B1516,$E$2:E1516,E1516)&gt;1,"Possible duplicate","")))</f>
        <v/>
      </c>
    </row>
    <row r="1517" spans="3:14" x14ac:dyDescent="0.3">
      <c r="C1517" s="16"/>
      <c r="G1517" s="5" t="str">
        <f t="shared" si="120"/>
        <v/>
      </c>
      <c r="H1517" t="str">
        <f>IF(A1517="","",IFERROR(_xlfn.XLOOKUP(D1517,Setup!$E$15:$E$79,Setup!$F$15:$F$79),"Miscellaneous"))</f>
        <v/>
      </c>
      <c r="I1517" t="str">
        <f>IF(A1517="","",IFERROR(_xlfn.XLOOKUP(D1517,Setup!$E$15:$E$79,Setup!$G$15:$G$79),"Uncategorized"))</f>
        <v/>
      </c>
      <c r="J1517" t="str">
        <f t="shared" si="121"/>
        <v/>
      </c>
      <c r="K1517" s="4" t="str">
        <f t="shared" si="122"/>
        <v/>
      </c>
      <c r="L1517" s="47">
        <f t="shared" si="123"/>
        <v>0</v>
      </c>
      <c r="M1517" s="47">
        <f t="shared" si="124"/>
        <v>0</v>
      </c>
      <c r="N1517" t="str">
        <f>IF(A1517="","",IF(D1517="Category Pending","Needs categorization",IF(COUNTIFS($A$2:A1517,A1517,$B$2:B1517,B1517,$E$2:E1517,E1517)&gt;1,"Possible duplicate","")))</f>
        <v/>
      </c>
    </row>
    <row r="1518" spans="3:14" x14ac:dyDescent="0.3">
      <c r="C1518" s="16"/>
      <c r="G1518" s="5" t="str">
        <f t="shared" si="120"/>
        <v/>
      </c>
      <c r="H1518" t="str">
        <f>IF(A1518="","",IFERROR(_xlfn.XLOOKUP(D1518,Setup!$E$15:$E$79,Setup!$F$15:$F$79),"Miscellaneous"))</f>
        <v/>
      </c>
      <c r="I1518" t="str">
        <f>IF(A1518="","",IFERROR(_xlfn.XLOOKUP(D1518,Setup!$E$15:$E$79,Setup!$G$15:$G$79),"Uncategorized"))</f>
        <v/>
      </c>
      <c r="J1518" t="str">
        <f t="shared" si="121"/>
        <v/>
      </c>
      <c r="K1518" s="4" t="str">
        <f t="shared" si="122"/>
        <v/>
      </c>
      <c r="L1518" s="47">
        <f t="shared" si="123"/>
        <v>0</v>
      </c>
      <c r="M1518" s="47">
        <f t="shared" si="124"/>
        <v>0</v>
      </c>
      <c r="N1518" t="str">
        <f>IF(A1518="","",IF(D1518="Category Pending","Needs categorization",IF(COUNTIFS($A$2:A1518,A1518,$B$2:B1518,B1518,$E$2:E1518,E1518)&gt;1,"Possible duplicate","")))</f>
        <v/>
      </c>
    </row>
    <row r="1519" spans="3:14" x14ac:dyDescent="0.3">
      <c r="C1519" s="16"/>
      <c r="G1519" s="5" t="str">
        <f t="shared" si="120"/>
        <v/>
      </c>
      <c r="H1519" t="str">
        <f>IF(A1519="","",IFERROR(_xlfn.XLOOKUP(D1519,Setup!$E$15:$E$79,Setup!$F$15:$F$79),"Miscellaneous"))</f>
        <v/>
      </c>
      <c r="I1519" t="str">
        <f>IF(A1519="","",IFERROR(_xlfn.XLOOKUP(D1519,Setup!$E$15:$E$79,Setup!$G$15:$G$79),"Uncategorized"))</f>
        <v/>
      </c>
      <c r="J1519" t="str">
        <f t="shared" si="121"/>
        <v/>
      </c>
      <c r="K1519" s="4" t="str">
        <f t="shared" si="122"/>
        <v/>
      </c>
      <c r="L1519" s="47">
        <f t="shared" si="123"/>
        <v>0</v>
      </c>
      <c r="M1519" s="47">
        <f t="shared" si="124"/>
        <v>0</v>
      </c>
      <c r="N1519" t="str">
        <f>IF(A1519="","",IF(D1519="Category Pending","Needs categorization",IF(COUNTIFS($A$2:A1519,A1519,$B$2:B1519,B1519,$E$2:E1519,E1519)&gt;1,"Possible duplicate","")))</f>
        <v/>
      </c>
    </row>
    <row r="1520" spans="3:14" x14ac:dyDescent="0.3">
      <c r="C1520" s="16"/>
      <c r="G1520" s="5" t="str">
        <f t="shared" si="120"/>
        <v/>
      </c>
      <c r="H1520" t="str">
        <f>IF(A1520="","",IFERROR(_xlfn.XLOOKUP(D1520,Setup!$E$15:$E$79,Setup!$F$15:$F$79),"Miscellaneous"))</f>
        <v/>
      </c>
      <c r="I1520" t="str">
        <f>IF(A1520="","",IFERROR(_xlfn.XLOOKUP(D1520,Setup!$E$15:$E$79,Setup!$G$15:$G$79),"Uncategorized"))</f>
        <v/>
      </c>
      <c r="J1520" t="str">
        <f t="shared" si="121"/>
        <v/>
      </c>
      <c r="K1520" s="4" t="str">
        <f t="shared" si="122"/>
        <v/>
      </c>
      <c r="L1520" s="47">
        <f t="shared" si="123"/>
        <v>0</v>
      </c>
      <c r="M1520" s="47">
        <f t="shared" si="124"/>
        <v>0</v>
      </c>
      <c r="N1520" t="str">
        <f>IF(A1520="","",IF(D1520="Category Pending","Needs categorization",IF(COUNTIFS($A$2:A1520,A1520,$B$2:B1520,B1520,$E$2:E1520,E1520)&gt;1,"Possible duplicate","")))</f>
        <v/>
      </c>
    </row>
    <row r="1521" spans="3:14" x14ac:dyDescent="0.3">
      <c r="C1521" s="16"/>
      <c r="G1521" s="5" t="str">
        <f t="shared" si="120"/>
        <v/>
      </c>
      <c r="H1521" t="str">
        <f>IF(A1521="","",IFERROR(_xlfn.XLOOKUP(D1521,Setup!$E$15:$E$79,Setup!$F$15:$F$79),"Miscellaneous"))</f>
        <v/>
      </c>
      <c r="I1521" t="str">
        <f>IF(A1521="","",IFERROR(_xlfn.XLOOKUP(D1521,Setup!$E$15:$E$79,Setup!$G$15:$G$79),"Uncategorized"))</f>
        <v/>
      </c>
      <c r="J1521" t="str">
        <f t="shared" si="121"/>
        <v/>
      </c>
      <c r="K1521" s="4" t="str">
        <f t="shared" si="122"/>
        <v/>
      </c>
      <c r="L1521" s="47">
        <f t="shared" si="123"/>
        <v>0</v>
      </c>
      <c r="M1521" s="47">
        <f t="shared" si="124"/>
        <v>0</v>
      </c>
      <c r="N1521" t="str">
        <f>IF(A1521="","",IF(D1521="Category Pending","Needs categorization",IF(COUNTIFS($A$2:A1521,A1521,$B$2:B1521,B1521,$E$2:E1521,E1521)&gt;1,"Possible duplicate","")))</f>
        <v/>
      </c>
    </row>
    <row r="1522" spans="3:14" x14ac:dyDescent="0.3">
      <c r="C1522" s="16"/>
      <c r="G1522" s="5" t="str">
        <f t="shared" si="120"/>
        <v/>
      </c>
      <c r="H1522" t="str">
        <f>IF(A1522="","",IFERROR(_xlfn.XLOOKUP(D1522,Setup!$E$15:$E$79,Setup!$F$15:$F$79),"Miscellaneous"))</f>
        <v/>
      </c>
      <c r="I1522" t="str">
        <f>IF(A1522="","",IFERROR(_xlfn.XLOOKUP(D1522,Setup!$E$15:$E$79,Setup!$G$15:$G$79),"Uncategorized"))</f>
        <v/>
      </c>
      <c r="J1522" t="str">
        <f t="shared" si="121"/>
        <v/>
      </c>
      <c r="K1522" s="4" t="str">
        <f t="shared" si="122"/>
        <v/>
      </c>
      <c r="L1522" s="47">
        <f t="shared" si="123"/>
        <v>0</v>
      </c>
      <c r="M1522" s="47">
        <f t="shared" si="124"/>
        <v>0</v>
      </c>
      <c r="N1522" t="str">
        <f>IF(A1522="","",IF(D1522="Category Pending","Needs categorization",IF(COUNTIFS($A$2:A1522,A1522,$B$2:B1522,B1522,$E$2:E1522,E1522)&gt;1,"Possible duplicate","")))</f>
        <v/>
      </c>
    </row>
    <row r="1523" spans="3:14" x14ac:dyDescent="0.3">
      <c r="C1523" s="16"/>
      <c r="G1523" s="5" t="str">
        <f t="shared" si="120"/>
        <v/>
      </c>
      <c r="H1523" t="str">
        <f>IF(A1523="","",IFERROR(_xlfn.XLOOKUP(D1523,Setup!$E$15:$E$79,Setup!$F$15:$F$79),"Miscellaneous"))</f>
        <v/>
      </c>
      <c r="I1523" t="str">
        <f>IF(A1523="","",IFERROR(_xlfn.XLOOKUP(D1523,Setup!$E$15:$E$79,Setup!$G$15:$G$79),"Uncategorized"))</f>
        <v/>
      </c>
      <c r="J1523" t="str">
        <f t="shared" si="121"/>
        <v/>
      </c>
      <c r="K1523" s="4" t="str">
        <f t="shared" si="122"/>
        <v/>
      </c>
      <c r="L1523" s="47">
        <f t="shared" si="123"/>
        <v>0</v>
      </c>
      <c r="M1523" s="47">
        <f t="shared" si="124"/>
        <v>0</v>
      </c>
      <c r="N1523" t="str">
        <f>IF(A1523="","",IF(D1523="Category Pending","Needs categorization",IF(COUNTIFS($A$2:A1523,A1523,$B$2:B1523,B1523,$E$2:E1523,E1523)&gt;1,"Possible duplicate","")))</f>
        <v/>
      </c>
    </row>
    <row r="1524" spans="3:14" x14ac:dyDescent="0.3">
      <c r="C1524" s="16"/>
      <c r="G1524" s="5" t="str">
        <f t="shared" si="120"/>
        <v/>
      </c>
      <c r="H1524" t="str">
        <f>IF(A1524="","",IFERROR(_xlfn.XLOOKUP(D1524,Setup!$E$15:$E$79,Setup!$F$15:$F$79),"Miscellaneous"))</f>
        <v/>
      </c>
      <c r="I1524" t="str">
        <f>IF(A1524="","",IFERROR(_xlfn.XLOOKUP(D1524,Setup!$E$15:$E$79,Setup!$G$15:$G$79),"Uncategorized"))</f>
        <v/>
      </c>
      <c r="J1524" t="str">
        <f t="shared" si="121"/>
        <v/>
      </c>
      <c r="K1524" s="4" t="str">
        <f t="shared" si="122"/>
        <v/>
      </c>
      <c r="L1524" s="47">
        <f t="shared" si="123"/>
        <v>0</v>
      </c>
      <c r="M1524" s="47">
        <f t="shared" si="124"/>
        <v>0</v>
      </c>
      <c r="N1524" t="str">
        <f>IF(A1524="","",IF(D1524="Category Pending","Needs categorization",IF(COUNTIFS($A$2:A1524,A1524,$B$2:B1524,B1524,$E$2:E1524,E1524)&gt;1,"Possible duplicate","")))</f>
        <v/>
      </c>
    </row>
    <row r="1525" spans="3:14" x14ac:dyDescent="0.3">
      <c r="C1525" s="16"/>
      <c r="G1525" s="5" t="str">
        <f t="shared" si="120"/>
        <v/>
      </c>
      <c r="H1525" t="str">
        <f>IF(A1525="","",IFERROR(_xlfn.XLOOKUP(D1525,Setup!$E$15:$E$79,Setup!$F$15:$F$79),"Miscellaneous"))</f>
        <v/>
      </c>
      <c r="I1525" t="str">
        <f>IF(A1525="","",IFERROR(_xlfn.XLOOKUP(D1525,Setup!$E$15:$E$79,Setup!$G$15:$G$79),"Uncategorized"))</f>
        <v/>
      </c>
      <c r="J1525" t="str">
        <f t="shared" si="121"/>
        <v/>
      </c>
      <c r="K1525" s="4" t="str">
        <f t="shared" si="122"/>
        <v/>
      </c>
      <c r="L1525" s="47">
        <f t="shared" si="123"/>
        <v>0</v>
      </c>
      <c r="M1525" s="47">
        <f t="shared" si="124"/>
        <v>0</v>
      </c>
      <c r="N1525" t="str">
        <f>IF(A1525="","",IF(D1525="Category Pending","Needs categorization",IF(COUNTIFS($A$2:A1525,A1525,$B$2:B1525,B1525,$E$2:E1525,E1525)&gt;1,"Possible duplicate","")))</f>
        <v/>
      </c>
    </row>
    <row r="1526" spans="3:14" x14ac:dyDescent="0.3">
      <c r="C1526" s="16"/>
      <c r="G1526" s="5" t="str">
        <f t="shared" si="120"/>
        <v/>
      </c>
      <c r="H1526" t="str">
        <f>IF(A1526="","",IFERROR(_xlfn.XLOOKUP(D1526,Setup!$E$15:$E$79,Setup!$F$15:$F$79),"Miscellaneous"))</f>
        <v/>
      </c>
      <c r="I1526" t="str">
        <f>IF(A1526="","",IFERROR(_xlfn.XLOOKUP(D1526,Setup!$E$15:$E$79,Setup!$G$15:$G$79),"Uncategorized"))</f>
        <v/>
      </c>
      <c r="J1526" t="str">
        <f t="shared" si="121"/>
        <v/>
      </c>
      <c r="K1526" s="4" t="str">
        <f t="shared" si="122"/>
        <v/>
      </c>
      <c r="L1526" s="47">
        <f t="shared" si="123"/>
        <v>0</v>
      </c>
      <c r="M1526" s="47">
        <f t="shared" si="124"/>
        <v>0</v>
      </c>
      <c r="N1526" t="str">
        <f>IF(A1526="","",IF(D1526="Category Pending","Needs categorization",IF(COUNTIFS($A$2:A1526,A1526,$B$2:B1526,B1526,$E$2:E1526,E1526)&gt;1,"Possible duplicate","")))</f>
        <v/>
      </c>
    </row>
    <row r="1527" spans="3:14" x14ac:dyDescent="0.3">
      <c r="C1527" s="16"/>
      <c r="G1527" s="5" t="str">
        <f t="shared" si="120"/>
        <v/>
      </c>
      <c r="H1527" t="str">
        <f>IF(A1527="","",IFERROR(_xlfn.XLOOKUP(D1527,Setup!$E$15:$E$79,Setup!$F$15:$F$79),"Miscellaneous"))</f>
        <v/>
      </c>
      <c r="I1527" t="str">
        <f>IF(A1527="","",IFERROR(_xlfn.XLOOKUP(D1527,Setup!$E$15:$E$79,Setup!$G$15:$G$79),"Uncategorized"))</f>
        <v/>
      </c>
      <c r="J1527" t="str">
        <f t="shared" si="121"/>
        <v/>
      </c>
      <c r="K1527" s="4" t="str">
        <f t="shared" si="122"/>
        <v/>
      </c>
      <c r="L1527" s="47">
        <f t="shared" si="123"/>
        <v>0</v>
      </c>
      <c r="M1527" s="47">
        <f t="shared" si="124"/>
        <v>0</v>
      </c>
      <c r="N1527" t="str">
        <f>IF(A1527="","",IF(D1527="Category Pending","Needs categorization",IF(COUNTIFS($A$2:A1527,A1527,$B$2:B1527,B1527,$E$2:E1527,E1527)&gt;1,"Possible duplicate","")))</f>
        <v/>
      </c>
    </row>
    <row r="1528" spans="3:14" x14ac:dyDescent="0.3">
      <c r="C1528" s="16"/>
      <c r="G1528" s="5" t="str">
        <f t="shared" si="120"/>
        <v/>
      </c>
      <c r="H1528" t="str">
        <f>IF(A1528="","",IFERROR(_xlfn.XLOOKUP(D1528,Setup!$E$15:$E$79,Setup!$F$15:$F$79),"Miscellaneous"))</f>
        <v/>
      </c>
      <c r="I1528" t="str">
        <f>IF(A1528="","",IFERROR(_xlfn.XLOOKUP(D1528,Setup!$E$15:$E$79,Setup!$G$15:$G$79),"Uncategorized"))</f>
        <v/>
      </c>
      <c r="J1528" t="str">
        <f t="shared" si="121"/>
        <v/>
      </c>
      <c r="K1528" s="4" t="str">
        <f t="shared" si="122"/>
        <v/>
      </c>
      <c r="L1528" s="47">
        <f t="shared" si="123"/>
        <v>0</v>
      </c>
      <c r="M1528" s="47">
        <f t="shared" si="124"/>
        <v>0</v>
      </c>
      <c r="N1528" t="str">
        <f>IF(A1528="","",IF(D1528="Category Pending","Needs categorization",IF(COUNTIFS($A$2:A1528,A1528,$B$2:B1528,B1528,$E$2:E1528,E1528)&gt;1,"Possible duplicate","")))</f>
        <v/>
      </c>
    </row>
    <row r="1529" spans="3:14" x14ac:dyDescent="0.3">
      <c r="C1529" s="16"/>
      <c r="G1529" s="5" t="str">
        <f t="shared" si="120"/>
        <v/>
      </c>
      <c r="H1529" t="str">
        <f>IF(A1529="","",IFERROR(_xlfn.XLOOKUP(D1529,Setup!$E$15:$E$79,Setup!$F$15:$F$79),"Miscellaneous"))</f>
        <v/>
      </c>
      <c r="I1529" t="str">
        <f>IF(A1529="","",IFERROR(_xlfn.XLOOKUP(D1529,Setup!$E$15:$E$79,Setup!$G$15:$G$79),"Uncategorized"))</f>
        <v/>
      </c>
      <c r="J1529" t="str">
        <f t="shared" si="121"/>
        <v/>
      </c>
      <c r="K1529" s="4" t="str">
        <f t="shared" si="122"/>
        <v/>
      </c>
      <c r="L1529" s="47">
        <f t="shared" si="123"/>
        <v>0</v>
      </c>
      <c r="M1529" s="47">
        <f t="shared" si="124"/>
        <v>0</v>
      </c>
      <c r="N1529" t="str">
        <f>IF(A1529="","",IF(D1529="Category Pending","Needs categorization",IF(COUNTIFS($A$2:A1529,A1529,$B$2:B1529,B1529,$E$2:E1529,E1529)&gt;1,"Possible duplicate","")))</f>
        <v/>
      </c>
    </row>
    <row r="1530" spans="3:14" x14ac:dyDescent="0.3">
      <c r="C1530" s="16"/>
      <c r="G1530" s="5" t="str">
        <f t="shared" si="120"/>
        <v/>
      </c>
      <c r="H1530" t="str">
        <f>IF(A1530="","",IFERROR(_xlfn.XLOOKUP(D1530,Setup!$E$15:$E$79,Setup!$F$15:$F$79),"Miscellaneous"))</f>
        <v/>
      </c>
      <c r="I1530" t="str">
        <f>IF(A1530="","",IFERROR(_xlfn.XLOOKUP(D1530,Setup!$E$15:$E$79,Setup!$G$15:$G$79),"Uncategorized"))</f>
        <v/>
      </c>
      <c r="J1530" t="str">
        <f t="shared" si="121"/>
        <v/>
      </c>
      <c r="K1530" s="4" t="str">
        <f t="shared" si="122"/>
        <v/>
      </c>
      <c r="L1530" s="47">
        <f t="shared" si="123"/>
        <v>0</v>
      </c>
      <c r="M1530" s="47">
        <f t="shared" si="124"/>
        <v>0</v>
      </c>
      <c r="N1530" t="str">
        <f>IF(A1530="","",IF(D1530="Category Pending","Needs categorization",IF(COUNTIFS($A$2:A1530,A1530,$B$2:B1530,B1530,$E$2:E1530,E1530)&gt;1,"Possible duplicate","")))</f>
        <v/>
      </c>
    </row>
    <row r="1531" spans="3:14" x14ac:dyDescent="0.3">
      <c r="C1531" s="16"/>
      <c r="G1531" s="5" t="str">
        <f t="shared" si="120"/>
        <v/>
      </c>
      <c r="H1531" t="str">
        <f>IF(A1531="","",IFERROR(_xlfn.XLOOKUP(D1531,Setup!$E$15:$E$79,Setup!$F$15:$F$79),"Miscellaneous"))</f>
        <v/>
      </c>
      <c r="I1531" t="str">
        <f>IF(A1531="","",IFERROR(_xlfn.XLOOKUP(D1531,Setup!$E$15:$E$79,Setup!$G$15:$G$79),"Uncategorized"))</f>
        <v/>
      </c>
      <c r="J1531" t="str">
        <f t="shared" si="121"/>
        <v/>
      </c>
      <c r="K1531" s="4" t="str">
        <f t="shared" si="122"/>
        <v/>
      </c>
      <c r="L1531" s="47">
        <f t="shared" si="123"/>
        <v>0</v>
      </c>
      <c r="M1531" s="47">
        <f t="shared" si="124"/>
        <v>0</v>
      </c>
      <c r="N1531" t="str">
        <f>IF(A1531="","",IF(D1531="Category Pending","Needs categorization",IF(COUNTIFS($A$2:A1531,A1531,$B$2:B1531,B1531,$E$2:E1531,E1531)&gt;1,"Possible duplicate","")))</f>
        <v/>
      </c>
    </row>
    <row r="1532" spans="3:14" x14ac:dyDescent="0.3">
      <c r="C1532" s="16"/>
      <c r="G1532" s="5" t="str">
        <f t="shared" si="120"/>
        <v/>
      </c>
      <c r="H1532" t="str">
        <f>IF(A1532="","",IFERROR(_xlfn.XLOOKUP(D1532,Setup!$E$15:$E$79,Setup!$F$15:$F$79),"Miscellaneous"))</f>
        <v/>
      </c>
      <c r="I1532" t="str">
        <f>IF(A1532="","",IFERROR(_xlfn.XLOOKUP(D1532,Setup!$E$15:$E$79,Setup!$G$15:$G$79),"Uncategorized"))</f>
        <v/>
      </c>
      <c r="J1532" t="str">
        <f t="shared" si="121"/>
        <v/>
      </c>
      <c r="K1532" s="4" t="str">
        <f t="shared" si="122"/>
        <v/>
      </c>
      <c r="L1532" s="47">
        <f t="shared" si="123"/>
        <v>0</v>
      </c>
      <c r="M1532" s="47">
        <f t="shared" si="124"/>
        <v>0</v>
      </c>
      <c r="N1532" t="str">
        <f>IF(A1532="","",IF(D1532="Category Pending","Needs categorization",IF(COUNTIFS($A$2:A1532,A1532,$B$2:B1532,B1532,$E$2:E1532,E1532)&gt;1,"Possible duplicate","")))</f>
        <v/>
      </c>
    </row>
    <row r="1533" spans="3:14" x14ac:dyDescent="0.3">
      <c r="C1533" s="16"/>
      <c r="G1533" s="5" t="str">
        <f t="shared" si="120"/>
        <v/>
      </c>
      <c r="H1533" t="str">
        <f>IF(A1533="","",IFERROR(_xlfn.XLOOKUP(D1533,Setup!$E$15:$E$79,Setup!$F$15:$F$79),"Miscellaneous"))</f>
        <v/>
      </c>
      <c r="I1533" t="str">
        <f>IF(A1533="","",IFERROR(_xlfn.XLOOKUP(D1533,Setup!$E$15:$E$79,Setup!$G$15:$G$79),"Uncategorized"))</f>
        <v/>
      </c>
      <c r="J1533" t="str">
        <f t="shared" si="121"/>
        <v/>
      </c>
      <c r="K1533" s="4" t="str">
        <f t="shared" si="122"/>
        <v/>
      </c>
      <c r="L1533" s="47">
        <f t="shared" si="123"/>
        <v>0</v>
      </c>
      <c r="M1533" s="47">
        <f t="shared" si="124"/>
        <v>0</v>
      </c>
      <c r="N1533" t="str">
        <f>IF(A1533="","",IF(D1533="Category Pending","Needs categorization",IF(COUNTIFS($A$2:A1533,A1533,$B$2:B1533,B1533,$E$2:E1533,E1533)&gt;1,"Possible duplicate","")))</f>
        <v/>
      </c>
    </row>
    <row r="1534" spans="3:14" x14ac:dyDescent="0.3">
      <c r="C1534" s="16"/>
      <c r="G1534" s="5" t="str">
        <f t="shared" si="120"/>
        <v/>
      </c>
      <c r="H1534" t="str">
        <f>IF(A1534="","",IFERROR(_xlfn.XLOOKUP(D1534,Setup!$E$15:$E$79,Setup!$F$15:$F$79),"Miscellaneous"))</f>
        <v/>
      </c>
      <c r="I1534" t="str">
        <f>IF(A1534="","",IFERROR(_xlfn.XLOOKUP(D1534,Setup!$E$15:$E$79,Setup!$G$15:$G$79),"Uncategorized"))</f>
        <v/>
      </c>
      <c r="J1534" t="str">
        <f t="shared" si="121"/>
        <v/>
      </c>
      <c r="K1534" s="4" t="str">
        <f t="shared" si="122"/>
        <v/>
      </c>
      <c r="L1534" s="47">
        <f t="shared" si="123"/>
        <v>0</v>
      </c>
      <c r="M1534" s="47">
        <f t="shared" si="124"/>
        <v>0</v>
      </c>
      <c r="N1534" t="str">
        <f>IF(A1534="","",IF(D1534="Category Pending","Needs categorization",IF(COUNTIFS($A$2:A1534,A1534,$B$2:B1534,B1534,$E$2:E1534,E1534)&gt;1,"Possible duplicate","")))</f>
        <v/>
      </c>
    </row>
    <row r="1535" spans="3:14" x14ac:dyDescent="0.3">
      <c r="C1535" s="16"/>
      <c r="G1535" s="5" t="str">
        <f t="shared" si="120"/>
        <v/>
      </c>
      <c r="H1535" t="str">
        <f>IF(A1535="","",IFERROR(_xlfn.XLOOKUP(D1535,Setup!$E$15:$E$79,Setup!$F$15:$F$79),"Miscellaneous"))</f>
        <v/>
      </c>
      <c r="I1535" t="str">
        <f>IF(A1535="","",IFERROR(_xlfn.XLOOKUP(D1535,Setup!$E$15:$E$79,Setup!$G$15:$G$79),"Uncategorized"))</f>
        <v/>
      </c>
      <c r="J1535" t="str">
        <f t="shared" si="121"/>
        <v/>
      </c>
      <c r="K1535" s="4" t="str">
        <f t="shared" si="122"/>
        <v/>
      </c>
      <c r="L1535" s="47">
        <f t="shared" si="123"/>
        <v>0</v>
      </c>
      <c r="M1535" s="47">
        <f t="shared" si="124"/>
        <v>0</v>
      </c>
      <c r="N1535" t="str">
        <f>IF(A1535="","",IF(D1535="Category Pending","Needs categorization",IF(COUNTIFS($A$2:A1535,A1535,$B$2:B1535,B1535,$E$2:E1535,E1535)&gt;1,"Possible duplicate","")))</f>
        <v/>
      </c>
    </row>
    <row r="1536" spans="3:14" x14ac:dyDescent="0.3">
      <c r="C1536" s="16"/>
      <c r="G1536" s="5" t="str">
        <f t="shared" si="120"/>
        <v/>
      </c>
      <c r="H1536" t="str">
        <f>IF(A1536="","",IFERROR(_xlfn.XLOOKUP(D1536,Setup!$E$15:$E$79,Setup!$F$15:$F$79),"Miscellaneous"))</f>
        <v/>
      </c>
      <c r="I1536" t="str">
        <f>IF(A1536="","",IFERROR(_xlfn.XLOOKUP(D1536,Setup!$E$15:$E$79,Setup!$G$15:$G$79),"Uncategorized"))</f>
        <v/>
      </c>
      <c r="J1536" t="str">
        <f t="shared" si="121"/>
        <v/>
      </c>
      <c r="K1536" s="4" t="str">
        <f t="shared" si="122"/>
        <v/>
      </c>
      <c r="L1536" s="47">
        <f t="shared" si="123"/>
        <v>0</v>
      </c>
      <c r="M1536" s="47">
        <f t="shared" si="124"/>
        <v>0</v>
      </c>
      <c r="N1536" t="str">
        <f>IF(A1536="","",IF(D1536="Category Pending","Needs categorization",IF(COUNTIFS($A$2:A1536,A1536,$B$2:B1536,B1536,$E$2:E1536,E1536)&gt;1,"Possible duplicate","")))</f>
        <v/>
      </c>
    </row>
    <row r="1537" spans="3:14" x14ac:dyDescent="0.3">
      <c r="C1537" s="16"/>
      <c r="G1537" s="5" t="str">
        <f t="shared" si="120"/>
        <v/>
      </c>
      <c r="H1537" t="str">
        <f>IF(A1537="","",IFERROR(_xlfn.XLOOKUP(D1537,Setup!$E$15:$E$79,Setup!$F$15:$F$79),"Miscellaneous"))</f>
        <v/>
      </c>
      <c r="I1537" t="str">
        <f>IF(A1537="","",IFERROR(_xlfn.XLOOKUP(D1537,Setup!$E$15:$E$79,Setup!$G$15:$G$79),"Uncategorized"))</f>
        <v/>
      </c>
      <c r="J1537" t="str">
        <f t="shared" si="121"/>
        <v/>
      </c>
      <c r="K1537" s="4" t="str">
        <f t="shared" si="122"/>
        <v/>
      </c>
      <c r="L1537" s="47">
        <f t="shared" si="123"/>
        <v>0</v>
      </c>
      <c r="M1537" s="47">
        <f t="shared" si="124"/>
        <v>0</v>
      </c>
      <c r="N1537" t="str">
        <f>IF(A1537="","",IF(D1537="Category Pending","Needs categorization",IF(COUNTIFS($A$2:A1537,A1537,$B$2:B1537,B1537,$E$2:E1537,E1537)&gt;1,"Possible duplicate","")))</f>
        <v/>
      </c>
    </row>
    <row r="1538" spans="3:14" x14ac:dyDescent="0.3">
      <c r="C1538" s="16"/>
      <c r="G1538" s="5" t="str">
        <f t="shared" si="120"/>
        <v/>
      </c>
      <c r="H1538" t="str">
        <f>IF(A1538="","",IFERROR(_xlfn.XLOOKUP(D1538,Setup!$E$15:$E$79,Setup!$F$15:$F$79),"Miscellaneous"))</f>
        <v/>
      </c>
      <c r="I1538" t="str">
        <f>IF(A1538="","",IFERROR(_xlfn.XLOOKUP(D1538,Setup!$E$15:$E$79,Setup!$G$15:$G$79),"Uncategorized"))</f>
        <v/>
      </c>
      <c r="J1538" t="str">
        <f t="shared" si="121"/>
        <v/>
      </c>
      <c r="K1538" s="4" t="str">
        <f t="shared" si="122"/>
        <v/>
      </c>
      <c r="L1538" s="47">
        <f t="shared" si="123"/>
        <v>0</v>
      </c>
      <c r="M1538" s="47">
        <f t="shared" si="124"/>
        <v>0</v>
      </c>
      <c r="N1538" t="str">
        <f>IF(A1538="","",IF(D1538="Category Pending","Needs categorization",IF(COUNTIFS($A$2:A1538,A1538,$B$2:B1538,B1538,$E$2:E1538,E1538)&gt;1,"Possible duplicate","")))</f>
        <v/>
      </c>
    </row>
    <row r="1539" spans="3:14" x14ac:dyDescent="0.3">
      <c r="C1539" s="16"/>
      <c r="G1539" s="5" t="str">
        <f t="shared" si="120"/>
        <v/>
      </c>
      <c r="H1539" t="str">
        <f>IF(A1539="","",IFERROR(_xlfn.XLOOKUP(D1539,Setup!$E$15:$E$79,Setup!$F$15:$F$79),"Miscellaneous"))</f>
        <v/>
      </c>
      <c r="I1539" t="str">
        <f>IF(A1539="","",IFERROR(_xlfn.XLOOKUP(D1539,Setup!$E$15:$E$79,Setup!$G$15:$G$79),"Uncategorized"))</f>
        <v/>
      </c>
      <c r="J1539" t="str">
        <f t="shared" si="121"/>
        <v/>
      </c>
      <c r="K1539" s="4" t="str">
        <f t="shared" si="122"/>
        <v/>
      </c>
      <c r="L1539" s="47">
        <f t="shared" si="123"/>
        <v>0</v>
      </c>
      <c r="M1539" s="47">
        <f t="shared" si="124"/>
        <v>0</v>
      </c>
      <c r="N1539" t="str">
        <f>IF(A1539="","",IF(D1539="Category Pending","Needs categorization",IF(COUNTIFS($A$2:A1539,A1539,$B$2:B1539,B1539,$E$2:E1539,E1539)&gt;1,"Possible duplicate","")))</f>
        <v/>
      </c>
    </row>
    <row r="1540" spans="3:14" x14ac:dyDescent="0.3">
      <c r="C1540" s="16"/>
      <c r="G1540" s="5" t="str">
        <f t="shared" si="120"/>
        <v/>
      </c>
      <c r="H1540" t="str">
        <f>IF(A1540="","",IFERROR(_xlfn.XLOOKUP(D1540,Setup!$E$15:$E$79,Setup!$F$15:$F$79),"Miscellaneous"))</f>
        <v/>
      </c>
      <c r="I1540" t="str">
        <f>IF(A1540="","",IFERROR(_xlfn.XLOOKUP(D1540,Setup!$E$15:$E$79,Setup!$G$15:$G$79),"Uncategorized"))</f>
        <v/>
      </c>
      <c r="J1540" t="str">
        <f t="shared" si="121"/>
        <v/>
      </c>
      <c r="K1540" s="4" t="str">
        <f t="shared" si="122"/>
        <v/>
      </c>
      <c r="L1540" s="47">
        <f t="shared" si="123"/>
        <v>0</v>
      </c>
      <c r="M1540" s="47">
        <f t="shared" si="124"/>
        <v>0</v>
      </c>
      <c r="N1540" t="str">
        <f>IF(A1540="","",IF(D1540="Category Pending","Needs categorization",IF(COUNTIFS($A$2:A1540,A1540,$B$2:B1540,B1540,$E$2:E1540,E1540)&gt;1,"Possible duplicate","")))</f>
        <v/>
      </c>
    </row>
    <row r="1541" spans="3:14" x14ac:dyDescent="0.3">
      <c r="C1541" s="16"/>
      <c r="G1541" s="5" t="str">
        <f t="shared" si="120"/>
        <v/>
      </c>
      <c r="H1541" t="str">
        <f>IF(A1541="","",IFERROR(_xlfn.XLOOKUP(D1541,Setup!$E$15:$E$79,Setup!$F$15:$F$79),"Miscellaneous"))</f>
        <v/>
      </c>
      <c r="I1541" t="str">
        <f>IF(A1541="","",IFERROR(_xlfn.XLOOKUP(D1541,Setup!$E$15:$E$79,Setup!$G$15:$G$79),"Uncategorized"))</f>
        <v/>
      </c>
      <c r="J1541" t="str">
        <f t="shared" si="121"/>
        <v/>
      </c>
      <c r="K1541" s="4" t="str">
        <f t="shared" si="122"/>
        <v/>
      </c>
      <c r="L1541" s="47">
        <f t="shared" si="123"/>
        <v>0</v>
      </c>
      <c r="M1541" s="47">
        <f t="shared" si="124"/>
        <v>0</v>
      </c>
      <c r="N1541" t="str">
        <f>IF(A1541="","",IF(D1541="Category Pending","Needs categorization",IF(COUNTIFS($A$2:A1541,A1541,$B$2:B1541,B1541,$E$2:E1541,E1541)&gt;1,"Possible duplicate","")))</f>
        <v/>
      </c>
    </row>
    <row r="1542" spans="3:14" x14ac:dyDescent="0.3">
      <c r="C1542" s="16"/>
      <c r="G1542" s="5" t="str">
        <f t="shared" si="120"/>
        <v/>
      </c>
      <c r="H1542" t="str">
        <f>IF(A1542="","",IFERROR(_xlfn.XLOOKUP(D1542,Setup!$E$15:$E$79,Setup!$F$15:$F$79),"Miscellaneous"))</f>
        <v/>
      </c>
      <c r="I1542" t="str">
        <f>IF(A1542="","",IFERROR(_xlfn.XLOOKUP(D1542,Setup!$E$15:$E$79,Setup!$G$15:$G$79),"Uncategorized"))</f>
        <v/>
      </c>
      <c r="J1542" t="str">
        <f t="shared" si="121"/>
        <v/>
      </c>
      <c r="K1542" s="4" t="str">
        <f t="shared" si="122"/>
        <v/>
      </c>
      <c r="L1542" s="47">
        <f t="shared" si="123"/>
        <v>0</v>
      </c>
      <c r="M1542" s="47">
        <f t="shared" si="124"/>
        <v>0</v>
      </c>
      <c r="N1542" t="str">
        <f>IF(A1542="","",IF(D1542="Category Pending","Needs categorization",IF(COUNTIFS($A$2:A1542,A1542,$B$2:B1542,B1542,$E$2:E1542,E1542)&gt;1,"Possible duplicate","")))</f>
        <v/>
      </c>
    </row>
    <row r="1543" spans="3:14" x14ac:dyDescent="0.3">
      <c r="C1543" s="16"/>
      <c r="G1543" s="5" t="str">
        <f t="shared" si="120"/>
        <v/>
      </c>
      <c r="H1543" t="str">
        <f>IF(A1543="","",IFERROR(_xlfn.XLOOKUP(D1543,Setup!$E$15:$E$79,Setup!$F$15:$F$79),"Miscellaneous"))</f>
        <v/>
      </c>
      <c r="I1543" t="str">
        <f>IF(A1543="","",IFERROR(_xlfn.XLOOKUP(D1543,Setup!$E$15:$E$79,Setup!$G$15:$G$79),"Uncategorized"))</f>
        <v/>
      </c>
      <c r="J1543" t="str">
        <f t="shared" si="121"/>
        <v/>
      </c>
      <c r="K1543" s="4" t="str">
        <f t="shared" si="122"/>
        <v/>
      </c>
      <c r="L1543" s="47">
        <f t="shared" si="123"/>
        <v>0</v>
      </c>
      <c r="M1543" s="47">
        <f t="shared" si="124"/>
        <v>0</v>
      </c>
      <c r="N1543" t="str">
        <f>IF(A1543="","",IF(D1543="Category Pending","Needs categorization",IF(COUNTIFS($A$2:A1543,A1543,$B$2:B1543,B1543,$E$2:E1543,E1543)&gt;1,"Possible duplicate","")))</f>
        <v/>
      </c>
    </row>
    <row r="1544" spans="3:14" x14ac:dyDescent="0.3">
      <c r="C1544" s="16"/>
      <c r="G1544" s="5" t="str">
        <f t="shared" si="120"/>
        <v/>
      </c>
      <c r="H1544" t="str">
        <f>IF(A1544="","",IFERROR(_xlfn.XLOOKUP(D1544,Setup!$E$15:$E$79,Setup!$F$15:$F$79),"Miscellaneous"))</f>
        <v/>
      </c>
      <c r="I1544" t="str">
        <f>IF(A1544="","",IFERROR(_xlfn.XLOOKUP(D1544,Setup!$E$15:$E$79,Setup!$G$15:$G$79),"Uncategorized"))</f>
        <v/>
      </c>
      <c r="J1544" t="str">
        <f t="shared" si="121"/>
        <v/>
      </c>
      <c r="K1544" s="4" t="str">
        <f t="shared" si="122"/>
        <v/>
      </c>
      <c r="L1544" s="47">
        <f t="shared" si="123"/>
        <v>0</v>
      </c>
      <c r="M1544" s="47">
        <f t="shared" si="124"/>
        <v>0</v>
      </c>
      <c r="N1544" t="str">
        <f>IF(A1544="","",IF(D1544="Category Pending","Needs categorization",IF(COUNTIFS($A$2:A1544,A1544,$B$2:B1544,B1544,$E$2:E1544,E1544)&gt;1,"Possible duplicate","")))</f>
        <v/>
      </c>
    </row>
    <row r="1545" spans="3:14" x14ac:dyDescent="0.3">
      <c r="C1545" s="16"/>
      <c r="G1545" s="5" t="str">
        <f t="shared" si="120"/>
        <v/>
      </c>
      <c r="H1545" t="str">
        <f>IF(A1545="","",IFERROR(_xlfn.XLOOKUP(D1545,Setup!$E$15:$E$79,Setup!$F$15:$F$79),"Miscellaneous"))</f>
        <v/>
      </c>
      <c r="I1545" t="str">
        <f>IF(A1545="","",IFERROR(_xlfn.XLOOKUP(D1545,Setup!$E$15:$E$79,Setup!$G$15:$G$79),"Uncategorized"))</f>
        <v/>
      </c>
      <c r="J1545" t="str">
        <f t="shared" si="121"/>
        <v/>
      </c>
      <c r="K1545" s="4" t="str">
        <f t="shared" si="122"/>
        <v/>
      </c>
      <c r="L1545" s="47">
        <f t="shared" si="123"/>
        <v>0</v>
      </c>
      <c r="M1545" s="47">
        <f t="shared" si="124"/>
        <v>0</v>
      </c>
      <c r="N1545" t="str">
        <f>IF(A1545="","",IF(D1545="Category Pending","Needs categorization",IF(COUNTIFS($A$2:A1545,A1545,$B$2:B1545,B1545,$E$2:E1545,E1545)&gt;1,"Possible duplicate","")))</f>
        <v/>
      </c>
    </row>
    <row r="1546" spans="3:14" x14ac:dyDescent="0.3">
      <c r="C1546" s="16"/>
      <c r="G1546" s="5" t="str">
        <f t="shared" si="120"/>
        <v/>
      </c>
      <c r="H1546" t="str">
        <f>IF(A1546="","",IFERROR(_xlfn.XLOOKUP(D1546,Setup!$E$15:$E$79,Setup!$F$15:$F$79),"Miscellaneous"))</f>
        <v/>
      </c>
      <c r="I1546" t="str">
        <f>IF(A1546="","",IFERROR(_xlfn.XLOOKUP(D1546,Setup!$E$15:$E$79,Setup!$G$15:$G$79),"Uncategorized"))</f>
        <v/>
      </c>
      <c r="J1546" t="str">
        <f t="shared" si="121"/>
        <v/>
      </c>
      <c r="K1546" s="4" t="str">
        <f t="shared" si="122"/>
        <v/>
      </c>
      <c r="L1546" s="47">
        <f t="shared" si="123"/>
        <v>0</v>
      </c>
      <c r="M1546" s="47">
        <f t="shared" si="124"/>
        <v>0</v>
      </c>
      <c r="N1546" t="str">
        <f>IF(A1546="","",IF(D1546="Category Pending","Needs categorization",IF(COUNTIFS($A$2:A1546,A1546,$B$2:B1546,B1546,$E$2:E1546,E1546)&gt;1,"Possible duplicate","")))</f>
        <v/>
      </c>
    </row>
    <row r="1547" spans="3:14" x14ac:dyDescent="0.3">
      <c r="C1547" s="16"/>
      <c r="G1547" s="5" t="str">
        <f t="shared" si="120"/>
        <v/>
      </c>
      <c r="H1547" t="str">
        <f>IF(A1547="","",IFERROR(_xlfn.XLOOKUP(D1547,Setup!$E$15:$E$79,Setup!$F$15:$F$79),"Miscellaneous"))</f>
        <v/>
      </c>
      <c r="I1547" t="str">
        <f>IF(A1547="","",IFERROR(_xlfn.XLOOKUP(D1547,Setup!$E$15:$E$79,Setup!$G$15:$G$79),"Uncategorized"))</f>
        <v/>
      </c>
      <c r="J1547" t="str">
        <f t="shared" si="121"/>
        <v/>
      </c>
      <c r="K1547" s="4" t="str">
        <f t="shared" si="122"/>
        <v/>
      </c>
      <c r="L1547" s="47">
        <f t="shared" si="123"/>
        <v>0</v>
      </c>
      <c r="M1547" s="47">
        <f t="shared" si="124"/>
        <v>0</v>
      </c>
      <c r="N1547" t="str">
        <f>IF(A1547="","",IF(D1547="Category Pending","Needs categorization",IF(COUNTIFS($A$2:A1547,A1547,$B$2:B1547,B1547,$E$2:E1547,E1547)&gt;1,"Possible duplicate","")))</f>
        <v/>
      </c>
    </row>
    <row r="1548" spans="3:14" x14ac:dyDescent="0.3">
      <c r="C1548" s="16"/>
      <c r="G1548" s="5" t="str">
        <f t="shared" si="120"/>
        <v/>
      </c>
      <c r="H1548" t="str">
        <f>IF(A1548="","",IFERROR(_xlfn.XLOOKUP(D1548,Setup!$E$15:$E$79,Setup!$F$15:$F$79),"Miscellaneous"))</f>
        <v/>
      </c>
      <c r="I1548" t="str">
        <f>IF(A1548="","",IFERROR(_xlfn.XLOOKUP(D1548,Setup!$E$15:$E$79,Setup!$G$15:$G$79),"Uncategorized"))</f>
        <v/>
      </c>
      <c r="J1548" t="str">
        <f t="shared" si="121"/>
        <v/>
      </c>
      <c r="K1548" s="4" t="str">
        <f t="shared" si="122"/>
        <v/>
      </c>
      <c r="L1548" s="47">
        <f t="shared" si="123"/>
        <v>0</v>
      </c>
      <c r="M1548" s="47">
        <f t="shared" si="124"/>
        <v>0</v>
      </c>
      <c r="N1548" t="str">
        <f>IF(A1548="","",IF(D1548="Category Pending","Needs categorization",IF(COUNTIFS($A$2:A1548,A1548,$B$2:B1548,B1548,$E$2:E1548,E1548)&gt;1,"Possible duplicate","")))</f>
        <v/>
      </c>
    </row>
    <row r="1549" spans="3:14" x14ac:dyDescent="0.3">
      <c r="C1549" s="16"/>
      <c r="G1549" s="5" t="str">
        <f t="shared" si="120"/>
        <v/>
      </c>
      <c r="H1549" t="str">
        <f>IF(A1549="","",IFERROR(_xlfn.XLOOKUP(D1549,Setup!$E$15:$E$79,Setup!$F$15:$F$79),"Miscellaneous"))</f>
        <v/>
      </c>
      <c r="I1549" t="str">
        <f>IF(A1549="","",IFERROR(_xlfn.XLOOKUP(D1549,Setup!$E$15:$E$79,Setup!$G$15:$G$79),"Uncategorized"))</f>
        <v/>
      </c>
      <c r="J1549" t="str">
        <f t="shared" si="121"/>
        <v/>
      </c>
      <c r="K1549" s="4" t="str">
        <f t="shared" si="122"/>
        <v/>
      </c>
      <c r="L1549" s="47">
        <f t="shared" si="123"/>
        <v>0</v>
      </c>
      <c r="M1549" s="47">
        <f t="shared" si="124"/>
        <v>0</v>
      </c>
      <c r="N1549" t="str">
        <f>IF(A1549="","",IF(D1549="Category Pending","Needs categorization",IF(COUNTIFS($A$2:A1549,A1549,$B$2:B1549,B1549,$E$2:E1549,E1549)&gt;1,"Possible duplicate","")))</f>
        <v/>
      </c>
    </row>
    <row r="1550" spans="3:14" x14ac:dyDescent="0.3">
      <c r="C1550" s="16"/>
      <c r="G1550" s="5" t="str">
        <f t="shared" si="120"/>
        <v/>
      </c>
      <c r="H1550" t="str">
        <f>IF(A1550="","",IFERROR(_xlfn.XLOOKUP(D1550,Setup!$E$15:$E$79,Setup!$F$15:$F$79),"Miscellaneous"))</f>
        <v/>
      </c>
      <c r="I1550" t="str">
        <f>IF(A1550="","",IFERROR(_xlfn.XLOOKUP(D1550,Setup!$E$15:$E$79,Setup!$G$15:$G$79),"Uncategorized"))</f>
        <v/>
      </c>
      <c r="J1550" t="str">
        <f t="shared" si="121"/>
        <v/>
      </c>
      <c r="K1550" s="4" t="str">
        <f t="shared" si="122"/>
        <v/>
      </c>
      <c r="L1550" s="47">
        <f t="shared" si="123"/>
        <v>0</v>
      </c>
      <c r="M1550" s="47">
        <f t="shared" si="124"/>
        <v>0</v>
      </c>
      <c r="N1550" t="str">
        <f>IF(A1550="","",IF(D1550="Category Pending","Needs categorization",IF(COUNTIFS($A$2:A1550,A1550,$B$2:B1550,B1550,$E$2:E1550,E1550)&gt;1,"Possible duplicate","")))</f>
        <v/>
      </c>
    </row>
    <row r="1551" spans="3:14" x14ac:dyDescent="0.3">
      <c r="C1551" s="16"/>
      <c r="G1551" s="5" t="str">
        <f t="shared" si="120"/>
        <v/>
      </c>
      <c r="H1551" t="str">
        <f>IF(A1551="","",IFERROR(_xlfn.XLOOKUP(D1551,Setup!$E$15:$E$79,Setup!$F$15:$F$79),"Miscellaneous"))</f>
        <v/>
      </c>
      <c r="I1551" t="str">
        <f>IF(A1551="","",IFERROR(_xlfn.XLOOKUP(D1551,Setup!$E$15:$E$79,Setup!$G$15:$G$79),"Uncategorized"))</f>
        <v/>
      </c>
      <c r="J1551" t="str">
        <f t="shared" si="121"/>
        <v/>
      </c>
      <c r="K1551" s="4" t="str">
        <f t="shared" si="122"/>
        <v/>
      </c>
      <c r="L1551" s="47">
        <f t="shared" si="123"/>
        <v>0</v>
      </c>
      <c r="M1551" s="47">
        <f t="shared" si="124"/>
        <v>0</v>
      </c>
      <c r="N1551" t="str">
        <f>IF(A1551="","",IF(D1551="Category Pending","Needs categorization",IF(COUNTIFS($A$2:A1551,A1551,$B$2:B1551,B1551,$E$2:E1551,E1551)&gt;1,"Possible duplicate","")))</f>
        <v/>
      </c>
    </row>
    <row r="1552" spans="3:14" x14ac:dyDescent="0.3">
      <c r="C1552" s="16"/>
      <c r="G1552" s="5" t="str">
        <f t="shared" si="120"/>
        <v/>
      </c>
      <c r="H1552" t="str">
        <f>IF(A1552="","",IFERROR(_xlfn.XLOOKUP(D1552,Setup!$E$15:$E$79,Setup!$F$15:$F$79),"Miscellaneous"))</f>
        <v/>
      </c>
      <c r="I1552" t="str">
        <f>IF(A1552="","",IFERROR(_xlfn.XLOOKUP(D1552,Setup!$E$15:$E$79,Setup!$G$15:$G$79),"Uncategorized"))</f>
        <v/>
      </c>
      <c r="J1552" t="str">
        <f t="shared" si="121"/>
        <v/>
      </c>
      <c r="K1552" s="4" t="str">
        <f t="shared" si="122"/>
        <v/>
      </c>
      <c r="L1552" s="47">
        <f t="shared" si="123"/>
        <v>0</v>
      </c>
      <c r="M1552" s="47">
        <f t="shared" si="124"/>
        <v>0</v>
      </c>
      <c r="N1552" t="str">
        <f>IF(A1552="","",IF(D1552="Category Pending","Needs categorization",IF(COUNTIFS($A$2:A1552,A1552,$B$2:B1552,B1552,$E$2:E1552,E1552)&gt;1,"Possible duplicate","")))</f>
        <v/>
      </c>
    </row>
    <row r="1553" spans="3:14" x14ac:dyDescent="0.3">
      <c r="C1553" s="16"/>
      <c r="G1553" s="5" t="str">
        <f t="shared" si="120"/>
        <v/>
      </c>
      <c r="H1553" t="str">
        <f>IF(A1553="","",IFERROR(_xlfn.XLOOKUP(D1553,Setup!$E$15:$E$79,Setup!$F$15:$F$79),"Miscellaneous"))</f>
        <v/>
      </c>
      <c r="I1553" t="str">
        <f>IF(A1553="","",IFERROR(_xlfn.XLOOKUP(D1553,Setup!$E$15:$E$79,Setup!$G$15:$G$79),"Uncategorized"))</f>
        <v/>
      </c>
      <c r="J1553" t="str">
        <f t="shared" si="121"/>
        <v/>
      </c>
      <c r="K1553" s="4" t="str">
        <f t="shared" si="122"/>
        <v/>
      </c>
      <c r="L1553" s="47">
        <f t="shared" si="123"/>
        <v>0</v>
      </c>
      <c r="M1553" s="47">
        <f t="shared" si="124"/>
        <v>0</v>
      </c>
      <c r="N1553" t="str">
        <f>IF(A1553="","",IF(D1553="Category Pending","Needs categorization",IF(COUNTIFS($A$2:A1553,A1553,$B$2:B1553,B1553,$E$2:E1553,E1553)&gt;1,"Possible duplicate","")))</f>
        <v/>
      </c>
    </row>
    <row r="1554" spans="3:14" x14ac:dyDescent="0.3">
      <c r="C1554" s="16"/>
      <c r="G1554" s="5" t="str">
        <f t="shared" si="120"/>
        <v/>
      </c>
      <c r="H1554" t="str">
        <f>IF(A1554="","",IFERROR(_xlfn.XLOOKUP(D1554,Setup!$E$15:$E$79,Setup!$F$15:$F$79),"Miscellaneous"))</f>
        <v/>
      </c>
      <c r="I1554" t="str">
        <f>IF(A1554="","",IFERROR(_xlfn.XLOOKUP(D1554,Setup!$E$15:$E$79,Setup!$G$15:$G$79),"Uncategorized"))</f>
        <v/>
      </c>
      <c r="J1554" t="str">
        <f t="shared" si="121"/>
        <v/>
      </c>
      <c r="K1554" s="4" t="str">
        <f t="shared" si="122"/>
        <v/>
      </c>
      <c r="L1554" s="47">
        <f t="shared" si="123"/>
        <v>0</v>
      </c>
      <c r="M1554" s="47">
        <f t="shared" si="124"/>
        <v>0</v>
      </c>
      <c r="N1554" t="str">
        <f>IF(A1554="","",IF(D1554="Category Pending","Needs categorization",IF(COUNTIFS($A$2:A1554,A1554,$B$2:B1554,B1554,$E$2:E1554,E1554)&gt;1,"Possible duplicate","")))</f>
        <v/>
      </c>
    </row>
    <row r="1555" spans="3:14" x14ac:dyDescent="0.3">
      <c r="C1555" s="16"/>
      <c r="G1555" s="5" t="str">
        <f t="shared" si="120"/>
        <v/>
      </c>
      <c r="H1555" t="str">
        <f>IF(A1555="","",IFERROR(_xlfn.XLOOKUP(D1555,Setup!$E$15:$E$79,Setup!$F$15:$F$79),"Miscellaneous"))</f>
        <v/>
      </c>
      <c r="I1555" t="str">
        <f>IF(A1555="","",IFERROR(_xlfn.XLOOKUP(D1555,Setup!$E$15:$E$79,Setup!$G$15:$G$79),"Uncategorized"))</f>
        <v/>
      </c>
      <c r="J1555" t="str">
        <f t="shared" si="121"/>
        <v/>
      </c>
      <c r="K1555" s="4" t="str">
        <f t="shared" si="122"/>
        <v/>
      </c>
      <c r="L1555" s="47">
        <f t="shared" si="123"/>
        <v>0</v>
      </c>
      <c r="M1555" s="47">
        <f t="shared" si="124"/>
        <v>0</v>
      </c>
      <c r="N1555" t="str">
        <f>IF(A1555="","",IF(D1555="Category Pending","Needs categorization",IF(COUNTIFS($A$2:A1555,A1555,$B$2:B1555,B1555,$E$2:E1555,E1555)&gt;1,"Possible duplicate","")))</f>
        <v/>
      </c>
    </row>
    <row r="1556" spans="3:14" x14ac:dyDescent="0.3">
      <c r="C1556" s="16"/>
      <c r="G1556" s="5" t="str">
        <f t="shared" si="120"/>
        <v/>
      </c>
      <c r="H1556" t="str">
        <f>IF(A1556="","",IFERROR(_xlfn.XLOOKUP(D1556,Setup!$E$15:$E$79,Setup!$F$15:$F$79),"Miscellaneous"))</f>
        <v/>
      </c>
      <c r="I1556" t="str">
        <f>IF(A1556="","",IFERROR(_xlfn.XLOOKUP(D1556,Setup!$E$15:$E$79,Setup!$G$15:$G$79),"Uncategorized"))</f>
        <v/>
      </c>
      <c r="J1556" t="str">
        <f t="shared" si="121"/>
        <v/>
      </c>
      <c r="K1556" s="4" t="str">
        <f t="shared" si="122"/>
        <v/>
      </c>
      <c r="L1556" s="47">
        <f t="shared" si="123"/>
        <v>0</v>
      </c>
      <c r="M1556" s="47">
        <f t="shared" si="124"/>
        <v>0</v>
      </c>
      <c r="N1556" t="str">
        <f>IF(A1556="","",IF(D1556="Category Pending","Needs categorization",IF(COUNTIFS($A$2:A1556,A1556,$B$2:B1556,B1556,$E$2:E1556,E1556)&gt;1,"Possible duplicate","")))</f>
        <v/>
      </c>
    </row>
    <row r="1557" spans="3:14" x14ac:dyDescent="0.3">
      <c r="C1557" s="16"/>
      <c r="G1557" s="5" t="str">
        <f t="shared" si="120"/>
        <v/>
      </c>
      <c r="H1557" t="str">
        <f>IF(A1557="","",IFERROR(_xlfn.XLOOKUP(D1557,Setup!$E$15:$E$79,Setup!$F$15:$F$79),"Miscellaneous"))</f>
        <v/>
      </c>
      <c r="I1557" t="str">
        <f>IF(A1557="","",IFERROR(_xlfn.XLOOKUP(D1557,Setup!$E$15:$E$79,Setup!$G$15:$G$79),"Uncategorized"))</f>
        <v/>
      </c>
      <c r="J1557" t="str">
        <f t="shared" si="121"/>
        <v/>
      </c>
      <c r="K1557" s="4" t="str">
        <f t="shared" si="122"/>
        <v/>
      </c>
      <c r="L1557" s="47">
        <f t="shared" si="123"/>
        <v>0</v>
      </c>
      <c r="M1557" s="47">
        <f t="shared" si="124"/>
        <v>0</v>
      </c>
      <c r="N1557" t="str">
        <f>IF(A1557="","",IF(D1557="Category Pending","Needs categorization",IF(COUNTIFS($A$2:A1557,A1557,$B$2:B1557,B1557,$E$2:E1557,E1557)&gt;1,"Possible duplicate","")))</f>
        <v/>
      </c>
    </row>
    <row r="1558" spans="3:14" x14ac:dyDescent="0.3">
      <c r="C1558" s="16"/>
      <c r="G1558" s="5" t="str">
        <f t="shared" si="120"/>
        <v/>
      </c>
      <c r="H1558" t="str">
        <f>IF(A1558="","",IFERROR(_xlfn.XLOOKUP(D1558,Setup!$E$15:$E$79,Setup!$F$15:$F$79),"Miscellaneous"))</f>
        <v/>
      </c>
      <c r="I1558" t="str">
        <f>IF(A1558="","",IFERROR(_xlfn.XLOOKUP(D1558,Setup!$E$15:$E$79,Setup!$G$15:$G$79),"Uncategorized"))</f>
        <v/>
      </c>
      <c r="J1558" t="str">
        <f t="shared" si="121"/>
        <v/>
      </c>
      <c r="K1558" s="4" t="str">
        <f t="shared" si="122"/>
        <v/>
      </c>
      <c r="L1558" s="47">
        <f t="shared" si="123"/>
        <v>0</v>
      </c>
      <c r="M1558" s="47">
        <f t="shared" si="124"/>
        <v>0</v>
      </c>
      <c r="N1558" t="str">
        <f>IF(A1558="","",IF(D1558="Category Pending","Needs categorization",IF(COUNTIFS($A$2:A1558,A1558,$B$2:B1558,B1558,$E$2:E1558,E1558)&gt;1,"Possible duplicate","")))</f>
        <v/>
      </c>
    </row>
    <row r="1559" spans="3:14" x14ac:dyDescent="0.3">
      <c r="C1559" s="16"/>
      <c r="G1559" s="5" t="str">
        <f t="shared" si="120"/>
        <v/>
      </c>
      <c r="H1559" t="str">
        <f>IF(A1559="","",IFERROR(_xlfn.XLOOKUP(D1559,Setup!$E$15:$E$79,Setup!$F$15:$F$79),"Miscellaneous"))</f>
        <v/>
      </c>
      <c r="I1559" t="str">
        <f>IF(A1559="","",IFERROR(_xlfn.XLOOKUP(D1559,Setup!$E$15:$E$79,Setup!$G$15:$G$79),"Uncategorized"))</f>
        <v/>
      </c>
      <c r="J1559" t="str">
        <f t="shared" si="121"/>
        <v/>
      </c>
      <c r="K1559" s="4" t="str">
        <f t="shared" si="122"/>
        <v/>
      </c>
      <c r="L1559" s="47">
        <f t="shared" si="123"/>
        <v>0</v>
      </c>
      <c r="M1559" s="47">
        <f t="shared" si="124"/>
        <v>0</v>
      </c>
      <c r="N1559" t="str">
        <f>IF(A1559="","",IF(D1559="Category Pending","Needs categorization",IF(COUNTIFS($A$2:A1559,A1559,$B$2:B1559,B1559,$E$2:E1559,E1559)&gt;1,"Possible duplicate","")))</f>
        <v/>
      </c>
    </row>
    <row r="1560" spans="3:14" x14ac:dyDescent="0.3">
      <c r="C1560" s="16"/>
      <c r="G1560" s="5" t="str">
        <f t="shared" si="120"/>
        <v/>
      </c>
      <c r="H1560" t="str">
        <f>IF(A1560="","",IFERROR(_xlfn.XLOOKUP(D1560,Setup!$E$15:$E$79,Setup!$F$15:$F$79),"Miscellaneous"))</f>
        <v/>
      </c>
      <c r="I1560" t="str">
        <f>IF(A1560="","",IFERROR(_xlfn.XLOOKUP(D1560,Setup!$E$15:$E$79,Setup!$G$15:$G$79),"Uncategorized"))</f>
        <v/>
      </c>
      <c r="J1560" t="str">
        <f t="shared" si="121"/>
        <v/>
      </c>
      <c r="K1560" s="4" t="str">
        <f t="shared" si="122"/>
        <v/>
      </c>
      <c r="L1560" s="47">
        <f t="shared" si="123"/>
        <v>0</v>
      </c>
      <c r="M1560" s="47">
        <f t="shared" si="124"/>
        <v>0</v>
      </c>
      <c r="N1560" t="str">
        <f>IF(A1560="","",IF(D1560="Category Pending","Needs categorization",IF(COUNTIFS($A$2:A1560,A1560,$B$2:B1560,B1560,$E$2:E1560,E1560)&gt;1,"Possible duplicate","")))</f>
        <v/>
      </c>
    </row>
    <row r="1561" spans="3:14" x14ac:dyDescent="0.3">
      <c r="C1561" s="16"/>
      <c r="G1561" s="5" t="str">
        <f t="shared" si="120"/>
        <v/>
      </c>
      <c r="H1561" t="str">
        <f>IF(A1561="","",IFERROR(_xlfn.XLOOKUP(D1561,Setup!$E$15:$E$79,Setup!$F$15:$F$79),"Miscellaneous"))</f>
        <v/>
      </c>
      <c r="I1561" t="str">
        <f>IF(A1561="","",IFERROR(_xlfn.XLOOKUP(D1561,Setup!$E$15:$E$79,Setup!$G$15:$G$79),"Uncategorized"))</f>
        <v/>
      </c>
      <c r="J1561" t="str">
        <f t="shared" si="121"/>
        <v/>
      </c>
      <c r="K1561" s="4" t="str">
        <f t="shared" si="122"/>
        <v/>
      </c>
      <c r="L1561" s="47">
        <f t="shared" si="123"/>
        <v>0</v>
      </c>
      <c r="M1561" s="47">
        <f t="shared" si="124"/>
        <v>0</v>
      </c>
      <c r="N1561" t="str">
        <f>IF(A1561="","",IF(D1561="Category Pending","Needs categorization",IF(COUNTIFS($A$2:A1561,A1561,$B$2:B1561,B1561,$E$2:E1561,E1561)&gt;1,"Possible duplicate","")))</f>
        <v/>
      </c>
    </row>
    <row r="1562" spans="3:14" x14ac:dyDescent="0.3">
      <c r="C1562" s="16"/>
      <c r="G1562" s="5" t="str">
        <f t="shared" si="120"/>
        <v/>
      </c>
      <c r="H1562" t="str">
        <f>IF(A1562="","",IFERROR(_xlfn.XLOOKUP(D1562,Setup!$E$15:$E$79,Setup!$F$15:$F$79),"Miscellaneous"))</f>
        <v/>
      </c>
      <c r="I1562" t="str">
        <f>IF(A1562="","",IFERROR(_xlfn.XLOOKUP(D1562,Setup!$E$15:$E$79,Setup!$G$15:$G$79),"Uncategorized"))</f>
        <v/>
      </c>
      <c r="J1562" t="str">
        <f t="shared" si="121"/>
        <v/>
      </c>
      <c r="K1562" s="4" t="str">
        <f t="shared" si="122"/>
        <v/>
      </c>
      <c r="L1562" s="47">
        <f t="shared" si="123"/>
        <v>0</v>
      </c>
      <c r="M1562" s="47">
        <f t="shared" si="124"/>
        <v>0</v>
      </c>
      <c r="N1562" t="str">
        <f>IF(A1562="","",IF(D1562="Category Pending","Needs categorization",IF(COUNTIFS($A$2:A1562,A1562,$B$2:B1562,B1562,$E$2:E1562,E1562)&gt;1,"Possible duplicate","")))</f>
        <v/>
      </c>
    </row>
    <row r="1563" spans="3:14" x14ac:dyDescent="0.3">
      <c r="C1563" s="16"/>
      <c r="G1563" s="5" t="str">
        <f t="shared" si="120"/>
        <v/>
      </c>
      <c r="H1563" t="str">
        <f>IF(A1563="","",IFERROR(_xlfn.XLOOKUP(D1563,Setup!$E$15:$E$79,Setup!$F$15:$F$79),"Miscellaneous"))</f>
        <v/>
      </c>
      <c r="I1563" t="str">
        <f>IF(A1563="","",IFERROR(_xlfn.XLOOKUP(D1563,Setup!$E$15:$E$79,Setup!$G$15:$G$79),"Uncategorized"))</f>
        <v/>
      </c>
      <c r="J1563" t="str">
        <f t="shared" si="121"/>
        <v/>
      </c>
      <c r="K1563" s="4" t="str">
        <f t="shared" si="122"/>
        <v/>
      </c>
      <c r="L1563" s="47">
        <f t="shared" si="123"/>
        <v>0</v>
      </c>
      <c r="M1563" s="47">
        <f t="shared" si="124"/>
        <v>0</v>
      </c>
      <c r="N1563" t="str">
        <f>IF(A1563="","",IF(D1563="Category Pending","Needs categorization",IF(COUNTIFS($A$2:A1563,A1563,$B$2:B1563,B1563,$E$2:E1563,E1563)&gt;1,"Possible duplicate","")))</f>
        <v/>
      </c>
    </row>
    <row r="1564" spans="3:14" x14ac:dyDescent="0.3">
      <c r="C1564" s="16"/>
      <c r="G1564" s="5" t="str">
        <f t="shared" si="120"/>
        <v/>
      </c>
      <c r="H1564" t="str">
        <f>IF(A1564="","",IFERROR(_xlfn.XLOOKUP(D1564,Setup!$E$15:$E$79,Setup!$F$15:$F$79),"Miscellaneous"))</f>
        <v/>
      </c>
      <c r="I1564" t="str">
        <f>IF(A1564="","",IFERROR(_xlfn.XLOOKUP(D1564,Setup!$E$15:$E$79,Setup!$G$15:$G$79),"Uncategorized"))</f>
        <v/>
      </c>
      <c r="J1564" t="str">
        <f t="shared" si="121"/>
        <v/>
      </c>
      <c r="K1564" s="4" t="str">
        <f t="shared" si="122"/>
        <v/>
      </c>
      <c r="L1564" s="47">
        <f t="shared" si="123"/>
        <v>0</v>
      </c>
      <c r="M1564" s="47">
        <f t="shared" si="124"/>
        <v>0</v>
      </c>
      <c r="N1564" t="str">
        <f>IF(A1564="","",IF(D1564="Category Pending","Needs categorization",IF(COUNTIFS($A$2:A1564,A1564,$B$2:B1564,B1564,$E$2:E1564,E1564)&gt;1,"Possible duplicate","")))</f>
        <v/>
      </c>
    </row>
    <row r="1565" spans="3:14" x14ac:dyDescent="0.3">
      <c r="C1565" s="16"/>
      <c r="G1565" s="5" t="str">
        <f t="shared" si="120"/>
        <v/>
      </c>
      <c r="H1565" t="str">
        <f>IF(A1565="","",IFERROR(_xlfn.XLOOKUP(D1565,Setup!$E$15:$E$79,Setup!$F$15:$F$79),"Miscellaneous"))</f>
        <v/>
      </c>
      <c r="I1565" t="str">
        <f>IF(A1565="","",IFERROR(_xlfn.XLOOKUP(D1565,Setup!$E$15:$E$79,Setup!$G$15:$G$79),"Uncategorized"))</f>
        <v/>
      </c>
      <c r="J1565" t="str">
        <f t="shared" si="121"/>
        <v/>
      </c>
      <c r="K1565" s="4" t="str">
        <f t="shared" si="122"/>
        <v/>
      </c>
      <c r="L1565" s="47">
        <f t="shared" si="123"/>
        <v>0</v>
      </c>
      <c r="M1565" s="47">
        <f t="shared" si="124"/>
        <v>0</v>
      </c>
      <c r="N1565" t="str">
        <f>IF(A1565="","",IF(D1565="Category Pending","Needs categorization",IF(COUNTIFS($A$2:A1565,A1565,$B$2:B1565,B1565,$E$2:E1565,E1565)&gt;1,"Possible duplicate","")))</f>
        <v/>
      </c>
    </row>
    <row r="1566" spans="3:14" x14ac:dyDescent="0.3">
      <c r="C1566" s="16"/>
      <c r="G1566" s="5" t="str">
        <f t="shared" si="120"/>
        <v/>
      </c>
      <c r="H1566" t="str">
        <f>IF(A1566="","",IFERROR(_xlfn.XLOOKUP(D1566,Setup!$E$15:$E$79,Setup!$F$15:$F$79),"Miscellaneous"))</f>
        <v/>
      </c>
      <c r="I1566" t="str">
        <f>IF(A1566="","",IFERROR(_xlfn.XLOOKUP(D1566,Setup!$E$15:$E$79,Setup!$G$15:$G$79),"Uncategorized"))</f>
        <v/>
      </c>
      <c r="J1566" t="str">
        <f t="shared" si="121"/>
        <v/>
      </c>
      <c r="K1566" s="4" t="str">
        <f t="shared" si="122"/>
        <v/>
      </c>
      <c r="L1566" s="47">
        <f t="shared" si="123"/>
        <v>0</v>
      </c>
      <c r="M1566" s="47">
        <f t="shared" si="124"/>
        <v>0</v>
      </c>
      <c r="N1566" t="str">
        <f>IF(A1566="","",IF(D1566="Category Pending","Needs categorization",IF(COUNTIFS($A$2:A1566,A1566,$B$2:B1566,B1566,$E$2:E1566,E1566)&gt;1,"Possible duplicate","")))</f>
        <v/>
      </c>
    </row>
    <row r="1567" spans="3:14" x14ac:dyDescent="0.3">
      <c r="C1567" s="16"/>
      <c r="G1567" s="5" t="str">
        <f t="shared" si="120"/>
        <v/>
      </c>
      <c r="H1567" t="str">
        <f>IF(A1567="","",IFERROR(_xlfn.XLOOKUP(D1567,Setup!$E$15:$E$79,Setup!$F$15:$F$79),"Miscellaneous"))</f>
        <v/>
      </c>
      <c r="I1567" t="str">
        <f>IF(A1567="","",IFERROR(_xlfn.XLOOKUP(D1567,Setup!$E$15:$E$79,Setup!$G$15:$G$79),"Uncategorized"))</f>
        <v/>
      </c>
      <c r="J1567" t="str">
        <f t="shared" si="121"/>
        <v/>
      </c>
      <c r="K1567" s="4" t="str">
        <f t="shared" si="122"/>
        <v/>
      </c>
      <c r="L1567" s="47">
        <f t="shared" si="123"/>
        <v>0</v>
      </c>
      <c r="M1567" s="47">
        <f t="shared" si="124"/>
        <v>0</v>
      </c>
      <c r="N1567" t="str">
        <f>IF(A1567="","",IF(D1567="Category Pending","Needs categorization",IF(COUNTIFS($A$2:A1567,A1567,$B$2:B1567,B1567,$E$2:E1567,E1567)&gt;1,"Possible duplicate","")))</f>
        <v/>
      </c>
    </row>
    <row r="1568" spans="3:14" x14ac:dyDescent="0.3">
      <c r="C1568" s="16"/>
      <c r="G1568" s="5" t="str">
        <f t="shared" si="120"/>
        <v/>
      </c>
      <c r="H1568" t="str">
        <f>IF(A1568="","",IFERROR(_xlfn.XLOOKUP(D1568,Setup!$E$15:$E$79,Setup!$F$15:$F$79),"Miscellaneous"))</f>
        <v/>
      </c>
      <c r="I1568" t="str">
        <f>IF(A1568="","",IFERROR(_xlfn.XLOOKUP(D1568,Setup!$E$15:$E$79,Setup!$G$15:$G$79),"Uncategorized"))</f>
        <v/>
      </c>
      <c r="J1568" t="str">
        <f t="shared" si="121"/>
        <v/>
      </c>
      <c r="K1568" s="4" t="str">
        <f t="shared" si="122"/>
        <v/>
      </c>
      <c r="L1568" s="47">
        <f t="shared" si="123"/>
        <v>0</v>
      </c>
      <c r="M1568" s="47">
        <f t="shared" si="124"/>
        <v>0</v>
      </c>
      <c r="N1568" t="str">
        <f>IF(A1568="","",IF(D1568="Category Pending","Needs categorization",IF(COUNTIFS($A$2:A1568,A1568,$B$2:B1568,B1568,$E$2:E1568,E1568)&gt;1,"Possible duplicate","")))</f>
        <v/>
      </c>
    </row>
    <row r="1569" spans="3:14" x14ac:dyDescent="0.3">
      <c r="C1569" s="16"/>
      <c r="G1569" s="5" t="str">
        <f t="shared" ref="G1569:G1632" si="125">IF(A1569="","","Checking")</f>
        <v/>
      </c>
      <c r="H1569" t="str">
        <f>IF(A1569="","",IFERROR(_xlfn.XLOOKUP(D1569,Setup!$E$15:$E$79,Setup!$F$15:$F$79),"Miscellaneous"))</f>
        <v/>
      </c>
      <c r="I1569" t="str">
        <f>IF(A1569="","",IFERROR(_xlfn.XLOOKUP(D1569,Setup!$E$15:$E$79,Setup!$G$15:$G$79),"Uncategorized"))</f>
        <v/>
      </c>
      <c r="J1569" t="str">
        <f t="shared" ref="J1569:J1632" si="126">IF(A1569="","",IF(OR(H1569="Transfers",H1569="Income",D1569="Transfer",D1569="Category Pending"),"No","Yes"))</f>
        <v/>
      </c>
      <c r="K1569" s="4" t="str">
        <f t="shared" ref="K1569:K1632" si="127">IF(A1569="","",IF(A1569&gt;=46232,TEXT(DATE(YEAR(A1569),MONTH(A1569)+1,1),"mmmm yyyy"),TEXT(DATE(YEAR(A1569),MONTH(A1569),1),"mmmm yyyy")))</f>
        <v/>
      </c>
      <c r="L1569" s="47">
        <f t="shared" ref="L1569:L1632" si="128">IF(AND(J1569="Yes",E1569&lt;0),-E1569,0)</f>
        <v>0</v>
      </c>
      <c r="M1569" s="47">
        <f t="shared" ref="M1569:M1632" si="129">IF(AND(J1569="Yes",E1569&gt;0),E1569,0)</f>
        <v>0</v>
      </c>
      <c r="N1569" t="str">
        <f>IF(A1569="","",IF(D1569="Category Pending","Needs categorization",IF(COUNTIFS($A$2:A1569,A1569,$B$2:B1569,B1569,$E$2:E1569,E1569)&gt;1,"Possible duplicate","")))</f>
        <v/>
      </c>
    </row>
    <row r="1570" spans="3:14" x14ac:dyDescent="0.3">
      <c r="C1570" s="16"/>
      <c r="G1570" s="5" t="str">
        <f t="shared" si="125"/>
        <v/>
      </c>
      <c r="H1570" t="str">
        <f>IF(A1570="","",IFERROR(_xlfn.XLOOKUP(D1570,Setup!$E$15:$E$79,Setup!$F$15:$F$79),"Miscellaneous"))</f>
        <v/>
      </c>
      <c r="I1570" t="str">
        <f>IF(A1570="","",IFERROR(_xlfn.XLOOKUP(D1570,Setup!$E$15:$E$79,Setup!$G$15:$G$79),"Uncategorized"))</f>
        <v/>
      </c>
      <c r="J1570" t="str">
        <f t="shared" si="126"/>
        <v/>
      </c>
      <c r="K1570" s="4" t="str">
        <f t="shared" si="127"/>
        <v/>
      </c>
      <c r="L1570" s="47">
        <f t="shared" si="128"/>
        <v>0</v>
      </c>
      <c r="M1570" s="47">
        <f t="shared" si="129"/>
        <v>0</v>
      </c>
      <c r="N1570" t="str">
        <f>IF(A1570="","",IF(D1570="Category Pending","Needs categorization",IF(COUNTIFS($A$2:A1570,A1570,$B$2:B1570,B1570,$E$2:E1570,E1570)&gt;1,"Possible duplicate","")))</f>
        <v/>
      </c>
    </row>
    <row r="1571" spans="3:14" x14ac:dyDescent="0.3">
      <c r="C1571" s="16"/>
      <c r="G1571" s="5" t="str">
        <f t="shared" si="125"/>
        <v/>
      </c>
      <c r="H1571" t="str">
        <f>IF(A1571="","",IFERROR(_xlfn.XLOOKUP(D1571,Setup!$E$15:$E$79,Setup!$F$15:$F$79),"Miscellaneous"))</f>
        <v/>
      </c>
      <c r="I1571" t="str">
        <f>IF(A1571="","",IFERROR(_xlfn.XLOOKUP(D1571,Setup!$E$15:$E$79,Setup!$G$15:$G$79),"Uncategorized"))</f>
        <v/>
      </c>
      <c r="J1571" t="str">
        <f t="shared" si="126"/>
        <v/>
      </c>
      <c r="K1571" s="4" t="str">
        <f t="shared" si="127"/>
        <v/>
      </c>
      <c r="L1571" s="47">
        <f t="shared" si="128"/>
        <v>0</v>
      </c>
      <c r="M1571" s="47">
        <f t="shared" si="129"/>
        <v>0</v>
      </c>
      <c r="N1571" t="str">
        <f>IF(A1571="","",IF(D1571="Category Pending","Needs categorization",IF(COUNTIFS($A$2:A1571,A1571,$B$2:B1571,B1571,$E$2:E1571,E1571)&gt;1,"Possible duplicate","")))</f>
        <v/>
      </c>
    </row>
    <row r="1572" spans="3:14" x14ac:dyDescent="0.3">
      <c r="C1572" s="16"/>
      <c r="G1572" s="5" t="str">
        <f t="shared" si="125"/>
        <v/>
      </c>
      <c r="H1572" t="str">
        <f>IF(A1572="","",IFERROR(_xlfn.XLOOKUP(D1572,Setup!$E$15:$E$79,Setup!$F$15:$F$79),"Miscellaneous"))</f>
        <v/>
      </c>
      <c r="I1572" t="str">
        <f>IF(A1572="","",IFERROR(_xlfn.XLOOKUP(D1572,Setup!$E$15:$E$79,Setup!$G$15:$G$79),"Uncategorized"))</f>
        <v/>
      </c>
      <c r="J1572" t="str">
        <f t="shared" si="126"/>
        <v/>
      </c>
      <c r="K1572" s="4" t="str">
        <f t="shared" si="127"/>
        <v/>
      </c>
      <c r="L1572" s="47">
        <f t="shared" si="128"/>
        <v>0</v>
      </c>
      <c r="M1572" s="47">
        <f t="shared" si="129"/>
        <v>0</v>
      </c>
      <c r="N1572" t="str">
        <f>IF(A1572="","",IF(D1572="Category Pending","Needs categorization",IF(COUNTIFS($A$2:A1572,A1572,$B$2:B1572,B1572,$E$2:E1572,E1572)&gt;1,"Possible duplicate","")))</f>
        <v/>
      </c>
    </row>
    <row r="1573" spans="3:14" x14ac:dyDescent="0.3">
      <c r="C1573" s="16"/>
      <c r="G1573" s="5" t="str">
        <f t="shared" si="125"/>
        <v/>
      </c>
      <c r="H1573" t="str">
        <f>IF(A1573="","",IFERROR(_xlfn.XLOOKUP(D1573,Setup!$E$15:$E$79,Setup!$F$15:$F$79),"Miscellaneous"))</f>
        <v/>
      </c>
      <c r="I1573" t="str">
        <f>IF(A1573="","",IFERROR(_xlfn.XLOOKUP(D1573,Setup!$E$15:$E$79,Setup!$G$15:$G$79),"Uncategorized"))</f>
        <v/>
      </c>
      <c r="J1573" t="str">
        <f t="shared" si="126"/>
        <v/>
      </c>
      <c r="K1573" s="4" t="str">
        <f t="shared" si="127"/>
        <v/>
      </c>
      <c r="L1573" s="47">
        <f t="shared" si="128"/>
        <v>0</v>
      </c>
      <c r="M1573" s="47">
        <f t="shared" si="129"/>
        <v>0</v>
      </c>
      <c r="N1573" t="str">
        <f>IF(A1573="","",IF(D1573="Category Pending","Needs categorization",IF(COUNTIFS($A$2:A1573,A1573,$B$2:B1573,B1573,$E$2:E1573,E1573)&gt;1,"Possible duplicate","")))</f>
        <v/>
      </c>
    </row>
    <row r="1574" spans="3:14" x14ac:dyDescent="0.3">
      <c r="C1574" s="16"/>
      <c r="G1574" s="5" t="str">
        <f t="shared" si="125"/>
        <v/>
      </c>
      <c r="H1574" t="str">
        <f>IF(A1574="","",IFERROR(_xlfn.XLOOKUP(D1574,Setup!$E$15:$E$79,Setup!$F$15:$F$79),"Miscellaneous"))</f>
        <v/>
      </c>
      <c r="I1574" t="str">
        <f>IF(A1574="","",IFERROR(_xlfn.XLOOKUP(D1574,Setup!$E$15:$E$79,Setup!$G$15:$G$79),"Uncategorized"))</f>
        <v/>
      </c>
      <c r="J1574" t="str">
        <f t="shared" si="126"/>
        <v/>
      </c>
      <c r="K1574" s="4" t="str">
        <f t="shared" si="127"/>
        <v/>
      </c>
      <c r="L1574" s="47">
        <f t="shared" si="128"/>
        <v>0</v>
      </c>
      <c r="M1574" s="47">
        <f t="shared" si="129"/>
        <v>0</v>
      </c>
      <c r="N1574" t="str">
        <f>IF(A1574="","",IF(D1574="Category Pending","Needs categorization",IF(COUNTIFS($A$2:A1574,A1574,$B$2:B1574,B1574,$E$2:E1574,E1574)&gt;1,"Possible duplicate","")))</f>
        <v/>
      </c>
    </row>
    <row r="1575" spans="3:14" x14ac:dyDescent="0.3">
      <c r="C1575" s="16"/>
      <c r="G1575" s="5" t="str">
        <f t="shared" si="125"/>
        <v/>
      </c>
      <c r="H1575" t="str">
        <f>IF(A1575="","",IFERROR(_xlfn.XLOOKUP(D1575,Setup!$E$15:$E$79,Setup!$F$15:$F$79),"Miscellaneous"))</f>
        <v/>
      </c>
      <c r="I1575" t="str">
        <f>IF(A1575="","",IFERROR(_xlfn.XLOOKUP(D1575,Setup!$E$15:$E$79,Setup!$G$15:$G$79),"Uncategorized"))</f>
        <v/>
      </c>
      <c r="J1575" t="str">
        <f t="shared" si="126"/>
        <v/>
      </c>
      <c r="K1575" s="4" t="str">
        <f t="shared" si="127"/>
        <v/>
      </c>
      <c r="L1575" s="47">
        <f t="shared" si="128"/>
        <v>0</v>
      </c>
      <c r="M1575" s="47">
        <f t="shared" si="129"/>
        <v>0</v>
      </c>
      <c r="N1575" t="str">
        <f>IF(A1575="","",IF(D1575="Category Pending","Needs categorization",IF(COUNTIFS($A$2:A1575,A1575,$B$2:B1575,B1575,$E$2:E1575,E1575)&gt;1,"Possible duplicate","")))</f>
        <v/>
      </c>
    </row>
    <row r="1576" spans="3:14" x14ac:dyDescent="0.3">
      <c r="C1576" s="16"/>
      <c r="G1576" s="5" t="str">
        <f t="shared" si="125"/>
        <v/>
      </c>
      <c r="H1576" t="str">
        <f>IF(A1576="","",IFERROR(_xlfn.XLOOKUP(D1576,Setup!$E$15:$E$79,Setup!$F$15:$F$79),"Miscellaneous"))</f>
        <v/>
      </c>
      <c r="I1576" t="str">
        <f>IF(A1576="","",IFERROR(_xlfn.XLOOKUP(D1576,Setup!$E$15:$E$79,Setup!$G$15:$G$79),"Uncategorized"))</f>
        <v/>
      </c>
      <c r="J1576" t="str">
        <f t="shared" si="126"/>
        <v/>
      </c>
      <c r="K1576" s="4" t="str">
        <f t="shared" si="127"/>
        <v/>
      </c>
      <c r="L1576" s="47">
        <f t="shared" si="128"/>
        <v>0</v>
      </c>
      <c r="M1576" s="47">
        <f t="shared" si="129"/>
        <v>0</v>
      </c>
      <c r="N1576" t="str">
        <f>IF(A1576="","",IF(D1576="Category Pending","Needs categorization",IF(COUNTIFS($A$2:A1576,A1576,$B$2:B1576,B1576,$E$2:E1576,E1576)&gt;1,"Possible duplicate","")))</f>
        <v/>
      </c>
    </row>
    <row r="1577" spans="3:14" x14ac:dyDescent="0.3">
      <c r="C1577" s="16"/>
      <c r="G1577" s="5" t="str">
        <f t="shared" si="125"/>
        <v/>
      </c>
      <c r="H1577" t="str">
        <f>IF(A1577="","",IFERROR(_xlfn.XLOOKUP(D1577,Setup!$E$15:$E$79,Setup!$F$15:$F$79),"Miscellaneous"))</f>
        <v/>
      </c>
      <c r="I1577" t="str">
        <f>IF(A1577="","",IFERROR(_xlfn.XLOOKUP(D1577,Setup!$E$15:$E$79,Setup!$G$15:$G$79),"Uncategorized"))</f>
        <v/>
      </c>
      <c r="J1577" t="str">
        <f t="shared" si="126"/>
        <v/>
      </c>
      <c r="K1577" s="4" t="str">
        <f t="shared" si="127"/>
        <v/>
      </c>
      <c r="L1577" s="47">
        <f t="shared" si="128"/>
        <v>0</v>
      </c>
      <c r="M1577" s="47">
        <f t="shared" si="129"/>
        <v>0</v>
      </c>
      <c r="N1577" t="str">
        <f>IF(A1577="","",IF(D1577="Category Pending","Needs categorization",IF(COUNTIFS($A$2:A1577,A1577,$B$2:B1577,B1577,$E$2:E1577,E1577)&gt;1,"Possible duplicate","")))</f>
        <v/>
      </c>
    </row>
    <row r="1578" spans="3:14" x14ac:dyDescent="0.3">
      <c r="C1578" s="16"/>
      <c r="G1578" s="5" t="str">
        <f t="shared" si="125"/>
        <v/>
      </c>
      <c r="H1578" t="str">
        <f>IF(A1578="","",IFERROR(_xlfn.XLOOKUP(D1578,Setup!$E$15:$E$79,Setup!$F$15:$F$79),"Miscellaneous"))</f>
        <v/>
      </c>
      <c r="I1578" t="str">
        <f>IF(A1578="","",IFERROR(_xlfn.XLOOKUP(D1578,Setup!$E$15:$E$79,Setup!$G$15:$G$79),"Uncategorized"))</f>
        <v/>
      </c>
      <c r="J1578" t="str">
        <f t="shared" si="126"/>
        <v/>
      </c>
      <c r="K1578" s="4" t="str">
        <f t="shared" si="127"/>
        <v/>
      </c>
      <c r="L1578" s="47">
        <f t="shared" si="128"/>
        <v>0</v>
      </c>
      <c r="M1578" s="47">
        <f t="shared" si="129"/>
        <v>0</v>
      </c>
      <c r="N1578" t="str">
        <f>IF(A1578="","",IF(D1578="Category Pending","Needs categorization",IF(COUNTIFS($A$2:A1578,A1578,$B$2:B1578,B1578,$E$2:E1578,E1578)&gt;1,"Possible duplicate","")))</f>
        <v/>
      </c>
    </row>
    <row r="1579" spans="3:14" x14ac:dyDescent="0.3">
      <c r="C1579" s="16"/>
      <c r="G1579" s="5" t="str">
        <f t="shared" si="125"/>
        <v/>
      </c>
      <c r="H1579" t="str">
        <f>IF(A1579="","",IFERROR(_xlfn.XLOOKUP(D1579,Setup!$E$15:$E$79,Setup!$F$15:$F$79),"Miscellaneous"))</f>
        <v/>
      </c>
      <c r="I1579" t="str">
        <f>IF(A1579="","",IFERROR(_xlfn.XLOOKUP(D1579,Setup!$E$15:$E$79,Setup!$G$15:$G$79),"Uncategorized"))</f>
        <v/>
      </c>
      <c r="J1579" t="str">
        <f t="shared" si="126"/>
        <v/>
      </c>
      <c r="K1579" s="4" t="str">
        <f t="shared" si="127"/>
        <v/>
      </c>
      <c r="L1579" s="47">
        <f t="shared" si="128"/>
        <v>0</v>
      </c>
      <c r="M1579" s="47">
        <f t="shared" si="129"/>
        <v>0</v>
      </c>
      <c r="N1579" t="str">
        <f>IF(A1579="","",IF(D1579="Category Pending","Needs categorization",IF(COUNTIFS($A$2:A1579,A1579,$B$2:B1579,B1579,$E$2:E1579,E1579)&gt;1,"Possible duplicate","")))</f>
        <v/>
      </c>
    </row>
    <row r="1580" spans="3:14" x14ac:dyDescent="0.3">
      <c r="C1580" s="16"/>
      <c r="G1580" s="5" t="str">
        <f t="shared" si="125"/>
        <v/>
      </c>
      <c r="H1580" t="str">
        <f>IF(A1580="","",IFERROR(_xlfn.XLOOKUP(D1580,Setup!$E$15:$E$79,Setup!$F$15:$F$79),"Miscellaneous"))</f>
        <v/>
      </c>
      <c r="I1580" t="str">
        <f>IF(A1580="","",IFERROR(_xlfn.XLOOKUP(D1580,Setup!$E$15:$E$79,Setup!$G$15:$G$79),"Uncategorized"))</f>
        <v/>
      </c>
      <c r="J1580" t="str">
        <f t="shared" si="126"/>
        <v/>
      </c>
      <c r="K1580" s="4" t="str">
        <f t="shared" si="127"/>
        <v/>
      </c>
      <c r="L1580" s="47">
        <f t="shared" si="128"/>
        <v>0</v>
      </c>
      <c r="M1580" s="47">
        <f t="shared" si="129"/>
        <v>0</v>
      </c>
      <c r="N1580" t="str">
        <f>IF(A1580="","",IF(D1580="Category Pending","Needs categorization",IF(COUNTIFS($A$2:A1580,A1580,$B$2:B1580,B1580,$E$2:E1580,E1580)&gt;1,"Possible duplicate","")))</f>
        <v/>
      </c>
    </row>
    <row r="1581" spans="3:14" x14ac:dyDescent="0.3">
      <c r="C1581" s="16"/>
      <c r="G1581" s="5" t="str">
        <f t="shared" si="125"/>
        <v/>
      </c>
      <c r="H1581" t="str">
        <f>IF(A1581="","",IFERROR(_xlfn.XLOOKUP(D1581,Setup!$E$15:$E$79,Setup!$F$15:$F$79),"Miscellaneous"))</f>
        <v/>
      </c>
      <c r="I1581" t="str">
        <f>IF(A1581="","",IFERROR(_xlfn.XLOOKUP(D1581,Setup!$E$15:$E$79,Setup!$G$15:$G$79),"Uncategorized"))</f>
        <v/>
      </c>
      <c r="J1581" t="str">
        <f t="shared" si="126"/>
        <v/>
      </c>
      <c r="K1581" s="4" t="str">
        <f t="shared" si="127"/>
        <v/>
      </c>
      <c r="L1581" s="47">
        <f t="shared" si="128"/>
        <v>0</v>
      </c>
      <c r="M1581" s="47">
        <f t="shared" si="129"/>
        <v>0</v>
      </c>
      <c r="N1581" t="str">
        <f>IF(A1581="","",IF(D1581="Category Pending","Needs categorization",IF(COUNTIFS($A$2:A1581,A1581,$B$2:B1581,B1581,$E$2:E1581,E1581)&gt;1,"Possible duplicate","")))</f>
        <v/>
      </c>
    </row>
    <row r="1582" spans="3:14" x14ac:dyDescent="0.3">
      <c r="C1582" s="16"/>
      <c r="G1582" s="5" t="str">
        <f t="shared" si="125"/>
        <v/>
      </c>
      <c r="H1582" t="str">
        <f>IF(A1582="","",IFERROR(_xlfn.XLOOKUP(D1582,Setup!$E$15:$E$79,Setup!$F$15:$F$79),"Miscellaneous"))</f>
        <v/>
      </c>
      <c r="I1582" t="str">
        <f>IF(A1582="","",IFERROR(_xlfn.XLOOKUP(D1582,Setup!$E$15:$E$79,Setup!$G$15:$G$79),"Uncategorized"))</f>
        <v/>
      </c>
      <c r="J1582" t="str">
        <f t="shared" si="126"/>
        <v/>
      </c>
      <c r="K1582" s="4" t="str">
        <f t="shared" si="127"/>
        <v/>
      </c>
      <c r="L1582" s="47">
        <f t="shared" si="128"/>
        <v>0</v>
      </c>
      <c r="M1582" s="47">
        <f t="shared" si="129"/>
        <v>0</v>
      </c>
      <c r="N1582" t="str">
        <f>IF(A1582="","",IF(D1582="Category Pending","Needs categorization",IF(COUNTIFS($A$2:A1582,A1582,$B$2:B1582,B1582,$E$2:E1582,E1582)&gt;1,"Possible duplicate","")))</f>
        <v/>
      </c>
    </row>
    <row r="1583" spans="3:14" x14ac:dyDescent="0.3">
      <c r="C1583" s="16"/>
      <c r="G1583" s="5" t="str">
        <f t="shared" si="125"/>
        <v/>
      </c>
      <c r="H1583" t="str">
        <f>IF(A1583="","",IFERROR(_xlfn.XLOOKUP(D1583,Setup!$E$15:$E$79,Setup!$F$15:$F$79),"Miscellaneous"))</f>
        <v/>
      </c>
      <c r="I1583" t="str">
        <f>IF(A1583="","",IFERROR(_xlfn.XLOOKUP(D1583,Setup!$E$15:$E$79,Setup!$G$15:$G$79),"Uncategorized"))</f>
        <v/>
      </c>
      <c r="J1583" t="str">
        <f t="shared" si="126"/>
        <v/>
      </c>
      <c r="K1583" s="4" t="str">
        <f t="shared" si="127"/>
        <v/>
      </c>
      <c r="L1583" s="47">
        <f t="shared" si="128"/>
        <v>0</v>
      </c>
      <c r="M1583" s="47">
        <f t="shared" si="129"/>
        <v>0</v>
      </c>
      <c r="N1583" t="str">
        <f>IF(A1583="","",IF(D1583="Category Pending","Needs categorization",IF(COUNTIFS($A$2:A1583,A1583,$B$2:B1583,B1583,$E$2:E1583,E1583)&gt;1,"Possible duplicate","")))</f>
        <v/>
      </c>
    </row>
    <row r="1584" spans="3:14" x14ac:dyDescent="0.3">
      <c r="C1584" s="16"/>
      <c r="G1584" s="5" t="str">
        <f t="shared" si="125"/>
        <v/>
      </c>
      <c r="H1584" t="str">
        <f>IF(A1584="","",IFERROR(_xlfn.XLOOKUP(D1584,Setup!$E$15:$E$79,Setup!$F$15:$F$79),"Miscellaneous"))</f>
        <v/>
      </c>
      <c r="I1584" t="str">
        <f>IF(A1584="","",IFERROR(_xlfn.XLOOKUP(D1584,Setup!$E$15:$E$79,Setup!$G$15:$G$79),"Uncategorized"))</f>
        <v/>
      </c>
      <c r="J1584" t="str">
        <f t="shared" si="126"/>
        <v/>
      </c>
      <c r="K1584" s="4" t="str">
        <f t="shared" si="127"/>
        <v/>
      </c>
      <c r="L1584" s="47">
        <f t="shared" si="128"/>
        <v>0</v>
      </c>
      <c r="M1584" s="47">
        <f t="shared" si="129"/>
        <v>0</v>
      </c>
      <c r="N1584" t="str">
        <f>IF(A1584="","",IF(D1584="Category Pending","Needs categorization",IF(COUNTIFS($A$2:A1584,A1584,$B$2:B1584,B1584,$E$2:E1584,E1584)&gt;1,"Possible duplicate","")))</f>
        <v/>
      </c>
    </row>
    <row r="1585" spans="3:14" x14ac:dyDescent="0.3">
      <c r="C1585" s="16"/>
      <c r="G1585" s="5" t="str">
        <f t="shared" si="125"/>
        <v/>
      </c>
      <c r="H1585" t="str">
        <f>IF(A1585="","",IFERROR(_xlfn.XLOOKUP(D1585,Setup!$E$15:$E$79,Setup!$F$15:$F$79),"Miscellaneous"))</f>
        <v/>
      </c>
      <c r="I1585" t="str">
        <f>IF(A1585="","",IFERROR(_xlfn.XLOOKUP(D1585,Setup!$E$15:$E$79,Setup!$G$15:$G$79),"Uncategorized"))</f>
        <v/>
      </c>
      <c r="J1585" t="str">
        <f t="shared" si="126"/>
        <v/>
      </c>
      <c r="K1585" s="4" t="str">
        <f t="shared" si="127"/>
        <v/>
      </c>
      <c r="L1585" s="47">
        <f t="shared" si="128"/>
        <v>0</v>
      </c>
      <c r="M1585" s="47">
        <f t="shared" si="129"/>
        <v>0</v>
      </c>
      <c r="N1585" t="str">
        <f>IF(A1585="","",IF(D1585="Category Pending","Needs categorization",IF(COUNTIFS($A$2:A1585,A1585,$B$2:B1585,B1585,$E$2:E1585,E1585)&gt;1,"Possible duplicate","")))</f>
        <v/>
      </c>
    </row>
    <row r="1586" spans="3:14" x14ac:dyDescent="0.3">
      <c r="C1586" s="16"/>
      <c r="G1586" s="5" t="str">
        <f t="shared" si="125"/>
        <v/>
      </c>
      <c r="H1586" t="str">
        <f>IF(A1586="","",IFERROR(_xlfn.XLOOKUP(D1586,Setup!$E$15:$E$79,Setup!$F$15:$F$79),"Miscellaneous"))</f>
        <v/>
      </c>
      <c r="I1586" t="str">
        <f>IF(A1586="","",IFERROR(_xlfn.XLOOKUP(D1586,Setup!$E$15:$E$79,Setup!$G$15:$G$79),"Uncategorized"))</f>
        <v/>
      </c>
      <c r="J1586" t="str">
        <f t="shared" si="126"/>
        <v/>
      </c>
      <c r="K1586" s="4" t="str">
        <f t="shared" si="127"/>
        <v/>
      </c>
      <c r="L1586" s="47">
        <f t="shared" si="128"/>
        <v>0</v>
      </c>
      <c r="M1586" s="47">
        <f t="shared" si="129"/>
        <v>0</v>
      </c>
      <c r="N1586" t="str">
        <f>IF(A1586="","",IF(D1586="Category Pending","Needs categorization",IF(COUNTIFS($A$2:A1586,A1586,$B$2:B1586,B1586,$E$2:E1586,E1586)&gt;1,"Possible duplicate","")))</f>
        <v/>
      </c>
    </row>
    <row r="1587" spans="3:14" x14ac:dyDescent="0.3">
      <c r="C1587" s="16"/>
      <c r="G1587" s="5" t="str">
        <f t="shared" si="125"/>
        <v/>
      </c>
      <c r="H1587" t="str">
        <f>IF(A1587="","",IFERROR(_xlfn.XLOOKUP(D1587,Setup!$E$15:$E$79,Setup!$F$15:$F$79),"Miscellaneous"))</f>
        <v/>
      </c>
      <c r="I1587" t="str">
        <f>IF(A1587="","",IFERROR(_xlfn.XLOOKUP(D1587,Setup!$E$15:$E$79,Setup!$G$15:$G$79),"Uncategorized"))</f>
        <v/>
      </c>
      <c r="J1587" t="str">
        <f t="shared" si="126"/>
        <v/>
      </c>
      <c r="K1587" s="4" t="str">
        <f t="shared" si="127"/>
        <v/>
      </c>
      <c r="L1587" s="47">
        <f t="shared" si="128"/>
        <v>0</v>
      </c>
      <c r="M1587" s="47">
        <f t="shared" si="129"/>
        <v>0</v>
      </c>
      <c r="N1587" t="str">
        <f>IF(A1587="","",IF(D1587="Category Pending","Needs categorization",IF(COUNTIFS($A$2:A1587,A1587,$B$2:B1587,B1587,$E$2:E1587,E1587)&gt;1,"Possible duplicate","")))</f>
        <v/>
      </c>
    </row>
    <row r="1588" spans="3:14" x14ac:dyDescent="0.3">
      <c r="C1588" s="16"/>
      <c r="G1588" s="5" t="str">
        <f t="shared" si="125"/>
        <v/>
      </c>
      <c r="H1588" t="str">
        <f>IF(A1588="","",IFERROR(_xlfn.XLOOKUP(D1588,Setup!$E$15:$E$79,Setup!$F$15:$F$79),"Miscellaneous"))</f>
        <v/>
      </c>
      <c r="I1588" t="str">
        <f>IF(A1588="","",IFERROR(_xlfn.XLOOKUP(D1588,Setup!$E$15:$E$79,Setup!$G$15:$G$79),"Uncategorized"))</f>
        <v/>
      </c>
      <c r="J1588" t="str">
        <f t="shared" si="126"/>
        <v/>
      </c>
      <c r="K1588" s="4" t="str">
        <f t="shared" si="127"/>
        <v/>
      </c>
      <c r="L1588" s="47">
        <f t="shared" si="128"/>
        <v>0</v>
      </c>
      <c r="M1588" s="47">
        <f t="shared" si="129"/>
        <v>0</v>
      </c>
      <c r="N1588" t="str">
        <f>IF(A1588="","",IF(D1588="Category Pending","Needs categorization",IF(COUNTIFS($A$2:A1588,A1588,$B$2:B1588,B1588,$E$2:E1588,E1588)&gt;1,"Possible duplicate","")))</f>
        <v/>
      </c>
    </row>
    <row r="1589" spans="3:14" x14ac:dyDescent="0.3">
      <c r="C1589" s="16"/>
      <c r="G1589" s="5" t="str">
        <f t="shared" si="125"/>
        <v/>
      </c>
      <c r="H1589" t="str">
        <f>IF(A1589="","",IFERROR(_xlfn.XLOOKUP(D1589,Setup!$E$15:$E$79,Setup!$F$15:$F$79),"Miscellaneous"))</f>
        <v/>
      </c>
      <c r="I1589" t="str">
        <f>IF(A1589="","",IFERROR(_xlfn.XLOOKUP(D1589,Setup!$E$15:$E$79,Setup!$G$15:$G$79),"Uncategorized"))</f>
        <v/>
      </c>
      <c r="J1589" t="str">
        <f t="shared" si="126"/>
        <v/>
      </c>
      <c r="K1589" s="4" t="str">
        <f t="shared" si="127"/>
        <v/>
      </c>
      <c r="L1589" s="47">
        <f t="shared" si="128"/>
        <v>0</v>
      </c>
      <c r="M1589" s="47">
        <f t="shared" si="129"/>
        <v>0</v>
      </c>
      <c r="N1589" t="str">
        <f>IF(A1589="","",IF(D1589="Category Pending","Needs categorization",IF(COUNTIFS($A$2:A1589,A1589,$B$2:B1589,B1589,$E$2:E1589,E1589)&gt;1,"Possible duplicate","")))</f>
        <v/>
      </c>
    </row>
    <row r="1590" spans="3:14" x14ac:dyDescent="0.3">
      <c r="C1590" s="16"/>
      <c r="G1590" s="5" t="str">
        <f t="shared" si="125"/>
        <v/>
      </c>
      <c r="H1590" t="str">
        <f>IF(A1590="","",IFERROR(_xlfn.XLOOKUP(D1590,Setup!$E$15:$E$79,Setup!$F$15:$F$79),"Miscellaneous"))</f>
        <v/>
      </c>
      <c r="I1590" t="str">
        <f>IF(A1590="","",IFERROR(_xlfn.XLOOKUP(D1590,Setup!$E$15:$E$79,Setup!$G$15:$G$79),"Uncategorized"))</f>
        <v/>
      </c>
      <c r="J1590" t="str">
        <f t="shared" si="126"/>
        <v/>
      </c>
      <c r="K1590" s="4" t="str">
        <f t="shared" si="127"/>
        <v/>
      </c>
      <c r="L1590" s="47">
        <f t="shared" si="128"/>
        <v>0</v>
      </c>
      <c r="M1590" s="47">
        <f t="shared" si="129"/>
        <v>0</v>
      </c>
      <c r="N1590" t="str">
        <f>IF(A1590="","",IF(D1590="Category Pending","Needs categorization",IF(COUNTIFS($A$2:A1590,A1590,$B$2:B1590,B1590,$E$2:E1590,E1590)&gt;1,"Possible duplicate","")))</f>
        <v/>
      </c>
    </row>
    <row r="1591" spans="3:14" x14ac:dyDescent="0.3">
      <c r="C1591" s="16"/>
      <c r="G1591" s="5" t="str">
        <f t="shared" si="125"/>
        <v/>
      </c>
      <c r="H1591" t="str">
        <f>IF(A1591="","",IFERROR(_xlfn.XLOOKUP(D1591,Setup!$E$15:$E$79,Setup!$F$15:$F$79),"Miscellaneous"))</f>
        <v/>
      </c>
      <c r="I1591" t="str">
        <f>IF(A1591="","",IFERROR(_xlfn.XLOOKUP(D1591,Setup!$E$15:$E$79,Setup!$G$15:$G$79),"Uncategorized"))</f>
        <v/>
      </c>
      <c r="J1591" t="str">
        <f t="shared" si="126"/>
        <v/>
      </c>
      <c r="K1591" s="4" t="str">
        <f t="shared" si="127"/>
        <v/>
      </c>
      <c r="L1591" s="47">
        <f t="shared" si="128"/>
        <v>0</v>
      </c>
      <c r="M1591" s="47">
        <f t="shared" si="129"/>
        <v>0</v>
      </c>
      <c r="N1591" t="str">
        <f>IF(A1591="","",IF(D1591="Category Pending","Needs categorization",IF(COUNTIFS($A$2:A1591,A1591,$B$2:B1591,B1591,$E$2:E1591,E1591)&gt;1,"Possible duplicate","")))</f>
        <v/>
      </c>
    </row>
    <row r="1592" spans="3:14" x14ac:dyDescent="0.3">
      <c r="C1592" s="16"/>
      <c r="G1592" s="5" t="str">
        <f t="shared" si="125"/>
        <v/>
      </c>
      <c r="H1592" t="str">
        <f>IF(A1592="","",IFERROR(_xlfn.XLOOKUP(D1592,Setup!$E$15:$E$79,Setup!$F$15:$F$79),"Miscellaneous"))</f>
        <v/>
      </c>
      <c r="I1592" t="str">
        <f>IF(A1592="","",IFERROR(_xlfn.XLOOKUP(D1592,Setup!$E$15:$E$79,Setup!$G$15:$G$79),"Uncategorized"))</f>
        <v/>
      </c>
      <c r="J1592" t="str">
        <f t="shared" si="126"/>
        <v/>
      </c>
      <c r="K1592" s="4" t="str">
        <f t="shared" si="127"/>
        <v/>
      </c>
      <c r="L1592" s="47">
        <f t="shared" si="128"/>
        <v>0</v>
      </c>
      <c r="M1592" s="47">
        <f t="shared" si="129"/>
        <v>0</v>
      </c>
      <c r="N1592" t="str">
        <f>IF(A1592="","",IF(D1592="Category Pending","Needs categorization",IF(COUNTIFS($A$2:A1592,A1592,$B$2:B1592,B1592,$E$2:E1592,E1592)&gt;1,"Possible duplicate","")))</f>
        <v/>
      </c>
    </row>
    <row r="1593" spans="3:14" x14ac:dyDescent="0.3">
      <c r="C1593" s="16"/>
      <c r="G1593" s="5" t="str">
        <f t="shared" si="125"/>
        <v/>
      </c>
      <c r="H1593" t="str">
        <f>IF(A1593="","",IFERROR(_xlfn.XLOOKUP(D1593,Setup!$E$15:$E$79,Setup!$F$15:$F$79),"Miscellaneous"))</f>
        <v/>
      </c>
      <c r="I1593" t="str">
        <f>IF(A1593="","",IFERROR(_xlfn.XLOOKUP(D1593,Setup!$E$15:$E$79,Setup!$G$15:$G$79),"Uncategorized"))</f>
        <v/>
      </c>
      <c r="J1593" t="str">
        <f t="shared" si="126"/>
        <v/>
      </c>
      <c r="K1593" s="4" t="str">
        <f t="shared" si="127"/>
        <v/>
      </c>
      <c r="L1593" s="47">
        <f t="shared" si="128"/>
        <v>0</v>
      </c>
      <c r="M1593" s="47">
        <f t="shared" si="129"/>
        <v>0</v>
      </c>
      <c r="N1593" t="str">
        <f>IF(A1593="","",IF(D1593="Category Pending","Needs categorization",IF(COUNTIFS($A$2:A1593,A1593,$B$2:B1593,B1593,$E$2:E1593,E1593)&gt;1,"Possible duplicate","")))</f>
        <v/>
      </c>
    </row>
    <row r="1594" spans="3:14" x14ac:dyDescent="0.3">
      <c r="C1594" s="16"/>
      <c r="G1594" s="5" t="str">
        <f t="shared" si="125"/>
        <v/>
      </c>
      <c r="H1594" t="str">
        <f>IF(A1594="","",IFERROR(_xlfn.XLOOKUP(D1594,Setup!$E$15:$E$79,Setup!$F$15:$F$79),"Miscellaneous"))</f>
        <v/>
      </c>
      <c r="I1594" t="str">
        <f>IF(A1594="","",IFERROR(_xlfn.XLOOKUP(D1594,Setup!$E$15:$E$79,Setup!$G$15:$G$79),"Uncategorized"))</f>
        <v/>
      </c>
      <c r="J1594" t="str">
        <f t="shared" si="126"/>
        <v/>
      </c>
      <c r="K1594" s="4" t="str">
        <f t="shared" si="127"/>
        <v/>
      </c>
      <c r="L1594" s="47">
        <f t="shared" si="128"/>
        <v>0</v>
      </c>
      <c r="M1594" s="47">
        <f t="shared" si="129"/>
        <v>0</v>
      </c>
      <c r="N1594" t="str">
        <f>IF(A1594="","",IF(D1594="Category Pending","Needs categorization",IF(COUNTIFS($A$2:A1594,A1594,$B$2:B1594,B1594,$E$2:E1594,E1594)&gt;1,"Possible duplicate","")))</f>
        <v/>
      </c>
    </row>
    <row r="1595" spans="3:14" x14ac:dyDescent="0.3">
      <c r="C1595" s="16"/>
      <c r="G1595" s="5" t="str">
        <f t="shared" si="125"/>
        <v/>
      </c>
      <c r="H1595" t="str">
        <f>IF(A1595="","",IFERROR(_xlfn.XLOOKUP(D1595,Setup!$E$15:$E$79,Setup!$F$15:$F$79),"Miscellaneous"))</f>
        <v/>
      </c>
      <c r="I1595" t="str">
        <f>IF(A1595="","",IFERROR(_xlfn.XLOOKUP(D1595,Setup!$E$15:$E$79,Setup!$G$15:$G$79),"Uncategorized"))</f>
        <v/>
      </c>
      <c r="J1595" t="str">
        <f t="shared" si="126"/>
        <v/>
      </c>
      <c r="K1595" s="4" t="str">
        <f t="shared" si="127"/>
        <v/>
      </c>
      <c r="L1595" s="47">
        <f t="shared" si="128"/>
        <v>0</v>
      </c>
      <c r="M1595" s="47">
        <f t="shared" si="129"/>
        <v>0</v>
      </c>
      <c r="N1595" t="str">
        <f>IF(A1595="","",IF(D1595="Category Pending","Needs categorization",IF(COUNTIFS($A$2:A1595,A1595,$B$2:B1595,B1595,$E$2:E1595,E1595)&gt;1,"Possible duplicate","")))</f>
        <v/>
      </c>
    </row>
    <row r="1596" spans="3:14" x14ac:dyDescent="0.3">
      <c r="C1596" s="16"/>
      <c r="G1596" s="5" t="str">
        <f t="shared" si="125"/>
        <v/>
      </c>
      <c r="H1596" t="str">
        <f>IF(A1596="","",IFERROR(_xlfn.XLOOKUP(D1596,Setup!$E$15:$E$79,Setup!$F$15:$F$79),"Miscellaneous"))</f>
        <v/>
      </c>
      <c r="I1596" t="str">
        <f>IF(A1596="","",IFERROR(_xlfn.XLOOKUP(D1596,Setup!$E$15:$E$79,Setup!$G$15:$G$79),"Uncategorized"))</f>
        <v/>
      </c>
      <c r="J1596" t="str">
        <f t="shared" si="126"/>
        <v/>
      </c>
      <c r="K1596" s="4" t="str">
        <f t="shared" si="127"/>
        <v/>
      </c>
      <c r="L1596" s="47">
        <f t="shared" si="128"/>
        <v>0</v>
      </c>
      <c r="M1596" s="47">
        <f t="shared" si="129"/>
        <v>0</v>
      </c>
      <c r="N1596" t="str">
        <f>IF(A1596="","",IF(D1596="Category Pending","Needs categorization",IF(COUNTIFS($A$2:A1596,A1596,$B$2:B1596,B1596,$E$2:E1596,E1596)&gt;1,"Possible duplicate","")))</f>
        <v/>
      </c>
    </row>
    <row r="1597" spans="3:14" x14ac:dyDescent="0.3">
      <c r="C1597" s="16"/>
      <c r="G1597" s="5" t="str">
        <f t="shared" si="125"/>
        <v/>
      </c>
      <c r="H1597" t="str">
        <f>IF(A1597="","",IFERROR(_xlfn.XLOOKUP(D1597,Setup!$E$15:$E$79,Setup!$F$15:$F$79),"Miscellaneous"))</f>
        <v/>
      </c>
      <c r="I1597" t="str">
        <f>IF(A1597="","",IFERROR(_xlfn.XLOOKUP(D1597,Setup!$E$15:$E$79,Setup!$G$15:$G$79),"Uncategorized"))</f>
        <v/>
      </c>
      <c r="J1597" t="str">
        <f t="shared" si="126"/>
        <v/>
      </c>
      <c r="K1597" s="4" t="str">
        <f t="shared" si="127"/>
        <v/>
      </c>
      <c r="L1597" s="47">
        <f t="shared" si="128"/>
        <v>0</v>
      </c>
      <c r="M1597" s="47">
        <f t="shared" si="129"/>
        <v>0</v>
      </c>
      <c r="N1597" t="str">
        <f>IF(A1597="","",IF(D1597="Category Pending","Needs categorization",IF(COUNTIFS($A$2:A1597,A1597,$B$2:B1597,B1597,$E$2:E1597,E1597)&gt;1,"Possible duplicate","")))</f>
        <v/>
      </c>
    </row>
    <row r="1598" spans="3:14" x14ac:dyDescent="0.3">
      <c r="C1598" s="16"/>
      <c r="G1598" s="5" t="str">
        <f t="shared" si="125"/>
        <v/>
      </c>
      <c r="H1598" t="str">
        <f>IF(A1598="","",IFERROR(_xlfn.XLOOKUP(D1598,Setup!$E$15:$E$79,Setup!$F$15:$F$79),"Miscellaneous"))</f>
        <v/>
      </c>
      <c r="I1598" t="str">
        <f>IF(A1598="","",IFERROR(_xlfn.XLOOKUP(D1598,Setup!$E$15:$E$79,Setup!$G$15:$G$79),"Uncategorized"))</f>
        <v/>
      </c>
      <c r="J1598" t="str">
        <f t="shared" si="126"/>
        <v/>
      </c>
      <c r="K1598" s="4" t="str">
        <f t="shared" si="127"/>
        <v/>
      </c>
      <c r="L1598" s="47">
        <f t="shared" si="128"/>
        <v>0</v>
      </c>
      <c r="M1598" s="47">
        <f t="shared" si="129"/>
        <v>0</v>
      </c>
      <c r="N1598" t="str">
        <f>IF(A1598="","",IF(D1598="Category Pending","Needs categorization",IF(COUNTIFS($A$2:A1598,A1598,$B$2:B1598,B1598,$E$2:E1598,E1598)&gt;1,"Possible duplicate","")))</f>
        <v/>
      </c>
    </row>
    <row r="1599" spans="3:14" x14ac:dyDescent="0.3">
      <c r="C1599" s="16"/>
      <c r="G1599" s="5" t="str">
        <f t="shared" si="125"/>
        <v/>
      </c>
      <c r="H1599" t="str">
        <f>IF(A1599="","",IFERROR(_xlfn.XLOOKUP(D1599,Setup!$E$15:$E$79,Setup!$F$15:$F$79),"Miscellaneous"))</f>
        <v/>
      </c>
      <c r="I1599" t="str">
        <f>IF(A1599="","",IFERROR(_xlfn.XLOOKUP(D1599,Setup!$E$15:$E$79,Setup!$G$15:$G$79),"Uncategorized"))</f>
        <v/>
      </c>
      <c r="J1599" t="str">
        <f t="shared" si="126"/>
        <v/>
      </c>
      <c r="K1599" s="4" t="str">
        <f t="shared" si="127"/>
        <v/>
      </c>
      <c r="L1599" s="47">
        <f t="shared" si="128"/>
        <v>0</v>
      </c>
      <c r="M1599" s="47">
        <f t="shared" si="129"/>
        <v>0</v>
      </c>
      <c r="N1599" t="str">
        <f>IF(A1599="","",IF(D1599="Category Pending","Needs categorization",IF(COUNTIFS($A$2:A1599,A1599,$B$2:B1599,B1599,$E$2:E1599,E1599)&gt;1,"Possible duplicate","")))</f>
        <v/>
      </c>
    </row>
    <row r="1600" spans="3:14" x14ac:dyDescent="0.3">
      <c r="C1600" s="16"/>
      <c r="G1600" s="5" t="str">
        <f t="shared" si="125"/>
        <v/>
      </c>
      <c r="H1600" t="str">
        <f>IF(A1600="","",IFERROR(_xlfn.XLOOKUP(D1600,Setup!$E$15:$E$79,Setup!$F$15:$F$79),"Miscellaneous"))</f>
        <v/>
      </c>
      <c r="I1600" t="str">
        <f>IF(A1600="","",IFERROR(_xlfn.XLOOKUP(D1600,Setup!$E$15:$E$79,Setup!$G$15:$G$79),"Uncategorized"))</f>
        <v/>
      </c>
      <c r="J1600" t="str">
        <f t="shared" si="126"/>
        <v/>
      </c>
      <c r="K1600" s="4" t="str">
        <f t="shared" si="127"/>
        <v/>
      </c>
      <c r="L1600" s="47">
        <f t="shared" si="128"/>
        <v>0</v>
      </c>
      <c r="M1600" s="47">
        <f t="shared" si="129"/>
        <v>0</v>
      </c>
      <c r="N1600" t="str">
        <f>IF(A1600="","",IF(D1600="Category Pending","Needs categorization",IF(COUNTIFS($A$2:A1600,A1600,$B$2:B1600,B1600,$E$2:E1600,E1600)&gt;1,"Possible duplicate","")))</f>
        <v/>
      </c>
    </row>
    <row r="1601" spans="3:14" x14ac:dyDescent="0.3">
      <c r="C1601" s="16"/>
      <c r="G1601" s="5" t="str">
        <f t="shared" si="125"/>
        <v/>
      </c>
      <c r="H1601" t="str">
        <f>IF(A1601="","",IFERROR(_xlfn.XLOOKUP(D1601,Setup!$E$15:$E$79,Setup!$F$15:$F$79),"Miscellaneous"))</f>
        <v/>
      </c>
      <c r="I1601" t="str">
        <f>IF(A1601="","",IFERROR(_xlfn.XLOOKUP(D1601,Setup!$E$15:$E$79,Setup!$G$15:$G$79),"Uncategorized"))</f>
        <v/>
      </c>
      <c r="J1601" t="str">
        <f t="shared" si="126"/>
        <v/>
      </c>
      <c r="K1601" s="4" t="str">
        <f t="shared" si="127"/>
        <v/>
      </c>
      <c r="L1601" s="47">
        <f t="shared" si="128"/>
        <v>0</v>
      </c>
      <c r="M1601" s="47">
        <f t="shared" si="129"/>
        <v>0</v>
      </c>
      <c r="N1601" t="str">
        <f>IF(A1601="","",IF(D1601="Category Pending","Needs categorization",IF(COUNTIFS($A$2:A1601,A1601,$B$2:B1601,B1601,$E$2:E1601,E1601)&gt;1,"Possible duplicate","")))</f>
        <v/>
      </c>
    </row>
    <row r="1602" spans="3:14" x14ac:dyDescent="0.3">
      <c r="C1602" s="16"/>
      <c r="G1602" s="5" t="str">
        <f t="shared" si="125"/>
        <v/>
      </c>
      <c r="H1602" t="str">
        <f>IF(A1602="","",IFERROR(_xlfn.XLOOKUP(D1602,Setup!$E$15:$E$79,Setup!$F$15:$F$79),"Miscellaneous"))</f>
        <v/>
      </c>
      <c r="I1602" t="str">
        <f>IF(A1602="","",IFERROR(_xlfn.XLOOKUP(D1602,Setup!$E$15:$E$79,Setup!$G$15:$G$79),"Uncategorized"))</f>
        <v/>
      </c>
      <c r="J1602" t="str">
        <f t="shared" si="126"/>
        <v/>
      </c>
      <c r="K1602" s="4" t="str">
        <f t="shared" si="127"/>
        <v/>
      </c>
      <c r="L1602" s="47">
        <f t="shared" si="128"/>
        <v>0</v>
      </c>
      <c r="M1602" s="47">
        <f t="shared" si="129"/>
        <v>0</v>
      </c>
      <c r="N1602" t="str">
        <f>IF(A1602="","",IF(D1602="Category Pending","Needs categorization",IF(COUNTIFS($A$2:A1602,A1602,$B$2:B1602,B1602,$E$2:E1602,E1602)&gt;1,"Possible duplicate","")))</f>
        <v/>
      </c>
    </row>
    <row r="1603" spans="3:14" x14ac:dyDescent="0.3">
      <c r="C1603" s="16"/>
      <c r="G1603" s="5" t="str">
        <f t="shared" si="125"/>
        <v/>
      </c>
      <c r="H1603" t="str">
        <f>IF(A1603="","",IFERROR(_xlfn.XLOOKUP(D1603,Setup!$E$15:$E$79,Setup!$F$15:$F$79),"Miscellaneous"))</f>
        <v/>
      </c>
      <c r="I1603" t="str">
        <f>IF(A1603="","",IFERROR(_xlfn.XLOOKUP(D1603,Setup!$E$15:$E$79,Setup!$G$15:$G$79),"Uncategorized"))</f>
        <v/>
      </c>
      <c r="J1603" t="str">
        <f t="shared" si="126"/>
        <v/>
      </c>
      <c r="K1603" s="4" t="str">
        <f t="shared" si="127"/>
        <v/>
      </c>
      <c r="L1603" s="47">
        <f t="shared" si="128"/>
        <v>0</v>
      </c>
      <c r="M1603" s="47">
        <f t="shared" si="129"/>
        <v>0</v>
      </c>
      <c r="N1603" t="str">
        <f>IF(A1603="","",IF(D1603="Category Pending","Needs categorization",IF(COUNTIFS($A$2:A1603,A1603,$B$2:B1603,B1603,$E$2:E1603,E1603)&gt;1,"Possible duplicate","")))</f>
        <v/>
      </c>
    </row>
    <row r="1604" spans="3:14" x14ac:dyDescent="0.3">
      <c r="C1604" s="16"/>
      <c r="G1604" s="5" t="str">
        <f t="shared" si="125"/>
        <v/>
      </c>
      <c r="H1604" t="str">
        <f>IF(A1604="","",IFERROR(_xlfn.XLOOKUP(D1604,Setup!$E$15:$E$79,Setup!$F$15:$F$79),"Miscellaneous"))</f>
        <v/>
      </c>
      <c r="I1604" t="str">
        <f>IF(A1604="","",IFERROR(_xlfn.XLOOKUP(D1604,Setup!$E$15:$E$79,Setup!$G$15:$G$79),"Uncategorized"))</f>
        <v/>
      </c>
      <c r="J1604" t="str">
        <f t="shared" si="126"/>
        <v/>
      </c>
      <c r="K1604" s="4" t="str">
        <f t="shared" si="127"/>
        <v/>
      </c>
      <c r="L1604" s="47">
        <f t="shared" si="128"/>
        <v>0</v>
      </c>
      <c r="M1604" s="47">
        <f t="shared" si="129"/>
        <v>0</v>
      </c>
      <c r="N1604" t="str">
        <f>IF(A1604="","",IF(D1604="Category Pending","Needs categorization",IF(COUNTIFS($A$2:A1604,A1604,$B$2:B1604,B1604,$E$2:E1604,E1604)&gt;1,"Possible duplicate","")))</f>
        <v/>
      </c>
    </row>
    <row r="1605" spans="3:14" x14ac:dyDescent="0.3">
      <c r="C1605" s="16"/>
      <c r="G1605" s="5" t="str">
        <f t="shared" si="125"/>
        <v/>
      </c>
      <c r="H1605" t="str">
        <f>IF(A1605="","",IFERROR(_xlfn.XLOOKUP(D1605,Setup!$E$15:$E$79,Setup!$F$15:$F$79),"Miscellaneous"))</f>
        <v/>
      </c>
      <c r="I1605" t="str">
        <f>IF(A1605="","",IFERROR(_xlfn.XLOOKUP(D1605,Setup!$E$15:$E$79,Setup!$G$15:$G$79),"Uncategorized"))</f>
        <v/>
      </c>
      <c r="J1605" t="str">
        <f t="shared" si="126"/>
        <v/>
      </c>
      <c r="K1605" s="4" t="str">
        <f t="shared" si="127"/>
        <v/>
      </c>
      <c r="L1605" s="47">
        <f t="shared" si="128"/>
        <v>0</v>
      </c>
      <c r="M1605" s="47">
        <f t="shared" si="129"/>
        <v>0</v>
      </c>
      <c r="N1605" t="str">
        <f>IF(A1605="","",IF(D1605="Category Pending","Needs categorization",IF(COUNTIFS($A$2:A1605,A1605,$B$2:B1605,B1605,$E$2:E1605,E1605)&gt;1,"Possible duplicate","")))</f>
        <v/>
      </c>
    </row>
    <row r="1606" spans="3:14" x14ac:dyDescent="0.3">
      <c r="C1606" s="16"/>
      <c r="G1606" s="5" t="str">
        <f t="shared" si="125"/>
        <v/>
      </c>
      <c r="H1606" t="str">
        <f>IF(A1606="","",IFERROR(_xlfn.XLOOKUP(D1606,Setup!$E$15:$E$79,Setup!$F$15:$F$79),"Miscellaneous"))</f>
        <v/>
      </c>
      <c r="I1606" t="str">
        <f>IF(A1606="","",IFERROR(_xlfn.XLOOKUP(D1606,Setup!$E$15:$E$79,Setup!$G$15:$G$79),"Uncategorized"))</f>
        <v/>
      </c>
      <c r="J1606" t="str">
        <f t="shared" si="126"/>
        <v/>
      </c>
      <c r="K1606" s="4" t="str">
        <f t="shared" si="127"/>
        <v/>
      </c>
      <c r="L1606" s="47">
        <f t="shared" si="128"/>
        <v>0</v>
      </c>
      <c r="M1606" s="47">
        <f t="shared" si="129"/>
        <v>0</v>
      </c>
      <c r="N1606" t="str">
        <f>IF(A1606="","",IF(D1606="Category Pending","Needs categorization",IF(COUNTIFS($A$2:A1606,A1606,$B$2:B1606,B1606,$E$2:E1606,E1606)&gt;1,"Possible duplicate","")))</f>
        <v/>
      </c>
    </row>
    <row r="1607" spans="3:14" x14ac:dyDescent="0.3">
      <c r="C1607" s="16"/>
      <c r="G1607" s="5" t="str">
        <f t="shared" si="125"/>
        <v/>
      </c>
      <c r="H1607" t="str">
        <f>IF(A1607="","",IFERROR(_xlfn.XLOOKUP(D1607,Setup!$E$15:$E$79,Setup!$F$15:$F$79),"Miscellaneous"))</f>
        <v/>
      </c>
      <c r="I1607" t="str">
        <f>IF(A1607="","",IFERROR(_xlfn.XLOOKUP(D1607,Setup!$E$15:$E$79,Setup!$G$15:$G$79),"Uncategorized"))</f>
        <v/>
      </c>
      <c r="J1607" t="str">
        <f t="shared" si="126"/>
        <v/>
      </c>
      <c r="K1607" s="4" t="str">
        <f t="shared" si="127"/>
        <v/>
      </c>
      <c r="L1607" s="47">
        <f t="shared" si="128"/>
        <v>0</v>
      </c>
      <c r="M1607" s="47">
        <f t="shared" si="129"/>
        <v>0</v>
      </c>
      <c r="N1607" t="str">
        <f>IF(A1607="","",IF(D1607="Category Pending","Needs categorization",IF(COUNTIFS($A$2:A1607,A1607,$B$2:B1607,B1607,$E$2:E1607,E1607)&gt;1,"Possible duplicate","")))</f>
        <v/>
      </c>
    </row>
    <row r="1608" spans="3:14" x14ac:dyDescent="0.3">
      <c r="C1608" s="16"/>
      <c r="G1608" s="5" t="str">
        <f t="shared" si="125"/>
        <v/>
      </c>
      <c r="H1608" t="str">
        <f>IF(A1608="","",IFERROR(_xlfn.XLOOKUP(D1608,Setup!$E$15:$E$79,Setup!$F$15:$F$79),"Miscellaneous"))</f>
        <v/>
      </c>
      <c r="I1608" t="str">
        <f>IF(A1608="","",IFERROR(_xlfn.XLOOKUP(D1608,Setup!$E$15:$E$79,Setup!$G$15:$G$79),"Uncategorized"))</f>
        <v/>
      </c>
      <c r="J1608" t="str">
        <f t="shared" si="126"/>
        <v/>
      </c>
      <c r="K1608" s="4" t="str">
        <f t="shared" si="127"/>
        <v/>
      </c>
      <c r="L1608" s="47">
        <f t="shared" si="128"/>
        <v>0</v>
      </c>
      <c r="M1608" s="47">
        <f t="shared" si="129"/>
        <v>0</v>
      </c>
      <c r="N1608" t="str">
        <f>IF(A1608="","",IF(D1608="Category Pending","Needs categorization",IF(COUNTIFS($A$2:A1608,A1608,$B$2:B1608,B1608,$E$2:E1608,E1608)&gt;1,"Possible duplicate","")))</f>
        <v/>
      </c>
    </row>
    <row r="1609" spans="3:14" x14ac:dyDescent="0.3">
      <c r="C1609" s="16"/>
      <c r="G1609" s="5" t="str">
        <f t="shared" si="125"/>
        <v/>
      </c>
      <c r="H1609" t="str">
        <f>IF(A1609="","",IFERROR(_xlfn.XLOOKUP(D1609,Setup!$E$15:$E$79,Setup!$F$15:$F$79),"Miscellaneous"))</f>
        <v/>
      </c>
      <c r="I1609" t="str">
        <f>IF(A1609="","",IFERROR(_xlfn.XLOOKUP(D1609,Setup!$E$15:$E$79,Setup!$G$15:$G$79),"Uncategorized"))</f>
        <v/>
      </c>
      <c r="J1609" t="str">
        <f t="shared" si="126"/>
        <v/>
      </c>
      <c r="K1609" s="4" t="str">
        <f t="shared" si="127"/>
        <v/>
      </c>
      <c r="L1609" s="47">
        <f t="shared" si="128"/>
        <v>0</v>
      </c>
      <c r="M1609" s="47">
        <f t="shared" si="129"/>
        <v>0</v>
      </c>
      <c r="N1609" t="str">
        <f>IF(A1609="","",IF(D1609="Category Pending","Needs categorization",IF(COUNTIFS($A$2:A1609,A1609,$B$2:B1609,B1609,$E$2:E1609,E1609)&gt;1,"Possible duplicate","")))</f>
        <v/>
      </c>
    </row>
    <row r="1610" spans="3:14" x14ac:dyDescent="0.3">
      <c r="C1610" s="16"/>
      <c r="G1610" s="5" t="str">
        <f t="shared" si="125"/>
        <v/>
      </c>
      <c r="H1610" t="str">
        <f>IF(A1610="","",IFERROR(_xlfn.XLOOKUP(D1610,Setup!$E$15:$E$79,Setup!$F$15:$F$79),"Miscellaneous"))</f>
        <v/>
      </c>
      <c r="I1610" t="str">
        <f>IF(A1610="","",IFERROR(_xlfn.XLOOKUP(D1610,Setup!$E$15:$E$79,Setup!$G$15:$G$79),"Uncategorized"))</f>
        <v/>
      </c>
      <c r="J1610" t="str">
        <f t="shared" si="126"/>
        <v/>
      </c>
      <c r="K1610" s="4" t="str">
        <f t="shared" si="127"/>
        <v/>
      </c>
      <c r="L1610" s="47">
        <f t="shared" si="128"/>
        <v>0</v>
      </c>
      <c r="M1610" s="47">
        <f t="shared" si="129"/>
        <v>0</v>
      </c>
      <c r="N1610" t="str">
        <f>IF(A1610="","",IF(D1610="Category Pending","Needs categorization",IF(COUNTIFS($A$2:A1610,A1610,$B$2:B1610,B1610,$E$2:E1610,E1610)&gt;1,"Possible duplicate","")))</f>
        <v/>
      </c>
    </row>
    <row r="1611" spans="3:14" x14ac:dyDescent="0.3">
      <c r="C1611" s="16"/>
      <c r="G1611" s="5" t="str">
        <f t="shared" si="125"/>
        <v/>
      </c>
      <c r="H1611" t="str">
        <f>IF(A1611="","",IFERROR(_xlfn.XLOOKUP(D1611,Setup!$E$15:$E$79,Setup!$F$15:$F$79),"Miscellaneous"))</f>
        <v/>
      </c>
      <c r="I1611" t="str">
        <f>IF(A1611="","",IFERROR(_xlfn.XLOOKUP(D1611,Setup!$E$15:$E$79,Setup!$G$15:$G$79),"Uncategorized"))</f>
        <v/>
      </c>
      <c r="J1611" t="str">
        <f t="shared" si="126"/>
        <v/>
      </c>
      <c r="K1611" s="4" t="str">
        <f t="shared" si="127"/>
        <v/>
      </c>
      <c r="L1611" s="47">
        <f t="shared" si="128"/>
        <v>0</v>
      </c>
      <c r="M1611" s="47">
        <f t="shared" si="129"/>
        <v>0</v>
      </c>
      <c r="N1611" t="str">
        <f>IF(A1611="","",IF(D1611="Category Pending","Needs categorization",IF(COUNTIFS($A$2:A1611,A1611,$B$2:B1611,B1611,$E$2:E1611,E1611)&gt;1,"Possible duplicate","")))</f>
        <v/>
      </c>
    </row>
    <row r="1612" spans="3:14" x14ac:dyDescent="0.3">
      <c r="C1612" s="16"/>
      <c r="G1612" s="5" t="str">
        <f t="shared" si="125"/>
        <v/>
      </c>
      <c r="H1612" t="str">
        <f>IF(A1612="","",IFERROR(_xlfn.XLOOKUP(D1612,Setup!$E$15:$E$79,Setup!$F$15:$F$79),"Miscellaneous"))</f>
        <v/>
      </c>
      <c r="I1612" t="str">
        <f>IF(A1612="","",IFERROR(_xlfn.XLOOKUP(D1612,Setup!$E$15:$E$79,Setup!$G$15:$G$79),"Uncategorized"))</f>
        <v/>
      </c>
      <c r="J1612" t="str">
        <f t="shared" si="126"/>
        <v/>
      </c>
      <c r="K1612" s="4" t="str">
        <f t="shared" si="127"/>
        <v/>
      </c>
      <c r="L1612" s="47">
        <f t="shared" si="128"/>
        <v>0</v>
      </c>
      <c r="M1612" s="47">
        <f t="shared" si="129"/>
        <v>0</v>
      </c>
      <c r="N1612" t="str">
        <f>IF(A1612="","",IF(D1612="Category Pending","Needs categorization",IF(COUNTIFS($A$2:A1612,A1612,$B$2:B1612,B1612,$E$2:E1612,E1612)&gt;1,"Possible duplicate","")))</f>
        <v/>
      </c>
    </row>
    <row r="1613" spans="3:14" x14ac:dyDescent="0.3">
      <c r="C1613" s="16"/>
      <c r="G1613" s="5" t="str">
        <f t="shared" si="125"/>
        <v/>
      </c>
      <c r="H1613" t="str">
        <f>IF(A1613="","",IFERROR(_xlfn.XLOOKUP(D1613,Setup!$E$15:$E$79,Setup!$F$15:$F$79),"Miscellaneous"))</f>
        <v/>
      </c>
      <c r="I1613" t="str">
        <f>IF(A1613="","",IFERROR(_xlfn.XLOOKUP(D1613,Setup!$E$15:$E$79,Setup!$G$15:$G$79),"Uncategorized"))</f>
        <v/>
      </c>
      <c r="J1613" t="str">
        <f t="shared" si="126"/>
        <v/>
      </c>
      <c r="K1613" s="4" t="str">
        <f t="shared" si="127"/>
        <v/>
      </c>
      <c r="L1613" s="47">
        <f t="shared" si="128"/>
        <v>0</v>
      </c>
      <c r="M1613" s="47">
        <f t="shared" si="129"/>
        <v>0</v>
      </c>
      <c r="N1613" t="str">
        <f>IF(A1613="","",IF(D1613="Category Pending","Needs categorization",IF(COUNTIFS($A$2:A1613,A1613,$B$2:B1613,B1613,$E$2:E1613,E1613)&gt;1,"Possible duplicate","")))</f>
        <v/>
      </c>
    </row>
    <row r="1614" spans="3:14" x14ac:dyDescent="0.3">
      <c r="C1614" s="16"/>
      <c r="G1614" s="5" t="str">
        <f t="shared" si="125"/>
        <v/>
      </c>
      <c r="H1614" t="str">
        <f>IF(A1614="","",IFERROR(_xlfn.XLOOKUP(D1614,Setup!$E$15:$E$79,Setup!$F$15:$F$79),"Miscellaneous"))</f>
        <v/>
      </c>
      <c r="I1614" t="str">
        <f>IF(A1614="","",IFERROR(_xlfn.XLOOKUP(D1614,Setup!$E$15:$E$79,Setup!$G$15:$G$79),"Uncategorized"))</f>
        <v/>
      </c>
      <c r="J1614" t="str">
        <f t="shared" si="126"/>
        <v/>
      </c>
      <c r="K1614" s="4" t="str">
        <f t="shared" si="127"/>
        <v/>
      </c>
      <c r="L1614" s="47">
        <f t="shared" si="128"/>
        <v>0</v>
      </c>
      <c r="M1614" s="47">
        <f t="shared" si="129"/>
        <v>0</v>
      </c>
      <c r="N1614" t="str">
        <f>IF(A1614="","",IF(D1614="Category Pending","Needs categorization",IF(COUNTIFS($A$2:A1614,A1614,$B$2:B1614,B1614,$E$2:E1614,E1614)&gt;1,"Possible duplicate","")))</f>
        <v/>
      </c>
    </row>
    <row r="1615" spans="3:14" x14ac:dyDescent="0.3">
      <c r="C1615" s="16"/>
      <c r="G1615" s="5" t="str">
        <f t="shared" si="125"/>
        <v/>
      </c>
      <c r="H1615" t="str">
        <f>IF(A1615="","",IFERROR(_xlfn.XLOOKUP(D1615,Setup!$E$15:$E$79,Setup!$F$15:$F$79),"Miscellaneous"))</f>
        <v/>
      </c>
      <c r="I1615" t="str">
        <f>IF(A1615="","",IFERROR(_xlfn.XLOOKUP(D1615,Setup!$E$15:$E$79,Setup!$G$15:$G$79),"Uncategorized"))</f>
        <v/>
      </c>
      <c r="J1615" t="str">
        <f t="shared" si="126"/>
        <v/>
      </c>
      <c r="K1615" s="4" t="str">
        <f t="shared" si="127"/>
        <v/>
      </c>
      <c r="L1615" s="47">
        <f t="shared" si="128"/>
        <v>0</v>
      </c>
      <c r="M1615" s="47">
        <f t="shared" si="129"/>
        <v>0</v>
      </c>
      <c r="N1615" t="str">
        <f>IF(A1615="","",IF(D1615="Category Pending","Needs categorization",IF(COUNTIFS($A$2:A1615,A1615,$B$2:B1615,B1615,$E$2:E1615,E1615)&gt;1,"Possible duplicate","")))</f>
        <v/>
      </c>
    </row>
    <row r="1616" spans="3:14" x14ac:dyDescent="0.3">
      <c r="C1616" s="16"/>
      <c r="G1616" s="5" t="str">
        <f t="shared" si="125"/>
        <v/>
      </c>
      <c r="H1616" t="str">
        <f>IF(A1616="","",IFERROR(_xlfn.XLOOKUP(D1616,Setup!$E$15:$E$79,Setup!$F$15:$F$79),"Miscellaneous"))</f>
        <v/>
      </c>
      <c r="I1616" t="str">
        <f>IF(A1616="","",IFERROR(_xlfn.XLOOKUP(D1616,Setup!$E$15:$E$79,Setup!$G$15:$G$79),"Uncategorized"))</f>
        <v/>
      </c>
      <c r="J1616" t="str">
        <f t="shared" si="126"/>
        <v/>
      </c>
      <c r="K1616" s="4" t="str">
        <f t="shared" si="127"/>
        <v/>
      </c>
      <c r="L1616" s="47">
        <f t="shared" si="128"/>
        <v>0</v>
      </c>
      <c r="M1616" s="47">
        <f t="shared" si="129"/>
        <v>0</v>
      </c>
      <c r="N1616" t="str">
        <f>IF(A1616="","",IF(D1616="Category Pending","Needs categorization",IF(COUNTIFS($A$2:A1616,A1616,$B$2:B1616,B1616,$E$2:E1616,E1616)&gt;1,"Possible duplicate","")))</f>
        <v/>
      </c>
    </row>
    <row r="1617" spans="3:14" x14ac:dyDescent="0.3">
      <c r="C1617" s="16"/>
      <c r="G1617" s="5" t="str">
        <f t="shared" si="125"/>
        <v/>
      </c>
      <c r="H1617" t="str">
        <f>IF(A1617="","",IFERROR(_xlfn.XLOOKUP(D1617,Setup!$E$15:$E$79,Setup!$F$15:$F$79),"Miscellaneous"))</f>
        <v/>
      </c>
      <c r="I1617" t="str">
        <f>IF(A1617="","",IFERROR(_xlfn.XLOOKUP(D1617,Setup!$E$15:$E$79,Setup!$G$15:$G$79),"Uncategorized"))</f>
        <v/>
      </c>
      <c r="J1617" t="str">
        <f t="shared" si="126"/>
        <v/>
      </c>
      <c r="K1617" s="4" t="str">
        <f t="shared" si="127"/>
        <v/>
      </c>
      <c r="L1617" s="47">
        <f t="shared" si="128"/>
        <v>0</v>
      </c>
      <c r="M1617" s="47">
        <f t="shared" si="129"/>
        <v>0</v>
      </c>
      <c r="N1617" t="str">
        <f>IF(A1617="","",IF(D1617="Category Pending","Needs categorization",IF(COUNTIFS($A$2:A1617,A1617,$B$2:B1617,B1617,$E$2:E1617,E1617)&gt;1,"Possible duplicate","")))</f>
        <v/>
      </c>
    </row>
    <row r="1618" spans="3:14" x14ac:dyDescent="0.3">
      <c r="C1618" s="16"/>
      <c r="G1618" s="5" t="str">
        <f t="shared" si="125"/>
        <v/>
      </c>
      <c r="H1618" t="str">
        <f>IF(A1618="","",IFERROR(_xlfn.XLOOKUP(D1618,Setup!$E$15:$E$79,Setup!$F$15:$F$79),"Miscellaneous"))</f>
        <v/>
      </c>
      <c r="I1618" t="str">
        <f>IF(A1618="","",IFERROR(_xlfn.XLOOKUP(D1618,Setup!$E$15:$E$79,Setup!$G$15:$G$79),"Uncategorized"))</f>
        <v/>
      </c>
      <c r="J1618" t="str">
        <f t="shared" si="126"/>
        <v/>
      </c>
      <c r="K1618" s="4" t="str">
        <f t="shared" si="127"/>
        <v/>
      </c>
      <c r="L1618" s="47">
        <f t="shared" si="128"/>
        <v>0</v>
      </c>
      <c r="M1618" s="47">
        <f t="shared" si="129"/>
        <v>0</v>
      </c>
      <c r="N1618" t="str">
        <f>IF(A1618="","",IF(D1618="Category Pending","Needs categorization",IF(COUNTIFS($A$2:A1618,A1618,$B$2:B1618,B1618,$E$2:E1618,E1618)&gt;1,"Possible duplicate","")))</f>
        <v/>
      </c>
    </row>
    <row r="1619" spans="3:14" x14ac:dyDescent="0.3">
      <c r="C1619" s="16"/>
      <c r="G1619" s="5" t="str">
        <f t="shared" si="125"/>
        <v/>
      </c>
      <c r="H1619" t="str">
        <f>IF(A1619="","",IFERROR(_xlfn.XLOOKUP(D1619,Setup!$E$15:$E$79,Setup!$F$15:$F$79),"Miscellaneous"))</f>
        <v/>
      </c>
      <c r="I1619" t="str">
        <f>IF(A1619="","",IFERROR(_xlfn.XLOOKUP(D1619,Setup!$E$15:$E$79,Setup!$G$15:$G$79),"Uncategorized"))</f>
        <v/>
      </c>
      <c r="J1619" t="str">
        <f t="shared" si="126"/>
        <v/>
      </c>
      <c r="K1619" s="4" t="str">
        <f t="shared" si="127"/>
        <v/>
      </c>
      <c r="L1619" s="47">
        <f t="shared" si="128"/>
        <v>0</v>
      </c>
      <c r="M1619" s="47">
        <f t="shared" si="129"/>
        <v>0</v>
      </c>
      <c r="N1619" t="str">
        <f>IF(A1619="","",IF(D1619="Category Pending","Needs categorization",IF(COUNTIFS($A$2:A1619,A1619,$B$2:B1619,B1619,$E$2:E1619,E1619)&gt;1,"Possible duplicate","")))</f>
        <v/>
      </c>
    </row>
    <row r="1620" spans="3:14" x14ac:dyDescent="0.3">
      <c r="C1620" s="16"/>
      <c r="G1620" s="5" t="str">
        <f t="shared" si="125"/>
        <v/>
      </c>
      <c r="H1620" t="str">
        <f>IF(A1620="","",IFERROR(_xlfn.XLOOKUP(D1620,Setup!$E$15:$E$79,Setup!$F$15:$F$79),"Miscellaneous"))</f>
        <v/>
      </c>
      <c r="I1620" t="str">
        <f>IF(A1620="","",IFERROR(_xlfn.XLOOKUP(D1620,Setup!$E$15:$E$79,Setup!$G$15:$G$79),"Uncategorized"))</f>
        <v/>
      </c>
      <c r="J1620" t="str">
        <f t="shared" si="126"/>
        <v/>
      </c>
      <c r="K1620" s="4" t="str">
        <f t="shared" si="127"/>
        <v/>
      </c>
      <c r="L1620" s="47">
        <f t="shared" si="128"/>
        <v>0</v>
      </c>
      <c r="M1620" s="47">
        <f t="shared" si="129"/>
        <v>0</v>
      </c>
      <c r="N1620" t="str">
        <f>IF(A1620="","",IF(D1620="Category Pending","Needs categorization",IF(COUNTIFS($A$2:A1620,A1620,$B$2:B1620,B1620,$E$2:E1620,E1620)&gt;1,"Possible duplicate","")))</f>
        <v/>
      </c>
    </row>
    <row r="1621" spans="3:14" x14ac:dyDescent="0.3">
      <c r="C1621" s="16"/>
      <c r="G1621" s="5" t="str">
        <f t="shared" si="125"/>
        <v/>
      </c>
      <c r="H1621" t="str">
        <f>IF(A1621="","",IFERROR(_xlfn.XLOOKUP(D1621,Setup!$E$15:$E$79,Setup!$F$15:$F$79),"Miscellaneous"))</f>
        <v/>
      </c>
      <c r="I1621" t="str">
        <f>IF(A1621="","",IFERROR(_xlfn.XLOOKUP(D1621,Setup!$E$15:$E$79,Setup!$G$15:$G$79),"Uncategorized"))</f>
        <v/>
      </c>
      <c r="J1621" t="str">
        <f t="shared" si="126"/>
        <v/>
      </c>
      <c r="K1621" s="4" t="str">
        <f t="shared" si="127"/>
        <v/>
      </c>
      <c r="L1621" s="47">
        <f t="shared" si="128"/>
        <v>0</v>
      </c>
      <c r="M1621" s="47">
        <f t="shared" si="129"/>
        <v>0</v>
      </c>
      <c r="N1621" t="str">
        <f>IF(A1621="","",IF(D1621="Category Pending","Needs categorization",IF(COUNTIFS($A$2:A1621,A1621,$B$2:B1621,B1621,$E$2:E1621,E1621)&gt;1,"Possible duplicate","")))</f>
        <v/>
      </c>
    </row>
    <row r="1622" spans="3:14" x14ac:dyDescent="0.3">
      <c r="C1622" s="16"/>
      <c r="G1622" s="5" t="str">
        <f t="shared" si="125"/>
        <v/>
      </c>
      <c r="H1622" t="str">
        <f>IF(A1622="","",IFERROR(_xlfn.XLOOKUP(D1622,Setup!$E$15:$E$79,Setup!$F$15:$F$79),"Miscellaneous"))</f>
        <v/>
      </c>
      <c r="I1622" t="str">
        <f>IF(A1622="","",IFERROR(_xlfn.XLOOKUP(D1622,Setup!$E$15:$E$79,Setup!$G$15:$G$79),"Uncategorized"))</f>
        <v/>
      </c>
      <c r="J1622" t="str">
        <f t="shared" si="126"/>
        <v/>
      </c>
      <c r="K1622" s="4" t="str">
        <f t="shared" si="127"/>
        <v/>
      </c>
      <c r="L1622" s="47">
        <f t="shared" si="128"/>
        <v>0</v>
      </c>
      <c r="M1622" s="47">
        <f t="shared" si="129"/>
        <v>0</v>
      </c>
      <c r="N1622" t="str">
        <f>IF(A1622="","",IF(D1622="Category Pending","Needs categorization",IF(COUNTIFS($A$2:A1622,A1622,$B$2:B1622,B1622,$E$2:E1622,E1622)&gt;1,"Possible duplicate","")))</f>
        <v/>
      </c>
    </row>
    <row r="1623" spans="3:14" x14ac:dyDescent="0.3">
      <c r="C1623" s="16"/>
      <c r="G1623" s="5" t="str">
        <f t="shared" si="125"/>
        <v/>
      </c>
      <c r="H1623" t="str">
        <f>IF(A1623="","",IFERROR(_xlfn.XLOOKUP(D1623,Setup!$E$15:$E$79,Setup!$F$15:$F$79),"Miscellaneous"))</f>
        <v/>
      </c>
      <c r="I1623" t="str">
        <f>IF(A1623="","",IFERROR(_xlfn.XLOOKUP(D1623,Setup!$E$15:$E$79,Setup!$G$15:$G$79),"Uncategorized"))</f>
        <v/>
      </c>
      <c r="J1623" t="str">
        <f t="shared" si="126"/>
        <v/>
      </c>
      <c r="K1623" s="4" t="str">
        <f t="shared" si="127"/>
        <v/>
      </c>
      <c r="L1623" s="47">
        <f t="shared" si="128"/>
        <v>0</v>
      </c>
      <c r="M1623" s="47">
        <f t="shared" si="129"/>
        <v>0</v>
      </c>
      <c r="N1623" t="str">
        <f>IF(A1623="","",IF(D1623="Category Pending","Needs categorization",IF(COUNTIFS($A$2:A1623,A1623,$B$2:B1623,B1623,$E$2:E1623,E1623)&gt;1,"Possible duplicate","")))</f>
        <v/>
      </c>
    </row>
    <row r="1624" spans="3:14" x14ac:dyDescent="0.3">
      <c r="C1624" s="16"/>
      <c r="G1624" s="5" t="str">
        <f t="shared" si="125"/>
        <v/>
      </c>
      <c r="H1624" t="str">
        <f>IF(A1624="","",IFERROR(_xlfn.XLOOKUP(D1624,Setup!$E$15:$E$79,Setup!$F$15:$F$79),"Miscellaneous"))</f>
        <v/>
      </c>
      <c r="I1624" t="str">
        <f>IF(A1624="","",IFERROR(_xlfn.XLOOKUP(D1624,Setup!$E$15:$E$79,Setup!$G$15:$G$79),"Uncategorized"))</f>
        <v/>
      </c>
      <c r="J1624" t="str">
        <f t="shared" si="126"/>
        <v/>
      </c>
      <c r="K1624" s="4" t="str">
        <f t="shared" si="127"/>
        <v/>
      </c>
      <c r="L1624" s="47">
        <f t="shared" si="128"/>
        <v>0</v>
      </c>
      <c r="M1624" s="47">
        <f t="shared" si="129"/>
        <v>0</v>
      </c>
      <c r="N1624" t="str">
        <f>IF(A1624="","",IF(D1624="Category Pending","Needs categorization",IF(COUNTIFS($A$2:A1624,A1624,$B$2:B1624,B1624,$E$2:E1624,E1624)&gt;1,"Possible duplicate","")))</f>
        <v/>
      </c>
    </row>
    <row r="1625" spans="3:14" x14ac:dyDescent="0.3">
      <c r="C1625" s="16"/>
      <c r="G1625" s="5" t="str">
        <f t="shared" si="125"/>
        <v/>
      </c>
      <c r="H1625" t="str">
        <f>IF(A1625="","",IFERROR(_xlfn.XLOOKUP(D1625,Setup!$E$15:$E$79,Setup!$F$15:$F$79),"Miscellaneous"))</f>
        <v/>
      </c>
      <c r="I1625" t="str">
        <f>IF(A1625="","",IFERROR(_xlfn.XLOOKUP(D1625,Setup!$E$15:$E$79,Setup!$G$15:$G$79),"Uncategorized"))</f>
        <v/>
      </c>
      <c r="J1625" t="str">
        <f t="shared" si="126"/>
        <v/>
      </c>
      <c r="K1625" s="4" t="str">
        <f t="shared" si="127"/>
        <v/>
      </c>
      <c r="L1625" s="47">
        <f t="shared" si="128"/>
        <v>0</v>
      </c>
      <c r="M1625" s="47">
        <f t="shared" si="129"/>
        <v>0</v>
      </c>
      <c r="N1625" t="str">
        <f>IF(A1625="","",IF(D1625="Category Pending","Needs categorization",IF(COUNTIFS($A$2:A1625,A1625,$B$2:B1625,B1625,$E$2:E1625,E1625)&gt;1,"Possible duplicate","")))</f>
        <v/>
      </c>
    </row>
    <row r="1626" spans="3:14" x14ac:dyDescent="0.3">
      <c r="C1626" s="16"/>
      <c r="G1626" s="5" t="str">
        <f t="shared" si="125"/>
        <v/>
      </c>
      <c r="H1626" t="str">
        <f>IF(A1626="","",IFERROR(_xlfn.XLOOKUP(D1626,Setup!$E$15:$E$79,Setup!$F$15:$F$79),"Miscellaneous"))</f>
        <v/>
      </c>
      <c r="I1626" t="str">
        <f>IF(A1626="","",IFERROR(_xlfn.XLOOKUP(D1626,Setup!$E$15:$E$79,Setup!$G$15:$G$79),"Uncategorized"))</f>
        <v/>
      </c>
      <c r="J1626" t="str">
        <f t="shared" si="126"/>
        <v/>
      </c>
      <c r="K1626" s="4" t="str">
        <f t="shared" si="127"/>
        <v/>
      </c>
      <c r="L1626" s="47">
        <f t="shared" si="128"/>
        <v>0</v>
      </c>
      <c r="M1626" s="47">
        <f t="shared" si="129"/>
        <v>0</v>
      </c>
      <c r="N1626" t="str">
        <f>IF(A1626="","",IF(D1626="Category Pending","Needs categorization",IF(COUNTIFS($A$2:A1626,A1626,$B$2:B1626,B1626,$E$2:E1626,E1626)&gt;1,"Possible duplicate","")))</f>
        <v/>
      </c>
    </row>
    <row r="1627" spans="3:14" x14ac:dyDescent="0.3">
      <c r="C1627" s="16"/>
      <c r="G1627" s="5" t="str">
        <f t="shared" si="125"/>
        <v/>
      </c>
      <c r="H1627" t="str">
        <f>IF(A1627="","",IFERROR(_xlfn.XLOOKUP(D1627,Setup!$E$15:$E$79,Setup!$F$15:$F$79),"Miscellaneous"))</f>
        <v/>
      </c>
      <c r="I1627" t="str">
        <f>IF(A1627="","",IFERROR(_xlfn.XLOOKUP(D1627,Setup!$E$15:$E$79,Setup!$G$15:$G$79),"Uncategorized"))</f>
        <v/>
      </c>
      <c r="J1627" t="str">
        <f t="shared" si="126"/>
        <v/>
      </c>
      <c r="K1627" s="4" t="str">
        <f t="shared" si="127"/>
        <v/>
      </c>
      <c r="L1627" s="47">
        <f t="shared" si="128"/>
        <v>0</v>
      </c>
      <c r="M1627" s="47">
        <f t="shared" si="129"/>
        <v>0</v>
      </c>
      <c r="N1627" t="str">
        <f>IF(A1627="","",IF(D1627="Category Pending","Needs categorization",IF(COUNTIFS($A$2:A1627,A1627,$B$2:B1627,B1627,$E$2:E1627,E1627)&gt;1,"Possible duplicate","")))</f>
        <v/>
      </c>
    </row>
    <row r="1628" spans="3:14" x14ac:dyDescent="0.3">
      <c r="C1628" s="16"/>
      <c r="G1628" s="5" t="str">
        <f t="shared" si="125"/>
        <v/>
      </c>
      <c r="H1628" t="str">
        <f>IF(A1628="","",IFERROR(_xlfn.XLOOKUP(D1628,Setup!$E$15:$E$79,Setup!$F$15:$F$79),"Miscellaneous"))</f>
        <v/>
      </c>
      <c r="I1628" t="str">
        <f>IF(A1628="","",IFERROR(_xlfn.XLOOKUP(D1628,Setup!$E$15:$E$79,Setup!$G$15:$G$79),"Uncategorized"))</f>
        <v/>
      </c>
      <c r="J1628" t="str">
        <f t="shared" si="126"/>
        <v/>
      </c>
      <c r="K1628" s="4" t="str">
        <f t="shared" si="127"/>
        <v/>
      </c>
      <c r="L1628" s="47">
        <f t="shared" si="128"/>
        <v>0</v>
      </c>
      <c r="M1628" s="47">
        <f t="shared" si="129"/>
        <v>0</v>
      </c>
      <c r="N1628" t="str">
        <f>IF(A1628="","",IF(D1628="Category Pending","Needs categorization",IF(COUNTIFS($A$2:A1628,A1628,$B$2:B1628,B1628,$E$2:E1628,E1628)&gt;1,"Possible duplicate","")))</f>
        <v/>
      </c>
    </row>
    <row r="1629" spans="3:14" x14ac:dyDescent="0.3">
      <c r="C1629" s="16"/>
      <c r="G1629" s="5" t="str">
        <f t="shared" si="125"/>
        <v/>
      </c>
      <c r="H1629" t="str">
        <f>IF(A1629="","",IFERROR(_xlfn.XLOOKUP(D1629,Setup!$E$15:$E$79,Setup!$F$15:$F$79),"Miscellaneous"))</f>
        <v/>
      </c>
      <c r="I1629" t="str">
        <f>IF(A1629="","",IFERROR(_xlfn.XLOOKUP(D1629,Setup!$E$15:$E$79,Setup!$G$15:$G$79),"Uncategorized"))</f>
        <v/>
      </c>
      <c r="J1629" t="str">
        <f t="shared" si="126"/>
        <v/>
      </c>
      <c r="K1629" s="4" t="str">
        <f t="shared" si="127"/>
        <v/>
      </c>
      <c r="L1629" s="47">
        <f t="shared" si="128"/>
        <v>0</v>
      </c>
      <c r="M1629" s="47">
        <f t="shared" si="129"/>
        <v>0</v>
      </c>
      <c r="N1629" t="str">
        <f>IF(A1629="","",IF(D1629="Category Pending","Needs categorization",IF(COUNTIFS($A$2:A1629,A1629,$B$2:B1629,B1629,$E$2:E1629,E1629)&gt;1,"Possible duplicate","")))</f>
        <v/>
      </c>
    </row>
    <row r="1630" spans="3:14" x14ac:dyDescent="0.3">
      <c r="C1630" s="16"/>
      <c r="G1630" s="5" t="str">
        <f t="shared" si="125"/>
        <v/>
      </c>
      <c r="H1630" t="str">
        <f>IF(A1630="","",IFERROR(_xlfn.XLOOKUP(D1630,Setup!$E$15:$E$79,Setup!$F$15:$F$79),"Miscellaneous"))</f>
        <v/>
      </c>
      <c r="I1630" t="str">
        <f>IF(A1630="","",IFERROR(_xlfn.XLOOKUP(D1630,Setup!$E$15:$E$79,Setup!$G$15:$G$79),"Uncategorized"))</f>
        <v/>
      </c>
      <c r="J1630" t="str">
        <f t="shared" si="126"/>
        <v/>
      </c>
      <c r="K1630" s="4" t="str">
        <f t="shared" si="127"/>
        <v/>
      </c>
      <c r="L1630" s="47">
        <f t="shared" si="128"/>
        <v>0</v>
      </c>
      <c r="M1630" s="47">
        <f t="shared" si="129"/>
        <v>0</v>
      </c>
      <c r="N1630" t="str">
        <f>IF(A1630="","",IF(D1630="Category Pending","Needs categorization",IF(COUNTIFS($A$2:A1630,A1630,$B$2:B1630,B1630,$E$2:E1630,E1630)&gt;1,"Possible duplicate","")))</f>
        <v/>
      </c>
    </row>
    <row r="1631" spans="3:14" x14ac:dyDescent="0.3">
      <c r="C1631" s="16"/>
      <c r="G1631" s="5" t="str">
        <f t="shared" si="125"/>
        <v/>
      </c>
      <c r="H1631" t="str">
        <f>IF(A1631="","",IFERROR(_xlfn.XLOOKUP(D1631,Setup!$E$15:$E$79,Setup!$F$15:$F$79),"Miscellaneous"))</f>
        <v/>
      </c>
      <c r="I1631" t="str">
        <f>IF(A1631="","",IFERROR(_xlfn.XLOOKUP(D1631,Setup!$E$15:$E$79,Setup!$G$15:$G$79),"Uncategorized"))</f>
        <v/>
      </c>
      <c r="J1631" t="str">
        <f t="shared" si="126"/>
        <v/>
      </c>
      <c r="K1631" s="4" t="str">
        <f t="shared" si="127"/>
        <v/>
      </c>
      <c r="L1631" s="47">
        <f t="shared" si="128"/>
        <v>0</v>
      </c>
      <c r="M1631" s="47">
        <f t="shared" si="129"/>
        <v>0</v>
      </c>
      <c r="N1631" t="str">
        <f>IF(A1631="","",IF(D1631="Category Pending","Needs categorization",IF(COUNTIFS($A$2:A1631,A1631,$B$2:B1631,B1631,$E$2:E1631,E1631)&gt;1,"Possible duplicate","")))</f>
        <v/>
      </c>
    </row>
    <row r="1632" spans="3:14" x14ac:dyDescent="0.3">
      <c r="C1632" s="16"/>
      <c r="G1632" s="5" t="str">
        <f t="shared" si="125"/>
        <v/>
      </c>
      <c r="H1632" t="str">
        <f>IF(A1632="","",IFERROR(_xlfn.XLOOKUP(D1632,Setup!$E$15:$E$79,Setup!$F$15:$F$79),"Miscellaneous"))</f>
        <v/>
      </c>
      <c r="I1632" t="str">
        <f>IF(A1632="","",IFERROR(_xlfn.XLOOKUP(D1632,Setup!$E$15:$E$79,Setup!$G$15:$G$79),"Uncategorized"))</f>
        <v/>
      </c>
      <c r="J1632" t="str">
        <f t="shared" si="126"/>
        <v/>
      </c>
      <c r="K1632" s="4" t="str">
        <f t="shared" si="127"/>
        <v/>
      </c>
      <c r="L1632" s="47">
        <f t="shared" si="128"/>
        <v>0</v>
      </c>
      <c r="M1632" s="47">
        <f t="shared" si="129"/>
        <v>0</v>
      </c>
      <c r="N1632" t="str">
        <f>IF(A1632="","",IF(D1632="Category Pending","Needs categorization",IF(COUNTIFS($A$2:A1632,A1632,$B$2:B1632,B1632,$E$2:E1632,E1632)&gt;1,"Possible duplicate","")))</f>
        <v/>
      </c>
    </row>
    <row r="1633" spans="3:14" x14ac:dyDescent="0.3">
      <c r="C1633" s="16"/>
      <c r="G1633" s="5" t="str">
        <f t="shared" ref="G1633:G1696" si="130">IF(A1633="","","Checking")</f>
        <v/>
      </c>
      <c r="H1633" t="str">
        <f>IF(A1633="","",IFERROR(_xlfn.XLOOKUP(D1633,Setup!$E$15:$E$79,Setup!$F$15:$F$79),"Miscellaneous"))</f>
        <v/>
      </c>
      <c r="I1633" t="str">
        <f>IF(A1633="","",IFERROR(_xlfn.XLOOKUP(D1633,Setup!$E$15:$E$79,Setup!$G$15:$G$79),"Uncategorized"))</f>
        <v/>
      </c>
      <c r="J1633" t="str">
        <f t="shared" ref="J1633:J1696" si="131">IF(A1633="","",IF(OR(H1633="Transfers",H1633="Income",D1633="Transfer",D1633="Category Pending"),"No","Yes"))</f>
        <v/>
      </c>
      <c r="K1633" s="4" t="str">
        <f t="shared" ref="K1633:K1696" si="132">IF(A1633="","",IF(A1633&gt;=46232,TEXT(DATE(YEAR(A1633),MONTH(A1633)+1,1),"mmmm yyyy"),TEXT(DATE(YEAR(A1633),MONTH(A1633),1),"mmmm yyyy")))</f>
        <v/>
      </c>
      <c r="L1633" s="47">
        <f t="shared" ref="L1633:L1696" si="133">IF(AND(J1633="Yes",E1633&lt;0),-E1633,0)</f>
        <v>0</v>
      </c>
      <c r="M1633" s="47">
        <f t="shared" ref="M1633:M1696" si="134">IF(AND(J1633="Yes",E1633&gt;0),E1633,0)</f>
        <v>0</v>
      </c>
      <c r="N1633" t="str">
        <f>IF(A1633="","",IF(D1633="Category Pending","Needs categorization",IF(COUNTIFS($A$2:A1633,A1633,$B$2:B1633,B1633,$E$2:E1633,E1633)&gt;1,"Possible duplicate","")))</f>
        <v/>
      </c>
    </row>
    <row r="1634" spans="3:14" x14ac:dyDescent="0.3">
      <c r="C1634" s="16"/>
      <c r="G1634" s="5" t="str">
        <f t="shared" si="130"/>
        <v/>
      </c>
      <c r="H1634" t="str">
        <f>IF(A1634="","",IFERROR(_xlfn.XLOOKUP(D1634,Setup!$E$15:$E$79,Setup!$F$15:$F$79),"Miscellaneous"))</f>
        <v/>
      </c>
      <c r="I1634" t="str">
        <f>IF(A1634="","",IFERROR(_xlfn.XLOOKUP(D1634,Setup!$E$15:$E$79,Setup!$G$15:$G$79),"Uncategorized"))</f>
        <v/>
      </c>
      <c r="J1634" t="str">
        <f t="shared" si="131"/>
        <v/>
      </c>
      <c r="K1634" s="4" t="str">
        <f t="shared" si="132"/>
        <v/>
      </c>
      <c r="L1634" s="47">
        <f t="shared" si="133"/>
        <v>0</v>
      </c>
      <c r="M1634" s="47">
        <f t="shared" si="134"/>
        <v>0</v>
      </c>
      <c r="N1634" t="str">
        <f>IF(A1634="","",IF(D1634="Category Pending","Needs categorization",IF(COUNTIFS($A$2:A1634,A1634,$B$2:B1634,B1634,$E$2:E1634,E1634)&gt;1,"Possible duplicate","")))</f>
        <v/>
      </c>
    </row>
    <row r="1635" spans="3:14" x14ac:dyDescent="0.3">
      <c r="C1635" s="16"/>
      <c r="G1635" s="5" t="str">
        <f t="shared" si="130"/>
        <v/>
      </c>
      <c r="H1635" t="str">
        <f>IF(A1635="","",IFERROR(_xlfn.XLOOKUP(D1635,Setup!$E$15:$E$79,Setup!$F$15:$F$79),"Miscellaneous"))</f>
        <v/>
      </c>
      <c r="I1635" t="str">
        <f>IF(A1635="","",IFERROR(_xlfn.XLOOKUP(D1635,Setup!$E$15:$E$79,Setup!$G$15:$G$79),"Uncategorized"))</f>
        <v/>
      </c>
      <c r="J1635" t="str">
        <f t="shared" si="131"/>
        <v/>
      </c>
      <c r="K1635" s="4" t="str">
        <f t="shared" si="132"/>
        <v/>
      </c>
      <c r="L1635" s="47">
        <f t="shared" si="133"/>
        <v>0</v>
      </c>
      <c r="M1635" s="47">
        <f t="shared" si="134"/>
        <v>0</v>
      </c>
      <c r="N1635" t="str">
        <f>IF(A1635="","",IF(D1635="Category Pending","Needs categorization",IF(COUNTIFS($A$2:A1635,A1635,$B$2:B1635,B1635,$E$2:E1635,E1635)&gt;1,"Possible duplicate","")))</f>
        <v/>
      </c>
    </row>
    <row r="1636" spans="3:14" x14ac:dyDescent="0.3">
      <c r="C1636" s="16"/>
      <c r="G1636" s="5" t="str">
        <f t="shared" si="130"/>
        <v/>
      </c>
      <c r="H1636" t="str">
        <f>IF(A1636="","",IFERROR(_xlfn.XLOOKUP(D1636,Setup!$E$15:$E$79,Setup!$F$15:$F$79),"Miscellaneous"))</f>
        <v/>
      </c>
      <c r="I1636" t="str">
        <f>IF(A1636="","",IFERROR(_xlfn.XLOOKUP(D1636,Setup!$E$15:$E$79,Setup!$G$15:$G$79),"Uncategorized"))</f>
        <v/>
      </c>
      <c r="J1636" t="str">
        <f t="shared" si="131"/>
        <v/>
      </c>
      <c r="K1636" s="4" t="str">
        <f t="shared" si="132"/>
        <v/>
      </c>
      <c r="L1636" s="47">
        <f t="shared" si="133"/>
        <v>0</v>
      </c>
      <c r="M1636" s="47">
        <f t="shared" si="134"/>
        <v>0</v>
      </c>
      <c r="N1636" t="str">
        <f>IF(A1636="","",IF(D1636="Category Pending","Needs categorization",IF(COUNTIFS($A$2:A1636,A1636,$B$2:B1636,B1636,$E$2:E1636,E1636)&gt;1,"Possible duplicate","")))</f>
        <v/>
      </c>
    </row>
    <row r="1637" spans="3:14" x14ac:dyDescent="0.3">
      <c r="C1637" s="16"/>
      <c r="G1637" s="5" t="str">
        <f t="shared" si="130"/>
        <v/>
      </c>
      <c r="H1637" t="str">
        <f>IF(A1637="","",IFERROR(_xlfn.XLOOKUP(D1637,Setup!$E$15:$E$79,Setup!$F$15:$F$79),"Miscellaneous"))</f>
        <v/>
      </c>
      <c r="I1637" t="str">
        <f>IF(A1637="","",IFERROR(_xlfn.XLOOKUP(D1637,Setup!$E$15:$E$79,Setup!$G$15:$G$79),"Uncategorized"))</f>
        <v/>
      </c>
      <c r="J1637" t="str">
        <f t="shared" si="131"/>
        <v/>
      </c>
      <c r="K1637" s="4" t="str">
        <f t="shared" si="132"/>
        <v/>
      </c>
      <c r="L1637" s="47">
        <f t="shared" si="133"/>
        <v>0</v>
      </c>
      <c r="M1637" s="47">
        <f t="shared" si="134"/>
        <v>0</v>
      </c>
      <c r="N1637" t="str">
        <f>IF(A1637="","",IF(D1637="Category Pending","Needs categorization",IF(COUNTIFS($A$2:A1637,A1637,$B$2:B1637,B1637,$E$2:E1637,E1637)&gt;1,"Possible duplicate","")))</f>
        <v/>
      </c>
    </row>
    <row r="1638" spans="3:14" x14ac:dyDescent="0.3">
      <c r="C1638" s="16"/>
      <c r="G1638" s="5" t="str">
        <f t="shared" si="130"/>
        <v/>
      </c>
      <c r="H1638" t="str">
        <f>IF(A1638="","",IFERROR(_xlfn.XLOOKUP(D1638,Setup!$E$15:$E$79,Setup!$F$15:$F$79),"Miscellaneous"))</f>
        <v/>
      </c>
      <c r="I1638" t="str">
        <f>IF(A1638="","",IFERROR(_xlfn.XLOOKUP(D1638,Setup!$E$15:$E$79,Setup!$G$15:$G$79),"Uncategorized"))</f>
        <v/>
      </c>
      <c r="J1638" t="str">
        <f t="shared" si="131"/>
        <v/>
      </c>
      <c r="K1638" s="4" t="str">
        <f t="shared" si="132"/>
        <v/>
      </c>
      <c r="L1638" s="47">
        <f t="shared" si="133"/>
        <v>0</v>
      </c>
      <c r="M1638" s="47">
        <f t="shared" si="134"/>
        <v>0</v>
      </c>
      <c r="N1638" t="str">
        <f>IF(A1638="","",IF(D1638="Category Pending","Needs categorization",IF(COUNTIFS($A$2:A1638,A1638,$B$2:B1638,B1638,$E$2:E1638,E1638)&gt;1,"Possible duplicate","")))</f>
        <v/>
      </c>
    </row>
    <row r="1639" spans="3:14" x14ac:dyDescent="0.3">
      <c r="C1639" s="16"/>
      <c r="G1639" s="5" t="str">
        <f t="shared" si="130"/>
        <v/>
      </c>
      <c r="H1639" t="str">
        <f>IF(A1639="","",IFERROR(_xlfn.XLOOKUP(D1639,Setup!$E$15:$E$79,Setup!$F$15:$F$79),"Miscellaneous"))</f>
        <v/>
      </c>
      <c r="I1639" t="str">
        <f>IF(A1639="","",IFERROR(_xlfn.XLOOKUP(D1639,Setup!$E$15:$E$79,Setup!$G$15:$G$79),"Uncategorized"))</f>
        <v/>
      </c>
      <c r="J1639" t="str">
        <f t="shared" si="131"/>
        <v/>
      </c>
      <c r="K1639" s="4" t="str">
        <f t="shared" si="132"/>
        <v/>
      </c>
      <c r="L1639" s="47">
        <f t="shared" si="133"/>
        <v>0</v>
      </c>
      <c r="M1639" s="47">
        <f t="shared" si="134"/>
        <v>0</v>
      </c>
      <c r="N1639" t="str">
        <f>IF(A1639="","",IF(D1639="Category Pending","Needs categorization",IF(COUNTIFS($A$2:A1639,A1639,$B$2:B1639,B1639,$E$2:E1639,E1639)&gt;1,"Possible duplicate","")))</f>
        <v/>
      </c>
    </row>
    <row r="1640" spans="3:14" x14ac:dyDescent="0.3">
      <c r="C1640" s="16"/>
      <c r="G1640" s="5" t="str">
        <f t="shared" si="130"/>
        <v/>
      </c>
      <c r="H1640" t="str">
        <f>IF(A1640="","",IFERROR(_xlfn.XLOOKUP(D1640,Setup!$E$15:$E$79,Setup!$F$15:$F$79),"Miscellaneous"))</f>
        <v/>
      </c>
      <c r="I1640" t="str">
        <f>IF(A1640="","",IFERROR(_xlfn.XLOOKUP(D1640,Setup!$E$15:$E$79,Setup!$G$15:$G$79),"Uncategorized"))</f>
        <v/>
      </c>
      <c r="J1640" t="str">
        <f t="shared" si="131"/>
        <v/>
      </c>
      <c r="K1640" s="4" t="str">
        <f t="shared" si="132"/>
        <v/>
      </c>
      <c r="L1640" s="47">
        <f t="shared" si="133"/>
        <v>0</v>
      </c>
      <c r="M1640" s="47">
        <f t="shared" si="134"/>
        <v>0</v>
      </c>
      <c r="N1640" t="str">
        <f>IF(A1640="","",IF(D1640="Category Pending","Needs categorization",IF(COUNTIFS($A$2:A1640,A1640,$B$2:B1640,B1640,$E$2:E1640,E1640)&gt;1,"Possible duplicate","")))</f>
        <v/>
      </c>
    </row>
    <row r="1641" spans="3:14" x14ac:dyDescent="0.3">
      <c r="C1641" s="16"/>
      <c r="G1641" s="5" t="str">
        <f t="shared" si="130"/>
        <v/>
      </c>
      <c r="H1641" t="str">
        <f>IF(A1641="","",IFERROR(_xlfn.XLOOKUP(D1641,Setup!$E$15:$E$79,Setup!$F$15:$F$79),"Miscellaneous"))</f>
        <v/>
      </c>
      <c r="I1641" t="str">
        <f>IF(A1641="","",IFERROR(_xlfn.XLOOKUP(D1641,Setup!$E$15:$E$79,Setup!$G$15:$G$79),"Uncategorized"))</f>
        <v/>
      </c>
      <c r="J1641" t="str">
        <f t="shared" si="131"/>
        <v/>
      </c>
      <c r="K1641" s="4" t="str">
        <f t="shared" si="132"/>
        <v/>
      </c>
      <c r="L1641" s="47">
        <f t="shared" si="133"/>
        <v>0</v>
      </c>
      <c r="M1641" s="47">
        <f t="shared" si="134"/>
        <v>0</v>
      </c>
      <c r="N1641" t="str">
        <f>IF(A1641="","",IF(D1641="Category Pending","Needs categorization",IF(COUNTIFS($A$2:A1641,A1641,$B$2:B1641,B1641,$E$2:E1641,E1641)&gt;1,"Possible duplicate","")))</f>
        <v/>
      </c>
    </row>
    <row r="1642" spans="3:14" x14ac:dyDescent="0.3">
      <c r="C1642" s="16"/>
      <c r="G1642" s="5" t="str">
        <f t="shared" si="130"/>
        <v/>
      </c>
      <c r="H1642" t="str">
        <f>IF(A1642="","",IFERROR(_xlfn.XLOOKUP(D1642,Setup!$E$15:$E$79,Setup!$F$15:$F$79),"Miscellaneous"))</f>
        <v/>
      </c>
      <c r="I1642" t="str">
        <f>IF(A1642="","",IFERROR(_xlfn.XLOOKUP(D1642,Setup!$E$15:$E$79,Setup!$G$15:$G$79),"Uncategorized"))</f>
        <v/>
      </c>
      <c r="J1642" t="str">
        <f t="shared" si="131"/>
        <v/>
      </c>
      <c r="K1642" s="4" t="str">
        <f t="shared" si="132"/>
        <v/>
      </c>
      <c r="L1642" s="47">
        <f t="shared" si="133"/>
        <v>0</v>
      </c>
      <c r="M1642" s="47">
        <f t="shared" si="134"/>
        <v>0</v>
      </c>
      <c r="N1642" t="str">
        <f>IF(A1642="","",IF(D1642="Category Pending","Needs categorization",IF(COUNTIFS($A$2:A1642,A1642,$B$2:B1642,B1642,$E$2:E1642,E1642)&gt;1,"Possible duplicate","")))</f>
        <v/>
      </c>
    </row>
    <row r="1643" spans="3:14" x14ac:dyDescent="0.3">
      <c r="C1643" s="16"/>
      <c r="G1643" s="5" t="str">
        <f t="shared" si="130"/>
        <v/>
      </c>
      <c r="H1643" t="str">
        <f>IF(A1643="","",IFERROR(_xlfn.XLOOKUP(D1643,Setup!$E$15:$E$79,Setup!$F$15:$F$79),"Miscellaneous"))</f>
        <v/>
      </c>
      <c r="I1643" t="str">
        <f>IF(A1643="","",IFERROR(_xlfn.XLOOKUP(D1643,Setup!$E$15:$E$79,Setup!$G$15:$G$79),"Uncategorized"))</f>
        <v/>
      </c>
      <c r="J1643" t="str">
        <f t="shared" si="131"/>
        <v/>
      </c>
      <c r="K1643" s="4" t="str">
        <f t="shared" si="132"/>
        <v/>
      </c>
      <c r="L1643" s="47">
        <f t="shared" si="133"/>
        <v>0</v>
      </c>
      <c r="M1643" s="47">
        <f t="shared" si="134"/>
        <v>0</v>
      </c>
      <c r="N1643" t="str">
        <f>IF(A1643="","",IF(D1643="Category Pending","Needs categorization",IF(COUNTIFS($A$2:A1643,A1643,$B$2:B1643,B1643,$E$2:E1643,E1643)&gt;1,"Possible duplicate","")))</f>
        <v/>
      </c>
    </row>
    <row r="1644" spans="3:14" x14ac:dyDescent="0.3">
      <c r="C1644" s="16"/>
      <c r="G1644" s="5" t="str">
        <f t="shared" si="130"/>
        <v/>
      </c>
      <c r="H1644" t="str">
        <f>IF(A1644="","",IFERROR(_xlfn.XLOOKUP(D1644,Setup!$E$15:$E$79,Setup!$F$15:$F$79),"Miscellaneous"))</f>
        <v/>
      </c>
      <c r="I1644" t="str">
        <f>IF(A1644="","",IFERROR(_xlfn.XLOOKUP(D1644,Setup!$E$15:$E$79,Setup!$G$15:$G$79),"Uncategorized"))</f>
        <v/>
      </c>
      <c r="J1644" t="str">
        <f t="shared" si="131"/>
        <v/>
      </c>
      <c r="K1644" s="4" t="str">
        <f t="shared" si="132"/>
        <v/>
      </c>
      <c r="L1644" s="47">
        <f t="shared" si="133"/>
        <v>0</v>
      </c>
      <c r="M1644" s="47">
        <f t="shared" si="134"/>
        <v>0</v>
      </c>
      <c r="N1644" t="str">
        <f>IF(A1644="","",IF(D1644="Category Pending","Needs categorization",IF(COUNTIFS($A$2:A1644,A1644,$B$2:B1644,B1644,$E$2:E1644,E1644)&gt;1,"Possible duplicate","")))</f>
        <v/>
      </c>
    </row>
    <row r="1645" spans="3:14" x14ac:dyDescent="0.3">
      <c r="C1645" s="16"/>
      <c r="G1645" s="5" t="str">
        <f t="shared" si="130"/>
        <v/>
      </c>
      <c r="H1645" t="str">
        <f>IF(A1645="","",IFERROR(_xlfn.XLOOKUP(D1645,Setup!$E$15:$E$79,Setup!$F$15:$F$79),"Miscellaneous"))</f>
        <v/>
      </c>
      <c r="I1645" t="str">
        <f>IF(A1645="","",IFERROR(_xlfn.XLOOKUP(D1645,Setup!$E$15:$E$79,Setup!$G$15:$G$79),"Uncategorized"))</f>
        <v/>
      </c>
      <c r="J1645" t="str">
        <f t="shared" si="131"/>
        <v/>
      </c>
      <c r="K1645" s="4" t="str">
        <f t="shared" si="132"/>
        <v/>
      </c>
      <c r="L1645" s="47">
        <f t="shared" si="133"/>
        <v>0</v>
      </c>
      <c r="M1645" s="47">
        <f t="shared" si="134"/>
        <v>0</v>
      </c>
      <c r="N1645" t="str">
        <f>IF(A1645="","",IF(D1645="Category Pending","Needs categorization",IF(COUNTIFS($A$2:A1645,A1645,$B$2:B1645,B1645,$E$2:E1645,E1645)&gt;1,"Possible duplicate","")))</f>
        <v/>
      </c>
    </row>
    <row r="1646" spans="3:14" x14ac:dyDescent="0.3">
      <c r="C1646" s="16"/>
      <c r="G1646" s="5" t="str">
        <f t="shared" si="130"/>
        <v/>
      </c>
      <c r="H1646" t="str">
        <f>IF(A1646="","",IFERROR(_xlfn.XLOOKUP(D1646,Setup!$E$15:$E$79,Setup!$F$15:$F$79),"Miscellaneous"))</f>
        <v/>
      </c>
      <c r="I1646" t="str">
        <f>IF(A1646="","",IFERROR(_xlfn.XLOOKUP(D1646,Setup!$E$15:$E$79,Setup!$G$15:$G$79),"Uncategorized"))</f>
        <v/>
      </c>
      <c r="J1646" t="str">
        <f t="shared" si="131"/>
        <v/>
      </c>
      <c r="K1646" s="4" t="str">
        <f t="shared" si="132"/>
        <v/>
      </c>
      <c r="L1646" s="47">
        <f t="shared" si="133"/>
        <v>0</v>
      </c>
      <c r="M1646" s="47">
        <f t="shared" si="134"/>
        <v>0</v>
      </c>
      <c r="N1646" t="str">
        <f>IF(A1646="","",IF(D1646="Category Pending","Needs categorization",IF(COUNTIFS($A$2:A1646,A1646,$B$2:B1646,B1646,$E$2:E1646,E1646)&gt;1,"Possible duplicate","")))</f>
        <v/>
      </c>
    </row>
    <row r="1647" spans="3:14" x14ac:dyDescent="0.3">
      <c r="C1647" s="16"/>
      <c r="G1647" s="5" t="str">
        <f t="shared" si="130"/>
        <v/>
      </c>
      <c r="H1647" t="str">
        <f>IF(A1647="","",IFERROR(_xlfn.XLOOKUP(D1647,Setup!$E$15:$E$79,Setup!$F$15:$F$79),"Miscellaneous"))</f>
        <v/>
      </c>
      <c r="I1647" t="str">
        <f>IF(A1647="","",IFERROR(_xlfn.XLOOKUP(D1647,Setup!$E$15:$E$79,Setup!$G$15:$G$79),"Uncategorized"))</f>
        <v/>
      </c>
      <c r="J1647" t="str">
        <f t="shared" si="131"/>
        <v/>
      </c>
      <c r="K1647" s="4" t="str">
        <f t="shared" si="132"/>
        <v/>
      </c>
      <c r="L1647" s="47">
        <f t="shared" si="133"/>
        <v>0</v>
      </c>
      <c r="M1647" s="47">
        <f t="shared" si="134"/>
        <v>0</v>
      </c>
      <c r="N1647" t="str">
        <f>IF(A1647="","",IF(D1647="Category Pending","Needs categorization",IF(COUNTIFS($A$2:A1647,A1647,$B$2:B1647,B1647,$E$2:E1647,E1647)&gt;1,"Possible duplicate","")))</f>
        <v/>
      </c>
    </row>
    <row r="1648" spans="3:14" x14ac:dyDescent="0.3">
      <c r="C1648" s="16"/>
      <c r="G1648" s="5" t="str">
        <f t="shared" si="130"/>
        <v/>
      </c>
      <c r="H1648" t="str">
        <f>IF(A1648="","",IFERROR(_xlfn.XLOOKUP(D1648,Setup!$E$15:$E$79,Setup!$F$15:$F$79),"Miscellaneous"))</f>
        <v/>
      </c>
      <c r="I1648" t="str">
        <f>IF(A1648="","",IFERROR(_xlfn.XLOOKUP(D1648,Setup!$E$15:$E$79,Setup!$G$15:$G$79),"Uncategorized"))</f>
        <v/>
      </c>
      <c r="J1648" t="str">
        <f t="shared" si="131"/>
        <v/>
      </c>
      <c r="K1648" s="4" t="str">
        <f t="shared" si="132"/>
        <v/>
      </c>
      <c r="L1648" s="47">
        <f t="shared" si="133"/>
        <v>0</v>
      </c>
      <c r="M1648" s="47">
        <f t="shared" si="134"/>
        <v>0</v>
      </c>
      <c r="N1648" t="str">
        <f>IF(A1648="","",IF(D1648="Category Pending","Needs categorization",IF(COUNTIFS($A$2:A1648,A1648,$B$2:B1648,B1648,$E$2:E1648,E1648)&gt;1,"Possible duplicate","")))</f>
        <v/>
      </c>
    </row>
    <row r="1649" spans="3:14" x14ac:dyDescent="0.3">
      <c r="C1649" s="16"/>
      <c r="G1649" s="5" t="str">
        <f t="shared" si="130"/>
        <v/>
      </c>
      <c r="H1649" t="str">
        <f>IF(A1649="","",IFERROR(_xlfn.XLOOKUP(D1649,Setup!$E$15:$E$79,Setup!$F$15:$F$79),"Miscellaneous"))</f>
        <v/>
      </c>
      <c r="I1649" t="str">
        <f>IF(A1649="","",IFERROR(_xlfn.XLOOKUP(D1649,Setup!$E$15:$E$79,Setup!$G$15:$G$79),"Uncategorized"))</f>
        <v/>
      </c>
      <c r="J1649" t="str">
        <f t="shared" si="131"/>
        <v/>
      </c>
      <c r="K1649" s="4" t="str">
        <f t="shared" si="132"/>
        <v/>
      </c>
      <c r="L1649" s="47">
        <f t="shared" si="133"/>
        <v>0</v>
      </c>
      <c r="M1649" s="47">
        <f t="shared" si="134"/>
        <v>0</v>
      </c>
      <c r="N1649" t="str">
        <f>IF(A1649="","",IF(D1649="Category Pending","Needs categorization",IF(COUNTIFS($A$2:A1649,A1649,$B$2:B1649,B1649,$E$2:E1649,E1649)&gt;1,"Possible duplicate","")))</f>
        <v/>
      </c>
    </row>
    <row r="1650" spans="3:14" x14ac:dyDescent="0.3">
      <c r="C1650" s="16"/>
      <c r="G1650" s="5" t="str">
        <f t="shared" si="130"/>
        <v/>
      </c>
      <c r="H1650" t="str">
        <f>IF(A1650="","",IFERROR(_xlfn.XLOOKUP(D1650,Setup!$E$15:$E$79,Setup!$F$15:$F$79),"Miscellaneous"))</f>
        <v/>
      </c>
      <c r="I1650" t="str">
        <f>IF(A1650="","",IFERROR(_xlfn.XLOOKUP(D1650,Setup!$E$15:$E$79,Setup!$G$15:$G$79),"Uncategorized"))</f>
        <v/>
      </c>
      <c r="J1650" t="str">
        <f t="shared" si="131"/>
        <v/>
      </c>
      <c r="K1650" s="4" t="str">
        <f t="shared" si="132"/>
        <v/>
      </c>
      <c r="L1650" s="47">
        <f t="shared" si="133"/>
        <v>0</v>
      </c>
      <c r="M1650" s="47">
        <f t="shared" si="134"/>
        <v>0</v>
      </c>
      <c r="N1650" t="str">
        <f>IF(A1650="","",IF(D1650="Category Pending","Needs categorization",IF(COUNTIFS($A$2:A1650,A1650,$B$2:B1650,B1650,$E$2:E1650,E1650)&gt;1,"Possible duplicate","")))</f>
        <v/>
      </c>
    </row>
    <row r="1651" spans="3:14" x14ac:dyDescent="0.3">
      <c r="C1651" s="16"/>
      <c r="G1651" s="5" t="str">
        <f t="shared" si="130"/>
        <v/>
      </c>
      <c r="H1651" t="str">
        <f>IF(A1651="","",IFERROR(_xlfn.XLOOKUP(D1651,Setup!$E$15:$E$79,Setup!$F$15:$F$79),"Miscellaneous"))</f>
        <v/>
      </c>
      <c r="I1651" t="str">
        <f>IF(A1651="","",IFERROR(_xlfn.XLOOKUP(D1651,Setup!$E$15:$E$79,Setup!$G$15:$G$79),"Uncategorized"))</f>
        <v/>
      </c>
      <c r="J1651" t="str">
        <f t="shared" si="131"/>
        <v/>
      </c>
      <c r="K1651" s="4" t="str">
        <f t="shared" si="132"/>
        <v/>
      </c>
      <c r="L1651" s="47">
        <f t="shared" si="133"/>
        <v>0</v>
      </c>
      <c r="M1651" s="47">
        <f t="shared" si="134"/>
        <v>0</v>
      </c>
      <c r="N1651" t="str">
        <f>IF(A1651="","",IF(D1651="Category Pending","Needs categorization",IF(COUNTIFS($A$2:A1651,A1651,$B$2:B1651,B1651,$E$2:E1651,E1651)&gt;1,"Possible duplicate","")))</f>
        <v/>
      </c>
    </row>
    <row r="1652" spans="3:14" x14ac:dyDescent="0.3">
      <c r="C1652" s="16"/>
      <c r="G1652" s="5" t="str">
        <f t="shared" si="130"/>
        <v/>
      </c>
      <c r="H1652" t="str">
        <f>IF(A1652="","",IFERROR(_xlfn.XLOOKUP(D1652,Setup!$E$15:$E$79,Setup!$F$15:$F$79),"Miscellaneous"))</f>
        <v/>
      </c>
      <c r="I1652" t="str">
        <f>IF(A1652="","",IFERROR(_xlfn.XLOOKUP(D1652,Setup!$E$15:$E$79,Setup!$G$15:$G$79),"Uncategorized"))</f>
        <v/>
      </c>
      <c r="J1652" t="str">
        <f t="shared" si="131"/>
        <v/>
      </c>
      <c r="K1652" s="4" t="str">
        <f t="shared" si="132"/>
        <v/>
      </c>
      <c r="L1652" s="47">
        <f t="shared" si="133"/>
        <v>0</v>
      </c>
      <c r="M1652" s="47">
        <f t="shared" si="134"/>
        <v>0</v>
      </c>
      <c r="N1652" t="str">
        <f>IF(A1652="","",IF(D1652="Category Pending","Needs categorization",IF(COUNTIFS($A$2:A1652,A1652,$B$2:B1652,B1652,$E$2:E1652,E1652)&gt;1,"Possible duplicate","")))</f>
        <v/>
      </c>
    </row>
    <row r="1653" spans="3:14" x14ac:dyDescent="0.3">
      <c r="C1653" s="16"/>
      <c r="G1653" s="5" t="str">
        <f t="shared" si="130"/>
        <v/>
      </c>
      <c r="H1653" t="str">
        <f>IF(A1653="","",IFERROR(_xlfn.XLOOKUP(D1653,Setup!$E$15:$E$79,Setup!$F$15:$F$79),"Miscellaneous"))</f>
        <v/>
      </c>
      <c r="I1653" t="str">
        <f>IF(A1653="","",IFERROR(_xlfn.XLOOKUP(D1653,Setup!$E$15:$E$79,Setup!$G$15:$G$79),"Uncategorized"))</f>
        <v/>
      </c>
      <c r="J1653" t="str">
        <f t="shared" si="131"/>
        <v/>
      </c>
      <c r="K1653" s="4" t="str">
        <f t="shared" si="132"/>
        <v/>
      </c>
      <c r="L1653" s="47">
        <f t="shared" si="133"/>
        <v>0</v>
      </c>
      <c r="M1653" s="47">
        <f t="shared" si="134"/>
        <v>0</v>
      </c>
      <c r="N1653" t="str">
        <f>IF(A1653="","",IF(D1653="Category Pending","Needs categorization",IF(COUNTIFS($A$2:A1653,A1653,$B$2:B1653,B1653,$E$2:E1653,E1653)&gt;1,"Possible duplicate","")))</f>
        <v/>
      </c>
    </row>
    <row r="1654" spans="3:14" x14ac:dyDescent="0.3">
      <c r="C1654" s="16"/>
      <c r="G1654" s="5" t="str">
        <f t="shared" si="130"/>
        <v/>
      </c>
      <c r="H1654" t="str">
        <f>IF(A1654="","",IFERROR(_xlfn.XLOOKUP(D1654,Setup!$E$15:$E$79,Setup!$F$15:$F$79),"Miscellaneous"))</f>
        <v/>
      </c>
      <c r="I1654" t="str">
        <f>IF(A1654="","",IFERROR(_xlfn.XLOOKUP(D1654,Setup!$E$15:$E$79,Setup!$G$15:$G$79),"Uncategorized"))</f>
        <v/>
      </c>
      <c r="J1654" t="str">
        <f t="shared" si="131"/>
        <v/>
      </c>
      <c r="K1654" s="4" t="str">
        <f t="shared" si="132"/>
        <v/>
      </c>
      <c r="L1654" s="47">
        <f t="shared" si="133"/>
        <v>0</v>
      </c>
      <c r="M1654" s="47">
        <f t="shared" si="134"/>
        <v>0</v>
      </c>
      <c r="N1654" t="str">
        <f>IF(A1654="","",IF(D1654="Category Pending","Needs categorization",IF(COUNTIFS($A$2:A1654,A1654,$B$2:B1654,B1654,$E$2:E1654,E1654)&gt;1,"Possible duplicate","")))</f>
        <v/>
      </c>
    </row>
    <row r="1655" spans="3:14" x14ac:dyDescent="0.3">
      <c r="C1655" s="16"/>
      <c r="G1655" s="5" t="str">
        <f t="shared" si="130"/>
        <v/>
      </c>
      <c r="H1655" t="str">
        <f>IF(A1655="","",IFERROR(_xlfn.XLOOKUP(D1655,Setup!$E$15:$E$79,Setup!$F$15:$F$79),"Miscellaneous"))</f>
        <v/>
      </c>
      <c r="I1655" t="str">
        <f>IF(A1655="","",IFERROR(_xlfn.XLOOKUP(D1655,Setup!$E$15:$E$79,Setup!$G$15:$G$79),"Uncategorized"))</f>
        <v/>
      </c>
      <c r="J1655" t="str">
        <f t="shared" si="131"/>
        <v/>
      </c>
      <c r="K1655" s="4" t="str">
        <f t="shared" si="132"/>
        <v/>
      </c>
      <c r="L1655" s="47">
        <f t="shared" si="133"/>
        <v>0</v>
      </c>
      <c r="M1655" s="47">
        <f t="shared" si="134"/>
        <v>0</v>
      </c>
      <c r="N1655" t="str">
        <f>IF(A1655="","",IF(D1655="Category Pending","Needs categorization",IF(COUNTIFS($A$2:A1655,A1655,$B$2:B1655,B1655,$E$2:E1655,E1655)&gt;1,"Possible duplicate","")))</f>
        <v/>
      </c>
    </row>
    <row r="1656" spans="3:14" x14ac:dyDescent="0.3">
      <c r="C1656" s="16"/>
      <c r="G1656" s="5" t="str">
        <f t="shared" si="130"/>
        <v/>
      </c>
      <c r="H1656" t="str">
        <f>IF(A1656="","",IFERROR(_xlfn.XLOOKUP(D1656,Setup!$E$15:$E$79,Setup!$F$15:$F$79),"Miscellaneous"))</f>
        <v/>
      </c>
      <c r="I1656" t="str">
        <f>IF(A1656="","",IFERROR(_xlfn.XLOOKUP(D1656,Setup!$E$15:$E$79,Setup!$G$15:$G$79),"Uncategorized"))</f>
        <v/>
      </c>
      <c r="J1656" t="str">
        <f t="shared" si="131"/>
        <v/>
      </c>
      <c r="K1656" s="4" t="str">
        <f t="shared" si="132"/>
        <v/>
      </c>
      <c r="L1656" s="47">
        <f t="shared" si="133"/>
        <v>0</v>
      </c>
      <c r="M1656" s="47">
        <f t="shared" si="134"/>
        <v>0</v>
      </c>
      <c r="N1656" t="str">
        <f>IF(A1656="","",IF(D1656="Category Pending","Needs categorization",IF(COUNTIFS($A$2:A1656,A1656,$B$2:B1656,B1656,$E$2:E1656,E1656)&gt;1,"Possible duplicate","")))</f>
        <v/>
      </c>
    </row>
    <row r="1657" spans="3:14" x14ac:dyDescent="0.3">
      <c r="C1657" s="16"/>
      <c r="G1657" s="5" t="str">
        <f t="shared" si="130"/>
        <v/>
      </c>
      <c r="H1657" t="str">
        <f>IF(A1657="","",IFERROR(_xlfn.XLOOKUP(D1657,Setup!$E$15:$E$79,Setup!$F$15:$F$79),"Miscellaneous"))</f>
        <v/>
      </c>
      <c r="I1657" t="str">
        <f>IF(A1657="","",IFERROR(_xlfn.XLOOKUP(D1657,Setup!$E$15:$E$79,Setup!$G$15:$G$79),"Uncategorized"))</f>
        <v/>
      </c>
      <c r="J1657" t="str">
        <f t="shared" si="131"/>
        <v/>
      </c>
      <c r="K1657" s="4" t="str">
        <f t="shared" si="132"/>
        <v/>
      </c>
      <c r="L1657" s="47">
        <f t="shared" si="133"/>
        <v>0</v>
      </c>
      <c r="M1657" s="47">
        <f t="shared" si="134"/>
        <v>0</v>
      </c>
      <c r="N1657" t="str">
        <f>IF(A1657="","",IF(D1657="Category Pending","Needs categorization",IF(COUNTIFS($A$2:A1657,A1657,$B$2:B1657,B1657,$E$2:E1657,E1657)&gt;1,"Possible duplicate","")))</f>
        <v/>
      </c>
    </row>
    <row r="1658" spans="3:14" x14ac:dyDescent="0.3">
      <c r="C1658" s="16"/>
      <c r="G1658" s="5" t="str">
        <f t="shared" si="130"/>
        <v/>
      </c>
      <c r="H1658" t="str">
        <f>IF(A1658="","",IFERROR(_xlfn.XLOOKUP(D1658,Setup!$E$15:$E$79,Setup!$F$15:$F$79),"Miscellaneous"))</f>
        <v/>
      </c>
      <c r="I1658" t="str">
        <f>IF(A1658="","",IFERROR(_xlfn.XLOOKUP(D1658,Setup!$E$15:$E$79,Setup!$G$15:$G$79),"Uncategorized"))</f>
        <v/>
      </c>
      <c r="J1658" t="str">
        <f t="shared" si="131"/>
        <v/>
      </c>
      <c r="K1658" s="4" t="str">
        <f t="shared" si="132"/>
        <v/>
      </c>
      <c r="L1658" s="47">
        <f t="shared" si="133"/>
        <v>0</v>
      </c>
      <c r="M1658" s="47">
        <f t="shared" si="134"/>
        <v>0</v>
      </c>
      <c r="N1658" t="str">
        <f>IF(A1658="","",IF(D1658="Category Pending","Needs categorization",IF(COUNTIFS($A$2:A1658,A1658,$B$2:B1658,B1658,$E$2:E1658,E1658)&gt;1,"Possible duplicate","")))</f>
        <v/>
      </c>
    </row>
    <row r="1659" spans="3:14" x14ac:dyDescent="0.3">
      <c r="C1659" s="16"/>
      <c r="G1659" s="5" t="str">
        <f t="shared" si="130"/>
        <v/>
      </c>
      <c r="H1659" t="str">
        <f>IF(A1659="","",IFERROR(_xlfn.XLOOKUP(D1659,Setup!$E$15:$E$79,Setup!$F$15:$F$79),"Miscellaneous"))</f>
        <v/>
      </c>
      <c r="I1659" t="str">
        <f>IF(A1659="","",IFERROR(_xlfn.XLOOKUP(D1659,Setup!$E$15:$E$79,Setup!$G$15:$G$79),"Uncategorized"))</f>
        <v/>
      </c>
      <c r="J1659" t="str">
        <f t="shared" si="131"/>
        <v/>
      </c>
      <c r="K1659" s="4" t="str">
        <f t="shared" si="132"/>
        <v/>
      </c>
      <c r="L1659" s="47">
        <f t="shared" si="133"/>
        <v>0</v>
      </c>
      <c r="M1659" s="47">
        <f t="shared" si="134"/>
        <v>0</v>
      </c>
      <c r="N1659" t="str">
        <f>IF(A1659="","",IF(D1659="Category Pending","Needs categorization",IF(COUNTIFS($A$2:A1659,A1659,$B$2:B1659,B1659,$E$2:E1659,E1659)&gt;1,"Possible duplicate","")))</f>
        <v/>
      </c>
    </row>
    <row r="1660" spans="3:14" x14ac:dyDescent="0.3">
      <c r="C1660" s="16"/>
      <c r="G1660" s="5" t="str">
        <f t="shared" si="130"/>
        <v/>
      </c>
      <c r="H1660" t="str">
        <f>IF(A1660="","",IFERROR(_xlfn.XLOOKUP(D1660,Setup!$E$15:$E$79,Setup!$F$15:$F$79),"Miscellaneous"))</f>
        <v/>
      </c>
      <c r="I1660" t="str">
        <f>IF(A1660="","",IFERROR(_xlfn.XLOOKUP(D1660,Setup!$E$15:$E$79,Setup!$G$15:$G$79),"Uncategorized"))</f>
        <v/>
      </c>
      <c r="J1660" t="str">
        <f t="shared" si="131"/>
        <v/>
      </c>
      <c r="K1660" s="4" t="str">
        <f t="shared" si="132"/>
        <v/>
      </c>
      <c r="L1660" s="47">
        <f t="shared" si="133"/>
        <v>0</v>
      </c>
      <c r="M1660" s="47">
        <f t="shared" si="134"/>
        <v>0</v>
      </c>
      <c r="N1660" t="str">
        <f>IF(A1660="","",IF(D1660="Category Pending","Needs categorization",IF(COUNTIFS($A$2:A1660,A1660,$B$2:B1660,B1660,$E$2:E1660,E1660)&gt;1,"Possible duplicate","")))</f>
        <v/>
      </c>
    </row>
    <row r="1661" spans="3:14" x14ac:dyDescent="0.3">
      <c r="C1661" s="16"/>
      <c r="G1661" s="5" t="str">
        <f t="shared" si="130"/>
        <v/>
      </c>
      <c r="H1661" t="str">
        <f>IF(A1661="","",IFERROR(_xlfn.XLOOKUP(D1661,Setup!$E$15:$E$79,Setup!$F$15:$F$79),"Miscellaneous"))</f>
        <v/>
      </c>
      <c r="I1661" t="str">
        <f>IF(A1661="","",IFERROR(_xlfn.XLOOKUP(D1661,Setup!$E$15:$E$79,Setup!$G$15:$G$79),"Uncategorized"))</f>
        <v/>
      </c>
      <c r="J1661" t="str">
        <f t="shared" si="131"/>
        <v/>
      </c>
      <c r="K1661" s="4" t="str">
        <f t="shared" si="132"/>
        <v/>
      </c>
      <c r="L1661" s="47">
        <f t="shared" si="133"/>
        <v>0</v>
      </c>
      <c r="M1661" s="47">
        <f t="shared" si="134"/>
        <v>0</v>
      </c>
      <c r="N1661" t="str">
        <f>IF(A1661="","",IF(D1661="Category Pending","Needs categorization",IF(COUNTIFS($A$2:A1661,A1661,$B$2:B1661,B1661,$E$2:E1661,E1661)&gt;1,"Possible duplicate","")))</f>
        <v/>
      </c>
    </row>
    <row r="1662" spans="3:14" x14ac:dyDescent="0.3">
      <c r="C1662" s="16"/>
      <c r="G1662" s="5" t="str">
        <f t="shared" si="130"/>
        <v/>
      </c>
      <c r="H1662" t="str">
        <f>IF(A1662="","",IFERROR(_xlfn.XLOOKUP(D1662,Setup!$E$15:$E$79,Setup!$F$15:$F$79),"Miscellaneous"))</f>
        <v/>
      </c>
      <c r="I1662" t="str">
        <f>IF(A1662="","",IFERROR(_xlfn.XLOOKUP(D1662,Setup!$E$15:$E$79,Setup!$G$15:$G$79),"Uncategorized"))</f>
        <v/>
      </c>
      <c r="J1662" t="str">
        <f t="shared" si="131"/>
        <v/>
      </c>
      <c r="K1662" s="4" t="str">
        <f t="shared" si="132"/>
        <v/>
      </c>
      <c r="L1662" s="47">
        <f t="shared" si="133"/>
        <v>0</v>
      </c>
      <c r="M1662" s="47">
        <f t="shared" si="134"/>
        <v>0</v>
      </c>
      <c r="N1662" t="str">
        <f>IF(A1662="","",IF(D1662="Category Pending","Needs categorization",IF(COUNTIFS($A$2:A1662,A1662,$B$2:B1662,B1662,$E$2:E1662,E1662)&gt;1,"Possible duplicate","")))</f>
        <v/>
      </c>
    </row>
    <row r="1663" spans="3:14" x14ac:dyDescent="0.3">
      <c r="C1663" s="16"/>
      <c r="G1663" s="5" t="str">
        <f t="shared" si="130"/>
        <v/>
      </c>
      <c r="H1663" t="str">
        <f>IF(A1663="","",IFERROR(_xlfn.XLOOKUP(D1663,Setup!$E$15:$E$79,Setup!$F$15:$F$79),"Miscellaneous"))</f>
        <v/>
      </c>
      <c r="I1663" t="str">
        <f>IF(A1663="","",IFERROR(_xlfn.XLOOKUP(D1663,Setup!$E$15:$E$79,Setup!$G$15:$G$79),"Uncategorized"))</f>
        <v/>
      </c>
      <c r="J1663" t="str">
        <f t="shared" si="131"/>
        <v/>
      </c>
      <c r="K1663" s="4" t="str">
        <f t="shared" si="132"/>
        <v/>
      </c>
      <c r="L1663" s="47">
        <f t="shared" si="133"/>
        <v>0</v>
      </c>
      <c r="M1663" s="47">
        <f t="shared" si="134"/>
        <v>0</v>
      </c>
      <c r="N1663" t="str">
        <f>IF(A1663="","",IF(D1663="Category Pending","Needs categorization",IF(COUNTIFS($A$2:A1663,A1663,$B$2:B1663,B1663,$E$2:E1663,E1663)&gt;1,"Possible duplicate","")))</f>
        <v/>
      </c>
    </row>
    <row r="1664" spans="3:14" x14ac:dyDescent="0.3">
      <c r="C1664" s="16"/>
      <c r="G1664" s="5" t="str">
        <f t="shared" si="130"/>
        <v/>
      </c>
      <c r="H1664" t="str">
        <f>IF(A1664="","",IFERROR(_xlfn.XLOOKUP(D1664,Setup!$E$15:$E$79,Setup!$F$15:$F$79),"Miscellaneous"))</f>
        <v/>
      </c>
      <c r="I1664" t="str">
        <f>IF(A1664="","",IFERROR(_xlfn.XLOOKUP(D1664,Setup!$E$15:$E$79,Setup!$G$15:$G$79),"Uncategorized"))</f>
        <v/>
      </c>
      <c r="J1664" t="str">
        <f t="shared" si="131"/>
        <v/>
      </c>
      <c r="K1664" s="4" t="str">
        <f t="shared" si="132"/>
        <v/>
      </c>
      <c r="L1664" s="47">
        <f t="shared" si="133"/>
        <v>0</v>
      </c>
      <c r="M1664" s="47">
        <f t="shared" si="134"/>
        <v>0</v>
      </c>
      <c r="N1664" t="str">
        <f>IF(A1664="","",IF(D1664="Category Pending","Needs categorization",IF(COUNTIFS($A$2:A1664,A1664,$B$2:B1664,B1664,$E$2:E1664,E1664)&gt;1,"Possible duplicate","")))</f>
        <v/>
      </c>
    </row>
    <row r="1665" spans="3:14" x14ac:dyDescent="0.3">
      <c r="C1665" s="16"/>
      <c r="G1665" s="5" t="str">
        <f t="shared" si="130"/>
        <v/>
      </c>
      <c r="H1665" t="str">
        <f>IF(A1665="","",IFERROR(_xlfn.XLOOKUP(D1665,Setup!$E$15:$E$79,Setup!$F$15:$F$79),"Miscellaneous"))</f>
        <v/>
      </c>
      <c r="I1665" t="str">
        <f>IF(A1665="","",IFERROR(_xlfn.XLOOKUP(D1665,Setup!$E$15:$E$79,Setup!$G$15:$G$79),"Uncategorized"))</f>
        <v/>
      </c>
      <c r="J1665" t="str">
        <f t="shared" si="131"/>
        <v/>
      </c>
      <c r="K1665" s="4" t="str">
        <f t="shared" si="132"/>
        <v/>
      </c>
      <c r="L1665" s="47">
        <f t="shared" si="133"/>
        <v>0</v>
      </c>
      <c r="M1665" s="47">
        <f t="shared" si="134"/>
        <v>0</v>
      </c>
      <c r="N1665" t="str">
        <f>IF(A1665="","",IF(D1665="Category Pending","Needs categorization",IF(COUNTIFS($A$2:A1665,A1665,$B$2:B1665,B1665,$E$2:E1665,E1665)&gt;1,"Possible duplicate","")))</f>
        <v/>
      </c>
    </row>
    <row r="1666" spans="3:14" x14ac:dyDescent="0.3">
      <c r="C1666" s="16"/>
      <c r="G1666" s="5" t="str">
        <f t="shared" si="130"/>
        <v/>
      </c>
      <c r="H1666" t="str">
        <f>IF(A1666="","",IFERROR(_xlfn.XLOOKUP(D1666,Setup!$E$15:$E$79,Setup!$F$15:$F$79),"Miscellaneous"))</f>
        <v/>
      </c>
      <c r="I1666" t="str">
        <f>IF(A1666="","",IFERROR(_xlfn.XLOOKUP(D1666,Setup!$E$15:$E$79,Setup!$G$15:$G$79),"Uncategorized"))</f>
        <v/>
      </c>
      <c r="J1666" t="str">
        <f t="shared" si="131"/>
        <v/>
      </c>
      <c r="K1666" s="4" t="str">
        <f t="shared" si="132"/>
        <v/>
      </c>
      <c r="L1666" s="47">
        <f t="shared" si="133"/>
        <v>0</v>
      </c>
      <c r="M1666" s="47">
        <f t="shared" si="134"/>
        <v>0</v>
      </c>
      <c r="N1666" t="str">
        <f>IF(A1666="","",IF(D1666="Category Pending","Needs categorization",IF(COUNTIFS($A$2:A1666,A1666,$B$2:B1666,B1666,$E$2:E1666,E1666)&gt;1,"Possible duplicate","")))</f>
        <v/>
      </c>
    </row>
    <row r="1667" spans="3:14" x14ac:dyDescent="0.3">
      <c r="C1667" s="16"/>
      <c r="G1667" s="5" t="str">
        <f t="shared" si="130"/>
        <v/>
      </c>
      <c r="H1667" t="str">
        <f>IF(A1667="","",IFERROR(_xlfn.XLOOKUP(D1667,Setup!$E$15:$E$79,Setup!$F$15:$F$79),"Miscellaneous"))</f>
        <v/>
      </c>
      <c r="I1667" t="str">
        <f>IF(A1667="","",IFERROR(_xlfn.XLOOKUP(D1667,Setup!$E$15:$E$79,Setup!$G$15:$G$79),"Uncategorized"))</f>
        <v/>
      </c>
      <c r="J1667" t="str">
        <f t="shared" si="131"/>
        <v/>
      </c>
      <c r="K1667" s="4" t="str">
        <f t="shared" si="132"/>
        <v/>
      </c>
      <c r="L1667" s="47">
        <f t="shared" si="133"/>
        <v>0</v>
      </c>
      <c r="M1667" s="47">
        <f t="shared" si="134"/>
        <v>0</v>
      </c>
      <c r="N1667" t="str">
        <f>IF(A1667="","",IF(D1667="Category Pending","Needs categorization",IF(COUNTIFS($A$2:A1667,A1667,$B$2:B1667,B1667,$E$2:E1667,E1667)&gt;1,"Possible duplicate","")))</f>
        <v/>
      </c>
    </row>
    <row r="1668" spans="3:14" x14ac:dyDescent="0.3">
      <c r="C1668" s="16"/>
      <c r="G1668" s="5" t="str">
        <f t="shared" si="130"/>
        <v/>
      </c>
      <c r="H1668" t="str">
        <f>IF(A1668="","",IFERROR(_xlfn.XLOOKUP(D1668,Setup!$E$15:$E$79,Setup!$F$15:$F$79),"Miscellaneous"))</f>
        <v/>
      </c>
      <c r="I1668" t="str">
        <f>IF(A1668="","",IFERROR(_xlfn.XLOOKUP(D1668,Setup!$E$15:$E$79,Setup!$G$15:$G$79),"Uncategorized"))</f>
        <v/>
      </c>
      <c r="J1668" t="str">
        <f t="shared" si="131"/>
        <v/>
      </c>
      <c r="K1668" s="4" t="str">
        <f t="shared" si="132"/>
        <v/>
      </c>
      <c r="L1668" s="47">
        <f t="shared" si="133"/>
        <v>0</v>
      </c>
      <c r="M1668" s="47">
        <f t="shared" si="134"/>
        <v>0</v>
      </c>
      <c r="N1668" t="str">
        <f>IF(A1668="","",IF(D1668="Category Pending","Needs categorization",IF(COUNTIFS($A$2:A1668,A1668,$B$2:B1668,B1668,$E$2:E1668,E1668)&gt;1,"Possible duplicate","")))</f>
        <v/>
      </c>
    </row>
    <row r="1669" spans="3:14" x14ac:dyDescent="0.3">
      <c r="C1669" s="16"/>
      <c r="G1669" s="5" t="str">
        <f t="shared" si="130"/>
        <v/>
      </c>
      <c r="H1669" t="str">
        <f>IF(A1669="","",IFERROR(_xlfn.XLOOKUP(D1669,Setup!$E$15:$E$79,Setup!$F$15:$F$79),"Miscellaneous"))</f>
        <v/>
      </c>
      <c r="I1669" t="str">
        <f>IF(A1669="","",IFERROR(_xlfn.XLOOKUP(D1669,Setup!$E$15:$E$79,Setup!$G$15:$G$79),"Uncategorized"))</f>
        <v/>
      </c>
      <c r="J1669" t="str">
        <f t="shared" si="131"/>
        <v/>
      </c>
      <c r="K1669" s="4" t="str">
        <f t="shared" si="132"/>
        <v/>
      </c>
      <c r="L1669" s="47">
        <f t="shared" si="133"/>
        <v>0</v>
      </c>
      <c r="M1669" s="47">
        <f t="shared" si="134"/>
        <v>0</v>
      </c>
      <c r="N1669" t="str">
        <f>IF(A1669="","",IF(D1669="Category Pending","Needs categorization",IF(COUNTIFS($A$2:A1669,A1669,$B$2:B1669,B1669,$E$2:E1669,E1669)&gt;1,"Possible duplicate","")))</f>
        <v/>
      </c>
    </row>
    <row r="1670" spans="3:14" x14ac:dyDescent="0.3">
      <c r="C1670" s="16"/>
      <c r="G1670" s="5" t="str">
        <f t="shared" si="130"/>
        <v/>
      </c>
      <c r="H1670" t="str">
        <f>IF(A1670="","",IFERROR(_xlfn.XLOOKUP(D1670,Setup!$E$15:$E$79,Setup!$F$15:$F$79),"Miscellaneous"))</f>
        <v/>
      </c>
      <c r="I1670" t="str">
        <f>IF(A1670="","",IFERROR(_xlfn.XLOOKUP(D1670,Setup!$E$15:$E$79,Setup!$G$15:$G$79),"Uncategorized"))</f>
        <v/>
      </c>
      <c r="J1670" t="str">
        <f t="shared" si="131"/>
        <v/>
      </c>
      <c r="K1670" s="4" t="str">
        <f t="shared" si="132"/>
        <v/>
      </c>
      <c r="L1670" s="47">
        <f t="shared" si="133"/>
        <v>0</v>
      </c>
      <c r="M1670" s="47">
        <f t="shared" si="134"/>
        <v>0</v>
      </c>
      <c r="N1670" t="str">
        <f>IF(A1670="","",IF(D1670="Category Pending","Needs categorization",IF(COUNTIFS($A$2:A1670,A1670,$B$2:B1670,B1670,$E$2:E1670,E1670)&gt;1,"Possible duplicate","")))</f>
        <v/>
      </c>
    </row>
    <row r="1671" spans="3:14" x14ac:dyDescent="0.3">
      <c r="C1671" s="16"/>
      <c r="G1671" s="5" t="str">
        <f t="shared" si="130"/>
        <v/>
      </c>
      <c r="H1671" t="str">
        <f>IF(A1671="","",IFERROR(_xlfn.XLOOKUP(D1671,Setup!$E$15:$E$79,Setup!$F$15:$F$79),"Miscellaneous"))</f>
        <v/>
      </c>
      <c r="I1671" t="str">
        <f>IF(A1671="","",IFERROR(_xlfn.XLOOKUP(D1671,Setup!$E$15:$E$79,Setup!$G$15:$G$79),"Uncategorized"))</f>
        <v/>
      </c>
      <c r="J1671" t="str">
        <f t="shared" si="131"/>
        <v/>
      </c>
      <c r="K1671" s="4" t="str">
        <f t="shared" si="132"/>
        <v/>
      </c>
      <c r="L1671" s="47">
        <f t="shared" si="133"/>
        <v>0</v>
      </c>
      <c r="M1671" s="47">
        <f t="shared" si="134"/>
        <v>0</v>
      </c>
      <c r="N1671" t="str">
        <f>IF(A1671="","",IF(D1671="Category Pending","Needs categorization",IF(COUNTIFS($A$2:A1671,A1671,$B$2:B1671,B1671,$E$2:E1671,E1671)&gt;1,"Possible duplicate","")))</f>
        <v/>
      </c>
    </row>
    <row r="1672" spans="3:14" x14ac:dyDescent="0.3">
      <c r="C1672" s="16"/>
      <c r="G1672" s="5" t="str">
        <f t="shared" si="130"/>
        <v/>
      </c>
      <c r="H1672" t="str">
        <f>IF(A1672="","",IFERROR(_xlfn.XLOOKUP(D1672,Setup!$E$15:$E$79,Setup!$F$15:$F$79),"Miscellaneous"))</f>
        <v/>
      </c>
      <c r="I1672" t="str">
        <f>IF(A1672="","",IFERROR(_xlfn.XLOOKUP(D1672,Setup!$E$15:$E$79,Setup!$G$15:$G$79),"Uncategorized"))</f>
        <v/>
      </c>
      <c r="J1672" t="str">
        <f t="shared" si="131"/>
        <v/>
      </c>
      <c r="K1672" s="4" t="str">
        <f t="shared" si="132"/>
        <v/>
      </c>
      <c r="L1672" s="47">
        <f t="shared" si="133"/>
        <v>0</v>
      </c>
      <c r="M1672" s="47">
        <f t="shared" si="134"/>
        <v>0</v>
      </c>
      <c r="N1672" t="str">
        <f>IF(A1672="","",IF(D1672="Category Pending","Needs categorization",IF(COUNTIFS($A$2:A1672,A1672,$B$2:B1672,B1672,$E$2:E1672,E1672)&gt;1,"Possible duplicate","")))</f>
        <v/>
      </c>
    </row>
    <row r="1673" spans="3:14" x14ac:dyDescent="0.3">
      <c r="C1673" s="16"/>
      <c r="G1673" s="5" t="str">
        <f t="shared" si="130"/>
        <v/>
      </c>
      <c r="H1673" t="str">
        <f>IF(A1673="","",IFERROR(_xlfn.XLOOKUP(D1673,Setup!$E$15:$E$79,Setup!$F$15:$F$79),"Miscellaneous"))</f>
        <v/>
      </c>
      <c r="I1673" t="str">
        <f>IF(A1673="","",IFERROR(_xlfn.XLOOKUP(D1673,Setup!$E$15:$E$79,Setup!$G$15:$G$79),"Uncategorized"))</f>
        <v/>
      </c>
      <c r="J1673" t="str">
        <f t="shared" si="131"/>
        <v/>
      </c>
      <c r="K1673" s="4" t="str">
        <f t="shared" si="132"/>
        <v/>
      </c>
      <c r="L1673" s="47">
        <f t="shared" si="133"/>
        <v>0</v>
      </c>
      <c r="M1673" s="47">
        <f t="shared" si="134"/>
        <v>0</v>
      </c>
      <c r="N1673" t="str">
        <f>IF(A1673="","",IF(D1673="Category Pending","Needs categorization",IF(COUNTIFS($A$2:A1673,A1673,$B$2:B1673,B1673,$E$2:E1673,E1673)&gt;1,"Possible duplicate","")))</f>
        <v/>
      </c>
    </row>
    <row r="1674" spans="3:14" x14ac:dyDescent="0.3">
      <c r="C1674" s="16"/>
      <c r="G1674" s="5" t="str">
        <f t="shared" si="130"/>
        <v/>
      </c>
      <c r="H1674" t="str">
        <f>IF(A1674="","",IFERROR(_xlfn.XLOOKUP(D1674,Setup!$E$15:$E$79,Setup!$F$15:$F$79),"Miscellaneous"))</f>
        <v/>
      </c>
      <c r="I1674" t="str">
        <f>IF(A1674="","",IFERROR(_xlfn.XLOOKUP(D1674,Setup!$E$15:$E$79,Setup!$G$15:$G$79),"Uncategorized"))</f>
        <v/>
      </c>
      <c r="J1674" t="str">
        <f t="shared" si="131"/>
        <v/>
      </c>
      <c r="K1674" s="4" t="str">
        <f t="shared" si="132"/>
        <v/>
      </c>
      <c r="L1674" s="47">
        <f t="shared" si="133"/>
        <v>0</v>
      </c>
      <c r="M1674" s="47">
        <f t="shared" si="134"/>
        <v>0</v>
      </c>
      <c r="N1674" t="str">
        <f>IF(A1674="","",IF(D1674="Category Pending","Needs categorization",IF(COUNTIFS($A$2:A1674,A1674,$B$2:B1674,B1674,$E$2:E1674,E1674)&gt;1,"Possible duplicate","")))</f>
        <v/>
      </c>
    </row>
    <row r="1675" spans="3:14" x14ac:dyDescent="0.3">
      <c r="C1675" s="16"/>
      <c r="G1675" s="5" t="str">
        <f t="shared" si="130"/>
        <v/>
      </c>
      <c r="H1675" t="str">
        <f>IF(A1675="","",IFERROR(_xlfn.XLOOKUP(D1675,Setup!$E$15:$E$79,Setup!$F$15:$F$79),"Miscellaneous"))</f>
        <v/>
      </c>
      <c r="I1675" t="str">
        <f>IF(A1675="","",IFERROR(_xlfn.XLOOKUP(D1675,Setup!$E$15:$E$79,Setup!$G$15:$G$79),"Uncategorized"))</f>
        <v/>
      </c>
      <c r="J1675" t="str">
        <f t="shared" si="131"/>
        <v/>
      </c>
      <c r="K1675" s="4" t="str">
        <f t="shared" si="132"/>
        <v/>
      </c>
      <c r="L1675" s="47">
        <f t="shared" si="133"/>
        <v>0</v>
      </c>
      <c r="M1675" s="47">
        <f t="shared" si="134"/>
        <v>0</v>
      </c>
      <c r="N1675" t="str">
        <f>IF(A1675="","",IF(D1675="Category Pending","Needs categorization",IF(COUNTIFS($A$2:A1675,A1675,$B$2:B1675,B1675,$E$2:E1675,E1675)&gt;1,"Possible duplicate","")))</f>
        <v/>
      </c>
    </row>
    <row r="1676" spans="3:14" x14ac:dyDescent="0.3">
      <c r="C1676" s="16"/>
      <c r="G1676" s="5" t="str">
        <f t="shared" si="130"/>
        <v/>
      </c>
      <c r="H1676" t="str">
        <f>IF(A1676="","",IFERROR(_xlfn.XLOOKUP(D1676,Setup!$E$15:$E$79,Setup!$F$15:$F$79),"Miscellaneous"))</f>
        <v/>
      </c>
      <c r="I1676" t="str">
        <f>IF(A1676="","",IFERROR(_xlfn.XLOOKUP(D1676,Setup!$E$15:$E$79,Setup!$G$15:$G$79),"Uncategorized"))</f>
        <v/>
      </c>
      <c r="J1676" t="str">
        <f t="shared" si="131"/>
        <v/>
      </c>
      <c r="K1676" s="4" t="str">
        <f t="shared" si="132"/>
        <v/>
      </c>
      <c r="L1676" s="47">
        <f t="shared" si="133"/>
        <v>0</v>
      </c>
      <c r="M1676" s="47">
        <f t="shared" si="134"/>
        <v>0</v>
      </c>
      <c r="N1676" t="str">
        <f>IF(A1676="","",IF(D1676="Category Pending","Needs categorization",IF(COUNTIFS($A$2:A1676,A1676,$B$2:B1676,B1676,$E$2:E1676,E1676)&gt;1,"Possible duplicate","")))</f>
        <v/>
      </c>
    </row>
    <row r="1677" spans="3:14" x14ac:dyDescent="0.3">
      <c r="C1677" s="16"/>
      <c r="G1677" s="5" t="str">
        <f t="shared" si="130"/>
        <v/>
      </c>
      <c r="H1677" t="str">
        <f>IF(A1677="","",IFERROR(_xlfn.XLOOKUP(D1677,Setup!$E$15:$E$79,Setup!$F$15:$F$79),"Miscellaneous"))</f>
        <v/>
      </c>
      <c r="I1677" t="str">
        <f>IF(A1677="","",IFERROR(_xlfn.XLOOKUP(D1677,Setup!$E$15:$E$79,Setup!$G$15:$G$79),"Uncategorized"))</f>
        <v/>
      </c>
      <c r="J1677" t="str">
        <f t="shared" si="131"/>
        <v/>
      </c>
      <c r="K1677" s="4" t="str">
        <f t="shared" si="132"/>
        <v/>
      </c>
      <c r="L1677" s="47">
        <f t="shared" si="133"/>
        <v>0</v>
      </c>
      <c r="M1677" s="47">
        <f t="shared" si="134"/>
        <v>0</v>
      </c>
      <c r="N1677" t="str">
        <f>IF(A1677="","",IF(D1677="Category Pending","Needs categorization",IF(COUNTIFS($A$2:A1677,A1677,$B$2:B1677,B1677,$E$2:E1677,E1677)&gt;1,"Possible duplicate","")))</f>
        <v/>
      </c>
    </row>
    <row r="1678" spans="3:14" x14ac:dyDescent="0.3">
      <c r="C1678" s="16"/>
      <c r="G1678" s="5" t="str">
        <f t="shared" si="130"/>
        <v/>
      </c>
      <c r="H1678" t="str">
        <f>IF(A1678="","",IFERROR(_xlfn.XLOOKUP(D1678,Setup!$E$15:$E$79,Setup!$F$15:$F$79),"Miscellaneous"))</f>
        <v/>
      </c>
      <c r="I1678" t="str">
        <f>IF(A1678="","",IFERROR(_xlfn.XLOOKUP(D1678,Setup!$E$15:$E$79,Setup!$G$15:$G$79),"Uncategorized"))</f>
        <v/>
      </c>
      <c r="J1678" t="str">
        <f t="shared" si="131"/>
        <v/>
      </c>
      <c r="K1678" s="4" t="str">
        <f t="shared" si="132"/>
        <v/>
      </c>
      <c r="L1678" s="47">
        <f t="shared" si="133"/>
        <v>0</v>
      </c>
      <c r="M1678" s="47">
        <f t="shared" si="134"/>
        <v>0</v>
      </c>
      <c r="N1678" t="str">
        <f>IF(A1678="","",IF(D1678="Category Pending","Needs categorization",IF(COUNTIFS($A$2:A1678,A1678,$B$2:B1678,B1678,$E$2:E1678,E1678)&gt;1,"Possible duplicate","")))</f>
        <v/>
      </c>
    </row>
    <row r="1679" spans="3:14" x14ac:dyDescent="0.3">
      <c r="C1679" s="16"/>
      <c r="G1679" s="5" t="str">
        <f t="shared" si="130"/>
        <v/>
      </c>
      <c r="H1679" t="str">
        <f>IF(A1679="","",IFERROR(_xlfn.XLOOKUP(D1679,Setup!$E$15:$E$79,Setup!$F$15:$F$79),"Miscellaneous"))</f>
        <v/>
      </c>
      <c r="I1679" t="str">
        <f>IF(A1679="","",IFERROR(_xlfn.XLOOKUP(D1679,Setup!$E$15:$E$79,Setup!$G$15:$G$79),"Uncategorized"))</f>
        <v/>
      </c>
      <c r="J1679" t="str">
        <f t="shared" si="131"/>
        <v/>
      </c>
      <c r="K1679" s="4" t="str">
        <f t="shared" si="132"/>
        <v/>
      </c>
      <c r="L1679" s="47">
        <f t="shared" si="133"/>
        <v>0</v>
      </c>
      <c r="M1679" s="47">
        <f t="shared" si="134"/>
        <v>0</v>
      </c>
      <c r="N1679" t="str">
        <f>IF(A1679="","",IF(D1679="Category Pending","Needs categorization",IF(COUNTIFS($A$2:A1679,A1679,$B$2:B1679,B1679,$E$2:E1679,E1679)&gt;1,"Possible duplicate","")))</f>
        <v/>
      </c>
    </row>
    <row r="1680" spans="3:14" x14ac:dyDescent="0.3">
      <c r="C1680" s="16"/>
      <c r="G1680" s="5" t="str">
        <f t="shared" si="130"/>
        <v/>
      </c>
      <c r="H1680" t="str">
        <f>IF(A1680="","",IFERROR(_xlfn.XLOOKUP(D1680,Setup!$E$15:$E$79,Setup!$F$15:$F$79),"Miscellaneous"))</f>
        <v/>
      </c>
      <c r="I1680" t="str">
        <f>IF(A1680="","",IFERROR(_xlfn.XLOOKUP(D1680,Setup!$E$15:$E$79,Setup!$G$15:$G$79),"Uncategorized"))</f>
        <v/>
      </c>
      <c r="J1680" t="str">
        <f t="shared" si="131"/>
        <v/>
      </c>
      <c r="K1680" s="4" t="str">
        <f t="shared" si="132"/>
        <v/>
      </c>
      <c r="L1680" s="47">
        <f t="shared" si="133"/>
        <v>0</v>
      </c>
      <c r="M1680" s="47">
        <f t="shared" si="134"/>
        <v>0</v>
      </c>
      <c r="N1680" t="str">
        <f>IF(A1680="","",IF(D1680="Category Pending","Needs categorization",IF(COUNTIFS($A$2:A1680,A1680,$B$2:B1680,B1680,$E$2:E1680,E1680)&gt;1,"Possible duplicate","")))</f>
        <v/>
      </c>
    </row>
    <row r="1681" spans="3:14" x14ac:dyDescent="0.3">
      <c r="C1681" s="16"/>
      <c r="G1681" s="5" t="str">
        <f t="shared" si="130"/>
        <v/>
      </c>
      <c r="H1681" t="str">
        <f>IF(A1681="","",IFERROR(_xlfn.XLOOKUP(D1681,Setup!$E$15:$E$79,Setup!$F$15:$F$79),"Miscellaneous"))</f>
        <v/>
      </c>
      <c r="I1681" t="str">
        <f>IF(A1681="","",IFERROR(_xlfn.XLOOKUP(D1681,Setup!$E$15:$E$79,Setup!$G$15:$G$79),"Uncategorized"))</f>
        <v/>
      </c>
      <c r="J1681" t="str">
        <f t="shared" si="131"/>
        <v/>
      </c>
      <c r="K1681" s="4" t="str">
        <f t="shared" si="132"/>
        <v/>
      </c>
      <c r="L1681" s="47">
        <f t="shared" si="133"/>
        <v>0</v>
      </c>
      <c r="M1681" s="47">
        <f t="shared" si="134"/>
        <v>0</v>
      </c>
      <c r="N1681" t="str">
        <f>IF(A1681="","",IF(D1681="Category Pending","Needs categorization",IF(COUNTIFS($A$2:A1681,A1681,$B$2:B1681,B1681,$E$2:E1681,E1681)&gt;1,"Possible duplicate","")))</f>
        <v/>
      </c>
    </row>
    <row r="1682" spans="3:14" x14ac:dyDescent="0.3">
      <c r="C1682" s="16"/>
      <c r="G1682" s="5" t="str">
        <f t="shared" si="130"/>
        <v/>
      </c>
      <c r="H1682" t="str">
        <f>IF(A1682="","",IFERROR(_xlfn.XLOOKUP(D1682,Setup!$E$15:$E$79,Setup!$F$15:$F$79),"Miscellaneous"))</f>
        <v/>
      </c>
      <c r="I1682" t="str">
        <f>IF(A1682="","",IFERROR(_xlfn.XLOOKUP(D1682,Setup!$E$15:$E$79,Setup!$G$15:$G$79),"Uncategorized"))</f>
        <v/>
      </c>
      <c r="J1682" t="str">
        <f t="shared" si="131"/>
        <v/>
      </c>
      <c r="K1682" s="4" t="str">
        <f t="shared" si="132"/>
        <v/>
      </c>
      <c r="L1682" s="47">
        <f t="shared" si="133"/>
        <v>0</v>
      </c>
      <c r="M1682" s="47">
        <f t="shared" si="134"/>
        <v>0</v>
      </c>
      <c r="N1682" t="str">
        <f>IF(A1682="","",IF(D1682="Category Pending","Needs categorization",IF(COUNTIFS($A$2:A1682,A1682,$B$2:B1682,B1682,$E$2:E1682,E1682)&gt;1,"Possible duplicate","")))</f>
        <v/>
      </c>
    </row>
    <row r="1683" spans="3:14" x14ac:dyDescent="0.3">
      <c r="C1683" s="16"/>
      <c r="G1683" s="5" t="str">
        <f t="shared" si="130"/>
        <v/>
      </c>
      <c r="H1683" t="str">
        <f>IF(A1683="","",IFERROR(_xlfn.XLOOKUP(D1683,Setup!$E$15:$E$79,Setup!$F$15:$F$79),"Miscellaneous"))</f>
        <v/>
      </c>
      <c r="I1683" t="str">
        <f>IF(A1683="","",IFERROR(_xlfn.XLOOKUP(D1683,Setup!$E$15:$E$79,Setup!$G$15:$G$79),"Uncategorized"))</f>
        <v/>
      </c>
      <c r="J1683" t="str">
        <f t="shared" si="131"/>
        <v/>
      </c>
      <c r="K1683" s="4" t="str">
        <f t="shared" si="132"/>
        <v/>
      </c>
      <c r="L1683" s="47">
        <f t="shared" si="133"/>
        <v>0</v>
      </c>
      <c r="M1683" s="47">
        <f t="shared" si="134"/>
        <v>0</v>
      </c>
      <c r="N1683" t="str">
        <f>IF(A1683="","",IF(D1683="Category Pending","Needs categorization",IF(COUNTIFS($A$2:A1683,A1683,$B$2:B1683,B1683,$E$2:E1683,E1683)&gt;1,"Possible duplicate","")))</f>
        <v/>
      </c>
    </row>
    <row r="1684" spans="3:14" x14ac:dyDescent="0.3">
      <c r="C1684" s="16"/>
      <c r="G1684" s="5" t="str">
        <f t="shared" si="130"/>
        <v/>
      </c>
      <c r="H1684" t="str">
        <f>IF(A1684="","",IFERROR(_xlfn.XLOOKUP(D1684,Setup!$E$15:$E$79,Setup!$F$15:$F$79),"Miscellaneous"))</f>
        <v/>
      </c>
      <c r="I1684" t="str">
        <f>IF(A1684="","",IFERROR(_xlfn.XLOOKUP(D1684,Setup!$E$15:$E$79,Setup!$G$15:$G$79),"Uncategorized"))</f>
        <v/>
      </c>
      <c r="J1684" t="str">
        <f t="shared" si="131"/>
        <v/>
      </c>
      <c r="K1684" s="4" t="str">
        <f t="shared" si="132"/>
        <v/>
      </c>
      <c r="L1684" s="47">
        <f t="shared" si="133"/>
        <v>0</v>
      </c>
      <c r="M1684" s="47">
        <f t="shared" si="134"/>
        <v>0</v>
      </c>
      <c r="N1684" t="str">
        <f>IF(A1684="","",IF(D1684="Category Pending","Needs categorization",IF(COUNTIFS($A$2:A1684,A1684,$B$2:B1684,B1684,$E$2:E1684,E1684)&gt;1,"Possible duplicate","")))</f>
        <v/>
      </c>
    </row>
    <row r="1685" spans="3:14" x14ac:dyDescent="0.3">
      <c r="C1685" s="16"/>
      <c r="G1685" s="5" t="str">
        <f t="shared" si="130"/>
        <v/>
      </c>
      <c r="H1685" t="str">
        <f>IF(A1685="","",IFERROR(_xlfn.XLOOKUP(D1685,Setup!$E$15:$E$79,Setup!$F$15:$F$79),"Miscellaneous"))</f>
        <v/>
      </c>
      <c r="I1685" t="str">
        <f>IF(A1685="","",IFERROR(_xlfn.XLOOKUP(D1685,Setup!$E$15:$E$79,Setup!$G$15:$G$79),"Uncategorized"))</f>
        <v/>
      </c>
      <c r="J1685" t="str">
        <f t="shared" si="131"/>
        <v/>
      </c>
      <c r="K1685" s="4" t="str">
        <f t="shared" si="132"/>
        <v/>
      </c>
      <c r="L1685" s="47">
        <f t="shared" si="133"/>
        <v>0</v>
      </c>
      <c r="M1685" s="47">
        <f t="shared" si="134"/>
        <v>0</v>
      </c>
      <c r="N1685" t="str">
        <f>IF(A1685="","",IF(D1685="Category Pending","Needs categorization",IF(COUNTIFS($A$2:A1685,A1685,$B$2:B1685,B1685,$E$2:E1685,E1685)&gt;1,"Possible duplicate","")))</f>
        <v/>
      </c>
    </row>
    <row r="1686" spans="3:14" x14ac:dyDescent="0.3">
      <c r="C1686" s="16"/>
      <c r="G1686" s="5" t="str">
        <f t="shared" si="130"/>
        <v/>
      </c>
      <c r="H1686" t="str">
        <f>IF(A1686="","",IFERROR(_xlfn.XLOOKUP(D1686,Setup!$E$15:$E$79,Setup!$F$15:$F$79),"Miscellaneous"))</f>
        <v/>
      </c>
      <c r="I1686" t="str">
        <f>IF(A1686="","",IFERROR(_xlfn.XLOOKUP(D1686,Setup!$E$15:$E$79,Setup!$G$15:$G$79),"Uncategorized"))</f>
        <v/>
      </c>
      <c r="J1686" t="str">
        <f t="shared" si="131"/>
        <v/>
      </c>
      <c r="K1686" s="4" t="str">
        <f t="shared" si="132"/>
        <v/>
      </c>
      <c r="L1686" s="47">
        <f t="shared" si="133"/>
        <v>0</v>
      </c>
      <c r="M1686" s="47">
        <f t="shared" si="134"/>
        <v>0</v>
      </c>
      <c r="N1686" t="str">
        <f>IF(A1686="","",IF(D1686="Category Pending","Needs categorization",IF(COUNTIFS($A$2:A1686,A1686,$B$2:B1686,B1686,$E$2:E1686,E1686)&gt;1,"Possible duplicate","")))</f>
        <v/>
      </c>
    </row>
    <row r="1687" spans="3:14" x14ac:dyDescent="0.3">
      <c r="C1687" s="16"/>
      <c r="G1687" s="5" t="str">
        <f t="shared" si="130"/>
        <v/>
      </c>
      <c r="H1687" t="str">
        <f>IF(A1687="","",IFERROR(_xlfn.XLOOKUP(D1687,Setup!$E$15:$E$79,Setup!$F$15:$F$79),"Miscellaneous"))</f>
        <v/>
      </c>
      <c r="I1687" t="str">
        <f>IF(A1687="","",IFERROR(_xlfn.XLOOKUP(D1687,Setup!$E$15:$E$79,Setup!$G$15:$G$79),"Uncategorized"))</f>
        <v/>
      </c>
      <c r="J1687" t="str">
        <f t="shared" si="131"/>
        <v/>
      </c>
      <c r="K1687" s="4" t="str">
        <f t="shared" si="132"/>
        <v/>
      </c>
      <c r="L1687" s="47">
        <f t="shared" si="133"/>
        <v>0</v>
      </c>
      <c r="M1687" s="47">
        <f t="shared" si="134"/>
        <v>0</v>
      </c>
      <c r="N1687" t="str">
        <f>IF(A1687="","",IF(D1687="Category Pending","Needs categorization",IF(COUNTIFS($A$2:A1687,A1687,$B$2:B1687,B1687,$E$2:E1687,E1687)&gt;1,"Possible duplicate","")))</f>
        <v/>
      </c>
    </row>
    <row r="1688" spans="3:14" x14ac:dyDescent="0.3">
      <c r="C1688" s="16"/>
      <c r="G1688" s="5" t="str">
        <f t="shared" si="130"/>
        <v/>
      </c>
      <c r="H1688" t="str">
        <f>IF(A1688="","",IFERROR(_xlfn.XLOOKUP(D1688,Setup!$E$15:$E$79,Setup!$F$15:$F$79),"Miscellaneous"))</f>
        <v/>
      </c>
      <c r="I1688" t="str">
        <f>IF(A1688="","",IFERROR(_xlfn.XLOOKUP(D1688,Setup!$E$15:$E$79,Setup!$G$15:$G$79),"Uncategorized"))</f>
        <v/>
      </c>
      <c r="J1688" t="str">
        <f t="shared" si="131"/>
        <v/>
      </c>
      <c r="K1688" s="4" t="str">
        <f t="shared" si="132"/>
        <v/>
      </c>
      <c r="L1688" s="47">
        <f t="shared" si="133"/>
        <v>0</v>
      </c>
      <c r="M1688" s="47">
        <f t="shared" si="134"/>
        <v>0</v>
      </c>
      <c r="N1688" t="str">
        <f>IF(A1688="","",IF(D1688="Category Pending","Needs categorization",IF(COUNTIFS($A$2:A1688,A1688,$B$2:B1688,B1688,$E$2:E1688,E1688)&gt;1,"Possible duplicate","")))</f>
        <v/>
      </c>
    </row>
    <row r="1689" spans="3:14" x14ac:dyDescent="0.3">
      <c r="C1689" s="16"/>
      <c r="G1689" s="5" t="str">
        <f t="shared" si="130"/>
        <v/>
      </c>
      <c r="H1689" t="str">
        <f>IF(A1689="","",IFERROR(_xlfn.XLOOKUP(D1689,Setup!$E$15:$E$79,Setup!$F$15:$F$79),"Miscellaneous"))</f>
        <v/>
      </c>
      <c r="I1689" t="str">
        <f>IF(A1689="","",IFERROR(_xlfn.XLOOKUP(D1689,Setup!$E$15:$E$79,Setup!$G$15:$G$79),"Uncategorized"))</f>
        <v/>
      </c>
      <c r="J1689" t="str">
        <f t="shared" si="131"/>
        <v/>
      </c>
      <c r="K1689" s="4" t="str">
        <f t="shared" si="132"/>
        <v/>
      </c>
      <c r="L1689" s="47">
        <f t="shared" si="133"/>
        <v>0</v>
      </c>
      <c r="M1689" s="47">
        <f t="shared" si="134"/>
        <v>0</v>
      </c>
      <c r="N1689" t="str">
        <f>IF(A1689="","",IF(D1689="Category Pending","Needs categorization",IF(COUNTIFS($A$2:A1689,A1689,$B$2:B1689,B1689,$E$2:E1689,E1689)&gt;1,"Possible duplicate","")))</f>
        <v/>
      </c>
    </row>
    <row r="1690" spans="3:14" x14ac:dyDescent="0.3">
      <c r="C1690" s="16"/>
      <c r="G1690" s="5" t="str">
        <f t="shared" si="130"/>
        <v/>
      </c>
      <c r="H1690" t="str">
        <f>IF(A1690="","",IFERROR(_xlfn.XLOOKUP(D1690,Setup!$E$15:$E$79,Setup!$F$15:$F$79),"Miscellaneous"))</f>
        <v/>
      </c>
      <c r="I1690" t="str">
        <f>IF(A1690="","",IFERROR(_xlfn.XLOOKUP(D1690,Setup!$E$15:$E$79,Setup!$G$15:$G$79),"Uncategorized"))</f>
        <v/>
      </c>
      <c r="J1690" t="str">
        <f t="shared" si="131"/>
        <v/>
      </c>
      <c r="K1690" s="4" t="str">
        <f t="shared" si="132"/>
        <v/>
      </c>
      <c r="L1690" s="47">
        <f t="shared" si="133"/>
        <v>0</v>
      </c>
      <c r="M1690" s="47">
        <f t="shared" si="134"/>
        <v>0</v>
      </c>
      <c r="N1690" t="str">
        <f>IF(A1690="","",IF(D1690="Category Pending","Needs categorization",IF(COUNTIFS($A$2:A1690,A1690,$B$2:B1690,B1690,$E$2:E1690,E1690)&gt;1,"Possible duplicate","")))</f>
        <v/>
      </c>
    </row>
    <row r="1691" spans="3:14" x14ac:dyDescent="0.3">
      <c r="C1691" s="16"/>
      <c r="G1691" s="5" t="str">
        <f t="shared" si="130"/>
        <v/>
      </c>
      <c r="H1691" t="str">
        <f>IF(A1691="","",IFERROR(_xlfn.XLOOKUP(D1691,Setup!$E$15:$E$79,Setup!$F$15:$F$79),"Miscellaneous"))</f>
        <v/>
      </c>
      <c r="I1691" t="str">
        <f>IF(A1691="","",IFERROR(_xlfn.XLOOKUP(D1691,Setup!$E$15:$E$79,Setup!$G$15:$G$79),"Uncategorized"))</f>
        <v/>
      </c>
      <c r="J1691" t="str">
        <f t="shared" si="131"/>
        <v/>
      </c>
      <c r="K1691" s="4" t="str">
        <f t="shared" si="132"/>
        <v/>
      </c>
      <c r="L1691" s="47">
        <f t="shared" si="133"/>
        <v>0</v>
      </c>
      <c r="M1691" s="47">
        <f t="shared" si="134"/>
        <v>0</v>
      </c>
      <c r="N1691" t="str">
        <f>IF(A1691="","",IF(D1691="Category Pending","Needs categorization",IF(COUNTIFS($A$2:A1691,A1691,$B$2:B1691,B1691,$E$2:E1691,E1691)&gt;1,"Possible duplicate","")))</f>
        <v/>
      </c>
    </row>
    <row r="1692" spans="3:14" x14ac:dyDescent="0.3">
      <c r="C1692" s="16"/>
      <c r="G1692" s="5" t="str">
        <f t="shared" si="130"/>
        <v/>
      </c>
      <c r="H1692" t="str">
        <f>IF(A1692="","",IFERROR(_xlfn.XLOOKUP(D1692,Setup!$E$15:$E$79,Setup!$F$15:$F$79),"Miscellaneous"))</f>
        <v/>
      </c>
      <c r="I1692" t="str">
        <f>IF(A1692="","",IFERROR(_xlfn.XLOOKUP(D1692,Setup!$E$15:$E$79,Setup!$G$15:$G$79),"Uncategorized"))</f>
        <v/>
      </c>
      <c r="J1692" t="str">
        <f t="shared" si="131"/>
        <v/>
      </c>
      <c r="K1692" s="4" t="str">
        <f t="shared" si="132"/>
        <v/>
      </c>
      <c r="L1692" s="47">
        <f t="shared" si="133"/>
        <v>0</v>
      </c>
      <c r="M1692" s="47">
        <f t="shared" si="134"/>
        <v>0</v>
      </c>
      <c r="N1692" t="str">
        <f>IF(A1692="","",IF(D1692="Category Pending","Needs categorization",IF(COUNTIFS($A$2:A1692,A1692,$B$2:B1692,B1692,$E$2:E1692,E1692)&gt;1,"Possible duplicate","")))</f>
        <v/>
      </c>
    </row>
    <row r="1693" spans="3:14" x14ac:dyDescent="0.3">
      <c r="C1693" s="16"/>
      <c r="G1693" s="5" t="str">
        <f t="shared" si="130"/>
        <v/>
      </c>
      <c r="H1693" t="str">
        <f>IF(A1693="","",IFERROR(_xlfn.XLOOKUP(D1693,Setup!$E$15:$E$79,Setup!$F$15:$F$79),"Miscellaneous"))</f>
        <v/>
      </c>
      <c r="I1693" t="str">
        <f>IF(A1693="","",IFERROR(_xlfn.XLOOKUP(D1693,Setup!$E$15:$E$79,Setup!$G$15:$G$79),"Uncategorized"))</f>
        <v/>
      </c>
      <c r="J1693" t="str">
        <f t="shared" si="131"/>
        <v/>
      </c>
      <c r="K1693" s="4" t="str">
        <f t="shared" si="132"/>
        <v/>
      </c>
      <c r="L1693" s="47">
        <f t="shared" si="133"/>
        <v>0</v>
      </c>
      <c r="M1693" s="47">
        <f t="shared" si="134"/>
        <v>0</v>
      </c>
      <c r="N1693" t="str">
        <f>IF(A1693="","",IF(D1693="Category Pending","Needs categorization",IF(COUNTIFS($A$2:A1693,A1693,$B$2:B1693,B1693,$E$2:E1693,E1693)&gt;1,"Possible duplicate","")))</f>
        <v/>
      </c>
    </row>
    <row r="1694" spans="3:14" x14ac:dyDescent="0.3">
      <c r="C1694" s="16"/>
      <c r="G1694" s="5" t="str">
        <f t="shared" si="130"/>
        <v/>
      </c>
      <c r="H1694" t="str">
        <f>IF(A1694="","",IFERROR(_xlfn.XLOOKUP(D1694,Setup!$E$15:$E$79,Setup!$F$15:$F$79),"Miscellaneous"))</f>
        <v/>
      </c>
      <c r="I1694" t="str">
        <f>IF(A1694="","",IFERROR(_xlfn.XLOOKUP(D1694,Setup!$E$15:$E$79,Setup!$G$15:$G$79),"Uncategorized"))</f>
        <v/>
      </c>
      <c r="J1694" t="str">
        <f t="shared" si="131"/>
        <v/>
      </c>
      <c r="K1694" s="4" t="str">
        <f t="shared" si="132"/>
        <v/>
      </c>
      <c r="L1694" s="47">
        <f t="shared" si="133"/>
        <v>0</v>
      </c>
      <c r="M1694" s="47">
        <f t="shared" si="134"/>
        <v>0</v>
      </c>
      <c r="N1694" t="str">
        <f>IF(A1694="","",IF(D1694="Category Pending","Needs categorization",IF(COUNTIFS($A$2:A1694,A1694,$B$2:B1694,B1694,$E$2:E1694,E1694)&gt;1,"Possible duplicate","")))</f>
        <v/>
      </c>
    </row>
    <row r="1695" spans="3:14" x14ac:dyDescent="0.3">
      <c r="C1695" s="16"/>
      <c r="G1695" s="5" t="str">
        <f t="shared" si="130"/>
        <v/>
      </c>
      <c r="H1695" t="str">
        <f>IF(A1695="","",IFERROR(_xlfn.XLOOKUP(D1695,Setup!$E$15:$E$79,Setup!$F$15:$F$79),"Miscellaneous"))</f>
        <v/>
      </c>
      <c r="I1695" t="str">
        <f>IF(A1695="","",IFERROR(_xlfn.XLOOKUP(D1695,Setup!$E$15:$E$79,Setup!$G$15:$G$79),"Uncategorized"))</f>
        <v/>
      </c>
      <c r="J1695" t="str">
        <f t="shared" si="131"/>
        <v/>
      </c>
      <c r="K1695" s="4" t="str">
        <f t="shared" si="132"/>
        <v/>
      </c>
      <c r="L1695" s="47">
        <f t="shared" si="133"/>
        <v>0</v>
      </c>
      <c r="M1695" s="47">
        <f t="shared" si="134"/>
        <v>0</v>
      </c>
      <c r="N1695" t="str">
        <f>IF(A1695="","",IF(D1695="Category Pending","Needs categorization",IF(COUNTIFS($A$2:A1695,A1695,$B$2:B1695,B1695,$E$2:E1695,E1695)&gt;1,"Possible duplicate","")))</f>
        <v/>
      </c>
    </row>
    <row r="1696" spans="3:14" x14ac:dyDescent="0.3">
      <c r="C1696" s="16"/>
      <c r="G1696" s="5" t="str">
        <f t="shared" si="130"/>
        <v/>
      </c>
      <c r="H1696" t="str">
        <f>IF(A1696="","",IFERROR(_xlfn.XLOOKUP(D1696,Setup!$E$15:$E$79,Setup!$F$15:$F$79),"Miscellaneous"))</f>
        <v/>
      </c>
      <c r="I1696" t="str">
        <f>IF(A1696="","",IFERROR(_xlfn.XLOOKUP(D1696,Setup!$E$15:$E$79,Setup!$G$15:$G$79),"Uncategorized"))</f>
        <v/>
      </c>
      <c r="J1696" t="str">
        <f t="shared" si="131"/>
        <v/>
      </c>
      <c r="K1696" s="4" t="str">
        <f t="shared" si="132"/>
        <v/>
      </c>
      <c r="L1696" s="47">
        <f t="shared" si="133"/>
        <v>0</v>
      </c>
      <c r="M1696" s="47">
        <f t="shared" si="134"/>
        <v>0</v>
      </c>
      <c r="N1696" t="str">
        <f>IF(A1696="","",IF(D1696="Category Pending","Needs categorization",IF(COUNTIFS($A$2:A1696,A1696,$B$2:B1696,B1696,$E$2:E1696,E1696)&gt;1,"Possible duplicate","")))</f>
        <v/>
      </c>
    </row>
    <row r="1697" spans="3:14" x14ac:dyDescent="0.3">
      <c r="C1697" s="16"/>
      <c r="G1697" s="5" t="str">
        <f t="shared" ref="G1697:G1760" si="135">IF(A1697="","","Checking")</f>
        <v/>
      </c>
      <c r="H1697" t="str">
        <f>IF(A1697="","",IFERROR(_xlfn.XLOOKUP(D1697,Setup!$E$15:$E$79,Setup!$F$15:$F$79),"Miscellaneous"))</f>
        <v/>
      </c>
      <c r="I1697" t="str">
        <f>IF(A1697="","",IFERROR(_xlfn.XLOOKUP(D1697,Setup!$E$15:$E$79,Setup!$G$15:$G$79),"Uncategorized"))</f>
        <v/>
      </c>
      <c r="J1697" t="str">
        <f t="shared" ref="J1697:J1760" si="136">IF(A1697="","",IF(OR(H1697="Transfers",H1697="Income",D1697="Transfer",D1697="Category Pending"),"No","Yes"))</f>
        <v/>
      </c>
      <c r="K1697" s="4" t="str">
        <f t="shared" ref="K1697:K1760" si="137">IF(A1697="","",IF(A1697&gt;=46232,TEXT(DATE(YEAR(A1697),MONTH(A1697)+1,1),"mmmm yyyy"),TEXT(DATE(YEAR(A1697),MONTH(A1697),1),"mmmm yyyy")))</f>
        <v/>
      </c>
      <c r="L1697" s="47">
        <f t="shared" ref="L1697:L1760" si="138">IF(AND(J1697="Yes",E1697&lt;0),-E1697,0)</f>
        <v>0</v>
      </c>
      <c r="M1697" s="47">
        <f t="shared" ref="M1697:M1760" si="139">IF(AND(J1697="Yes",E1697&gt;0),E1697,0)</f>
        <v>0</v>
      </c>
      <c r="N1697" t="str">
        <f>IF(A1697="","",IF(D1697="Category Pending","Needs categorization",IF(COUNTIFS($A$2:A1697,A1697,$B$2:B1697,B1697,$E$2:E1697,E1697)&gt;1,"Possible duplicate","")))</f>
        <v/>
      </c>
    </row>
    <row r="1698" spans="3:14" x14ac:dyDescent="0.3">
      <c r="C1698" s="16"/>
      <c r="G1698" s="5" t="str">
        <f t="shared" si="135"/>
        <v/>
      </c>
      <c r="H1698" t="str">
        <f>IF(A1698="","",IFERROR(_xlfn.XLOOKUP(D1698,Setup!$E$15:$E$79,Setup!$F$15:$F$79),"Miscellaneous"))</f>
        <v/>
      </c>
      <c r="I1698" t="str">
        <f>IF(A1698="","",IFERROR(_xlfn.XLOOKUP(D1698,Setup!$E$15:$E$79,Setup!$G$15:$G$79),"Uncategorized"))</f>
        <v/>
      </c>
      <c r="J1698" t="str">
        <f t="shared" si="136"/>
        <v/>
      </c>
      <c r="K1698" s="4" t="str">
        <f t="shared" si="137"/>
        <v/>
      </c>
      <c r="L1698" s="47">
        <f t="shared" si="138"/>
        <v>0</v>
      </c>
      <c r="M1698" s="47">
        <f t="shared" si="139"/>
        <v>0</v>
      </c>
      <c r="N1698" t="str">
        <f>IF(A1698="","",IF(D1698="Category Pending","Needs categorization",IF(COUNTIFS($A$2:A1698,A1698,$B$2:B1698,B1698,$E$2:E1698,E1698)&gt;1,"Possible duplicate","")))</f>
        <v/>
      </c>
    </row>
    <row r="1699" spans="3:14" x14ac:dyDescent="0.3">
      <c r="C1699" s="16"/>
      <c r="G1699" s="5" t="str">
        <f t="shared" si="135"/>
        <v/>
      </c>
      <c r="H1699" t="str">
        <f>IF(A1699="","",IFERROR(_xlfn.XLOOKUP(D1699,Setup!$E$15:$E$79,Setup!$F$15:$F$79),"Miscellaneous"))</f>
        <v/>
      </c>
      <c r="I1699" t="str">
        <f>IF(A1699="","",IFERROR(_xlfn.XLOOKUP(D1699,Setup!$E$15:$E$79,Setup!$G$15:$G$79),"Uncategorized"))</f>
        <v/>
      </c>
      <c r="J1699" t="str">
        <f t="shared" si="136"/>
        <v/>
      </c>
      <c r="K1699" s="4" t="str">
        <f t="shared" si="137"/>
        <v/>
      </c>
      <c r="L1699" s="47">
        <f t="shared" si="138"/>
        <v>0</v>
      </c>
      <c r="M1699" s="47">
        <f t="shared" si="139"/>
        <v>0</v>
      </c>
      <c r="N1699" t="str">
        <f>IF(A1699="","",IF(D1699="Category Pending","Needs categorization",IF(COUNTIFS($A$2:A1699,A1699,$B$2:B1699,B1699,$E$2:E1699,E1699)&gt;1,"Possible duplicate","")))</f>
        <v/>
      </c>
    </row>
    <row r="1700" spans="3:14" x14ac:dyDescent="0.3">
      <c r="C1700" s="16"/>
      <c r="G1700" s="5" t="str">
        <f t="shared" si="135"/>
        <v/>
      </c>
      <c r="H1700" t="str">
        <f>IF(A1700="","",IFERROR(_xlfn.XLOOKUP(D1700,Setup!$E$15:$E$79,Setup!$F$15:$F$79),"Miscellaneous"))</f>
        <v/>
      </c>
      <c r="I1700" t="str">
        <f>IF(A1700="","",IFERROR(_xlfn.XLOOKUP(D1700,Setup!$E$15:$E$79,Setup!$G$15:$G$79),"Uncategorized"))</f>
        <v/>
      </c>
      <c r="J1700" t="str">
        <f t="shared" si="136"/>
        <v/>
      </c>
      <c r="K1700" s="4" t="str">
        <f t="shared" si="137"/>
        <v/>
      </c>
      <c r="L1700" s="47">
        <f t="shared" si="138"/>
        <v>0</v>
      </c>
      <c r="M1700" s="47">
        <f t="shared" si="139"/>
        <v>0</v>
      </c>
      <c r="N1700" t="str">
        <f>IF(A1700="","",IF(D1700="Category Pending","Needs categorization",IF(COUNTIFS($A$2:A1700,A1700,$B$2:B1700,B1700,$E$2:E1700,E1700)&gt;1,"Possible duplicate","")))</f>
        <v/>
      </c>
    </row>
    <row r="1701" spans="3:14" x14ac:dyDescent="0.3">
      <c r="C1701" s="16"/>
      <c r="G1701" s="5" t="str">
        <f t="shared" si="135"/>
        <v/>
      </c>
      <c r="H1701" t="str">
        <f>IF(A1701="","",IFERROR(_xlfn.XLOOKUP(D1701,Setup!$E$15:$E$79,Setup!$F$15:$F$79),"Miscellaneous"))</f>
        <v/>
      </c>
      <c r="I1701" t="str">
        <f>IF(A1701="","",IFERROR(_xlfn.XLOOKUP(D1701,Setup!$E$15:$E$79,Setup!$G$15:$G$79),"Uncategorized"))</f>
        <v/>
      </c>
      <c r="J1701" t="str">
        <f t="shared" si="136"/>
        <v/>
      </c>
      <c r="K1701" s="4" t="str">
        <f t="shared" si="137"/>
        <v/>
      </c>
      <c r="L1701" s="47">
        <f t="shared" si="138"/>
        <v>0</v>
      </c>
      <c r="M1701" s="47">
        <f t="shared" si="139"/>
        <v>0</v>
      </c>
      <c r="N1701" t="str">
        <f>IF(A1701="","",IF(D1701="Category Pending","Needs categorization",IF(COUNTIFS($A$2:A1701,A1701,$B$2:B1701,B1701,$E$2:E1701,E1701)&gt;1,"Possible duplicate","")))</f>
        <v/>
      </c>
    </row>
    <row r="1702" spans="3:14" x14ac:dyDescent="0.3">
      <c r="C1702" s="16"/>
      <c r="G1702" s="5" t="str">
        <f t="shared" si="135"/>
        <v/>
      </c>
      <c r="H1702" t="str">
        <f>IF(A1702="","",IFERROR(_xlfn.XLOOKUP(D1702,Setup!$E$15:$E$79,Setup!$F$15:$F$79),"Miscellaneous"))</f>
        <v/>
      </c>
      <c r="I1702" t="str">
        <f>IF(A1702="","",IFERROR(_xlfn.XLOOKUP(D1702,Setup!$E$15:$E$79,Setup!$G$15:$G$79),"Uncategorized"))</f>
        <v/>
      </c>
      <c r="J1702" t="str">
        <f t="shared" si="136"/>
        <v/>
      </c>
      <c r="K1702" s="4" t="str">
        <f t="shared" si="137"/>
        <v/>
      </c>
      <c r="L1702" s="47">
        <f t="shared" si="138"/>
        <v>0</v>
      </c>
      <c r="M1702" s="47">
        <f t="shared" si="139"/>
        <v>0</v>
      </c>
      <c r="N1702" t="str">
        <f>IF(A1702="","",IF(D1702="Category Pending","Needs categorization",IF(COUNTIFS($A$2:A1702,A1702,$B$2:B1702,B1702,$E$2:E1702,E1702)&gt;1,"Possible duplicate","")))</f>
        <v/>
      </c>
    </row>
    <row r="1703" spans="3:14" x14ac:dyDescent="0.3">
      <c r="C1703" s="16"/>
      <c r="G1703" s="5" t="str">
        <f t="shared" si="135"/>
        <v/>
      </c>
      <c r="H1703" t="str">
        <f>IF(A1703="","",IFERROR(_xlfn.XLOOKUP(D1703,Setup!$E$15:$E$79,Setup!$F$15:$F$79),"Miscellaneous"))</f>
        <v/>
      </c>
      <c r="I1703" t="str">
        <f>IF(A1703="","",IFERROR(_xlfn.XLOOKUP(D1703,Setup!$E$15:$E$79,Setup!$G$15:$G$79),"Uncategorized"))</f>
        <v/>
      </c>
      <c r="J1703" t="str">
        <f t="shared" si="136"/>
        <v/>
      </c>
      <c r="K1703" s="4" t="str">
        <f t="shared" si="137"/>
        <v/>
      </c>
      <c r="L1703" s="47">
        <f t="shared" si="138"/>
        <v>0</v>
      </c>
      <c r="M1703" s="47">
        <f t="shared" si="139"/>
        <v>0</v>
      </c>
      <c r="N1703" t="str">
        <f>IF(A1703="","",IF(D1703="Category Pending","Needs categorization",IF(COUNTIFS($A$2:A1703,A1703,$B$2:B1703,B1703,$E$2:E1703,E1703)&gt;1,"Possible duplicate","")))</f>
        <v/>
      </c>
    </row>
    <row r="1704" spans="3:14" x14ac:dyDescent="0.3">
      <c r="C1704" s="16"/>
      <c r="G1704" s="5" t="str">
        <f t="shared" si="135"/>
        <v/>
      </c>
      <c r="H1704" t="str">
        <f>IF(A1704="","",IFERROR(_xlfn.XLOOKUP(D1704,Setup!$E$15:$E$79,Setup!$F$15:$F$79),"Miscellaneous"))</f>
        <v/>
      </c>
      <c r="I1704" t="str">
        <f>IF(A1704="","",IFERROR(_xlfn.XLOOKUP(D1704,Setup!$E$15:$E$79,Setup!$G$15:$G$79),"Uncategorized"))</f>
        <v/>
      </c>
      <c r="J1704" t="str">
        <f t="shared" si="136"/>
        <v/>
      </c>
      <c r="K1704" s="4" t="str">
        <f t="shared" si="137"/>
        <v/>
      </c>
      <c r="L1704" s="47">
        <f t="shared" si="138"/>
        <v>0</v>
      </c>
      <c r="M1704" s="47">
        <f t="shared" si="139"/>
        <v>0</v>
      </c>
      <c r="N1704" t="str">
        <f>IF(A1704="","",IF(D1704="Category Pending","Needs categorization",IF(COUNTIFS($A$2:A1704,A1704,$B$2:B1704,B1704,$E$2:E1704,E1704)&gt;1,"Possible duplicate","")))</f>
        <v/>
      </c>
    </row>
    <row r="1705" spans="3:14" x14ac:dyDescent="0.3">
      <c r="C1705" s="16"/>
      <c r="G1705" s="5" t="str">
        <f t="shared" si="135"/>
        <v/>
      </c>
      <c r="H1705" t="str">
        <f>IF(A1705="","",IFERROR(_xlfn.XLOOKUP(D1705,Setup!$E$15:$E$79,Setup!$F$15:$F$79),"Miscellaneous"))</f>
        <v/>
      </c>
      <c r="I1705" t="str">
        <f>IF(A1705="","",IFERROR(_xlfn.XLOOKUP(D1705,Setup!$E$15:$E$79,Setup!$G$15:$G$79),"Uncategorized"))</f>
        <v/>
      </c>
      <c r="J1705" t="str">
        <f t="shared" si="136"/>
        <v/>
      </c>
      <c r="K1705" s="4" t="str">
        <f t="shared" si="137"/>
        <v/>
      </c>
      <c r="L1705" s="47">
        <f t="shared" si="138"/>
        <v>0</v>
      </c>
      <c r="M1705" s="47">
        <f t="shared" si="139"/>
        <v>0</v>
      </c>
      <c r="N1705" t="str">
        <f>IF(A1705="","",IF(D1705="Category Pending","Needs categorization",IF(COUNTIFS($A$2:A1705,A1705,$B$2:B1705,B1705,$E$2:E1705,E1705)&gt;1,"Possible duplicate","")))</f>
        <v/>
      </c>
    </row>
    <row r="1706" spans="3:14" x14ac:dyDescent="0.3">
      <c r="C1706" s="16"/>
      <c r="G1706" s="5" t="str">
        <f t="shared" si="135"/>
        <v/>
      </c>
      <c r="H1706" t="str">
        <f>IF(A1706="","",IFERROR(_xlfn.XLOOKUP(D1706,Setup!$E$15:$E$79,Setup!$F$15:$F$79),"Miscellaneous"))</f>
        <v/>
      </c>
      <c r="I1706" t="str">
        <f>IF(A1706="","",IFERROR(_xlfn.XLOOKUP(D1706,Setup!$E$15:$E$79,Setup!$G$15:$G$79),"Uncategorized"))</f>
        <v/>
      </c>
      <c r="J1706" t="str">
        <f t="shared" si="136"/>
        <v/>
      </c>
      <c r="K1706" s="4" t="str">
        <f t="shared" si="137"/>
        <v/>
      </c>
      <c r="L1706" s="47">
        <f t="shared" si="138"/>
        <v>0</v>
      </c>
      <c r="M1706" s="47">
        <f t="shared" si="139"/>
        <v>0</v>
      </c>
      <c r="N1706" t="str">
        <f>IF(A1706="","",IF(D1706="Category Pending","Needs categorization",IF(COUNTIFS($A$2:A1706,A1706,$B$2:B1706,B1706,$E$2:E1706,E1706)&gt;1,"Possible duplicate","")))</f>
        <v/>
      </c>
    </row>
    <row r="1707" spans="3:14" x14ac:dyDescent="0.3">
      <c r="C1707" s="16"/>
      <c r="G1707" s="5" t="str">
        <f t="shared" si="135"/>
        <v/>
      </c>
      <c r="H1707" t="str">
        <f>IF(A1707="","",IFERROR(_xlfn.XLOOKUP(D1707,Setup!$E$15:$E$79,Setup!$F$15:$F$79),"Miscellaneous"))</f>
        <v/>
      </c>
      <c r="I1707" t="str">
        <f>IF(A1707="","",IFERROR(_xlfn.XLOOKUP(D1707,Setup!$E$15:$E$79,Setup!$G$15:$G$79),"Uncategorized"))</f>
        <v/>
      </c>
      <c r="J1707" t="str">
        <f t="shared" si="136"/>
        <v/>
      </c>
      <c r="K1707" s="4" t="str">
        <f t="shared" si="137"/>
        <v/>
      </c>
      <c r="L1707" s="47">
        <f t="shared" si="138"/>
        <v>0</v>
      </c>
      <c r="M1707" s="47">
        <f t="shared" si="139"/>
        <v>0</v>
      </c>
      <c r="N1707" t="str">
        <f>IF(A1707="","",IF(D1707="Category Pending","Needs categorization",IF(COUNTIFS($A$2:A1707,A1707,$B$2:B1707,B1707,$E$2:E1707,E1707)&gt;1,"Possible duplicate","")))</f>
        <v/>
      </c>
    </row>
    <row r="1708" spans="3:14" x14ac:dyDescent="0.3">
      <c r="C1708" s="16"/>
      <c r="G1708" s="5" t="str">
        <f t="shared" si="135"/>
        <v/>
      </c>
      <c r="H1708" t="str">
        <f>IF(A1708="","",IFERROR(_xlfn.XLOOKUP(D1708,Setup!$E$15:$E$79,Setup!$F$15:$F$79),"Miscellaneous"))</f>
        <v/>
      </c>
      <c r="I1708" t="str">
        <f>IF(A1708="","",IFERROR(_xlfn.XLOOKUP(D1708,Setup!$E$15:$E$79,Setup!$G$15:$G$79),"Uncategorized"))</f>
        <v/>
      </c>
      <c r="J1708" t="str">
        <f t="shared" si="136"/>
        <v/>
      </c>
      <c r="K1708" s="4" t="str">
        <f t="shared" si="137"/>
        <v/>
      </c>
      <c r="L1708" s="47">
        <f t="shared" si="138"/>
        <v>0</v>
      </c>
      <c r="M1708" s="47">
        <f t="shared" si="139"/>
        <v>0</v>
      </c>
      <c r="N1708" t="str">
        <f>IF(A1708="","",IF(D1708="Category Pending","Needs categorization",IF(COUNTIFS($A$2:A1708,A1708,$B$2:B1708,B1708,$E$2:E1708,E1708)&gt;1,"Possible duplicate","")))</f>
        <v/>
      </c>
    </row>
    <row r="1709" spans="3:14" x14ac:dyDescent="0.3">
      <c r="C1709" s="16"/>
      <c r="G1709" s="5" t="str">
        <f t="shared" si="135"/>
        <v/>
      </c>
      <c r="H1709" t="str">
        <f>IF(A1709="","",IFERROR(_xlfn.XLOOKUP(D1709,Setup!$E$15:$E$79,Setup!$F$15:$F$79),"Miscellaneous"))</f>
        <v/>
      </c>
      <c r="I1709" t="str">
        <f>IF(A1709="","",IFERROR(_xlfn.XLOOKUP(D1709,Setup!$E$15:$E$79,Setup!$G$15:$G$79),"Uncategorized"))</f>
        <v/>
      </c>
      <c r="J1709" t="str">
        <f t="shared" si="136"/>
        <v/>
      </c>
      <c r="K1709" s="4" t="str">
        <f t="shared" si="137"/>
        <v/>
      </c>
      <c r="L1709" s="47">
        <f t="shared" si="138"/>
        <v>0</v>
      </c>
      <c r="M1709" s="47">
        <f t="shared" si="139"/>
        <v>0</v>
      </c>
      <c r="N1709" t="str">
        <f>IF(A1709="","",IF(D1709="Category Pending","Needs categorization",IF(COUNTIFS($A$2:A1709,A1709,$B$2:B1709,B1709,$E$2:E1709,E1709)&gt;1,"Possible duplicate","")))</f>
        <v/>
      </c>
    </row>
    <row r="1710" spans="3:14" x14ac:dyDescent="0.3">
      <c r="C1710" s="16"/>
      <c r="G1710" s="5" t="str">
        <f t="shared" si="135"/>
        <v/>
      </c>
      <c r="H1710" t="str">
        <f>IF(A1710="","",IFERROR(_xlfn.XLOOKUP(D1710,Setup!$E$15:$E$79,Setup!$F$15:$F$79),"Miscellaneous"))</f>
        <v/>
      </c>
      <c r="I1710" t="str">
        <f>IF(A1710="","",IFERROR(_xlfn.XLOOKUP(D1710,Setup!$E$15:$E$79,Setup!$G$15:$G$79),"Uncategorized"))</f>
        <v/>
      </c>
      <c r="J1710" t="str">
        <f t="shared" si="136"/>
        <v/>
      </c>
      <c r="K1710" s="4" t="str">
        <f t="shared" si="137"/>
        <v/>
      </c>
      <c r="L1710" s="47">
        <f t="shared" si="138"/>
        <v>0</v>
      </c>
      <c r="M1710" s="47">
        <f t="shared" si="139"/>
        <v>0</v>
      </c>
      <c r="N1710" t="str">
        <f>IF(A1710="","",IF(D1710="Category Pending","Needs categorization",IF(COUNTIFS($A$2:A1710,A1710,$B$2:B1710,B1710,$E$2:E1710,E1710)&gt;1,"Possible duplicate","")))</f>
        <v/>
      </c>
    </row>
    <row r="1711" spans="3:14" x14ac:dyDescent="0.3">
      <c r="C1711" s="16"/>
      <c r="G1711" s="5" t="str">
        <f t="shared" si="135"/>
        <v/>
      </c>
      <c r="H1711" t="str">
        <f>IF(A1711="","",IFERROR(_xlfn.XLOOKUP(D1711,Setup!$E$15:$E$79,Setup!$F$15:$F$79),"Miscellaneous"))</f>
        <v/>
      </c>
      <c r="I1711" t="str">
        <f>IF(A1711="","",IFERROR(_xlfn.XLOOKUP(D1711,Setup!$E$15:$E$79,Setup!$G$15:$G$79),"Uncategorized"))</f>
        <v/>
      </c>
      <c r="J1711" t="str">
        <f t="shared" si="136"/>
        <v/>
      </c>
      <c r="K1711" s="4" t="str">
        <f t="shared" si="137"/>
        <v/>
      </c>
      <c r="L1711" s="47">
        <f t="shared" si="138"/>
        <v>0</v>
      </c>
      <c r="M1711" s="47">
        <f t="shared" si="139"/>
        <v>0</v>
      </c>
      <c r="N1711" t="str">
        <f>IF(A1711="","",IF(D1711="Category Pending","Needs categorization",IF(COUNTIFS($A$2:A1711,A1711,$B$2:B1711,B1711,$E$2:E1711,E1711)&gt;1,"Possible duplicate","")))</f>
        <v/>
      </c>
    </row>
    <row r="1712" spans="3:14" x14ac:dyDescent="0.3">
      <c r="C1712" s="16"/>
      <c r="G1712" s="5" t="str">
        <f t="shared" si="135"/>
        <v/>
      </c>
      <c r="H1712" t="str">
        <f>IF(A1712="","",IFERROR(_xlfn.XLOOKUP(D1712,Setup!$E$15:$E$79,Setup!$F$15:$F$79),"Miscellaneous"))</f>
        <v/>
      </c>
      <c r="I1712" t="str">
        <f>IF(A1712="","",IFERROR(_xlfn.XLOOKUP(D1712,Setup!$E$15:$E$79,Setup!$G$15:$G$79),"Uncategorized"))</f>
        <v/>
      </c>
      <c r="J1712" t="str">
        <f t="shared" si="136"/>
        <v/>
      </c>
      <c r="K1712" s="4" t="str">
        <f t="shared" si="137"/>
        <v/>
      </c>
      <c r="L1712" s="47">
        <f t="shared" si="138"/>
        <v>0</v>
      </c>
      <c r="M1712" s="47">
        <f t="shared" si="139"/>
        <v>0</v>
      </c>
      <c r="N1712" t="str">
        <f>IF(A1712="","",IF(D1712="Category Pending","Needs categorization",IF(COUNTIFS($A$2:A1712,A1712,$B$2:B1712,B1712,$E$2:E1712,E1712)&gt;1,"Possible duplicate","")))</f>
        <v/>
      </c>
    </row>
    <row r="1713" spans="3:14" x14ac:dyDescent="0.3">
      <c r="C1713" s="16"/>
      <c r="G1713" s="5" t="str">
        <f t="shared" si="135"/>
        <v/>
      </c>
      <c r="H1713" t="str">
        <f>IF(A1713="","",IFERROR(_xlfn.XLOOKUP(D1713,Setup!$E$15:$E$79,Setup!$F$15:$F$79),"Miscellaneous"))</f>
        <v/>
      </c>
      <c r="I1713" t="str">
        <f>IF(A1713="","",IFERROR(_xlfn.XLOOKUP(D1713,Setup!$E$15:$E$79,Setup!$G$15:$G$79),"Uncategorized"))</f>
        <v/>
      </c>
      <c r="J1713" t="str">
        <f t="shared" si="136"/>
        <v/>
      </c>
      <c r="K1713" s="4" t="str">
        <f t="shared" si="137"/>
        <v/>
      </c>
      <c r="L1713" s="47">
        <f t="shared" si="138"/>
        <v>0</v>
      </c>
      <c r="M1713" s="47">
        <f t="shared" si="139"/>
        <v>0</v>
      </c>
      <c r="N1713" t="str">
        <f>IF(A1713="","",IF(D1713="Category Pending","Needs categorization",IF(COUNTIFS($A$2:A1713,A1713,$B$2:B1713,B1713,$E$2:E1713,E1713)&gt;1,"Possible duplicate","")))</f>
        <v/>
      </c>
    </row>
    <row r="1714" spans="3:14" x14ac:dyDescent="0.3">
      <c r="C1714" s="16"/>
      <c r="G1714" s="5" t="str">
        <f t="shared" si="135"/>
        <v/>
      </c>
      <c r="H1714" t="str">
        <f>IF(A1714="","",IFERROR(_xlfn.XLOOKUP(D1714,Setup!$E$15:$E$79,Setup!$F$15:$F$79),"Miscellaneous"))</f>
        <v/>
      </c>
      <c r="I1714" t="str">
        <f>IF(A1714="","",IFERROR(_xlfn.XLOOKUP(D1714,Setup!$E$15:$E$79,Setup!$G$15:$G$79),"Uncategorized"))</f>
        <v/>
      </c>
      <c r="J1714" t="str">
        <f t="shared" si="136"/>
        <v/>
      </c>
      <c r="K1714" s="4" t="str">
        <f t="shared" si="137"/>
        <v/>
      </c>
      <c r="L1714" s="47">
        <f t="shared" si="138"/>
        <v>0</v>
      </c>
      <c r="M1714" s="47">
        <f t="shared" si="139"/>
        <v>0</v>
      </c>
      <c r="N1714" t="str">
        <f>IF(A1714="","",IF(D1714="Category Pending","Needs categorization",IF(COUNTIFS($A$2:A1714,A1714,$B$2:B1714,B1714,$E$2:E1714,E1714)&gt;1,"Possible duplicate","")))</f>
        <v/>
      </c>
    </row>
    <row r="1715" spans="3:14" x14ac:dyDescent="0.3">
      <c r="C1715" s="16"/>
      <c r="G1715" s="5" t="str">
        <f t="shared" si="135"/>
        <v/>
      </c>
      <c r="H1715" t="str">
        <f>IF(A1715="","",IFERROR(_xlfn.XLOOKUP(D1715,Setup!$E$15:$E$79,Setup!$F$15:$F$79),"Miscellaneous"))</f>
        <v/>
      </c>
      <c r="I1715" t="str">
        <f>IF(A1715="","",IFERROR(_xlfn.XLOOKUP(D1715,Setup!$E$15:$E$79,Setup!$G$15:$G$79),"Uncategorized"))</f>
        <v/>
      </c>
      <c r="J1715" t="str">
        <f t="shared" si="136"/>
        <v/>
      </c>
      <c r="K1715" s="4" t="str">
        <f t="shared" si="137"/>
        <v/>
      </c>
      <c r="L1715" s="47">
        <f t="shared" si="138"/>
        <v>0</v>
      </c>
      <c r="M1715" s="47">
        <f t="shared" si="139"/>
        <v>0</v>
      </c>
      <c r="N1715" t="str">
        <f>IF(A1715="","",IF(D1715="Category Pending","Needs categorization",IF(COUNTIFS($A$2:A1715,A1715,$B$2:B1715,B1715,$E$2:E1715,E1715)&gt;1,"Possible duplicate","")))</f>
        <v/>
      </c>
    </row>
    <row r="1716" spans="3:14" x14ac:dyDescent="0.3">
      <c r="C1716" s="16"/>
      <c r="G1716" s="5" t="str">
        <f t="shared" si="135"/>
        <v/>
      </c>
      <c r="H1716" t="str">
        <f>IF(A1716="","",IFERROR(_xlfn.XLOOKUP(D1716,Setup!$E$15:$E$79,Setup!$F$15:$F$79),"Miscellaneous"))</f>
        <v/>
      </c>
      <c r="I1716" t="str">
        <f>IF(A1716="","",IFERROR(_xlfn.XLOOKUP(D1716,Setup!$E$15:$E$79,Setup!$G$15:$G$79),"Uncategorized"))</f>
        <v/>
      </c>
      <c r="J1716" t="str">
        <f t="shared" si="136"/>
        <v/>
      </c>
      <c r="K1716" s="4" t="str">
        <f t="shared" si="137"/>
        <v/>
      </c>
      <c r="L1716" s="47">
        <f t="shared" si="138"/>
        <v>0</v>
      </c>
      <c r="M1716" s="47">
        <f t="shared" si="139"/>
        <v>0</v>
      </c>
      <c r="N1716" t="str">
        <f>IF(A1716="","",IF(D1716="Category Pending","Needs categorization",IF(COUNTIFS($A$2:A1716,A1716,$B$2:B1716,B1716,$E$2:E1716,E1716)&gt;1,"Possible duplicate","")))</f>
        <v/>
      </c>
    </row>
    <row r="1717" spans="3:14" x14ac:dyDescent="0.3">
      <c r="C1717" s="16"/>
      <c r="G1717" s="5" t="str">
        <f t="shared" si="135"/>
        <v/>
      </c>
      <c r="H1717" t="str">
        <f>IF(A1717="","",IFERROR(_xlfn.XLOOKUP(D1717,Setup!$E$15:$E$79,Setup!$F$15:$F$79),"Miscellaneous"))</f>
        <v/>
      </c>
      <c r="I1717" t="str">
        <f>IF(A1717="","",IFERROR(_xlfn.XLOOKUP(D1717,Setup!$E$15:$E$79,Setup!$G$15:$G$79),"Uncategorized"))</f>
        <v/>
      </c>
      <c r="J1717" t="str">
        <f t="shared" si="136"/>
        <v/>
      </c>
      <c r="K1717" s="4" t="str">
        <f t="shared" si="137"/>
        <v/>
      </c>
      <c r="L1717" s="47">
        <f t="shared" si="138"/>
        <v>0</v>
      </c>
      <c r="M1717" s="47">
        <f t="shared" si="139"/>
        <v>0</v>
      </c>
      <c r="N1717" t="str">
        <f>IF(A1717="","",IF(D1717="Category Pending","Needs categorization",IF(COUNTIFS($A$2:A1717,A1717,$B$2:B1717,B1717,$E$2:E1717,E1717)&gt;1,"Possible duplicate","")))</f>
        <v/>
      </c>
    </row>
    <row r="1718" spans="3:14" x14ac:dyDescent="0.3">
      <c r="C1718" s="16"/>
      <c r="G1718" s="5" t="str">
        <f t="shared" si="135"/>
        <v/>
      </c>
      <c r="H1718" t="str">
        <f>IF(A1718="","",IFERROR(_xlfn.XLOOKUP(D1718,Setup!$E$15:$E$79,Setup!$F$15:$F$79),"Miscellaneous"))</f>
        <v/>
      </c>
      <c r="I1718" t="str">
        <f>IF(A1718="","",IFERROR(_xlfn.XLOOKUP(D1718,Setup!$E$15:$E$79,Setup!$G$15:$G$79),"Uncategorized"))</f>
        <v/>
      </c>
      <c r="J1718" t="str">
        <f t="shared" si="136"/>
        <v/>
      </c>
      <c r="K1718" s="4" t="str">
        <f t="shared" si="137"/>
        <v/>
      </c>
      <c r="L1718" s="47">
        <f t="shared" si="138"/>
        <v>0</v>
      </c>
      <c r="M1718" s="47">
        <f t="shared" si="139"/>
        <v>0</v>
      </c>
      <c r="N1718" t="str">
        <f>IF(A1718="","",IF(D1718="Category Pending","Needs categorization",IF(COUNTIFS($A$2:A1718,A1718,$B$2:B1718,B1718,$E$2:E1718,E1718)&gt;1,"Possible duplicate","")))</f>
        <v/>
      </c>
    </row>
    <row r="1719" spans="3:14" x14ac:dyDescent="0.3">
      <c r="C1719" s="16"/>
      <c r="G1719" s="5" t="str">
        <f t="shared" si="135"/>
        <v/>
      </c>
      <c r="H1719" t="str">
        <f>IF(A1719="","",IFERROR(_xlfn.XLOOKUP(D1719,Setup!$E$15:$E$79,Setup!$F$15:$F$79),"Miscellaneous"))</f>
        <v/>
      </c>
      <c r="I1719" t="str">
        <f>IF(A1719="","",IFERROR(_xlfn.XLOOKUP(D1719,Setup!$E$15:$E$79,Setup!$G$15:$G$79),"Uncategorized"))</f>
        <v/>
      </c>
      <c r="J1719" t="str">
        <f t="shared" si="136"/>
        <v/>
      </c>
      <c r="K1719" s="4" t="str">
        <f t="shared" si="137"/>
        <v/>
      </c>
      <c r="L1719" s="47">
        <f t="shared" si="138"/>
        <v>0</v>
      </c>
      <c r="M1719" s="47">
        <f t="shared" si="139"/>
        <v>0</v>
      </c>
      <c r="N1719" t="str">
        <f>IF(A1719="","",IF(D1719="Category Pending","Needs categorization",IF(COUNTIFS($A$2:A1719,A1719,$B$2:B1719,B1719,$E$2:E1719,E1719)&gt;1,"Possible duplicate","")))</f>
        <v/>
      </c>
    </row>
    <row r="1720" spans="3:14" x14ac:dyDescent="0.3">
      <c r="C1720" s="16"/>
      <c r="G1720" s="5" t="str">
        <f t="shared" si="135"/>
        <v/>
      </c>
      <c r="H1720" t="str">
        <f>IF(A1720="","",IFERROR(_xlfn.XLOOKUP(D1720,Setup!$E$15:$E$79,Setup!$F$15:$F$79),"Miscellaneous"))</f>
        <v/>
      </c>
      <c r="I1720" t="str">
        <f>IF(A1720="","",IFERROR(_xlfn.XLOOKUP(D1720,Setup!$E$15:$E$79,Setup!$G$15:$G$79),"Uncategorized"))</f>
        <v/>
      </c>
      <c r="J1720" t="str">
        <f t="shared" si="136"/>
        <v/>
      </c>
      <c r="K1720" s="4" t="str">
        <f t="shared" si="137"/>
        <v/>
      </c>
      <c r="L1720" s="47">
        <f t="shared" si="138"/>
        <v>0</v>
      </c>
      <c r="M1720" s="47">
        <f t="shared" si="139"/>
        <v>0</v>
      </c>
      <c r="N1720" t="str">
        <f>IF(A1720="","",IF(D1720="Category Pending","Needs categorization",IF(COUNTIFS($A$2:A1720,A1720,$B$2:B1720,B1720,$E$2:E1720,E1720)&gt;1,"Possible duplicate","")))</f>
        <v/>
      </c>
    </row>
    <row r="1721" spans="3:14" x14ac:dyDescent="0.3">
      <c r="C1721" s="16"/>
      <c r="G1721" s="5" t="str">
        <f t="shared" si="135"/>
        <v/>
      </c>
      <c r="H1721" t="str">
        <f>IF(A1721="","",IFERROR(_xlfn.XLOOKUP(D1721,Setup!$E$15:$E$79,Setup!$F$15:$F$79),"Miscellaneous"))</f>
        <v/>
      </c>
      <c r="I1721" t="str">
        <f>IF(A1721="","",IFERROR(_xlfn.XLOOKUP(D1721,Setup!$E$15:$E$79,Setup!$G$15:$G$79),"Uncategorized"))</f>
        <v/>
      </c>
      <c r="J1721" t="str">
        <f t="shared" si="136"/>
        <v/>
      </c>
      <c r="K1721" s="4" t="str">
        <f t="shared" si="137"/>
        <v/>
      </c>
      <c r="L1721" s="47">
        <f t="shared" si="138"/>
        <v>0</v>
      </c>
      <c r="M1721" s="47">
        <f t="shared" si="139"/>
        <v>0</v>
      </c>
      <c r="N1721" t="str">
        <f>IF(A1721="","",IF(D1721="Category Pending","Needs categorization",IF(COUNTIFS($A$2:A1721,A1721,$B$2:B1721,B1721,$E$2:E1721,E1721)&gt;1,"Possible duplicate","")))</f>
        <v/>
      </c>
    </row>
    <row r="1722" spans="3:14" x14ac:dyDescent="0.3">
      <c r="C1722" s="16"/>
      <c r="G1722" s="5" t="str">
        <f t="shared" si="135"/>
        <v/>
      </c>
      <c r="H1722" t="str">
        <f>IF(A1722="","",IFERROR(_xlfn.XLOOKUP(D1722,Setup!$E$15:$E$79,Setup!$F$15:$F$79),"Miscellaneous"))</f>
        <v/>
      </c>
      <c r="I1722" t="str">
        <f>IF(A1722="","",IFERROR(_xlfn.XLOOKUP(D1722,Setup!$E$15:$E$79,Setup!$G$15:$G$79),"Uncategorized"))</f>
        <v/>
      </c>
      <c r="J1722" t="str">
        <f t="shared" si="136"/>
        <v/>
      </c>
      <c r="K1722" s="4" t="str">
        <f t="shared" si="137"/>
        <v/>
      </c>
      <c r="L1722" s="47">
        <f t="shared" si="138"/>
        <v>0</v>
      </c>
      <c r="M1722" s="47">
        <f t="shared" si="139"/>
        <v>0</v>
      </c>
      <c r="N1722" t="str">
        <f>IF(A1722="","",IF(D1722="Category Pending","Needs categorization",IF(COUNTIFS($A$2:A1722,A1722,$B$2:B1722,B1722,$E$2:E1722,E1722)&gt;1,"Possible duplicate","")))</f>
        <v/>
      </c>
    </row>
    <row r="1723" spans="3:14" x14ac:dyDescent="0.3">
      <c r="C1723" s="16"/>
      <c r="G1723" s="5" t="str">
        <f t="shared" si="135"/>
        <v/>
      </c>
      <c r="H1723" t="str">
        <f>IF(A1723="","",IFERROR(_xlfn.XLOOKUP(D1723,Setup!$E$15:$E$79,Setup!$F$15:$F$79),"Miscellaneous"))</f>
        <v/>
      </c>
      <c r="I1723" t="str">
        <f>IF(A1723="","",IFERROR(_xlfn.XLOOKUP(D1723,Setup!$E$15:$E$79,Setup!$G$15:$G$79),"Uncategorized"))</f>
        <v/>
      </c>
      <c r="J1723" t="str">
        <f t="shared" si="136"/>
        <v/>
      </c>
      <c r="K1723" s="4" t="str">
        <f t="shared" si="137"/>
        <v/>
      </c>
      <c r="L1723" s="47">
        <f t="shared" si="138"/>
        <v>0</v>
      </c>
      <c r="M1723" s="47">
        <f t="shared" si="139"/>
        <v>0</v>
      </c>
      <c r="N1723" t="str">
        <f>IF(A1723="","",IF(D1723="Category Pending","Needs categorization",IF(COUNTIFS($A$2:A1723,A1723,$B$2:B1723,B1723,$E$2:E1723,E1723)&gt;1,"Possible duplicate","")))</f>
        <v/>
      </c>
    </row>
    <row r="1724" spans="3:14" x14ac:dyDescent="0.3">
      <c r="C1724" s="16"/>
      <c r="G1724" s="5" t="str">
        <f t="shared" si="135"/>
        <v/>
      </c>
      <c r="H1724" t="str">
        <f>IF(A1724="","",IFERROR(_xlfn.XLOOKUP(D1724,Setup!$E$15:$E$79,Setup!$F$15:$F$79),"Miscellaneous"))</f>
        <v/>
      </c>
      <c r="I1724" t="str">
        <f>IF(A1724="","",IFERROR(_xlfn.XLOOKUP(D1724,Setup!$E$15:$E$79,Setup!$G$15:$G$79),"Uncategorized"))</f>
        <v/>
      </c>
      <c r="J1724" t="str">
        <f t="shared" si="136"/>
        <v/>
      </c>
      <c r="K1724" s="4" t="str">
        <f t="shared" si="137"/>
        <v/>
      </c>
      <c r="L1724" s="47">
        <f t="shared" si="138"/>
        <v>0</v>
      </c>
      <c r="M1724" s="47">
        <f t="shared" si="139"/>
        <v>0</v>
      </c>
      <c r="N1724" t="str">
        <f>IF(A1724="","",IF(D1724="Category Pending","Needs categorization",IF(COUNTIFS($A$2:A1724,A1724,$B$2:B1724,B1724,$E$2:E1724,E1724)&gt;1,"Possible duplicate","")))</f>
        <v/>
      </c>
    </row>
    <row r="1725" spans="3:14" x14ac:dyDescent="0.3">
      <c r="C1725" s="16"/>
      <c r="G1725" s="5" t="str">
        <f t="shared" si="135"/>
        <v/>
      </c>
      <c r="H1725" t="str">
        <f>IF(A1725="","",IFERROR(_xlfn.XLOOKUP(D1725,Setup!$E$15:$E$79,Setup!$F$15:$F$79),"Miscellaneous"))</f>
        <v/>
      </c>
      <c r="I1725" t="str">
        <f>IF(A1725="","",IFERROR(_xlfn.XLOOKUP(D1725,Setup!$E$15:$E$79,Setup!$G$15:$G$79),"Uncategorized"))</f>
        <v/>
      </c>
      <c r="J1725" t="str">
        <f t="shared" si="136"/>
        <v/>
      </c>
      <c r="K1725" s="4" t="str">
        <f t="shared" si="137"/>
        <v/>
      </c>
      <c r="L1725" s="47">
        <f t="shared" si="138"/>
        <v>0</v>
      </c>
      <c r="M1725" s="47">
        <f t="shared" si="139"/>
        <v>0</v>
      </c>
      <c r="N1725" t="str">
        <f>IF(A1725="","",IF(D1725="Category Pending","Needs categorization",IF(COUNTIFS($A$2:A1725,A1725,$B$2:B1725,B1725,$E$2:E1725,E1725)&gt;1,"Possible duplicate","")))</f>
        <v/>
      </c>
    </row>
    <row r="1726" spans="3:14" x14ac:dyDescent="0.3">
      <c r="C1726" s="16"/>
      <c r="G1726" s="5" t="str">
        <f t="shared" si="135"/>
        <v/>
      </c>
      <c r="H1726" t="str">
        <f>IF(A1726="","",IFERROR(_xlfn.XLOOKUP(D1726,Setup!$E$15:$E$79,Setup!$F$15:$F$79),"Miscellaneous"))</f>
        <v/>
      </c>
      <c r="I1726" t="str">
        <f>IF(A1726="","",IFERROR(_xlfn.XLOOKUP(D1726,Setup!$E$15:$E$79,Setup!$G$15:$G$79),"Uncategorized"))</f>
        <v/>
      </c>
      <c r="J1726" t="str">
        <f t="shared" si="136"/>
        <v/>
      </c>
      <c r="K1726" s="4" t="str">
        <f t="shared" si="137"/>
        <v/>
      </c>
      <c r="L1726" s="47">
        <f t="shared" si="138"/>
        <v>0</v>
      </c>
      <c r="M1726" s="47">
        <f t="shared" si="139"/>
        <v>0</v>
      </c>
      <c r="N1726" t="str">
        <f>IF(A1726="","",IF(D1726="Category Pending","Needs categorization",IF(COUNTIFS($A$2:A1726,A1726,$B$2:B1726,B1726,$E$2:E1726,E1726)&gt;1,"Possible duplicate","")))</f>
        <v/>
      </c>
    </row>
    <row r="1727" spans="3:14" x14ac:dyDescent="0.3">
      <c r="C1727" s="16"/>
      <c r="G1727" s="5" t="str">
        <f t="shared" si="135"/>
        <v/>
      </c>
      <c r="H1727" t="str">
        <f>IF(A1727="","",IFERROR(_xlfn.XLOOKUP(D1727,Setup!$E$15:$E$79,Setup!$F$15:$F$79),"Miscellaneous"))</f>
        <v/>
      </c>
      <c r="I1727" t="str">
        <f>IF(A1727="","",IFERROR(_xlfn.XLOOKUP(D1727,Setup!$E$15:$E$79,Setup!$G$15:$G$79),"Uncategorized"))</f>
        <v/>
      </c>
      <c r="J1727" t="str">
        <f t="shared" si="136"/>
        <v/>
      </c>
      <c r="K1727" s="4" t="str">
        <f t="shared" si="137"/>
        <v/>
      </c>
      <c r="L1727" s="47">
        <f t="shared" si="138"/>
        <v>0</v>
      </c>
      <c r="M1727" s="47">
        <f t="shared" si="139"/>
        <v>0</v>
      </c>
      <c r="N1727" t="str">
        <f>IF(A1727="","",IF(D1727="Category Pending","Needs categorization",IF(COUNTIFS($A$2:A1727,A1727,$B$2:B1727,B1727,$E$2:E1727,E1727)&gt;1,"Possible duplicate","")))</f>
        <v/>
      </c>
    </row>
    <row r="1728" spans="3:14" x14ac:dyDescent="0.3">
      <c r="C1728" s="16"/>
      <c r="G1728" s="5" t="str">
        <f t="shared" si="135"/>
        <v/>
      </c>
      <c r="H1728" t="str">
        <f>IF(A1728="","",IFERROR(_xlfn.XLOOKUP(D1728,Setup!$E$15:$E$79,Setup!$F$15:$F$79),"Miscellaneous"))</f>
        <v/>
      </c>
      <c r="I1728" t="str">
        <f>IF(A1728="","",IFERROR(_xlfn.XLOOKUP(D1728,Setup!$E$15:$E$79,Setup!$G$15:$G$79),"Uncategorized"))</f>
        <v/>
      </c>
      <c r="J1728" t="str">
        <f t="shared" si="136"/>
        <v/>
      </c>
      <c r="K1728" s="4" t="str">
        <f t="shared" si="137"/>
        <v/>
      </c>
      <c r="L1728" s="47">
        <f t="shared" si="138"/>
        <v>0</v>
      </c>
      <c r="M1728" s="47">
        <f t="shared" si="139"/>
        <v>0</v>
      </c>
      <c r="N1728" t="str">
        <f>IF(A1728="","",IF(D1728="Category Pending","Needs categorization",IF(COUNTIFS($A$2:A1728,A1728,$B$2:B1728,B1728,$E$2:E1728,E1728)&gt;1,"Possible duplicate","")))</f>
        <v/>
      </c>
    </row>
    <row r="1729" spans="3:14" x14ac:dyDescent="0.3">
      <c r="C1729" s="16"/>
      <c r="G1729" s="5" t="str">
        <f t="shared" si="135"/>
        <v/>
      </c>
      <c r="H1729" t="str">
        <f>IF(A1729="","",IFERROR(_xlfn.XLOOKUP(D1729,Setup!$E$15:$E$79,Setup!$F$15:$F$79),"Miscellaneous"))</f>
        <v/>
      </c>
      <c r="I1729" t="str">
        <f>IF(A1729="","",IFERROR(_xlfn.XLOOKUP(D1729,Setup!$E$15:$E$79,Setup!$G$15:$G$79),"Uncategorized"))</f>
        <v/>
      </c>
      <c r="J1729" t="str">
        <f t="shared" si="136"/>
        <v/>
      </c>
      <c r="K1729" s="4" t="str">
        <f t="shared" si="137"/>
        <v/>
      </c>
      <c r="L1729" s="47">
        <f t="shared" si="138"/>
        <v>0</v>
      </c>
      <c r="M1729" s="47">
        <f t="shared" si="139"/>
        <v>0</v>
      </c>
      <c r="N1729" t="str">
        <f>IF(A1729="","",IF(D1729="Category Pending","Needs categorization",IF(COUNTIFS($A$2:A1729,A1729,$B$2:B1729,B1729,$E$2:E1729,E1729)&gt;1,"Possible duplicate","")))</f>
        <v/>
      </c>
    </row>
    <row r="1730" spans="3:14" x14ac:dyDescent="0.3">
      <c r="C1730" s="16"/>
      <c r="G1730" s="5" t="str">
        <f t="shared" si="135"/>
        <v/>
      </c>
      <c r="H1730" t="str">
        <f>IF(A1730="","",IFERROR(_xlfn.XLOOKUP(D1730,Setup!$E$15:$E$79,Setup!$F$15:$F$79),"Miscellaneous"))</f>
        <v/>
      </c>
      <c r="I1730" t="str">
        <f>IF(A1730="","",IFERROR(_xlfn.XLOOKUP(D1730,Setup!$E$15:$E$79,Setup!$G$15:$G$79),"Uncategorized"))</f>
        <v/>
      </c>
      <c r="J1730" t="str">
        <f t="shared" si="136"/>
        <v/>
      </c>
      <c r="K1730" s="4" t="str">
        <f t="shared" si="137"/>
        <v/>
      </c>
      <c r="L1730" s="47">
        <f t="shared" si="138"/>
        <v>0</v>
      </c>
      <c r="M1730" s="47">
        <f t="shared" si="139"/>
        <v>0</v>
      </c>
      <c r="N1730" t="str">
        <f>IF(A1730="","",IF(D1730="Category Pending","Needs categorization",IF(COUNTIFS($A$2:A1730,A1730,$B$2:B1730,B1730,$E$2:E1730,E1730)&gt;1,"Possible duplicate","")))</f>
        <v/>
      </c>
    </row>
    <row r="1731" spans="3:14" x14ac:dyDescent="0.3">
      <c r="C1731" s="16"/>
      <c r="G1731" s="5" t="str">
        <f t="shared" si="135"/>
        <v/>
      </c>
      <c r="H1731" t="str">
        <f>IF(A1731="","",IFERROR(_xlfn.XLOOKUP(D1731,Setup!$E$15:$E$79,Setup!$F$15:$F$79),"Miscellaneous"))</f>
        <v/>
      </c>
      <c r="I1731" t="str">
        <f>IF(A1731="","",IFERROR(_xlfn.XLOOKUP(D1731,Setup!$E$15:$E$79,Setup!$G$15:$G$79),"Uncategorized"))</f>
        <v/>
      </c>
      <c r="J1731" t="str">
        <f t="shared" si="136"/>
        <v/>
      </c>
      <c r="K1731" s="4" t="str">
        <f t="shared" si="137"/>
        <v/>
      </c>
      <c r="L1731" s="47">
        <f t="shared" si="138"/>
        <v>0</v>
      </c>
      <c r="M1731" s="47">
        <f t="shared" si="139"/>
        <v>0</v>
      </c>
      <c r="N1731" t="str">
        <f>IF(A1731="","",IF(D1731="Category Pending","Needs categorization",IF(COUNTIFS($A$2:A1731,A1731,$B$2:B1731,B1731,$E$2:E1731,E1731)&gt;1,"Possible duplicate","")))</f>
        <v/>
      </c>
    </row>
    <row r="1732" spans="3:14" x14ac:dyDescent="0.3">
      <c r="C1732" s="16"/>
      <c r="G1732" s="5" t="str">
        <f t="shared" si="135"/>
        <v/>
      </c>
      <c r="H1732" t="str">
        <f>IF(A1732="","",IFERROR(_xlfn.XLOOKUP(D1732,Setup!$E$15:$E$79,Setup!$F$15:$F$79),"Miscellaneous"))</f>
        <v/>
      </c>
      <c r="I1732" t="str">
        <f>IF(A1732="","",IFERROR(_xlfn.XLOOKUP(D1732,Setup!$E$15:$E$79,Setup!$G$15:$G$79),"Uncategorized"))</f>
        <v/>
      </c>
      <c r="J1732" t="str">
        <f t="shared" si="136"/>
        <v/>
      </c>
      <c r="K1732" s="4" t="str">
        <f t="shared" si="137"/>
        <v/>
      </c>
      <c r="L1732" s="47">
        <f t="shared" si="138"/>
        <v>0</v>
      </c>
      <c r="M1732" s="47">
        <f t="shared" si="139"/>
        <v>0</v>
      </c>
      <c r="N1732" t="str">
        <f>IF(A1732="","",IF(D1732="Category Pending","Needs categorization",IF(COUNTIFS($A$2:A1732,A1732,$B$2:B1732,B1732,$E$2:E1732,E1732)&gt;1,"Possible duplicate","")))</f>
        <v/>
      </c>
    </row>
    <row r="1733" spans="3:14" x14ac:dyDescent="0.3">
      <c r="C1733" s="16"/>
      <c r="G1733" s="5" t="str">
        <f t="shared" si="135"/>
        <v/>
      </c>
      <c r="H1733" t="str">
        <f>IF(A1733="","",IFERROR(_xlfn.XLOOKUP(D1733,Setup!$E$15:$E$79,Setup!$F$15:$F$79),"Miscellaneous"))</f>
        <v/>
      </c>
      <c r="I1733" t="str">
        <f>IF(A1733="","",IFERROR(_xlfn.XLOOKUP(D1733,Setup!$E$15:$E$79,Setup!$G$15:$G$79),"Uncategorized"))</f>
        <v/>
      </c>
      <c r="J1733" t="str">
        <f t="shared" si="136"/>
        <v/>
      </c>
      <c r="K1733" s="4" t="str">
        <f t="shared" si="137"/>
        <v/>
      </c>
      <c r="L1733" s="47">
        <f t="shared" si="138"/>
        <v>0</v>
      </c>
      <c r="M1733" s="47">
        <f t="shared" si="139"/>
        <v>0</v>
      </c>
      <c r="N1733" t="str">
        <f>IF(A1733="","",IF(D1733="Category Pending","Needs categorization",IF(COUNTIFS($A$2:A1733,A1733,$B$2:B1733,B1733,$E$2:E1733,E1733)&gt;1,"Possible duplicate","")))</f>
        <v/>
      </c>
    </row>
    <row r="1734" spans="3:14" x14ac:dyDescent="0.3">
      <c r="C1734" s="16"/>
      <c r="G1734" s="5" t="str">
        <f t="shared" si="135"/>
        <v/>
      </c>
      <c r="H1734" t="str">
        <f>IF(A1734="","",IFERROR(_xlfn.XLOOKUP(D1734,Setup!$E$15:$E$79,Setup!$F$15:$F$79),"Miscellaneous"))</f>
        <v/>
      </c>
      <c r="I1734" t="str">
        <f>IF(A1734="","",IFERROR(_xlfn.XLOOKUP(D1734,Setup!$E$15:$E$79,Setup!$G$15:$G$79),"Uncategorized"))</f>
        <v/>
      </c>
      <c r="J1734" t="str">
        <f t="shared" si="136"/>
        <v/>
      </c>
      <c r="K1734" s="4" t="str">
        <f t="shared" si="137"/>
        <v/>
      </c>
      <c r="L1734" s="47">
        <f t="shared" si="138"/>
        <v>0</v>
      </c>
      <c r="M1734" s="47">
        <f t="shared" si="139"/>
        <v>0</v>
      </c>
      <c r="N1734" t="str">
        <f>IF(A1734="","",IF(D1734="Category Pending","Needs categorization",IF(COUNTIFS($A$2:A1734,A1734,$B$2:B1734,B1734,$E$2:E1734,E1734)&gt;1,"Possible duplicate","")))</f>
        <v/>
      </c>
    </row>
    <row r="1735" spans="3:14" x14ac:dyDescent="0.3">
      <c r="C1735" s="16"/>
      <c r="G1735" s="5" t="str">
        <f t="shared" si="135"/>
        <v/>
      </c>
      <c r="H1735" t="str">
        <f>IF(A1735="","",IFERROR(_xlfn.XLOOKUP(D1735,Setup!$E$15:$E$79,Setup!$F$15:$F$79),"Miscellaneous"))</f>
        <v/>
      </c>
      <c r="I1735" t="str">
        <f>IF(A1735="","",IFERROR(_xlfn.XLOOKUP(D1735,Setup!$E$15:$E$79,Setup!$G$15:$G$79),"Uncategorized"))</f>
        <v/>
      </c>
      <c r="J1735" t="str">
        <f t="shared" si="136"/>
        <v/>
      </c>
      <c r="K1735" s="4" t="str">
        <f t="shared" si="137"/>
        <v/>
      </c>
      <c r="L1735" s="47">
        <f t="shared" si="138"/>
        <v>0</v>
      </c>
      <c r="M1735" s="47">
        <f t="shared" si="139"/>
        <v>0</v>
      </c>
      <c r="N1735" t="str">
        <f>IF(A1735="","",IF(D1735="Category Pending","Needs categorization",IF(COUNTIFS($A$2:A1735,A1735,$B$2:B1735,B1735,$E$2:E1735,E1735)&gt;1,"Possible duplicate","")))</f>
        <v/>
      </c>
    </row>
    <row r="1736" spans="3:14" x14ac:dyDescent="0.3">
      <c r="C1736" s="16"/>
      <c r="G1736" s="5" t="str">
        <f t="shared" si="135"/>
        <v/>
      </c>
      <c r="H1736" t="str">
        <f>IF(A1736="","",IFERROR(_xlfn.XLOOKUP(D1736,Setup!$E$15:$E$79,Setup!$F$15:$F$79),"Miscellaneous"))</f>
        <v/>
      </c>
      <c r="I1736" t="str">
        <f>IF(A1736="","",IFERROR(_xlfn.XLOOKUP(D1736,Setup!$E$15:$E$79,Setup!$G$15:$G$79),"Uncategorized"))</f>
        <v/>
      </c>
      <c r="J1736" t="str">
        <f t="shared" si="136"/>
        <v/>
      </c>
      <c r="K1736" s="4" t="str">
        <f t="shared" si="137"/>
        <v/>
      </c>
      <c r="L1736" s="47">
        <f t="shared" si="138"/>
        <v>0</v>
      </c>
      <c r="M1736" s="47">
        <f t="shared" si="139"/>
        <v>0</v>
      </c>
      <c r="N1736" t="str">
        <f>IF(A1736="","",IF(D1736="Category Pending","Needs categorization",IF(COUNTIFS($A$2:A1736,A1736,$B$2:B1736,B1736,$E$2:E1736,E1736)&gt;1,"Possible duplicate","")))</f>
        <v/>
      </c>
    </row>
    <row r="1737" spans="3:14" x14ac:dyDescent="0.3">
      <c r="C1737" s="16"/>
      <c r="G1737" s="5" t="str">
        <f t="shared" si="135"/>
        <v/>
      </c>
      <c r="H1737" t="str">
        <f>IF(A1737="","",IFERROR(_xlfn.XLOOKUP(D1737,Setup!$E$15:$E$79,Setup!$F$15:$F$79),"Miscellaneous"))</f>
        <v/>
      </c>
      <c r="I1737" t="str">
        <f>IF(A1737="","",IFERROR(_xlfn.XLOOKUP(D1737,Setup!$E$15:$E$79,Setup!$G$15:$G$79),"Uncategorized"))</f>
        <v/>
      </c>
      <c r="J1737" t="str">
        <f t="shared" si="136"/>
        <v/>
      </c>
      <c r="K1737" s="4" t="str">
        <f t="shared" si="137"/>
        <v/>
      </c>
      <c r="L1737" s="47">
        <f t="shared" si="138"/>
        <v>0</v>
      </c>
      <c r="M1737" s="47">
        <f t="shared" si="139"/>
        <v>0</v>
      </c>
      <c r="N1737" t="str">
        <f>IF(A1737="","",IF(D1737="Category Pending","Needs categorization",IF(COUNTIFS($A$2:A1737,A1737,$B$2:B1737,B1737,$E$2:E1737,E1737)&gt;1,"Possible duplicate","")))</f>
        <v/>
      </c>
    </row>
    <row r="1738" spans="3:14" x14ac:dyDescent="0.3">
      <c r="C1738" s="16"/>
      <c r="G1738" s="5" t="str">
        <f t="shared" si="135"/>
        <v/>
      </c>
      <c r="H1738" t="str">
        <f>IF(A1738="","",IFERROR(_xlfn.XLOOKUP(D1738,Setup!$E$15:$E$79,Setup!$F$15:$F$79),"Miscellaneous"))</f>
        <v/>
      </c>
      <c r="I1738" t="str">
        <f>IF(A1738="","",IFERROR(_xlfn.XLOOKUP(D1738,Setup!$E$15:$E$79,Setup!$G$15:$G$79),"Uncategorized"))</f>
        <v/>
      </c>
      <c r="J1738" t="str">
        <f t="shared" si="136"/>
        <v/>
      </c>
      <c r="K1738" s="4" t="str">
        <f t="shared" si="137"/>
        <v/>
      </c>
      <c r="L1738" s="47">
        <f t="shared" si="138"/>
        <v>0</v>
      </c>
      <c r="M1738" s="47">
        <f t="shared" si="139"/>
        <v>0</v>
      </c>
      <c r="N1738" t="str">
        <f>IF(A1738="","",IF(D1738="Category Pending","Needs categorization",IF(COUNTIFS($A$2:A1738,A1738,$B$2:B1738,B1738,$E$2:E1738,E1738)&gt;1,"Possible duplicate","")))</f>
        <v/>
      </c>
    </row>
    <row r="1739" spans="3:14" x14ac:dyDescent="0.3">
      <c r="C1739" s="16"/>
      <c r="G1739" s="5" t="str">
        <f t="shared" si="135"/>
        <v/>
      </c>
      <c r="H1739" t="str">
        <f>IF(A1739="","",IFERROR(_xlfn.XLOOKUP(D1739,Setup!$E$15:$E$79,Setup!$F$15:$F$79),"Miscellaneous"))</f>
        <v/>
      </c>
      <c r="I1739" t="str">
        <f>IF(A1739="","",IFERROR(_xlfn.XLOOKUP(D1739,Setup!$E$15:$E$79,Setup!$G$15:$G$79),"Uncategorized"))</f>
        <v/>
      </c>
      <c r="J1739" t="str">
        <f t="shared" si="136"/>
        <v/>
      </c>
      <c r="K1739" s="4" t="str">
        <f t="shared" si="137"/>
        <v/>
      </c>
      <c r="L1739" s="47">
        <f t="shared" si="138"/>
        <v>0</v>
      </c>
      <c r="M1739" s="47">
        <f t="shared" si="139"/>
        <v>0</v>
      </c>
      <c r="N1739" t="str">
        <f>IF(A1739="","",IF(D1739="Category Pending","Needs categorization",IF(COUNTIFS($A$2:A1739,A1739,$B$2:B1739,B1739,$E$2:E1739,E1739)&gt;1,"Possible duplicate","")))</f>
        <v/>
      </c>
    </row>
    <row r="1740" spans="3:14" x14ac:dyDescent="0.3">
      <c r="C1740" s="16"/>
      <c r="G1740" s="5" t="str">
        <f t="shared" si="135"/>
        <v/>
      </c>
      <c r="H1740" t="str">
        <f>IF(A1740="","",IFERROR(_xlfn.XLOOKUP(D1740,Setup!$E$15:$E$79,Setup!$F$15:$F$79),"Miscellaneous"))</f>
        <v/>
      </c>
      <c r="I1740" t="str">
        <f>IF(A1740="","",IFERROR(_xlfn.XLOOKUP(D1740,Setup!$E$15:$E$79,Setup!$G$15:$G$79),"Uncategorized"))</f>
        <v/>
      </c>
      <c r="J1740" t="str">
        <f t="shared" si="136"/>
        <v/>
      </c>
      <c r="K1740" s="4" t="str">
        <f t="shared" si="137"/>
        <v/>
      </c>
      <c r="L1740" s="47">
        <f t="shared" si="138"/>
        <v>0</v>
      </c>
      <c r="M1740" s="47">
        <f t="shared" si="139"/>
        <v>0</v>
      </c>
      <c r="N1740" t="str">
        <f>IF(A1740="","",IF(D1740="Category Pending","Needs categorization",IF(COUNTIFS($A$2:A1740,A1740,$B$2:B1740,B1740,$E$2:E1740,E1740)&gt;1,"Possible duplicate","")))</f>
        <v/>
      </c>
    </row>
    <row r="1741" spans="3:14" x14ac:dyDescent="0.3">
      <c r="C1741" s="16"/>
      <c r="G1741" s="5" t="str">
        <f t="shared" si="135"/>
        <v/>
      </c>
      <c r="H1741" t="str">
        <f>IF(A1741="","",IFERROR(_xlfn.XLOOKUP(D1741,Setup!$E$15:$E$79,Setup!$F$15:$F$79),"Miscellaneous"))</f>
        <v/>
      </c>
      <c r="I1741" t="str">
        <f>IF(A1741="","",IFERROR(_xlfn.XLOOKUP(D1741,Setup!$E$15:$E$79,Setup!$G$15:$G$79),"Uncategorized"))</f>
        <v/>
      </c>
      <c r="J1741" t="str">
        <f t="shared" si="136"/>
        <v/>
      </c>
      <c r="K1741" s="4" t="str">
        <f t="shared" si="137"/>
        <v/>
      </c>
      <c r="L1741" s="47">
        <f t="shared" si="138"/>
        <v>0</v>
      </c>
      <c r="M1741" s="47">
        <f t="shared" si="139"/>
        <v>0</v>
      </c>
      <c r="N1741" t="str">
        <f>IF(A1741="","",IF(D1741="Category Pending","Needs categorization",IF(COUNTIFS($A$2:A1741,A1741,$B$2:B1741,B1741,$E$2:E1741,E1741)&gt;1,"Possible duplicate","")))</f>
        <v/>
      </c>
    </row>
    <row r="1742" spans="3:14" x14ac:dyDescent="0.3">
      <c r="C1742" s="16"/>
      <c r="G1742" s="5" t="str">
        <f t="shared" si="135"/>
        <v/>
      </c>
      <c r="H1742" t="str">
        <f>IF(A1742="","",IFERROR(_xlfn.XLOOKUP(D1742,Setup!$E$15:$E$79,Setup!$F$15:$F$79),"Miscellaneous"))</f>
        <v/>
      </c>
      <c r="I1742" t="str">
        <f>IF(A1742="","",IFERROR(_xlfn.XLOOKUP(D1742,Setup!$E$15:$E$79,Setup!$G$15:$G$79),"Uncategorized"))</f>
        <v/>
      </c>
      <c r="J1742" t="str">
        <f t="shared" si="136"/>
        <v/>
      </c>
      <c r="K1742" s="4" t="str">
        <f t="shared" si="137"/>
        <v/>
      </c>
      <c r="L1742" s="47">
        <f t="shared" si="138"/>
        <v>0</v>
      </c>
      <c r="M1742" s="47">
        <f t="shared" si="139"/>
        <v>0</v>
      </c>
      <c r="N1742" t="str">
        <f>IF(A1742="","",IF(D1742="Category Pending","Needs categorization",IF(COUNTIFS($A$2:A1742,A1742,$B$2:B1742,B1742,$E$2:E1742,E1742)&gt;1,"Possible duplicate","")))</f>
        <v/>
      </c>
    </row>
    <row r="1743" spans="3:14" x14ac:dyDescent="0.3">
      <c r="C1743" s="16"/>
      <c r="G1743" s="5" t="str">
        <f t="shared" si="135"/>
        <v/>
      </c>
      <c r="H1743" t="str">
        <f>IF(A1743="","",IFERROR(_xlfn.XLOOKUP(D1743,Setup!$E$15:$E$79,Setup!$F$15:$F$79),"Miscellaneous"))</f>
        <v/>
      </c>
      <c r="I1743" t="str">
        <f>IF(A1743="","",IFERROR(_xlfn.XLOOKUP(D1743,Setup!$E$15:$E$79,Setup!$G$15:$G$79),"Uncategorized"))</f>
        <v/>
      </c>
      <c r="J1743" t="str">
        <f t="shared" si="136"/>
        <v/>
      </c>
      <c r="K1743" s="4" t="str">
        <f t="shared" si="137"/>
        <v/>
      </c>
      <c r="L1743" s="47">
        <f t="shared" si="138"/>
        <v>0</v>
      </c>
      <c r="M1743" s="47">
        <f t="shared" si="139"/>
        <v>0</v>
      </c>
      <c r="N1743" t="str">
        <f>IF(A1743="","",IF(D1743="Category Pending","Needs categorization",IF(COUNTIFS($A$2:A1743,A1743,$B$2:B1743,B1743,$E$2:E1743,E1743)&gt;1,"Possible duplicate","")))</f>
        <v/>
      </c>
    </row>
    <row r="1744" spans="3:14" x14ac:dyDescent="0.3">
      <c r="C1744" s="16"/>
      <c r="G1744" s="5" t="str">
        <f t="shared" si="135"/>
        <v/>
      </c>
      <c r="H1744" t="str">
        <f>IF(A1744="","",IFERROR(_xlfn.XLOOKUP(D1744,Setup!$E$15:$E$79,Setup!$F$15:$F$79),"Miscellaneous"))</f>
        <v/>
      </c>
      <c r="I1744" t="str">
        <f>IF(A1744="","",IFERROR(_xlfn.XLOOKUP(D1744,Setup!$E$15:$E$79,Setup!$G$15:$G$79),"Uncategorized"))</f>
        <v/>
      </c>
      <c r="J1744" t="str">
        <f t="shared" si="136"/>
        <v/>
      </c>
      <c r="K1744" s="4" t="str">
        <f t="shared" si="137"/>
        <v/>
      </c>
      <c r="L1744" s="47">
        <f t="shared" si="138"/>
        <v>0</v>
      </c>
      <c r="M1744" s="47">
        <f t="shared" si="139"/>
        <v>0</v>
      </c>
      <c r="N1744" t="str">
        <f>IF(A1744="","",IF(D1744="Category Pending","Needs categorization",IF(COUNTIFS($A$2:A1744,A1744,$B$2:B1744,B1744,$E$2:E1744,E1744)&gt;1,"Possible duplicate","")))</f>
        <v/>
      </c>
    </row>
    <row r="1745" spans="3:14" x14ac:dyDescent="0.3">
      <c r="C1745" s="16"/>
      <c r="G1745" s="5" t="str">
        <f t="shared" si="135"/>
        <v/>
      </c>
      <c r="H1745" t="str">
        <f>IF(A1745="","",IFERROR(_xlfn.XLOOKUP(D1745,Setup!$E$15:$E$79,Setup!$F$15:$F$79),"Miscellaneous"))</f>
        <v/>
      </c>
      <c r="I1745" t="str">
        <f>IF(A1745="","",IFERROR(_xlfn.XLOOKUP(D1745,Setup!$E$15:$E$79,Setup!$G$15:$G$79),"Uncategorized"))</f>
        <v/>
      </c>
      <c r="J1745" t="str">
        <f t="shared" si="136"/>
        <v/>
      </c>
      <c r="K1745" s="4" t="str">
        <f t="shared" si="137"/>
        <v/>
      </c>
      <c r="L1745" s="47">
        <f t="shared" si="138"/>
        <v>0</v>
      </c>
      <c r="M1745" s="47">
        <f t="shared" si="139"/>
        <v>0</v>
      </c>
      <c r="N1745" t="str">
        <f>IF(A1745="","",IF(D1745="Category Pending","Needs categorization",IF(COUNTIFS($A$2:A1745,A1745,$B$2:B1745,B1745,$E$2:E1745,E1745)&gt;1,"Possible duplicate","")))</f>
        <v/>
      </c>
    </row>
    <row r="1746" spans="3:14" x14ac:dyDescent="0.3">
      <c r="C1746" s="16"/>
      <c r="G1746" s="5" t="str">
        <f t="shared" si="135"/>
        <v/>
      </c>
      <c r="H1746" t="str">
        <f>IF(A1746="","",IFERROR(_xlfn.XLOOKUP(D1746,Setup!$E$15:$E$79,Setup!$F$15:$F$79),"Miscellaneous"))</f>
        <v/>
      </c>
      <c r="I1746" t="str">
        <f>IF(A1746="","",IFERROR(_xlfn.XLOOKUP(D1746,Setup!$E$15:$E$79,Setup!$G$15:$G$79),"Uncategorized"))</f>
        <v/>
      </c>
      <c r="J1746" t="str">
        <f t="shared" si="136"/>
        <v/>
      </c>
      <c r="K1746" s="4" t="str">
        <f t="shared" si="137"/>
        <v/>
      </c>
      <c r="L1746" s="47">
        <f t="shared" si="138"/>
        <v>0</v>
      </c>
      <c r="M1746" s="47">
        <f t="shared" si="139"/>
        <v>0</v>
      </c>
      <c r="N1746" t="str">
        <f>IF(A1746="","",IF(D1746="Category Pending","Needs categorization",IF(COUNTIFS($A$2:A1746,A1746,$B$2:B1746,B1746,$E$2:E1746,E1746)&gt;1,"Possible duplicate","")))</f>
        <v/>
      </c>
    </row>
    <row r="1747" spans="3:14" x14ac:dyDescent="0.3">
      <c r="C1747" s="16"/>
      <c r="G1747" s="5" t="str">
        <f t="shared" si="135"/>
        <v/>
      </c>
      <c r="H1747" t="str">
        <f>IF(A1747="","",IFERROR(_xlfn.XLOOKUP(D1747,Setup!$E$15:$E$79,Setup!$F$15:$F$79),"Miscellaneous"))</f>
        <v/>
      </c>
      <c r="I1747" t="str">
        <f>IF(A1747="","",IFERROR(_xlfn.XLOOKUP(D1747,Setup!$E$15:$E$79,Setup!$G$15:$G$79),"Uncategorized"))</f>
        <v/>
      </c>
      <c r="J1747" t="str">
        <f t="shared" si="136"/>
        <v/>
      </c>
      <c r="K1747" s="4" t="str">
        <f t="shared" si="137"/>
        <v/>
      </c>
      <c r="L1747" s="47">
        <f t="shared" si="138"/>
        <v>0</v>
      </c>
      <c r="M1747" s="47">
        <f t="shared" si="139"/>
        <v>0</v>
      </c>
      <c r="N1747" t="str">
        <f>IF(A1747="","",IF(D1747="Category Pending","Needs categorization",IF(COUNTIFS($A$2:A1747,A1747,$B$2:B1747,B1747,$E$2:E1747,E1747)&gt;1,"Possible duplicate","")))</f>
        <v/>
      </c>
    </row>
    <row r="1748" spans="3:14" x14ac:dyDescent="0.3">
      <c r="C1748" s="16"/>
      <c r="G1748" s="5" t="str">
        <f t="shared" si="135"/>
        <v/>
      </c>
      <c r="H1748" t="str">
        <f>IF(A1748="","",IFERROR(_xlfn.XLOOKUP(D1748,Setup!$E$15:$E$79,Setup!$F$15:$F$79),"Miscellaneous"))</f>
        <v/>
      </c>
      <c r="I1748" t="str">
        <f>IF(A1748="","",IFERROR(_xlfn.XLOOKUP(D1748,Setup!$E$15:$E$79,Setup!$G$15:$G$79),"Uncategorized"))</f>
        <v/>
      </c>
      <c r="J1748" t="str">
        <f t="shared" si="136"/>
        <v/>
      </c>
      <c r="K1748" s="4" t="str">
        <f t="shared" si="137"/>
        <v/>
      </c>
      <c r="L1748" s="47">
        <f t="shared" si="138"/>
        <v>0</v>
      </c>
      <c r="M1748" s="47">
        <f t="shared" si="139"/>
        <v>0</v>
      </c>
      <c r="N1748" t="str">
        <f>IF(A1748="","",IF(D1748="Category Pending","Needs categorization",IF(COUNTIFS($A$2:A1748,A1748,$B$2:B1748,B1748,$E$2:E1748,E1748)&gt;1,"Possible duplicate","")))</f>
        <v/>
      </c>
    </row>
    <row r="1749" spans="3:14" x14ac:dyDescent="0.3">
      <c r="C1749" s="16"/>
      <c r="G1749" s="5" t="str">
        <f t="shared" si="135"/>
        <v/>
      </c>
      <c r="H1749" t="str">
        <f>IF(A1749="","",IFERROR(_xlfn.XLOOKUP(D1749,Setup!$E$15:$E$79,Setup!$F$15:$F$79),"Miscellaneous"))</f>
        <v/>
      </c>
      <c r="I1749" t="str">
        <f>IF(A1749="","",IFERROR(_xlfn.XLOOKUP(D1749,Setup!$E$15:$E$79,Setup!$G$15:$G$79),"Uncategorized"))</f>
        <v/>
      </c>
      <c r="J1749" t="str">
        <f t="shared" si="136"/>
        <v/>
      </c>
      <c r="K1749" s="4" t="str">
        <f t="shared" si="137"/>
        <v/>
      </c>
      <c r="L1749" s="47">
        <f t="shared" si="138"/>
        <v>0</v>
      </c>
      <c r="M1749" s="47">
        <f t="shared" si="139"/>
        <v>0</v>
      </c>
      <c r="N1749" t="str">
        <f>IF(A1749="","",IF(D1749="Category Pending","Needs categorization",IF(COUNTIFS($A$2:A1749,A1749,$B$2:B1749,B1749,$E$2:E1749,E1749)&gt;1,"Possible duplicate","")))</f>
        <v/>
      </c>
    </row>
    <row r="1750" spans="3:14" x14ac:dyDescent="0.3">
      <c r="C1750" s="16"/>
      <c r="G1750" s="5" t="str">
        <f t="shared" si="135"/>
        <v/>
      </c>
      <c r="H1750" t="str">
        <f>IF(A1750="","",IFERROR(_xlfn.XLOOKUP(D1750,Setup!$E$15:$E$79,Setup!$F$15:$F$79),"Miscellaneous"))</f>
        <v/>
      </c>
      <c r="I1750" t="str">
        <f>IF(A1750="","",IFERROR(_xlfn.XLOOKUP(D1750,Setup!$E$15:$E$79,Setup!$G$15:$G$79),"Uncategorized"))</f>
        <v/>
      </c>
      <c r="J1750" t="str">
        <f t="shared" si="136"/>
        <v/>
      </c>
      <c r="K1750" s="4" t="str">
        <f t="shared" si="137"/>
        <v/>
      </c>
      <c r="L1750" s="47">
        <f t="shared" si="138"/>
        <v>0</v>
      </c>
      <c r="M1750" s="47">
        <f t="shared" si="139"/>
        <v>0</v>
      </c>
      <c r="N1750" t="str">
        <f>IF(A1750="","",IF(D1750="Category Pending","Needs categorization",IF(COUNTIFS($A$2:A1750,A1750,$B$2:B1750,B1750,$E$2:E1750,E1750)&gt;1,"Possible duplicate","")))</f>
        <v/>
      </c>
    </row>
    <row r="1751" spans="3:14" x14ac:dyDescent="0.3">
      <c r="C1751" s="16"/>
      <c r="G1751" s="5" t="str">
        <f t="shared" si="135"/>
        <v/>
      </c>
      <c r="H1751" t="str">
        <f>IF(A1751="","",IFERROR(_xlfn.XLOOKUP(D1751,Setup!$E$15:$E$79,Setup!$F$15:$F$79),"Miscellaneous"))</f>
        <v/>
      </c>
      <c r="I1751" t="str">
        <f>IF(A1751="","",IFERROR(_xlfn.XLOOKUP(D1751,Setup!$E$15:$E$79,Setup!$G$15:$G$79),"Uncategorized"))</f>
        <v/>
      </c>
      <c r="J1751" t="str">
        <f t="shared" si="136"/>
        <v/>
      </c>
      <c r="K1751" s="4" t="str">
        <f t="shared" si="137"/>
        <v/>
      </c>
      <c r="L1751" s="47">
        <f t="shared" si="138"/>
        <v>0</v>
      </c>
      <c r="M1751" s="47">
        <f t="shared" si="139"/>
        <v>0</v>
      </c>
      <c r="N1751" t="str">
        <f>IF(A1751="","",IF(D1751="Category Pending","Needs categorization",IF(COUNTIFS($A$2:A1751,A1751,$B$2:B1751,B1751,$E$2:E1751,E1751)&gt;1,"Possible duplicate","")))</f>
        <v/>
      </c>
    </row>
    <row r="1752" spans="3:14" x14ac:dyDescent="0.3">
      <c r="C1752" s="16"/>
      <c r="G1752" s="5" t="str">
        <f t="shared" si="135"/>
        <v/>
      </c>
      <c r="H1752" t="str">
        <f>IF(A1752="","",IFERROR(_xlfn.XLOOKUP(D1752,Setup!$E$15:$E$79,Setup!$F$15:$F$79),"Miscellaneous"))</f>
        <v/>
      </c>
      <c r="I1752" t="str">
        <f>IF(A1752="","",IFERROR(_xlfn.XLOOKUP(D1752,Setup!$E$15:$E$79,Setup!$G$15:$G$79),"Uncategorized"))</f>
        <v/>
      </c>
      <c r="J1752" t="str">
        <f t="shared" si="136"/>
        <v/>
      </c>
      <c r="K1752" s="4" t="str">
        <f t="shared" si="137"/>
        <v/>
      </c>
      <c r="L1752" s="47">
        <f t="shared" si="138"/>
        <v>0</v>
      </c>
      <c r="M1752" s="47">
        <f t="shared" si="139"/>
        <v>0</v>
      </c>
      <c r="N1752" t="str">
        <f>IF(A1752="","",IF(D1752="Category Pending","Needs categorization",IF(COUNTIFS($A$2:A1752,A1752,$B$2:B1752,B1752,$E$2:E1752,E1752)&gt;1,"Possible duplicate","")))</f>
        <v/>
      </c>
    </row>
    <row r="1753" spans="3:14" x14ac:dyDescent="0.3">
      <c r="C1753" s="16"/>
      <c r="G1753" s="5" t="str">
        <f t="shared" si="135"/>
        <v/>
      </c>
      <c r="H1753" t="str">
        <f>IF(A1753="","",IFERROR(_xlfn.XLOOKUP(D1753,Setup!$E$15:$E$79,Setup!$F$15:$F$79),"Miscellaneous"))</f>
        <v/>
      </c>
      <c r="I1753" t="str">
        <f>IF(A1753="","",IFERROR(_xlfn.XLOOKUP(D1753,Setup!$E$15:$E$79,Setup!$G$15:$G$79),"Uncategorized"))</f>
        <v/>
      </c>
      <c r="J1753" t="str">
        <f t="shared" si="136"/>
        <v/>
      </c>
      <c r="K1753" s="4" t="str">
        <f t="shared" si="137"/>
        <v/>
      </c>
      <c r="L1753" s="47">
        <f t="shared" si="138"/>
        <v>0</v>
      </c>
      <c r="M1753" s="47">
        <f t="shared" si="139"/>
        <v>0</v>
      </c>
      <c r="N1753" t="str">
        <f>IF(A1753="","",IF(D1753="Category Pending","Needs categorization",IF(COUNTIFS($A$2:A1753,A1753,$B$2:B1753,B1753,$E$2:E1753,E1753)&gt;1,"Possible duplicate","")))</f>
        <v/>
      </c>
    </row>
    <row r="1754" spans="3:14" x14ac:dyDescent="0.3">
      <c r="C1754" s="16"/>
      <c r="G1754" s="5" t="str">
        <f t="shared" si="135"/>
        <v/>
      </c>
      <c r="H1754" t="str">
        <f>IF(A1754="","",IFERROR(_xlfn.XLOOKUP(D1754,Setup!$E$15:$E$79,Setup!$F$15:$F$79),"Miscellaneous"))</f>
        <v/>
      </c>
      <c r="I1754" t="str">
        <f>IF(A1754="","",IFERROR(_xlfn.XLOOKUP(D1754,Setup!$E$15:$E$79,Setup!$G$15:$G$79),"Uncategorized"))</f>
        <v/>
      </c>
      <c r="J1754" t="str">
        <f t="shared" si="136"/>
        <v/>
      </c>
      <c r="K1754" s="4" t="str">
        <f t="shared" si="137"/>
        <v/>
      </c>
      <c r="L1754" s="47">
        <f t="shared" si="138"/>
        <v>0</v>
      </c>
      <c r="M1754" s="47">
        <f t="shared" si="139"/>
        <v>0</v>
      </c>
      <c r="N1754" t="str">
        <f>IF(A1754="","",IF(D1754="Category Pending","Needs categorization",IF(COUNTIFS($A$2:A1754,A1754,$B$2:B1754,B1754,$E$2:E1754,E1754)&gt;1,"Possible duplicate","")))</f>
        <v/>
      </c>
    </row>
    <row r="1755" spans="3:14" x14ac:dyDescent="0.3">
      <c r="C1755" s="16"/>
      <c r="G1755" s="5" t="str">
        <f t="shared" si="135"/>
        <v/>
      </c>
      <c r="H1755" t="str">
        <f>IF(A1755="","",IFERROR(_xlfn.XLOOKUP(D1755,Setup!$E$15:$E$79,Setup!$F$15:$F$79),"Miscellaneous"))</f>
        <v/>
      </c>
      <c r="I1755" t="str">
        <f>IF(A1755="","",IFERROR(_xlfn.XLOOKUP(D1755,Setup!$E$15:$E$79,Setup!$G$15:$G$79),"Uncategorized"))</f>
        <v/>
      </c>
      <c r="J1755" t="str">
        <f t="shared" si="136"/>
        <v/>
      </c>
      <c r="K1755" s="4" t="str">
        <f t="shared" si="137"/>
        <v/>
      </c>
      <c r="L1755" s="47">
        <f t="shared" si="138"/>
        <v>0</v>
      </c>
      <c r="M1755" s="47">
        <f t="shared" si="139"/>
        <v>0</v>
      </c>
      <c r="N1755" t="str">
        <f>IF(A1755="","",IF(D1755="Category Pending","Needs categorization",IF(COUNTIFS($A$2:A1755,A1755,$B$2:B1755,B1755,$E$2:E1755,E1755)&gt;1,"Possible duplicate","")))</f>
        <v/>
      </c>
    </row>
    <row r="1756" spans="3:14" x14ac:dyDescent="0.3">
      <c r="C1756" s="16"/>
      <c r="G1756" s="5" t="str">
        <f t="shared" si="135"/>
        <v/>
      </c>
      <c r="H1756" t="str">
        <f>IF(A1756="","",IFERROR(_xlfn.XLOOKUP(D1756,Setup!$E$15:$E$79,Setup!$F$15:$F$79),"Miscellaneous"))</f>
        <v/>
      </c>
      <c r="I1756" t="str">
        <f>IF(A1756="","",IFERROR(_xlfn.XLOOKUP(D1756,Setup!$E$15:$E$79,Setup!$G$15:$G$79),"Uncategorized"))</f>
        <v/>
      </c>
      <c r="J1756" t="str">
        <f t="shared" si="136"/>
        <v/>
      </c>
      <c r="K1756" s="4" t="str">
        <f t="shared" si="137"/>
        <v/>
      </c>
      <c r="L1756" s="47">
        <f t="shared" si="138"/>
        <v>0</v>
      </c>
      <c r="M1756" s="47">
        <f t="shared" si="139"/>
        <v>0</v>
      </c>
      <c r="N1756" t="str">
        <f>IF(A1756="","",IF(D1756="Category Pending","Needs categorization",IF(COUNTIFS($A$2:A1756,A1756,$B$2:B1756,B1756,$E$2:E1756,E1756)&gt;1,"Possible duplicate","")))</f>
        <v/>
      </c>
    </row>
    <row r="1757" spans="3:14" x14ac:dyDescent="0.3">
      <c r="C1757" s="16"/>
      <c r="G1757" s="5" t="str">
        <f t="shared" si="135"/>
        <v/>
      </c>
      <c r="H1757" t="str">
        <f>IF(A1757="","",IFERROR(_xlfn.XLOOKUP(D1757,Setup!$E$15:$E$79,Setup!$F$15:$F$79),"Miscellaneous"))</f>
        <v/>
      </c>
      <c r="I1757" t="str">
        <f>IF(A1757="","",IFERROR(_xlfn.XLOOKUP(D1757,Setup!$E$15:$E$79,Setup!$G$15:$G$79),"Uncategorized"))</f>
        <v/>
      </c>
      <c r="J1757" t="str">
        <f t="shared" si="136"/>
        <v/>
      </c>
      <c r="K1757" s="4" t="str">
        <f t="shared" si="137"/>
        <v/>
      </c>
      <c r="L1757" s="47">
        <f t="shared" si="138"/>
        <v>0</v>
      </c>
      <c r="M1757" s="47">
        <f t="shared" si="139"/>
        <v>0</v>
      </c>
      <c r="N1757" t="str">
        <f>IF(A1757="","",IF(D1757="Category Pending","Needs categorization",IF(COUNTIFS($A$2:A1757,A1757,$B$2:B1757,B1757,$E$2:E1757,E1757)&gt;1,"Possible duplicate","")))</f>
        <v/>
      </c>
    </row>
    <row r="1758" spans="3:14" x14ac:dyDescent="0.3">
      <c r="C1758" s="16"/>
      <c r="G1758" s="5" t="str">
        <f t="shared" si="135"/>
        <v/>
      </c>
      <c r="H1758" t="str">
        <f>IF(A1758="","",IFERROR(_xlfn.XLOOKUP(D1758,Setup!$E$15:$E$79,Setup!$F$15:$F$79),"Miscellaneous"))</f>
        <v/>
      </c>
      <c r="I1758" t="str">
        <f>IF(A1758="","",IFERROR(_xlfn.XLOOKUP(D1758,Setup!$E$15:$E$79,Setup!$G$15:$G$79),"Uncategorized"))</f>
        <v/>
      </c>
      <c r="J1758" t="str">
        <f t="shared" si="136"/>
        <v/>
      </c>
      <c r="K1758" s="4" t="str">
        <f t="shared" si="137"/>
        <v/>
      </c>
      <c r="L1758" s="47">
        <f t="shared" si="138"/>
        <v>0</v>
      </c>
      <c r="M1758" s="47">
        <f t="shared" si="139"/>
        <v>0</v>
      </c>
      <c r="N1758" t="str">
        <f>IF(A1758="","",IF(D1758="Category Pending","Needs categorization",IF(COUNTIFS($A$2:A1758,A1758,$B$2:B1758,B1758,$E$2:E1758,E1758)&gt;1,"Possible duplicate","")))</f>
        <v/>
      </c>
    </row>
    <row r="1759" spans="3:14" x14ac:dyDescent="0.3">
      <c r="C1759" s="16"/>
      <c r="G1759" s="5" t="str">
        <f t="shared" si="135"/>
        <v/>
      </c>
      <c r="H1759" t="str">
        <f>IF(A1759="","",IFERROR(_xlfn.XLOOKUP(D1759,Setup!$E$15:$E$79,Setup!$F$15:$F$79),"Miscellaneous"))</f>
        <v/>
      </c>
      <c r="I1759" t="str">
        <f>IF(A1759="","",IFERROR(_xlfn.XLOOKUP(D1759,Setup!$E$15:$E$79,Setup!$G$15:$G$79),"Uncategorized"))</f>
        <v/>
      </c>
      <c r="J1759" t="str">
        <f t="shared" si="136"/>
        <v/>
      </c>
      <c r="K1759" s="4" t="str">
        <f t="shared" si="137"/>
        <v/>
      </c>
      <c r="L1759" s="47">
        <f t="shared" si="138"/>
        <v>0</v>
      </c>
      <c r="M1759" s="47">
        <f t="shared" si="139"/>
        <v>0</v>
      </c>
      <c r="N1759" t="str">
        <f>IF(A1759="","",IF(D1759="Category Pending","Needs categorization",IF(COUNTIFS($A$2:A1759,A1759,$B$2:B1759,B1759,$E$2:E1759,E1759)&gt;1,"Possible duplicate","")))</f>
        <v/>
      </c>
    </row>
    <row r="1760" spans="3:14" x14ac:dyDescent="0.3">
      <c r="C1760" s="16"/>
      <c r="G1760" s="5" t="str">
        <f t="shared" si="135"/>
        <v/>
      </c>
      <c r="H1760" t="str">
        <f>IF(A1760="","",IFERROR(_xlfn.XLOOKUP(D1760,Setup!$E$15:$E$79,Setup!$F$15:$F$79),"Miscellaneous"))</f>
        <v/>
      </c>
      <c r="I1760" t="str">
        <f>IF(A1760="","",IFERROR(_xlfn.XLOOKUP(D1760,Setup!$E$15:$E$79,Setup!$G$15:$G$79),"Uncategorized"))</f>
        <v/>
      </c>
      <c r="J1760" t="str">
        <f t="shared" si="136"/>
        <v/>
      </c>
      <c r="K1760" s="4" t="str">
        <f t="shared" si="137"/>
        <v/>
      </c>
      <c r="L1760" s="47">
        <f t="shared" si="138"/>
        <v>0</v>
      </c>
      <c r="M1760" s="47">
        <f t="shared" si="139"/>
        <v>0</v>
      </c>
      <c r="N1760" t="str">
        <f>IF(A1760="","",IF(D1760="Category Pending","Needs categorization",IF(COUNTIFS($A$2:A1760,A1760,$B$2:B1760,B1760,$E$2:E1760,E1760)&gt;1,"Possible duplicate","")))</f>
        <v/>
      </c>
    </row>
    <row r="1761" spans="3:14" x14ac:dyDescent="0.3">
      <c r="C1761" s="16"/>
      <c r="G1761" s="5" t="str">
        <f t="shared" ref="G1761:G1824" si="140">IF(A1761="","","Checking")</f>
        <v/>
      </c>
      <c r="H1761" t="str">
        <f>IF(A1761="","",IFERROR(_xlfn.XLOOKUP(D1761,Setup!$E$15:$E$79,Setup!$F$15:$F$79),"Miscellaneous"))</f>
        <v/>
      </c>
      <c r="I1761" t="str">
        <f>IF(A1761="","",IFERROR(_xlfn.XLOOKUP(D1761,Setup!$E$15:$E$79,Setup!$G$15:$G$79),"Uncategorized"))</f>
        <v/>
      </c>
      <c r="J1761" t="str">
        <f t="shared" ref="J1761:J1824" si="141">IF(A1761="","",IF(OR(H1761="Transfers",H1761="Income",D1761="Transfer",D1761="Category Pending"),"No","Yes"))</f>
        <v/>
      </c>
      <c r="K1761" s="4" t="str">
        <f t="shared" ref="K1761:K1824" si="142">IF(A1761="","",IF(A1761&gt;=46232,TEXT(DATE(YEAR(A1761),MONTH(A1761)+1,1),"mmmm yyyy"),TEXT(DATE(YEAR(A1761),MONTH(A1761),1),"mmmm yyyy")))</f>
        <v/>
      </c>
      <c r="L1761" s="47">
        <f t="shared" ref="L1761:L1824" si="143">IF(AND(J1761="Yes",E1761&lt;0),-E1761,0)</f>
        <v>0</v>
      </c>
      <c r="M1761" s="47">
        <f t="shared" ref="M1761:M1824" si="144">IF(AND(J1761="Yes",E1761&gt;0),E1761,0)</f>
        <v>0</v>
      </c>
      <c r="N1761" t="str">
        <f>IF(A1761="","",IF(D1761="Category Pending","Needs categorization",IF(COUNTIFS($A$2:A1761,A1761,$B$2:B1761,B1761,$E$2:E1761,E1761)&gt;1,"Possible duplicate","")))</f>
        <v/>
      </c>
    </row>
    <row r="1762" spans="3:14" x14ac:dyDescent="0.3">
      <c r="C1762" s="16"/>
      <c r="G1762" s="5" t="str">
        <f t="shared" si="140"/>
        <v/>
      </c>
      <c r="H1762" t="str">
        <f>IF(A1762="","",IFERROR(_xlfn.XLOOKUP(D1762,Setup!$E$15:$E$79,Setup!$F$15:$F$79),"Miscellaneous"))</f>
        <v/>
      </c>
      <c r="I1762" t="str">
        <f>IF(A1762="","",IFERROR(_xlfn.XLOOKUP(D1762,Setup!$E$15:$E$79,Setup!$G$15:$G$79),"Uncategorized"))</f>
        <v/>
      </c>
      <c r="J1762" t="str">
        <f t="shared" si="141"/>
        <v/>
      </c>
      <c r="K1762" s="4" t="str">
        <f t="shared" si="142"/>
        <v/>
      </c>
      <c r="L1762" s="47">
        <f t="shared" si="143"/>
        <v>0</v>
      </c>
      <c r="M1762" s="47">
        <f t="shared" si="144"/>
        <v>0</v>
      </c>
      <c r="N1762" t="str">
        <f>IF(A1762="","",IF(D1762="Category Pending","Needs categorization",IF(COUNTIFS($A$2:A1762,A1762,$B$2:B1762,B1762,$E$2:E1762,E1762)&gt;1,"Possible duplicate","")))</f>
        <v/>
      </c>
    </row>
    <row r="1763" spans="3:14" x14ac:dyDescent="0.3">
      <c r="C1763" s="16"/>
      <c r="G1763" s="5" t="str">
        <f t="shared" si="140"/>
        <v/>
      </c>
      <c r="H1763" t="str">
        <f>IF(A1763="","",IFERROR(_xlfn.XLOOKUP(D1763,Setup!$E$15:$E$79,Setup!$F$15:$F$79),"Miscellaneous"))</f>
        <v/>
      </c>
      <c r="I1763" t="str">
        <f>IF(A1763="","",IFERROR(_xlfn.XLOOKUP(D1763,Setup!$E$15:$E$79,Setup!$G$15:$G$79),"Uncategorized"))</f>
        <v/>
      </c>
      <c r="J1763" t="str">
        <f t="shared" si="141"/>
        <v/>
      </c>
      <c r="K1763" s="4" t="str">
        <f t="shared" si="142"/>
        <v/>
      </c>
      <c r="L1763" s="47">
        <f t="shared" si="143"/>
        <v>0</v>
      </c>
      <c r="M1763" s="47">
        <f t="shared" si="144"/>
        <v>0</v>
      </c>
      <c r="N1763" t="str">
        <f>IF(A1763="","",IF(D1763="Category Pending","Needs categorization",IF(COUNTIFS($A$2:A1763,A1763,$B$2:B1763,B1763,$E$2:E1763,E1763)&gt;1,"Possible duplicate","")))</f>
        <v/>
      </c>
    </row>
    <row r="1764" spans="3:14" x14ac:dyDescent="0.3">
      <c r="C1764" s="16"/>
      <c r="G1764" s="5" t="str">
        <f t="shared" si="140"/>
        <v/>
      </c>
      <c r="H1764" t="str">
        <f>IF(A1764="","",IFERROR(_xlfn.XLOOKUP(D1764,Setup!$E$15:$E$79,Setup!$F$15:$F$79),"Miscellaneous"))</f>
        <v/>
      </c>
      <c r="I1764" t="str">
        <f>IF(A1764="","",IFERROR(_xlfn.XLOOKUP(D1764,Setup!$E$15:$E$79,Setup!$G$15:$G$79),"Uncategorized"))</f>
        <v/>
      </c>
      <c r="J1764" t="str">
        <f t="shared" si="141"/>
        <v/>
      </c>
      <c r="K1764" s="4" t="str">
        <f t="shared" si="142"/>
        <v/>
      </c>
      <c r="L1764" s="47">
        <f t="shared" si="143"/>
        <v>0</v>
      </c>
      <c r="M1764" s="47">
        <f t="shared" si="144"/>
        <v>0</v>
      </c>
      <c r="N1764" t="str">
        <f>IF(A1764="","",IF(D1764="Category Pending","Needs categorization",IF(COUNTIFS($A$2:A1764,A1764,$B$2:B1764,B1764,$E$2:E1764,E1764)&gt;1,"Possible duplicate","")))</f>
        <v/>
      </c>
    </row>
    <row r="1765" spans="3:14" x14ac:dyDescent="0.3">
      <c r="C1765" s="16"/>
      <c r="G1765" s="5" t="str">
        <f t="shared" si="140"/>
        <v/>
      </c>
      <c r="H1765" t="str">
        <f>IF(A1765="","",IFERROR(_xlfn.XLOOKUP(D1765,Setup!$E$15:$E$79,Setup!$F$15:$F$79),"Miscellaneous"))</f>
        <v/>
      </c>
      <c r="I1765" t="str">
        <f>IF(A1765="","",IFERROR(_xlfn.XLOOKUP(D1765,Setup!$E$15:$E$79,Setup!$G$15:$G$79),"Uncategorized"))</f>
        <v/>
      </c>
      <c r="J1765" t="str">
        <f t="shared" si="141"/>
        <v/>
      </c>
      <c r="K1765" s="4" t="str">
        <f t="shared" si="142"/>
        <v/>
      </c>
      <c r="L1765" s="47">
        <f t="shared" si="143"/>
        <v>0</v>
      </c>
      <c r="M1765" s="47">
        <f t="shared" si="144"/>
        <v>0</v>
      </c>
      <c r="N1765" t="str">
        <f>IF(A1765="","",IF(D1765="Category Pending","Needs categorization",IF(COUNTIFS($A$2:A1765,A1765,$B$2:B1765,B1765,$E$2:E1765,E1765)&gt;1,"Possible duplicate","")))</f>
        <v/>
      </c>
    </row>
    <row r="1766" spans="3:14" x14ac:dyDescent="0.3">
      <c r="C1766" s="16"/>
      <c r="G1766" s="5" t="str">
        <f t="shared" si="140"/>
        <v/>
      </c>
      <c r="H1766" t="str">
        <f>IF(A1766="","",IFERROR(_xlfn.XLOOKUP(D1766,Setup!$E$15:$E$79,Setup!$F$15:$F$79),"Miscellaneous"))</f>
        <v/>
      </c>
      <c r="I1766" t="str">
        <f>IF(A1766="","",IFERROR(_xlfn.XLOOKUP(D1766,Setup!$E$15:$E$79,Setup!$G$15:$G$79),"Uncategorized"))</f>
        <v/>
      </c>
      <c r="J1766" t="str">
        <f t="shared" si="141"/>
        <v/>
      </c>
      <c r="K1766" s="4" t="str">
        <f t="shared" si="142"/>
        <v/>
      </c>
      <c r="L1766" s="47">
        <f t="shared" si="143"/>
        <v>0</v>
      </c>
      <c r="M1766" s="47">
        <f t="shared" si="144"/>
        <v>0</v>
      </c>
      <c r="N1766" t="str">
        <f>IF(A1766="","",IF(D1766="Category Pending","Needs categorization",IF(COUNTIFS($A$2:A1766,A1766,$B$2:B1766,B1766,$E$2:E1766,E1766)&gt;1,"Possible duplicate","")))</f>
        <v/>
      </c>
    </row>
    <row r="1767" spans="3:14" x14ac:dyDescent="0.3">
      <c r="C1767" s="16"/>
      <c r="G1767" s="5" t="str">
        <f t="shared" si="140"/>
        <v/>
      </c>
      <c r="H1767" t="str">
        <f>IF(A1767="","",IFERROR(_xlfn.XLOOKUP(D1767,Setup!$E$15:$E$79,Setup!$F$15:$F$79),"Miscellaneous"))</f>
        <v/>
      </c>
      <c r="I1767" t="str">
        <f>IF(A1767="","",IFERROR(_xlfn.XLOOKUP(D1767,Setup!$E$15:$E$79,Setup!$G$15:$G$79),"Uncategorized"))</f>
        <v/>
      </c>
      <c r="J1767" t="str">
        <f t="shared" si="141"/>
        <v/>
      </c>
      <c r="K1767" s="4" t="str">
        <f t="shared" si="142"/>
        <v/>
      </c>
      <c r="L1767" s="47">
        <f t="shared" si="143"/>
        <v>0</v>
      </c>
      <c r="M1767" s="47">
        <f t="shared" si="144"/>
        <v>0</v>
      </c>
      <c r="N1767" t="str">
        <f>IF(A1767="","",IF(D1767="Category Pending","Needs categorization",IF(COUNTIFS($A$2:A1767,A1767,$B$2:B1767,B1767,$E$2:E1767,E1767)&gt;1,"Possible duplicate","")))</f>
        <v/>
      </c>
    </row>
    <row r="1768" spans="3:14" x14ac:dyDescent="0.3">
      <c r="C1768" s="16"/>
      <c r="G1768" s="5" t="str">
        <f t="shared" si="140"/>
        <v/>
      </c>
      <c r="H1768" t="str">
        <f>IF(A1768="","",IFERROR(_xlfn.XLOOKUP(D1768,Setup!$E$15:$E$79,Setup!$F$15:$F$79),"Miscellaneous"))</f>
        <v/>
      </c>
      <c r="I1768" t="str">
        <f>IF(A1768="","",IFERROR(_xlfn.XLOOKUP(D1768,Setup!$E$15:$E$79,Setup!$G$15:$G$79),"Uncategorized"))</f>
        <v/>
      </c>
      <c r="J1768" t="str">
        <f t="shared" si="141"/>
        <v/>
      </c>
      <c r="K1768" s="4" t="str">
        <f t="shared" si="142"/>
        <v/>
      </c>
      <c r="L1768" s="47">
        <f t="shared" si="143"/>
        <v>0</v>
      </c>
      <c r="M1768" s="47">
        <f t="shared" si="144"/>
        <v>0</v>
      </c>
      <c r="N1768" t="str">
        <f>IF(A1768="","",IF(D1768="Category Pending","Needs categorization",IF(COUNTIFS($A$2:A1768,A1768,$B$2:B1768,B1768,$E$2:E1768,E1768)&gt;1,"Possible duplicate","")))</f>
        <v/>
      </c>
    </row>
    <row r="1769" spans="3:14" x14ac:dyDescent="0.3">
      <c r="C1769" s="16"/>
      <c r="G1769" s="5" t="str">
        <f t="shared" si="140"/>
        <v/>
      </c>
      <c r="H1769" t="str">
        <f>IF(A1769="","",IFERROR(_xlfn.XLOOKUP(D1769,Setup!$E$15:$E$79,Setup!$F$15:$F$79),"Miscellaneous"))</f>
        <v/>
      </c>
      <c r="I1769" t="str">
        <f>IF(A1769="","",IFERROR(_xlfn.XLOOKUP(D1769,Setup!$E$15:$E$79,Setup!$G$15:$G$79),"Uncategorized"))</f>
        <v/>
      </c>
      <c r="J1769" t="str">
        <f t="shared" si="141"/>
        <v/>
      </c>
      <c r="K1769" s="4" t="str">
        <f t="shared" si="142"/>
        <v/>
      </c>
      <c r="L1769" s="47">
        <f t="shared" si="143"/>
        <v>0</v>
      </c>
      <c r="M1769" s="47">
        <f t="shared" si="144"/>
        <v>0</v>
      </c>
      <c r="N1769" t="str">
        <f>IF(A1769="","",IF(D1769="Category Pending","Needs categorization",IF(COUNTIFS($A$2:A1769,A1769,$B$2:B1769,B1769,$E$2:E1769,E1769)&gt;1,"Possible duplicate","")))</f>
        <v/>
      </c>
    </row>
    <row r="1770" spans="3:14" x14ac:dyDescent="0.3">
      <c r="C1770" s="16"/>
      <c r="G1770" s="5" t="str">
        <f t="shared" si="140"/>
        <v/>
      </c>
      <c r="H1770" t="str">
        <f>IF(A1770="","",IFERROR(_xlfn.XLOOKUP(D1770,Setup!$E$15:$E$79,Setup!$F$15:$F$79),"Miscellaneous"))</f>
        <v/>
      </c>
      <c r="I1770" t="str">
        <f>IF(A1770="","",IFERROR(_xlfn.XLOOKUP(D1770,Setup!$E$15:$E$79,Setup!$G$15:$G$79),"Uncategorized"))</f>
        <v/>
      </c>
      <c r="J1770" t="str">
        <f t="shared" si="141"/>
        <v/>
      </c>
      <c r="K1770" s="4" t="str">
        <f t="shared" si="142"/>
        <v/>
      </c>
      <c r="L1770" s="47">
        <f t="shared" si="143"/>
        <v>0</v>
      </c>
      <c r="M1770" s="47">
        <f t="shared" si="144"/>
        <v>0</v>
      </c>
      <c r="N1770" t="str">
        <f>IF(A1770="","",IF(D1770="Category Pending","Needs categorization",IF(COUNTIFS($A$2:A1770,A1770,$B$2:B1770,B1770,$E$2:E1770,E1770)&gt;1,"Possible duplicate","")))</f>
        <v/>
      </c>
    </row>
    <row r="1771" spans="3:14" x14ac:dyDescent="0.3">
      <c r="C1771" s="16"/>
      <c r="G1771" s="5" t="str">
        <f t="shared" si="140"/>
        <v/>
      </c>
      <c r="H1771" t="str">
        <f>IF(A1771="","",IFERROR(_xlfn.XLOOKUP(D1771,Setup!$E$15:$E$79,Setup!$F$15:$F$79),"Miscellaneous"))</f>
        <v/>
      </c>
      <c r="I1771" t="str">
        <f>IF(A1771="","",IFERROR(_xlfn.XLOOKUP(D1771,Setup!$E$15:$E$79,Setup!$G$15:$G$79),"Uncategorized"))</f>
        <v/>
      </c>
      <c r="J1771" t="str">
        <f t="shared" si="141"/>
        <v/>
      </c>
      <c r="K1771" s="4" t="str">
        <f t="shared" si="142"/>
        <v/>
      </c>
      <c r="L1771" s="47">
        <f t="shared" si="143"/>
        <v>0</v>
      </c>
      <c r="M1771" s="47">
        <f t="shared" si="144"/>
        <v>0</v>
      </c>
      <c r="N1771" t="str">
        <f>IF(A1771="","",IF(D1771="Category Pending","Needs categorization",IF(COUNTIFS($A$2:A1771,A1771,$B$2:B1771,B1771,$E$2:E1771,E1771)&gt;1,"Possible duplicate","")))</f>
        <v/>
      </c>
    </row>
    <row r="1772" spans="3:14" x14ac:dyDescent="0.3">
      <c r="C1772" s="16"/>
      <c r="G1772" s="5" t="str">
        <f t="shared" si="140"/>
        <v/>
      </c>
      <c r="H1772" t="str">
        <f>IF(A1772="","",IFERROR(_xlfn.XLOOKUP(D1772,Setup!$E$15:$E$79,Setup!$F$15:$F$79),"Miscellaneous"))</f>
        <v/>
      </c>
      <c r="I1772" t="str">
        <f>IF(A1772="","",IFERROR(_xlfn.XLOOKUP(D1772,Setup!$E$15:$E$79,Setup!$G$15:$G$79),"Uncategorized"))</f>
        <v/>
      </c>
      <c r="J1772" t="str">
        <f t="shared" si="141"/>
        <v/>
      </c>
      <c r="K1772" s="4" t="str">
        <f t="shared" si="142"/>
        <v/>
      </c>
      <c r="L1772" s="47">
        <f t="shared" si="143"/>
        <v>0</v>
      </c>
      <c r="M1772" s="47">
        <f t="shared" si="144"/>
        <v>0</v>
      </c>
      <c r="N1772" t="str">
        <f>IF(A1772="","",IF(D1772="Category Pending","Needs categorization",IF(COUNTIFS($A$2:A1772,A1772,$B$2:B1772,B1772,$E$2:E1772,E1772)&gt;1,"Possible duplicate","")))</f>
        <v/>
      </c>
    </row>
    <row r="1773" spans="3:14" x14ac:dyDescent="0.3">
      <c r="C1773" s="16"/>
      <c r="G1773" s="5" t="str">
        <f t="shared" si="140"/>
        <v/>
      </c>
      <c r="H1773" t="str">
        <f>IF(A1773="","",IFERROR(_xlfn.XLOOKUP(D1773,Setup!$E$15:$E$79,Setup!$F$15:$F$79),"Miscellaneous"))</f>
        <v/>
      </c>
      <c r="I1773" t="str">
        <f>IF(A1773="","",IFERROR(_xlfn.XLOOKUP(D1773,Setup!$E$15:$E$79,Setup!$G$15:$G$79),"Uncategorized"))</f>
        <v/>
      </c>
      <c r="J1773" t="str">
        <f t="shared" si="141"/>
        <v/>
      </c>
      <c r="K1773" s="4" t="str">
        <f t="shared" si="142"/>
        <v/>
      </c>
      <c r="L1773" s="47">
        <f t="shared" si="143"/>
        <v>0</v>
      </c>
      <c r="M1773" s="47">
        <f t="shared" si="144"/>
        <v>0</v>
      </c>
      <c r="N1773" t="str">
        <f>IF(A1773="","",IF(D1773="Category Pending","Needs categorization",IF(COUNTIFS($A$2:A1773,A1773,$B$2:B1773,B1773,$E$2:E1773,E1773)&gt;1,"Possible duplicate","")))</f>
        <v/>
      </c>
    </row>
    <row r="1774" spans="3:14" x14ac:dyDescent="0.3">
      <c r="C1774" s="16"/>
      <c r="G1774" s="5" t="str">
        <f t="shared" si="140"/>
        <v/>
      </c>
      <c r="H1774" t="str">
        <f>IF(A1774="","",IFERROR(_xlfn.XLOOKUP(D1774,Setup!$E$15:$E$79,Setup!$F$15:$F$79),"Miscellaneous"))</f>
        <v/>
      </c>
      <c r="I1774" t="str">
        <f>IF(A1774="","",IFERROR(_xlfn.XLOOKUP(D1774,Setup!$E$15:$E$79,Setup!$G$15:$G$79),"Uncategorized"))</f>
        <v/>
      </c>
      <c r="J1774" t="str">
        <f t="shared" si="141"/>
        <v/>
      </c>
      <c r="K1774" s="4" t="str">
        <f t="shared" si="142"/>
        <v/>
      </c>
      <c r="L1774" s="47">
        <f t="shared" si="143"/>
        <v>0</v>
      </c>
      <c r="M1774" s="47">
        <f t="shared" si="144"/>
        <v>0</v>
      </c>
      <c r="N1774" t="str">
        <f>IF(A1774="","",IF(D1774="Category Pending","Needs categorization",IF(COUNTIFS($A$2:A1774,A1774,$B$2:B1774,B1774,$E$2:E1774,E1774)&gt;1,"Possible duplicate","")))</f>
        <v/>
      </c>
    </row>
    <row r="1775" spans="3:14" x14ac:dyDescent="0.3">
      <c r="C1775" s="16"/>
      <c r="G1775" s="5" t="str">
        <f t="shared" si="140"/>
        <v/>
      </c>
      <c r="H1775" t="str">
        <f>IF(A1775="","",IFERROR(_xlfn.XLOOKUP(D1775,Setup!$E$15:$E$79,Setup!$F$15:$F$79),"Miscellaneous"))</f>
        <v/>
      </c>
      <c r="I1775" t="str">
        <f>IF(A1775="","",IFERROR(_xlfn.XLOOKUP(D1775,Setup!$E$15:$E$79,Setup!$G$15:$G$79),"Uncategorized"))</f>
        <v/>
      </c>
      <c r="J1775" t="str">
        <f t="shared" si="141"/>
        <v/>
      </c>
      <c r="K1775" s="4" t="str">
        <f t="shared" si="142"/>
        <v/>
      </c>
      <c r="L1775" s="47">
        <f t="shared" si="143"/>
        <v>0</v>
      </c>
      <c r="M1775" s="47">
        <f t="shared" si="144"/>
        <v>0</v>
      </c>
      <c r="N1775" t="str">
        <f>IF(A1775="","",IF(D1775="Category Pending","Needs categorization",IF(COUNTIFS($A$2:A1775,A1775,$B$2:B1775,B1775,$E$2:E1775,E1775)&gt;1,"Possible duplicate","")))</f>
        <v/>
      </c>
    </row>
    <row r="1776" spans="3:14" x14ac:dyDescent="0.3">
      <c r="C1776" s="16"/>
      <c r="G1776" s="5" t="str">
        <f t="shared" si="140"/>
        <v/>
      </c>
      <c r="H1776" t="str">
        <f>IF(A1776="","",IFERROR(_xlfn.XLOOKUP(D1776,Setup!$E$15:$E$79,Setup!$F$15:$F$79),"Miscellaneous"))</f>
        <v/>
      </c>
      <c r="I1776" t="str">
        <f>IF(A1776="","",IFERROR(_xlfn.XLOOKUP(D1776,Setup!$E$15:$E$79,Setup!$G$15:$G$79),"Uncategorized"))</f>
        <v/>
      </c>
      <c r="J1776" t="str">
        <f t="shared" si="141"/>
        <v/>
      </c>
      <c r="K1776" s="4" t="str">
        <f t="shared" si="142"/>
        <v/>
      </c>
      <c r="L1776" s="47">
        <f t="shared" si="143"/>
        <v>0</v>
      </c>
      <c r="M1776" s="47">
        <f t="shared" si="144"/>
        <v>0</v>
      </c>
      <c r="N1776" t="str">
        <f>IF(A1776="","",IF(D1776="Category Pending","Needs categorization",IF(COUNTIFS($A$2:A1776,A1776,$B$2:B1776,B1776,$E$2:E1776,E1776)&gt;1,"Possible duplicate","")))</f>
        <v/>
      </c>
    </row>
    <row r="1777" spans="3:14" x14ac:dyDescent="0.3">
      <c r="C1777" s="16"/>
      <c r="G1777" s="5" t="str">
        <f t="shared" si="140"/>
        <v/>
      </c>
      <c r="H1777" t="str">
        <f>IF(A1777="","",IFERROR(_xlfn.XLOOKUP(D1777,Setup!$E$15:$E$79,Setup!$F$15:$F$79),"Miscellaneous"))</f>
        <v/>
      </c>
      <c r="I1777" t="str">
        <f>IF(A1777="","",IFERROR(_xlfn.XLOOKUP(D1777,Setup!$E$15:$E$79,Setup!$G$15:$G$79),"Uncategorized"))</f>
        <v/>
      </c>
      <c r="J1777" t="str">
        <f t="shared" si="141"/>
        <v/>
      </c>
      <c r="K1777" s="4" t="str">
        <f t="shared" si="142"/>
        <v/>
      </c>
      <c r="L1777" s="47">
        <f t="shared" si="143"/>
        <v>0</v>
      </c>
      <c r="M1777" s="47">
        <f t="shared" si="144"/>
        <v>0</v>
      </c>
      <c r="N1777" t="str">
        <f>IF(A1777="","",IF(D1777="Category Pending","Needs categorization",IF(COUNTIFS($A$2:A1777,A1777,$B$2:B1777,B1777,$E$2:E1777,E1777)&gt;1,"Possible duplicate","")))</f>
        <v/>
      </c>
    </row>
    <row r="1778" spans="3:14" x14ac:dyDescent="0.3">
      <c r="C1778" s="16"/>
      <c r="G1778" s="5" t="str">
        <f t="shared" si="140"/>
        <v/>
      </c>
      <c r="H1778" t="str">
        <f>IF(A1778="","",IFERROR(_xlfn.XLOOKUP(D1778,Setup!$E$15:$E$79,Setup!$F$15:$F$79),"Miscellaneous"))</f>
        <v/>
      </c>
      <c r="I1778" t="str">
        <f>IF(A1778="","",IFERROR(_xlfn.XLOOKUP(D1778,Setup!$E$15:$E$79,Setup!$G$15:$G$79),"Uncategorized"))</f>
        <v/>
      </c>
      <c r="J1778" t="str">
        <f t="shared" si="141"/>
        <v/>
      </c>
      <c r="K1778" s="4" t="str">
        <f t="shared" si="142"/>
        <v/>
      </c>
      <c r="L1778" s="47">
        <f t="shared" si="143"/>
        <v>0</v>
      </c>
      <c r="M1778" s="47">
        <f t="shared" si="144"/>
        <v>0</v>
      </c>
      <c r="N1778" t="str">
        <f>IF(A1778="","",IF(D1778="Category Pending","Needs categorization",IF(COUNTIFS($A$2:A1778,A1778,$B$2:B1778,B1778,$E$2:E1778,E1778)&gt;1,"Possible duplicate","")))</f>
        <v/>
      </c>
    </row>
    <row r="1779" spans="3:14" x14ac:dyDescent="0.3">
      <c r="C1779" s="16"/>
      <c r="G1779" s="5" t="str">
        <f t="shared" si="140"/>
        <v/>
      </c>
      <c r="H1779" t="str">
        <f>IF(A1779="","",IFERROR(_xlfn.XLOOKUP(D1779,Setup!$E$15:$E$79,Setup!$F$15:$F$79),"Miscellaneous"))</f>
        <v/>
      </c>
      <c r="I1779" t="str">
        <f>IF(A1779="","",IFERROR(_xlfn.XLOOKUP(D1779,Setup!$E$15:$E$79,Setup!$G$15:$G$79),"Uncategorized"))</f>
        <v/>
      </c>
      <c r="J1779" t="str">
        <f t="shared" si="141"/>
        <v/>
      </c>
      <c r="K1779" s="4" t="str">
        <f t="shared" si="142"/>
        <v/>
      </c>
      <c r="L1779" s="47">
        <f t="shared" si="143"/>
        <v>0</v>
      </c>
      <c r="M1779" s="47">
        <f t="shared" si="144"/>
        <v>0</v>
      </c>
      <c r="N1779" t="str">
        <f>IF(A1779="","",IF(D1779="Category Pending","Needs categorization",IF(COUNTIFS($A$2:A1779,A1779,$B$2:B1779,B1779,$E$2:E1779,E1779)&gt;1,"Possible duplicate","")))</f>
        <v/>
      </c>
    </row>
    <row r="1780" spans="3:14" x14ac:dyDescent="0.3">
      <c r="C1780" s="16"/>
      <c r="G1780" s="5" t="str">
        <f t="shared" si="140"/>
        <v/>
      </c>
      <c r="H1780" t="str">
        <f>IF(A1780="","",IFERROR(_xlfn.XLOOKUP(D1780,Setup!$E$15:$E$79,Setup!$F$15:$F$79),"Miscellaneous"))</f>
        <v/>
      </c>
      <c r="I1780" t="str">
        <f>IF(A1780="","",IFERROR(_xlfn.XLOOKUP(D1780,Setup!$E$15:$E$79,Setup!$G$15:$G$79),"Uncategorized"))</f>
        <v/>
      </c>
      <c r="J1780" t="str">
        <f t="shared" si="141"/>
        <v/>
      </c>
      <c r="K1780" s="4" t="str">
        <f t="shared" si="142"/>
        <v/>
      </c>
      <c r="L1780" s="47">
        <f t="shared" si="143"/>
        <v>0</v>
      </c>
      <c r="M1780" s="47">
        <f t="shared" si="144"/>
        <v>0</v>
      </c>
      <c r="N1780" t="str">
        <f>IF(A1780="","",IF(D1780="Category Pending","Needs categorization",IF(COUNTIFS($A$2:A1780,A1780,$B$2:B1780,B1780,$E$2:E1780,E1780)&gt;1,"Possible duplicate","")))</f>
        <v/>
      </c>
    </row>
    <row r="1781" spans="3:14" x14ac:dyDescent="0.3">
      <c r="C1781" s="16"/>
      <c r="G1781" s="5" t="str">
        <f t="shared" si="140"/>
        <v/>
      </c>
      <c r="H1781" t="str">
        <f>IF(A1781="","",IFERROR(_xlfn.XLOOKUP(D1781,Setup!$E$15:$E$79,Setup!$F$15:$F$79),"Miscellaneous"))</f>
        <v/>
      </c>
      <c r="I1781" t="str">
        <f>IF(A1781="","",IFERROR(_xlfn.XLOOKUP(D1781,Setup!$E$15:$E$79,Setup!$G$15:$G$79),"Uncategorized"))</f>
        <v/>
      </c>
      <c r="J1781" t="str">
        <f t="shared" si="141"/>
        <v/>
      </c>
      <c r="K1781" s="4" t="str">
        <f t="shared" si="142"/>
        <v/>
      </c>
      <c r="L1781" s="47">
        <f t="shared" si="143"/>
        <v>0</v>
      </c>
      <c r="M1781" s="47">
        <f t="shared" si="144"/>
        <v>0</v>
      </c>
      <c r="N1781" t="str">
        <f>IF(A1781="","",IF(D1781="Category Pending","Needs categorization",IF(COUNTIFS($A$2:A1781,A1781,$B$2:B1781,B1781,$E$2:E1781,E1781)&gt;1,"Possible duplicate","")))</f>
        <v/>
      </c>
    </row>
    <row r="1782" spans="3:14" x14ac:dyDescent="0.3">
      <c r="C1782" s="16"/>
      <c r="G1782" s="5" t="str">
        <f t="shared" si="140"/>
        <v/>
      </c>
      <c r="H1782" t="str">
        <f>IF(A1782="","",IFERROR(_xlfn.XLOOKUP(D1782,Setup!$E$15:$E$79,Setup!$F$15:$F$79),"Miscellaneous"))</f>
        <v/>
      </c>
      <c r="I1782" t="str">
        <f>IF(A1782="","",IFERROR(_xlfn.XLOOKUP(D1782,Setup!$E$15:$E$79,Setup!$G$15:$G$79),"Uncategorized"))</f>
        <v/>
      </c>
      <c r="J1782" t="str">
        <f t="shared" si="141"/>
        <v/>
      </c>
      <c r="K1782" s="4" t="str">
        <f t="shared" si="142"/>
        <v/>
      </c>
      <c r="L1782" s="47">
        <f t="shared" si="143"/>
        <v>0</v>
      </c>
      <c r="M1782" s="47">
        <f t="shared" si="144"/>
        <v>0</v>
      </c>
      <c r="N1782" t="str">
        <f>IF(A1782="","",IF(D1782="Category Pending","Needs categorization",IF(COUNTIFS($A$2:A1782,A1782,$B$2:B1782,B1782,$E$2:E1782,E1782)&gt;1,"Possible duplicate","")))</f>
        <v/>
      </c>
    </row>
    <row r="1783" spans="3:14" x14ac:dyDescent="0.3">
      <c r="C1783" s="16"/>
      <c r="G1783" s="5" t="str">
        <f t="shared" si="140"/>
        <v/>
      </c>
      <c r="H1783" t="str">
        <f>IF(A1783="","",IFERROR(_xlfn.XLOOKUP(D1783,Setup!$E$15:$E$79,Setup!$F$15:$F$79),"Miscellaneous"))</f>
        <v/>
      </c>
      <c r="I1783" t="str">
        <f>IF(A1783="","",IFERROR(_xlfn.XLOOKUP(D1783,Setup!$E$15:$E$79,Setup!$G$15:$G$79),"Uncategorized"))</f>
        <v/>
      </c>
      <c r="J1783" t="str">
        <f t="shared" si="141"/>
        <v/>
      </c>
      <c r="K1783" s="4" t="str">
        <f t="shared" si="142"/>
        <v/>
      </c>
      <c r="L1783" s="47">
        <f t="shared" si="143"/>
        <v>0</v>
      </c>
      <c r="M1783" s="47">
        <f t="shared" si="144"/>
        <v>0</v>
      </c>
      <c r="N1783" t="str">
        <f>IF(A1783="","",IF(D1783="Category Pending","Needs categorization",IF(COUNTIFS($A$2:A1783,A1783,$B$2:B1783,B1783,$E$2:E1783,E1783)&gt;1,"Possible duplicate","")))</f>
        <v/>
      </c>
    </row>
    <row r="1784" spans="3:14" x14ac:dyDescent="0.3">
      <c r="C1784" s="16"/>
      <c r="G1784" s="5" t="str">
        <f t="shared" si="140"/>
        <v/>
      </c>
      <c r="H1784" t="str">
        <f>IF(A1784="","",IFERROR(_xlfn.XLOOKUP(D1784,Setup!$E$15:$E$79,Setup!$F$15:$F$79),"Miscellaneous"))</f>
        <v/>
      </c>
      <c r="I1784" t="str">
        <f>IF(A1784="","",IFERROR(_xlfn.XLOOKUP(D1784,Setup!$E$15:$E$79,Setup!$G$15:$G$79),"Uncategorized"))</f>
        <v/>
      </c>
      <c r="J1784" t="str">
        <f t="shared" si="141"/>
        <v/>
      </c>
      <c r="K1784" s="4" t="str">
        <f t="shared" si="142"/>
        <v/>
      </c>
      <c r="L1784" s="47">
        <f t="shared" si="143"/>
        <v>0</v>
      </c>
      <c r="M1784" s="47">
        <f t="shared" si="144"/>
        <v>0</v>
      </c>
      <c r="N1784" t="str">
        <f>IF(A1784="","",IF(D1784="Category Pending","Needs categorization",IF(COUNTIFS($A$2:A1784,A1784,$B$2:B1784,B1784,$E$2:E1784,E1784)&gt;1,"Possible duplicate","")))</f>
        <v/>
      </c>
    </row>
    <row r="1785" spans="3:14" x14ac:dyDescent="0.3">
      <c r="C1785" s="16"/>
      <c r="G1785" s="5" t="str">
        <f t="shared" si="140"/>
        <v/>
      </c>
      <c r="H1785" t="str">
        <f>IF(A1785="","",IFERROR(_xlfn.XLOOKUP(D1785,Setup!$E$15:$E$79,Setup!$F$15:$F$79),"Miscellaneous"))</f>
        <v/>
      </c>
      <c r="I1785" t="str">
        <f>IF(A1785="","",IFERROR(_xlfn.XLOOKUP(D1785,Setup!$E$15:$E$79,Setup!$G$15:$G$79),"Uncategorized"))</f>
        <v/>
      </c>
      <c r="J1785" t="str">
        <f t="shared" si="141"/>
        <v/>
      </c>
      <c r="K1785" s="4" t="str">
        <f t="shared" si="142"/>
        <v/>
      </c>
      <c r="L1785" s="47">
        <f t="shared" si="143"/>
        <v>0</v>
      </c>
      <c r="M1785" s="47">
        <f t="shared" si="144"/>
        <v>0</v>
      </c>
      <c r="N1785" t="str">
        <f>IF(A1785="","",IF(D1785="Category Pending","Needs categorization",IF(COUNTIFS($A$2:A1785,A1785,$B$2:B1785,B1785,$E$2:E1785,E1785)&gt;1,"Possible duplicate","")))</f>
        <v/>
      </c>
    </row>
    <row r="1786" spans="3:14" x14ac:dyDescent="0.3">
      <c r="C1786" s="16"/>
      <c r="G1786" s="5" t="str">
        <f t="shared" si="140"/>
        <v/>
      </c>
      <c r="H1786" t="str">
        <f>IF(A1786="","",IFERROR(_xlfn.XLOOKUP(D1786,Setup!$E$15:$E$79,Setup!$F$15:$F$79),"Miscellaneous"))</f>
        <v/>
      </c>
      <c r="I1786" t="str">
        <f>IF(A1786="","",IFERROR(_xlfn.XLOOKUP(D1786,Setup!$E$15:$E$79,Setup!$G$15:$G$79),"Uncategorized"))</f>
        <v/>
      </c>
      <c r="J1786" t="str">
        <f t="shared" si="141"/>
        <v/>
      </c>
      <c r="K1786" s="4" t="str">
        <f t="shared" si="142"/>
        <v/>
      </c>
      <c r="L1786" s="47">
        <f t="shared" si="143"/>
        <v>0</v>
      </c>
      <c r="M1786" s="47">
        <f t="shared" si="144"/>
        <v>0</v>
      </c>
      <c r="N1786" t="str">
        <f>IF(A1786="","",IF(D1786="Category Pending","Needs categorization",IF(COUNTIFS($A$2:A1786,A1786,$B$2:B1786,B1786,$E$2:E1786,E1786)&gt;1,"Possible duplicate","")))</f>
        <v/>
      </c>
    </row>
    <row r="1787" spans="3:14" x14ac:dyDescent="0.3">
      <c r="C1787" s="16"/>
      <c r="G1787" s="5" t="str">
        <f t="shared" si="140"/>
        <v/>
      </c>
      <c r="H1787" t="str">
        <f>IF(A1787="","",IFERROR(_xlfn.XLOOKUP(D1787,Setup!$E$15:$E$79,Setup!$F$15:$F$79),"Miscellaneous"))</f>
        <v/>
      </c>
      <c r="I1787" t="str">
        <f>IF(A1787="","",IFERROR(_xlfn.XLOOKUP(D1787,Setup!$E$15:$E$79,Setup!$G$15:$G$79),"Uncategorized"))</f>
        <v/>
      </c>
      <c r="J1787" t="str">
        <f t="shared" si="141"/>
        <v/>
      </c>
      <c r="K1787" s="4" t="str">
        <f t="shared" si="142"/>
        <v/>
      </c>
      <c r="L1787" s="47">
        <f t="shared" si="143"/>
        <v>0</v>
      </c>
      <c r="M1787" s="47">
        <f t="shared" si="144"/>
        <v>0</v>
      </c>
      <c r="N1787" t="str">
        <f>IF(A1787="","",IF(D1787="Category Pending","Needs categorization",IF(COUNTIFS($A$2:A1787,A1787,$B$2:B1787,B1787,$E$2:E1787,E1787)&gt;1,"Possible duplicate","")))</f>
        <v/>
      </c>
    </row>
    <row r="1788" spans="3:14" x14ac:dyDescent="0.3">
      <c r="C1788" s="16"/>
      <c r="G1788" s="5" t="str">
        <f t="shared" si="140"/>
        <v/>
      </c>
      <c r="H1788" t="str">
        <f>IF(A1788="","",IFERROR(_xlfn.XLOOKUP(D1788,Setup!$E$15:$E$79,Setup!$F$15:$F$79),"Miscellaneous"))</f>
        <v/>
      </c>
      <c r="I1788" t="str">
        <f>IF(A1788="","",IFERROR(_xlfn.XLOOKUP(D1788,Setup!$E$15:$E$79,Setup!$G$15:$G$79),"Uncategorized"))</f>
        <v/>
      </c>
      <c r="J1788" t="str">
        <f t="shared" si="141"/>
        <v/>
      </c>
      <c r="K1788" s="4" t="str">
        <f t="shared" si="142"/>
        <v/>
      </c>
      <c r="L1788" s="47">
        <f t="shared" si="143"/>
        <v>0</v>
      </c>
      <c r="M1788" s="47">
        <f t="shared" si="144"/>
        <v>0</v>
      </c>
      <c r="N1788" t="str">
        <f>IF(A1788="","",IF(D1788="Category Pending","Needs categorization",IF(COUNTIFS($A$2:A1788,A1788,$B$2:B1788,B1788,$E$2:E1788,E1788)&gt;1,"Possible duplicate","")))</f>
        <v/>
      </c>
    </row>
    <row r="1789" spans="3:14" x14ac:dyDescent="0.3">
      <c r="C1789" s="16"/>
      <c r="G1789" s="5" t="str">
        <f t="shared" si="140"/>
        <v/>
      </c>
      <c r="H1789" t="str">
        <f>IF(A1789="","",IFERROR(_xlfn.XLOOKUP(D1789,Setup!$E$15:$E$79,Setup!$F$15:$F$79),"Miscellaneous"))</f>
        <v/>
      </c>
      <c r="I1789" t="str">
        <f>IF(A1789="","",IFERROR(_xlfn.XLOOKUP(D1789,Setup!$E$15:$E$79,Setup!$G$15:$G$79),"Uncategorized"))</f>
        <v/>
      </c>
      <c r="J1789" t="str">
        <f t="shared" si="141"/>
        <v/>
      </c>
      <c r="K1789" s="4" t="str">
        <f t="shared" si="142"/>
        <v/>
      </c>
      <c r="L1789" s="47">
        <f t="shared" si="143"/>
        <v>0</v>
      </c>
      <c r="M1789" s="47">
        <f t="shared" si="144"/>
        <v>0</v>
      </c>
      <c r="N1789" t="str">
        <f>IF(A1789="","",IF(D1789="Category Pending","Needs categorization",IF(COUNTIFS($A$2:A1789,A1789,$B$2:B1789,B1789,$E$2:E1789,E1789)&gt;1,"Possible duplicate","")))</f>
        <v/>
      </c>
    </row>
    <row r="1790" spans="3:14" x14ac:dyDescent="0.3">
      <c r="C1790" s="16"/>
      <c r="G1790" s="5" t="str">
        <f t="shared" si="140"/>
        <v/>
      </c>
      <c r="H1790" t="str">
        <f>IF(A1790="","",IFERROR(_xlfn.XLOOKUP(D1790,Setup!$E$15:$E$79,Setup!$F$15:$F$79),"Miscellaneous"))</f>
        <v/>
      </c>
      <c r="I1790" t="str">
        <f>IF(A1790="","",IFERROR(_xlfn.XLOOKUP(D1790,Setup!$E$15:$E$79,Setup!$G$15:$G$79),"Uncategorized"))</f>
        <v/>
      </c>
      <c r="J1790" t="str">
        <f t="shared" si="141"/>
        <v/>
      </c>
      <c r="K1790" s="4" t="str">
        <f t="shared" si="142"/>
        <v/>
      </c>
      <c r="L1790" s="47">
        <f t="shared" si="143"/>
        <v>0</v>
      </c>
      <c r="M1790" s="47">
        <f t="shared" si="144"/>
        <v>0</v>
      </c>
      <c r="N1790" t="str">
        <f>IF(A1790="","",IF(D1790="Category Pending","Needs categorization",IF(COUNTIFS($A$2:A1790,A1790,$B$2:B1790,B1790,$E$2:E1790,E1790)&gt;1,"Possible duplicate","")))</f>
        <v/>
      </c>
    </row>
    <row r="1791" spans="3:14" x14ac:dyDescent="0.3">
      <c r="C1791" s="16"/>
      <c r="G1791" s="5" t="str">
        <f t="shared" si="140"/>
        <v/>
      </c>
      <c r="H1791" t="str">
        <f>IF(A1791="","",IFERROR(_xlfn.XLOOKUP(D1791,Setup!$E$15:$E$79,Setup!$F$15:$F$79),"Miscellaneous"))</f>
        <v/>
      </c>
      <c r="I1791" t="str">
        <f>IF(A1791="","",IFERROR(_xlfn.XLOOKUP(D1791,Setup!$E$15:$E$79,Setup!$G$15:$G$79),"Uncategorized"))</f>
        <v/>
      </c>
      <c r="J1791" t="str">
        <f t="shared" si="141"/>
        <v/>
      </c>
      <c r="K1791" s="4" t="str">
        <f t="shared" si="142"/>
        <v/>
      </c>
      <c r="L1791" s="47">
        <f t="shared" si="143"/>
        <v>0</v>
      </c>
      <c r="M1791" s="47">
        <f t="shared" si="144"/>
        <v>0</v>
      </c>
      <c r="N1791" t="str">
        <f>IF(A1791="","",IF(D1791="Category Pending","Needs categorization",IF(COUNTIFS($A$2:A1791,A1791,$B$2:B1791,B1791,$E$2:E1791,E1791)&gt;1,"Possible duplicate","")))</f>
        <v/>
      </c>
    </row>
    <row r="1792" spans="3:14" x14ac:dyDescent="0.3">
      <c r="C1792" s="16"/>
      <c r="G1792" s="5" t="str">
        <f t="shared" si="140"/>
        <v/>
      </c>
      <c r="H1792" t="str">
        <f>IF(A1792="","",IFERROR(_xlfn.XLOOKUP(D1792,Setup!$E$15:$E$79,Setup!$F$15:$F$79),"Miscellaneous"))</f>
        <v/>
      </c>
      <c r="I1792" t="str">
        <f>IF(A1792="","",IFERROR(_xlfn.XLOOKUP(D1792,Setup!$E$15:$E$79,Setup!$G$15:$G$79),"Uncategorized"))</f>
        <v/>
      </c>
      <c r="J1792" t="str">
        <f t="shared" si="141"/>
        <v/>
      </c>
      <c r="K1792" s="4" t="str">
        <f t="shared" si="142"/>
        <v/>
      </c>
      <c r="L1792" s="47">
        <f t="shared" si="143"/>
        <v>0</v>
      </c>
      <c r="M1792" s="47">
        <f t="shared" si="144"/>
        <v>0</v>
      </c>
      <c r="N1792" t="str">
        <f>IF(A1792="","",IF(D1792="Category Pending","Needs categorization",IF(COUNTIFS($A$2:A1792,A1792,$B$2:B1792,B1792,$E$2:E1792,E1792)&gt;1,"Possible duplicate","")))</f>
        <v/>
      </c>
    </row>
    <row r="1793" spans="3:14" x14ac:dyDescent="0.3">
      <c r="C1793" s="16"/>
      <c r="G1793" s="5" t="str">
        <f t="shared" si="140"/>
        <v/>
      </c>
      <c r="H1793" t="str">
        <f>IF(A1793="","",IFERROR(_xlfn.XLOOKUP(D1793,Setup!$E$15:$E$79,Setup!$F$15:$F$79),"Miscellaneous"))</f>
        <v/>
      </c>
      <c r="I1793" t="str">
        <f>IF(A1793="","",IFERROR(_xlfn.XLOOKUP(D1793,Setup!$E$15:$E$79,Setup!$G$15:$G$79),"Uncategorized"))</f>
        <v/>
      </c>
      <c r="J1793" t="str">
        <f t="shared" si="141"/>
        <v/>
      </c>
      <c r="K1793" s="4" t="str">
        <f t="shared" si="142"/>
        <v/>
      </c>
      <c r="L1793" s="47">
        <f t="shared" si="143"/>
        <v>0</v>
      </c>
      <c r="M1793" s="47">
        <f t="shared" si="144"/>
        <v>0</v>
      </c>
      <c r="N1793" t="str">
        <f>IF(A1793="","",IF(D1793="Category Pending","Needs categorization",IF(COUNTIFS($A$2:A1793,A1793,$B$2:B1793,B1793,$E$2:E1793,E1793)&gt;1,"Possible duplicate","")))</f>
        <v/>
      </c>
    </row>
    <row r="1794" spans="3:14" x14ac:dyDescent="0.3">
      <c r="C1794" s="16"/>
      <c r="G1794" s="5" t="str">
        <f t="shared" si="140"/>
        <v/>
      </c>
      <c r="H1794" t="str">
        <f>IF(A1794="","",IFERROR(_xlfn.XLOOKUP(D1794,Setup!$E$15:$E$79,Setup!$F$15:$F$79),"Miscellaneous"))</f>
        <v/>
      </c>
      <c r="I1794" t="str">
        <f>IF(A1794="","",IFERROR(_xlfn.XLOOKUP(D1794,Setup!$E$15:$E$79,Setup!$G$15:$G$79),"Uncategorized"))</f>
        <v/>
      </c>
      <c r="J1794" t="str">
        <f t="shared" si="141"/>
        <v/>
      </c>
      <c r="K1794" s="4" t="str">
        <f t="shared" si="142"/>
        <v/>
      </c>
      <c r="L1794" s="47">
        <f t="shared" si="143"/>
        <v>0</v>
      </c>
      <c r="M1794" s="47">
        <f t="shared" si="144"/>
        <v>0</v>
      </c>
      <c r="N1794" t="str">
        <f>IF(A1794="","",IF(D1794="Category Pending","Needs categorization",IF(COUNTIFS($A$2:A1794,A1794,$B$2:B1794,B1794,$E$2:E1794,E1794)&gt;1,"Possible duplicate","")))</f>
        <v/>
      </c>
    </row>
    <row r="1795" spans="3:14" x14ac:dyDescent="0.3">
      <c r="C1795" s="16"/>
      <c r="G1795" s="5" t="str">
        <f t="shared" si="140"/>
        <v/>
      </c>
      <c r="H1795" t="str">
        <f>IF(A1795="","",IFERROR(_xlfn.XLOOKUP(D1795,Setup!$E$15:$E$79,Setup!$F$15:$F$79),"Miscellaneous"))</f>
        <v/>
      </c>
      <c r="I1795" t="str">
        <f>IF(A1795="","",IFERROR(_xlfn.XLOOKUP(D1795,Setup!$E$15:$E$79,Setup!$G$15:$G$79),"Uncategorized"))</f>
        <v/>
      </c>
      <c r="J1795" t="str">
        <f t="shared" si="141"/>
        <v/>
      </c>
      <c r="K1795" s="4" t="str">
        <f t="shared" si="142"/>
        <v/>
      </c>
      <c r="L1795" s="47">
        <f t="shared" si="143"/>
        <v>0</v>
      </c>
      <c r="M1795" s="47">
        <f t="shared" si="144"/>
        <v>0</v>
      </c>
      <c r="N1795" t="str">
        <f>IF(A1795="","",IF(D1795="Category Pending","Needs categorization",IF(COUNTIFS($A$2:A1795,A1795,$B$2:B1795,B1795,$E$2:E1795,E1795)&gt;1,"Possible duplicate","")))</f>
        <v/>
      </c>
    </row>
    <row r="1796" spans="3:14" x14ac:dyDescent="0.3">
      <c r="C1796" s="16"/>
      <c r="G1796" s="5" t="str">
        <f t="shared" si="140"/>
        <v/>
      </c>
      <c r="H1796" t="str">
        <f>IF(A1796="","",IFERROR(_xlfn.XLOOKUP(D1796,Setup!$E$15:$E$79,Setup!$F$15:$F$79),"Miscellaneous"))</f>
        <v/>
      </c>
      <c r="I1796" t="str">
        <f>IF(A1796="","",IFERROR(_xlfn.XLOOKUP(D1796,Setup!$E$15:$E$79,Setup!$G$15:$G$79),"Uncategorized"))</f>
        <v/>
      </c>
      <c r="J1796" t="str">
        <f t="shared" si="141"/>
        <v/>
      </c>
      <c r="K1796" s="4" t="str">
        <f t="shared" si="142"/>
        <v/>
      </c>
      <c r="L1796" s="47">
        <f t="shared" si="143"/>
        <v>0</v>
      </c>
      <c r="M1796" s="47">
        <f t="shared" si="144"/>
        <v>0</v>
      </c>
      <c r="N1796" t="str">
        <f>IF(A1796="","",IF(D1796="Category Pending","Needs categorization",IF(COUNTIFS($A$2:A1796,A1796,$B$2:B1796,B1796,$E$2:E1796,E1796)&gt;1,"Possible duplicate","")))</f>
        <v/>
      </c>
    </row>
    <row r="1797" spans="3:14" x14ac:dyDescent="0.3">
      <c r="C1797" s="16"/>
      <c r="G1797" s="5" t="str">
        <f t="shared" si="140"/>
        <v/>
      </c>
      <c r="H1797" t="str">
        <f>IF(A1797="","",IFERROR(_xlfn.XLOOKUP(D1797,Setup!$E$15:$E$79,Setup!$F$15:$F$79),"Miscellaneous"))</f>
        <v/>
      </c>
      <c r="I1797" t="str">
        <f>IF(A1797="","",IFERROR(_xlfn.XLOOKUP(D1797,Setup!$E$15:$E$79,Setup!$G$15:$G$79),"Uncategorized"))</f>
        <v/>
      </c>
      <c r="J1797" t="str">
        <f t="shared" si="141"/>
        <v/>
      </c>
      <c r="K1797" s="4" t="str">
        <f t="shared" si="142"/>
        <v/>
      </c>
      <c r="L1797" s="47">
        <f t="shared" si="143"/>
        <v>0</v>
      </c>
      <c r="M1797" s="47">
        <f t="shared" si="144"/>
        <v>0</v>
      </c>
      <c r="N1797" t="str">
        <f>IF(A1797="","",IF(D1797="Category Pending","Needs categorization",IF(COUNTIFS($A$2:A1797,A1797,$B$2:B1797,B1797,$E$2:E1797,E1797)&gt;1,"Possible duplicate","")))</f>
        <v/>
      </c>
    </row>
    <row r="1798" spans="3:14" x14ac:dyDescent="0.3">
      <c r="C1798" s="16"/>
      <c r="G1798" s="5" t="str">
        <f t="shared" si="140"/>
        <v/>
      </c>
      <c r="H1798" t="str">
        <f>IF(A1798="","",IFERROR(_xlfn.XLOOKUP(D1798,Setup!$E$15:$E$79,Setup!$F$15:$F$79),"Miscellaneous"))</f>
        <v/>
      </c>
      <c r="I1798" t="str">
        <f>IF(A1798="","",IFERROR(_xlfn.XLOOKUP(D1798,Setup!$E$15:$E$79,Setup!$G$15:$G$79),"Uncategorized"))</f>
        <v/>
      </c>
      <c r="J1798" t="str">
        <f t="shared" si="141"/>
        <v/>
      </c>
      <c r="K1798" s="4" t="str">
        <f t="shared" si="142"/>
        <v/>
      </c>
      <c r="L1798" s="47">
        <f t="shared" si="143"/>
        <v>0</v>
      </c>
      <c r="M1798" s="47">
        <f t="shared" si="144"/>
        <v>0</v>
      </c>
      <c r="N1798" t="str">
        <f>IF(A1798="","",IF(D1798="Category Pending","Needs categorization",IF(COUNTIFS($A$2:A1798,A1798,$B$2:B1798,B1798,$E$2:E1798,E1798)&gt;1,"Possible duplicate","")))</f>
        <v/>
      </c>
    </row>
    <row r="1799" spans="3:14" x14ac:dyDescent="0.3">
      <c r="C1799" s="16"/>
      <c r="G1799" s="5" t="str">
        <f t="shared" si="140"/>
        <v/>
      </c>
      <c r="H1799" t="str">
        <f>IF(A1799="","",IFERROR(_xlfn.XLOOKUP(D1799,Setup!$E$15:$E$79,Setup!$F$15:$F$79),"Miscellaneous"))</f>
        <v/>
      </c>
      <c r="I1799" t="str">
        <f>IF(A1799="","",IFERROR(_xlfn.XLOOKUP(D1799,Setup!$E$15:$E$79,Setup!$G$15:$G$79),"Uncategorized"))</f>
        <v/>
      </c>
      <c r="J1799" t="str">
        <f t="shared" si="141"/>
        <v/>
      </c>
      <c r="K1799" s="4" t="str">
        <f t="shared" si="142"/>
        <v/>
      </c>
      <c r="L1799" s="47">
        <f t="shared" si="143"/>
        <v>0</v>
      </c>
      <c r="M1799" s="47">
        <f t="shared" si="144"/>
        <v>0</v>
      </c>
      <c r="N1799" t="str">
        <f>IF(A1799="","",IF(D1799="Category Pending","Needs categorization",IF(COUNTIFS($A$2:A1799,A1799,$B$2:B1799,B1799,$E$2:E1799,E1799)&gt;1,"Possible duplicate","")))</f>
        <v/>
      </c>
    </row>
    <row r="1800" spans="3:14" x14ac:dyDescent="0.3">
      <c r="C1800" s="16"/>
      <c r="G1800" s="5" t="str">
        <f t="shared" si="140"/>
        <v/>
      </c>
      <c r="H1800" t="str">
        <f>IF(A1800="","",IFERROR(_xlfn.XLOOKUP(D1800,Setup!$E$15:$E$79,Setup!$F$15:$F$79),"Miscellaneous"))</f>
        <v/>
      </c>
      <c r="I1800" t="str">
        <f>IF(A1800="","",IFERROR(_xlfn.XLOOKUP(D1800,Setup!$E$15:$E$79,Setup!$G$15:$G$79),"Uncategorized"))</f>
        <v/>
      </c>
      <c r="J1800" t="str">
        <f t="shared" si="141"/>
        <v/>
      </c>
      <c r="K1800" s="4" t="str">
        <f t="shared" si="142"/>
        <v/>
      </c>
      <c r="L1800" s="47">
        <f t="shared" si="143"/>
        <v>0</v>
      </c>
      <c r="M1800" s="47">
        <f t="shared" si="144"/>
        <v>0</v>
      </c>
      <c r="N1800" t="str">
        <f>IF(A1800="","",IF(D1800="Category Pending","Needs categorization",IF(COUNTIFS($A$2:A1800,A1800,$B$2:B1800,B1800,$E$2:E1800,E1800)&gt;1,"Possible duplicate","")))</f>
        <v/>
      </c>
    </row>
    <row r="1801" spans="3:14" x14ac:dyDescent="0.3">
      <c r="C1801" s="16"/>
      <c r="G1801" s="5" t="str">
        <f t="shared" si="140"/>
        <v/>
      </c>
      <c r="H1801" t="str">
        <f>IF(A1801="","",IFERROR(_xlfn.XLOOKUP(D1801,Setup!$E$15:$E$79,Setup!$F$15:$F$79),"Miscellaneous"))</f>
        <v/>
      </c>
      <c r="I1801" t="str">
        <f>IF(A1801="","",IFERROR(_xlfn.XLOOKUP(D1801,Setup!$E$15:$E$79,Setup!$G$15:$G$79),"Uncategorized"))</f>
        <v/>
      </c>
      <c r="J1801" t="str">
        <f t="shared" si="141"/>
        <v/>
      </c>
      <c r="K1801" s="4" t="str">
        <f t="shared" si="142"/>
        <v/>
      </c>
      <c r="L1801" s="47">
        <f t="shared" si="143"/>
        <v>0</v>
      </c>
      <c r="M1801" s="47">
        <f t="shared" si="144"/>
        <v>0</v>
      </c>
      <c r="N1801" t="str">
        <f>IF(A1801="","",IF(D1801="Category Pending","Needs categorization",IF(COUNTIFS($A$2:A1801,A1801,$B$2:B1801,B1801,$E$2:E1801,E1801)&gt;1,"Possible duplicate","")))</f>
        <v/>
      </c>
    </row>
    <row r="1802" spans="3:14" x14ac:dyDescent="0.3">
      <c r="C1802" s="16"/>
      <c r="G1802" s="5" t="str">
        <f t="shared" si="140"/>
        <v/>
      </c>
      <c r="H1802" t="str">
        <f>IF(A1802="","",IFERROR(_xlfn.XLOOKUP(D1802,Setup!$E$15:$E$79,Setup!$F$15:$F$79),"Miscellaneous"))</f>
        <v/>
      </c>
      <c r="I1802" t="str">
        <f>IF(A1802="","",IFERROR(_xlfn.XLOOKUP(D1802,Setup!$E$15:$E$79,Setup!$G$15:$G$79),"Uncategorized"))</f>
        <v/>
      </c>
      <c r="J1802" t="str">
        <f t="shared" si="141"/>
        <v/>
      </c>
      <c r="K1802" s="4" t="str">
        <f t="shared" si="142"/>
        <v/>
      </c>
      <c r="L1802" s="47">
        <f t="shared" si="143"/>
        <v>0</v>
      </c>
      <c r="M1802" s="47">
        <f t="shared" si="144"/>
        <v>0</v>
      </c>
      <c r="N1802" t="str">
        <f>IF(A1802="","",IF(D1802="Category Pending","Needs categorization",IF(COUNTIFS($A$2:A1802,A1802,$B$2:B1802,B1802,$E$2:E1802,E1802)&gt;1,"Possible duplicate","")))</f>
        <v/>
      </c>
    </row>
    <row r="1803" spans="3:14" x14ac:dyDescent="0.3">
      <c r="C1803" s="16"/>
      <c r="G1803" s="5" t="str">
        <f t="shared" si="140"/>
        <v/>
      </c>
      <c r="H1803" t="str">
        <f>IF(A1803="","",IFERROR(_xlfn.XLOOKUP(D1803,Setup!$E$15:$E$79,Setup!$F$15:$F$79),"Miscellaneous"))</f>
        <v/>
      </c>
      <c r="I1803" t="str">
        <f>IF(A1803="","",IFERROR(_xlfn.XLOOKUP(D1803,Setup!$E$15:$E$79,Setup!$G$15:$G$79),"Uncategorized"))</f>
        <v/>
      </c>
      <c r="J1803" t="str">
        <f t="shared" si="141"/>
        <v/>
      </c>
      <c r="K1803" s="4" t="str">
        <f t="shared" si="142"/>
        <v/>
      </c>
      <c r="L1803" s="47">
        <f t="shared" si="143"/>
        <v>0</v>
      </c>
      <c r="M1803" s="47">
        <f t="shared" si="144"/>
        <v>0</v>
      </c>
      <c r="N1803" t="str">
        <f>IF(A1803="","",IF(D1803="Category Pending","Needs categorization",IF(COUNTIFS($A$2:A1803,A1803,$B$2:B1803,B1803,$E$2:E1803,E1803)&gt;1,"Possible duplicate","")))</f>
        <v/>
      </c>
    </row>
    <row r="1804" spans="3:14" x14ac:dyDescent="0.3">
      <c r="C1804" s="16"/>
      <c r="G1804" s="5" t="str">
        <f t="shared" si="140"/>
        <v/>
      </c>
      <c r="H1804" t="str">
        <f>IF(A1804="","",IFERROR(_xlfn.XLOOKUP(D1804,Setup!$E$15:$E$79,Setup!$F$15:$F$79),"Miscellaneous"))</f>
        <v/>
      </c>
      <c r="I1804" t="str">
        <f>IF(A1804="","",IFERROR(_xlfn.XLOOKUP(D1804,Setup!$E$15:$E$79,Setup!$G$15:$G$79),"Uncategorized"))</f>
        <v/>
      </c>
      <c r="J1804" t="str">
        <f t="shared" si="141"/>
        <v/>
      </c>
      <c r="K1804" s="4" t="str">
        <f t="shared" si="142"/>
        <v/>
      </c>
      <c r="L1804" s="47">
        <f t="shared" si="143"/>
        <v>0</v>
      </c>
      <c r="M1804" s="47">
        <f t="shared" si="144"/>
        <v>0</v>
      </c>
      <c r="N1804" t="str">
        <f>IF(A1804="","",IF(D1804="Category Pending","Needs categorization",IF(COUNTIFS($A$2:A1804,A1804,$B$2:B1804,B1804,$E$2:E1804,E1804)&gt;1,"Possible duplicate","")))</f>
        <v/>
      </c>
    </row>
    <row r="1805" spans="3:14" x14ac:dyDescent="0.3">
      <c r="C1805" s="16"/>
      <c r="G1805" s="5" t="str">
        <f t="shared" si="140"/>
        <v/>
      </c>
      <c r="H1805" t="str">
        <f>IF(A1805="","",IFERROR(_xlfn.XLOOKUP(D1805,Setup!$E$15:$E$79,Setup!$F$15:$F$79),"Miscellaneous"))</f>
        <v/>
      </c>
      <c r="I1805" t="str">
        <f>IF(A1805="","",IFERROR(_xlfn.XLOOKUP(D1805,Setup!$E$15:$E$79,Setup!$G$15:$G$79),"Uncategorized"))</f>
        <v/>
      </c>
      <c r="J1805" t="str">
        <f t="shared" si="141"/>
        <v/>
      </c>
      <c r="K1805" s="4" t="str">
        <f t="shared" si="142"/>
        <v/>
      </c>
      <c r="L1805" s="47">
        <f t="shared" si="143"/>
        <v>0</v>
      </c>
      <c r="M1805" s="47">
        <f t="shared" si="144"/>
        <v>0</v>
      </c>
      <c r="N1805" t="str">
        <f>IF(A1805="","",IF(D1805="Category Pending","Needs categorization",IF(COUNTIFS($A$2:A1805,A1805,$B$2:B1805,B1805,$E$2:E1805,E1805)&gt;1,"Possible duplicate","")))</f>
        <v/>
      </c>
    </row>
    <row r="1806" spans="3:14" x14ac:dyDescent="0.3">
      <c r="C1806" s="16"/>
      <c r="G1806" s="5" t="str">
        <f t="shared" si="140"/>
        <v/>
      </c>
      <c r="H1806" t="str">
        <f>IF(A1806="","",IFERROR(_xlfn.XLOOKUP(D1806,Setup!$E$15:$E$79,Setup!$F$15:$F$79),"Miscellaneous"))</f>
        <v/>
      </c>
      <c r="I1806" t="str">
        <f>IF(A1806="","",IFERROR(_xlfn.XLOOKUP(D1806,Setup!$E$15:$E$79,Setup!$G$15:$G$79),"Uncategorized"))</f>
        <v/>
      </c>
      <c r="J1806" t="str">
        <f t="shared" si="141"/>
        <v/>
      </c>
      <c r="K1806" s="4" t="str">
        <f t="shared" si="142"/>
        <v/>
      </c>
      <c r="L1806" s="47">
        <f t="shared" si="143"/>
        <v>0</v>
      </c>
      <c r="M1806" s="47">
        <f t="shared" si="144"/>
        <v>0</v>
      </c>
      <c r="N1806" t="str">
        <f>IF(A1806="","",IF(D1806="Category Pending","Needs categorization",IF(COUNTIFS($A$2:A1806,A1806,$B$2:B1806,B1806,$E$2:E1806,E1806)&gt;1,"Possible duplicate","")))</f>
        <v/>
      </c>
    </row>
    <row r="1807" spans="3:14" x14ac:dyDescent="0.3">
      <c r="C1807" s="16"/>
      <c r="G1807" s="5" t="str">
        <f t="shared" si="140"/>
        <v/>
      </c>
      <c r="H1807" t="str">
        <f>IF(A1807="","",IFERROR(_xlfn.XLOOKUP(D1807,Setup!$E$15:$E$79,Setup!$F$15:$F$79),"Miscellaneous"))</f>
        <v/>
      </c>
      <c r="I1807" t="str">
        <f>IF(A1807="","",IFERROR(_xlfn.XLOOKUP(D1807,Setup!$E$15:$E$79,Setup!$G$15:$G$79),"Uncategorized"))</f>
        <v/>
      </c>
      <c r="J1807" t="str">
        <f t="shared" si="141"/>
        <v/>
      </c>
      <c r="K1807" s="4" t="str">
        <f t="shared" si="142"/>
        <v/>
      </c>
      <c r="L1807" s="47">
        <f t="shared" si="143"/>
        <v>0</v>
      </c>
      <c r="M1807" s="47">
        <f t="shared" si="144"/>
        <v>0</v>
      </c>
      <c r="N1807" t="str">
        <f>IF(A1807="","",IF(D1807="Category Pending","Needs categorization",IF(COUNTIFS($A$2:A1807,A1807,$B$2:B1807,B1807,$E$2:E1807,E1807)&gt;1,"Possible duplicate","")))</f>
        <v/>
      </c>
    </row>
    <row r="1808" spans="3:14" x14ac:dyDescent="0.3">
      <c r="C1808" s="16"/>
      <c r="G1808" s="5" t="str">
        <f t="shared" si="140"/>
        <v/>
      </c>
      <c r="H1808" t="str">
        <f>IF(A1808="","",IFERROR(_xlfn.XLOOKUP(D1808,Setup!$E$15:$E$79,Setup!$F$15:$F$79),"Miscellaneous"))</f>
        <v/>
      </c>
      <c r="I1808" t="str">
        <f>IF(A1808="","",IFERROR(_xlfn.XLOOKUP(D1808,Setup!$E$15:$E$79,Setup!$G$15:$G$79),"Uncategorized"))</f>
        <v/>
      </c>
      <c r="J1808" t="str">
        <f t="shared" si="141"/>
        <v/>
      </c>
      <c r="K1808" s="4" t="str">
        <f t="shared" si="142"/>
        <v/>
      </c>
      <c r="L1808" s="47">
        <f t="shared" si="143"/>
        <v>0</v>
      </c>
      <c r="M1808" s="47">
        <f t="shared" si="144"/>
        <v>0</v>
      </c>
      <c r="N1808" t="str">
        <f>IF(A1808="","",IF(D1808="Category Pending","Needs categorization",IF(COUNTIFS($A$2:A1808,A1808,$B$2:B1808,B1808,$E$2:E1808,E1808)&gt;1,"Possible duplicate","")))</f>
        <v/>
      </c>
    </row>
    <row r="1809" spans="3:14" x14ac:dyDescent="0.3">
      <c r="C1809" s="16"/>
      <c r="G1809" s="5" t="str">
        <f t="shared" si="140"/>
        <v/>
      </c>
      <c r="H1809" t="str">
        <f>IF(A1809="","",IFERROR(_xlfn.XLOOKUP(D1809,Setup!$E$15:$E$79,Setup!$F$15:$F$79),"Miscellaneous"))</f>
        <v/>
      </c>
      <c r="I1809" t="str">
        <f>IF(A1809="","",IFERROR(_xlfn.XLOOKUP(D1809,Setup!$E$15:$E$79,Setup!$G$15:$G$79),"Uncategorized"))</f>
        <v/>
      </c>
      <c r="J1809" t="str">
        <f t="shared" si="141"/>
        <v/>
      </c>
      <c r="K1809" s="4" t="str">
        <f t="shared" si="142"/>
        <v/>
      </c>
      <c r="L1809" s="47">
        <f t="shared" si="143"/>
        <v>0</v>
      </c>
      <c r="M1809" s="47">
        <f t="shared" si="144"/>
        <v>0</v>
      </c>
      <c r="N1809" t="str">
        <f>IF(A1809="","",IF(D1809="Category Pending","Needs categorization",IF(COUNTIFS($A$2:A1809,A1809,$B$2:B1809,B1809,$E$2:E1809,E1809)&gt;1,"Possible duplicate","")))</f>
        <v/>
      </c>
    </row>
    <row r="1810" spans="3:14" x14ac:dyDescent="0.3">
      <c r="C1810" s="16"/>
      <c r="G1810" s="5" t="str">
        <f t="shared" si="140"/>
        <v/>
      </c>
      <c r="H1810" t="str">
        <f>IF(A1810="","",IFERROR(_xlfn.XLOOKUP(D1810,Setup!$E$15:$E$79,Setup!$F$15:$F$79),"Miscellaneous"))</f>
        <v/>
      </c>
      <c r="I1810" t="str">
        <f>IF(A1810="","",IFERROR(_xlfn.XLOOKUP(D1810,Setup!$E$15:$E$79,Setup!$G$15:$G$79),"Uncategorized"))</f>
        <v/>
      </c>
      <c r="J1810" t="str">
        <f t="shared" si="141"/>
        <v/>
      </c>
      <c r="K1810" s="4" t="str">
        <f t="shared" si="142"/>
        <v/>
      </c>
      <c r="L1810" s="47">
        <f t="shared" si="143"/>
        <v>0</v>
      </c>
      <c r="M1810" s="47">
        <f t="shared" si="144"/>
        <v>0</v>
      </c>
      <c r="N1810" t="str">
        <f>IF(A1810="","",IF(D1810="Category Pending","Needs categorization",IF(COUNTIFS($A$2:A1810,A1810,$B$2:B1810,B1810,$E$2:E1810,E1810)&gt;1,"Possible duplicate","")))</f>
        <v/>
      </c>
    </row>
    <row r="1811" spans="3:14" x14ac:dyDescent="0.3">
      <c r="C1811" s="16"/>
      <c r="G1811" s="5" t="str">
        <f t="shared" si="140"/>
        <v/>
      </c>
      <c r="H1811" t="str">
        <f>IF(A1811="","",IFERROR(_xlfn.XLOOKUP(D1811,Setup!$E$15:$E$79,Setup!$F$15:$F$79),"Miscellaneous"))</f>
        <v/>
      </c>
      <c r="I1811" t="str">
        <f>IF(A1811="","",IFERROR(_xlfn.XLOOKUP(D1811,Setup!$E$15:$E$79,Setup!$G$15:$G$79),"Uncategorized"))</f>
        <v/>
      </c>
      <c r="J1811" t="str">
        <f t="shared" si="141"/>
        <v/>
      </c>
      <c r="K1811" s="4" t="str">
        <f t="shared" si="142"/>
        <v/>
      </c>
      <c r="L1811" s="47">
        <f t="shared" si="143"/>
        <v>0</v>
      </c>
      <c r="M1811" s="47">
        <f t="shared" si="144"/>
        <v>0</v>
      </c>
      <c r="N1811" t="str">
        <f>IF(A1811="","",IF(D1811="Category Pending","Needs categorization",IF(COUNTIFS($A$2:A1811,A1811,$B$2:B1811,B1811,$E$2:E1811,E1811)&gt;1,"Possible duplicate","")))</f>
        <v/>
      </c>
    </row>
    <row r="1812" spans="3:14" x14ac:dyDescent="0.3">
      <c r="C1812" s="16"/>
      <c r="G1812" s="5" t="str">
        <f t="shared" si="140"/>
        <v/>
      </c>
      <c r="H1812" t="str">
        <f>IF(A1812="","",IFERROR(_xlfn.XLOOKUP(D1812,Setup!$E$15:$E$79,Setup!$F$15:$F$79),"Miscellaneous"))</f>
        <v/>
      </c>
      <c r="I1812" t="str">
        <f>IF(A1812="","",IFERROR(_xlfn.XLOOKUP(D1812,Setup!$E$15:$E$79,Setup!$G$15:$G$79),"Uncategorized"))</f>
        <v/>
      </c>
      <c r="J1812" t="str">
        <f t="shared" si="141"/>
        <v/>
      </c>
      <c r="K1812" s="4" t="str">
        <f t="shared" si="142"/>
        <v/>
      </c>
      <c r="L1812" s="47">
        <f t="shared" si="143"/>
        <v>0</v>
      </c>
      <c r="M1812" s="47">
        <f t="shared" si="144"/>
        <v>0</v>
      </c>
      <c r="N1812" t="str">
        <f>IF(A1812="","",IF(D1812="Category Pending","Needs categorization",IF(COUNTIFS($A$2:A1812,A1812,$B$2:B1812,B1812,$E$2:E1812,E1812)&gt;1,"Possible duplicate","")))</f>
        <v/>
      </c>
    </row>
    <row r="1813" spans="3:14" x14ac:dyDescent="0.3">
      <c r="C1813" s="16"/>
      <c r="G1813" s="5" t="str">
        <f t="shared" si="140"/>
        <v/>
      </c>
      <c r="H1813" t="str">
        <f>IF(A1813="","",IFERROR(_xlfn.XLOOKUP(D1813,Setup!$E$15:$E$79,Setup!$F$15:$F$79),"Miscellaneous"))</f>
        <v/>
      </c>
      <c r="I1813" t="str">
        <f>IF(A1813="","",IFERROR(_xlfn.XLOOKUP(D1813,Setup!$E$15:$E$79,Setup!$G$15:$G$79),"Uncategorized"))</f>
        <v/>
      </c>
      <c r="J1813" t="str">
        <f t="shared" si="141"/>
        <v/>
      </c>
      <c r="K1813" s="4" t="str">
        <f t="shared" si="142"/>
        <v/>
      </c>
      <c r="L1813" s="47">
        <f t="shared" si="143"/>
        <v>0</v>
      </c>
      <c r="M1813" s="47">
        <f t="shared" si="144"/>
        <v>0</v>
      </c>
      <c r="N1813" t="str">
        <f>IF(A1813="","",IF(D1813="Category Pending","Needs categorization",IF(COUNTIFS($A$2:A1813,A1813,$B$2:B1813,B1813,$E$2:E1813,E1813)&gt;1,"Possible duplicate","")))</f>
        <v/>
      </c>
    </row>
    <row r="1814" spans="3:14" x14ac:dyDescent="0.3">
      <c r="C1814" s="16"/>
      <c r="G1814" s="5" t="str">
        <f t="shared" si="140"/>
        <v/>
      </c>
      <c r="H1814" t="str">
        <f>IF(A1814="","",IFERROR(_xlfn.XLOOKUP(D1814,Setup!$E$15:$E$79,Setup!$F$15:$F$79),"Miscellaneous"))</f>
        <v/>
      </c>
      <c r="I1814" t="str">
        <f>IF(A1814="","",IFERROR(_xlfn.XLOOKUP(D1814,Setup!$E$15:$E$79,Setup!$G$15:$G$79),"Uncategorized"))</f>
        <v/>
      </c>
      <c r="J1814" t="str">
        <f t="shared" si="141"/>
        <v/>
      </c>
      <c r="K1814" s="4" t="str">
        <f t="shared" si="142"/>
        <v/>
      </c>
      <c r="L1814" s="47">
        <f t="shared" si="143"/>
        <v>0</v>
      </c>
      <c r="M1814" s="47">
        <f t="shared" si="144"/>
        <v>0</v>
      </c>
      <c r="N1814" t="str">
        <f>IF(A1814="","",IF(D1814="Category Pending","Needs categorization",IF(COUNTIFS($A$2:A1814,A1814,$B$2:B1814,B1814,$E$2:E1814,E1814)&gt;1,"Possible duplicate","")))</f>
        <v/>
      </c>
    </row>
    <row r="1815" spans="3:14" x14ac:dyDescent="0.3">
      <c r="C1815" s="16"/>
      <c r="G1815" s="5" t="str">
        <f t="shared" si="140"/>
        <v/>
      </c>
      <c r="H1815" t="str">
        <f>IF(A1815="","",IFERROR(_xlfn.XLOOKUP(D1815,Setup!$E$15:$E$79,Setup!$F$15:$F$79),"Miscellaneous"))</f>
        <v/>
      </c>
      <c r="I1815" t="str">
        <f>IF(A1815="","",IFERROR(_xlfn.XLOOKUP(D1815,Setup!$E$15:$E$79,Setup!$G$15:$G$79),"Uncategorized"))</f>
        <v/>
      </c>
      <c r="J1815" t="str">
        <f t="shared" si="141"/>
        <v/>
      </c>
      <c r="K1815" s="4" t="str">
        <f t="shared" si="142"/>
        <v/>
      </c>
      <c r="L1815" s="47">
        <f t="shared" si="143"/>
        <v>0</v>
      </c>
      <c r="M1815" s="47">
        <f t="shared" si="144"/>
        <v>0</v>
      </c>
      <c r="N1815" t="str">
        <f>IF(A1815="","",IF(D1815="Category Pending","Needs categorization",IF(COUNTIFS($A$2:A1815,A1815,$B$2:B1815,B1815,$E$2:E1815,E1815)&gt;1,"Possible duplicate","")))</f>
        <v/>
      </c>
    </row>
    <row r="1816" spans="3:14" x14ac:dyDescent="0.3">
      <c r="C1816" s="16"/>
      <c r="G1816" s="5" t="str">
        <f t="shared" si="140"/>
        <v/>
      </c>
      <c r="H1816" t="str">
        <f>IF(A1816="","",IFERROR(_xlfn.XLOOKUP(D1816,Setup!$E$15:$E$79,Setup!$F$15:$F$79),"Miscellaneous"))</f>
        <v/>
      </c>
      <c r="I1816" t="str">
        <f>IF(A1816="","",IFERROR(_xlfn.XLOOKUP(D1816,Setup!$E$15:$E$79,Setup!$G$15:$G$79),"Uncategorized"))</f>
        <v/>
      </c>
      <c r="J1816" t="str">
        <f t="shared" si="141"/>
        <v/>
      </c>
      <c r="K1816" s="4" t="str">
        <f t="shared" si="142"/>
        <v/>
      </c>
      <c r="L1816" s="47">
        <f t="shared" si="143"/>
        <v>0</v>
      </c>
      <c r="M1816" s="47">
        <f t="shared" si="144"/>
        <v>0</v>
      </c>
      <c r="N1816" t="str">
        <f>IF(A1816="","",IF(D1816="Category Pending","Needs categorization",IF(COUNTIFS($A$2:A1816,A1816,$B$2:B1816,B1816,$E$2:E1816,E1816)&gt;1,"Possible duplicate","")))</f>
        <v/>
      </c>
    </row>
    <row r="1817" spans="3:14" x14ac:dyDescent="0.3">
      <c r="C1817" s="16"/>
      <c r="G1817" s="5" t="str">
        <f t="shared" si="140"/>
        <v/>
      </c>
      <c r="H1817" t="str">
        <f>IF(A1817="","",IFERROR(_xlfn.XLOOKUP(D1817,Setup!$E$15:$E$79,Setup!$F$15:$F$79),"Miscellaneous"))</f>
        <v/>
      </c>
      <c r="I1817" t="str">
        <f>IF(A1817="","",IFERROR(_xlfn.XLOOKUP(D1817,Setup!$E$15:$E$79,Setup!$G$15:$G$79),"Uncategorized"))</f>
        <v/>
      </c>
      <c r="J1817" t="str">
        <f t="shared" si="141"/>
        <v/>
      </c>
      <c r="K1817" s="4" t="str">
        <f t="shared" si="142"/>
        <v/>
      </c>
      <c r="L1817" s="47">
        <f t="shared" si="143"/>
        <v>0</v>
      </c>
      <c r="M1817" s="47">
        <f t="shared" si="144"/>
        <v>0</v>
      </c>
      <c r="N1817" t="str">
        <f>IF(A1817="","",IF(D1817="Category Pending","Needs categorization",IF(COUNTIFS($A$2:A1817,A1817,$B$2:B1817,B1817,$E$2:E1817,E1817)&gt;1,"Possible duplicate","")))</f>
        <v/>
      </c>
    </row>
    <row r="1818" spans="3:14" x14ac:dyDescent="0.3">
      <c r="C1818" s="16"/>
      <c r="G1818" s="5" t="str">
        <f t="shared" si="140"/>
        <v/>
      </c>
      <c r="H1818" t="str">
        <f>IF(A1818="","",IFERROR(_xlfn.XLOOKUP(D1818,Setup!$E$15:$E$79,Setup!$F$15:$F$79),"Miscellaneous"))</f>
        <v/>
      </c>
      <c r="I1818" t="str">
        <f>IF(A1818="","",IFERROR(_xlfn.XLOOKUP(D1818,Setup!$E$15:$E$79,Setup!$G$15:$G$79),"Uncategorized"))</f>
        <v/>
      </c>
      <c r="J1818" t="str">
        <f t="shared" si="141"/>
        <v/>
      </c>
      <c r="K1818" s="4" t="str">
        <f t="shared" si="142"/>
        <v/>
      </c>
      <c r="L1818" s="47">
        <f t="shared" si="143"/>
        <v>0</v>
      </c>
      <c r="M1818" s="47">
        <f t="shared" si="144"/>
        <v>0</v>
      </c>
      <c r="N1818" t="str">
        <f>IF(A1818="","",IF(D1818="Category Pending","Needs categorization",IF(COUNTIFS($A$2:A1818,A1818,$B$2:B1818,B1818,$E$2:E1818,E1818)&gt;1,"Possible duplicate","")))</f>
        <v/>
      </c>
    </row>
    <row r="1819" spans="3:14" x14ac:dyDescent="0.3">
      <c r="C1819" s="16"/>
      <c r="G1819" s="5" t="str">
        <f t="shared" si="140"/>
        <v/>
      </c>
      <c r="H1819" t="str">
        <f>IF(A1819="","",IFERROR(_xlfn.XLOOKUP(D1819,Setup!$E$15:$E$79,Setup!$F$15:$F$79),"Miscellaneous"))</f>
        <v/>
      </c>
      <c r="I1819" t="str">
        <f>IF(A1819="","",IFERROR(_xlfn.XLOOKUP(D1819,Setup!$E$15:$E$79,Setup!$G$15:$G$79),"Uncategorized"))</f>
        <v/>
      </c>
      <c r="J1819" t="str">
        <f t="shared" si="141"/>
        <v/>
      </c>
      <c r="K1819" s="4" t="str">
        <f t="shared" si="142"/>
        <v/>
      </c>
      <c r="L1819" s="47">
        <f t="shared" si="143"/>
        <v>0</v>
      </c>
      <c r="M1819" s="47">
        <f t="shared" si="144"/>
        <v>0</v>
      </c>
      <c r="N1819" t="str">
        <f>IF(A1819="","",IF(D1819="Category Pending","Needs categorization",IF(COUNTIFS($A$2:A1819,A1819,$B$2:B1819,B1819,$E$2:E1819,E1819)&gt;1,"Possible duplicate","")))</f>
        <v/>
      </c>
    </row>
    <row r="1820" spans="3:14" x14ac:dyDescent="0.3">
      <c r="C1820" s="16"/>
      <c r="G1820" s="5" t="str">
        <f t="shared" si="140"/>
        <v/>
      </c>
      <c r="H1820" t="str">
        <f>IF(A1820="","",IFERROR(_xlfn.XLOOKUP(D1820,Setup!$E$15:$E$79,Setup!$F$15:$F$79),"Miscellaneous"))</f>
        <v/>
      </c>
      <c r="I1820" t="str">
        <f>IF(A1820="","",IFERROR(_xlfn.XLOOKUP(D1820,Setup!$E$15:$E$79,Setup!$G$15:$G$79),"Uncategorized"))</f>
        <v/>
      </c>
      <c r="J1820" t="str">
        <f t="shared" si="141"/>
        <v/>
      </c>
      <c r="K1820" s="4" t="str">
        <f t="shared" si="142"/>
        <v/>
      </c>
      <c r="L1820" s="47">
        <f t="shared" si="143"/>
        <v>0</v>
      </c>
      <c r="M1820" s="47">
        <f t="shared" si="144"/>
        <v>0</v>
      </c>
      <c r="N1820" t="str">
        <f>IF(A1820="","",IF(D1820="Category Pending","Needs categorization",IF(COUNTIFS($A$2:A1820,A1820,$B$2:B1820,B1820,$E$2:E1820,E1820)&gt;1,"Possible duplicate","")))</f>
        <v/>
      </c>
    </row>
    <row r="1821" spans="3:14" x14ac:dyDescent="0.3">
      <c r="C1821" s="16"/>
      <c r="G1821" s="5" t="str">
        <f t="shared" si="140"/>
        <v/>
      </c>
      <c r="H1821" t="str">
        <f>IF(A1821="","",IFERROR(_xlfn.XLOOKUP(D1821,Setup!$E$15:$E$79,Setup!$F$15:$F$79),"Miscellaneous"))</f>
        <v/>
      </c>
      <c r="I1821" t="str">
        <f>IF(A1821="","",IFERROR(_xlfn.XLOOKUP(D1821,Setup!$E$15:$E$79,Setup!$G$15:$G$79),"Uncategorized"))</f>
        <v/>
      </c>
      <c r="J1821" t="str">
        <f t="shared" si="141"/>
        <v/>
      </c>
      <c r="K1821" s="4" t="str">
        <f t="shared" si="142"/>
        <v/>
      </c>
      <c r="L1821" s="47">
        <f t="shared" si="143"/>
        <v>0</v>
      </c>
      <c r="M1821" s="47">
        <f t="shared" si="144"/>
        <v>0</v>
      </c>
      <c r="N1821" t="str">
        <f>IF(A1821="","",IF(D1821="Category Pending","Needs categorization",IF(COUNTIFS($A$2:A1821,A1821,$B$2:B1821,B1821,$E$2:E1821,E1821)&gt;1,"Possible duplicate","")))</f>
        <v/>
      </c>
    </row>
    <row r="1822" spans="3:14" x14ac:dyDescent="0.3">
      <c r="C1822" s="16"/>
      <c r="G1822" s="5" t="str">
        <f t="shared" si="140"/>
        <v/>
      </c>
      <c r="H1822" t="str">
        <f>IF(A1822="","",IFERROR(_xlfn.XLOOKUP(D1822,Setup!$E$15:$E$79,Setup!$F$15:$F$79),"Miscellaneous"))</f>
        <v/>
      </c>
      <c r="I1822" t="str">
        <f>IF(A1822="","",IFERROR(_xlfn.XLOOKUP(D1822,Setup!$E$15:$E$79,Setup!$G$15:$G$79),"Uncategorized"))</f>
        <v/>
      </c>
      <c r="J1822" t="str">
        <f t="shared" si="141"/>
        <v/>
      </c>
      <c r="K1822" s="4" t="str">
        <f t="shared" si="142"/>
        <v/>
      </c>
      <c r="L1822" s="47">
        <f t="shared" si="143"/>
        <v>0</v>
      </c>
      <c r="M1822" s="47">
        <f t="shared" si="144"/>
        <v>0</v>
      </c>
      <c r="N1822" t="str">
        <f>IF(A1822="","",IF(D1822="Category Pending","Needs categorization",IF(COUNTIFS($A$2:A1822,A1822,$B$2:B1822,B1822,$E$2:E1822,E1822)&gt;1,"Possible duplicate","")))</f>
        <v/>
      </c>
    </row>
    <row r="1823" spans="3:14" x14ac:dyDescent="0.3">
      <c r="C1823" s="16"/>
      <c r="G1823" s="5" t="str">
        <f t="shared" si="140"/>
        <v/>
      </c>
      <c r="H1823" t="str">
        <f>IF(A1823="","",IFERROR(_xlfn.XLOOKUP(D1823,Setup!$E$15:$E$79,Setup!$F$15:$F$79),"Miscellaneous"))</f>
        <v/>
      </c>
      <c r="I1823" t="str">
        <f>IF(A1823="","",IFERROR(_xlfn.XLOOKUP(D1823,Setup!$E$15:$E$79,Setup!$G$15:$G$79),"Uncategorized"))</f>
        <v/>
      </c>
      <c r="J1823" t="str">
        <f t="shared" si="141"/>
        <v/>
      </c>
      <c r="K1823" s="4" t="str">
        <f t="shared" si="142"/>
        <v/>
      </c>
      <c r="L1823" s="47">
        <f t="shared" si="143"/>
        <v>0</v>
      </c>
      <c r="M1823" s="47">
        <f t="shared" si="144"/>
        <v>0</v>
      </c>
      <c r="N1823" t="str">
        <f>IF(A1823="","",IF(D1823="Category Pending","Needs categorization",IF(COUNTIFS($A$2:A1823,A1823,$B$2:B1823,B1823,$E$2:E1823,E1823)&gt;1,"Possible duplicate","")))</f>
        <v/>
      </c>
    </row>
    <row r="1824" spans="3:14" x14ac:dyDescent="0.3">
      <c r="C1824" s="16"/>
      <c r="G1824" s="5" t="str">
        <f t="shared" si="140"/>
        <v/>
      </c>
      <c r="H1824" t="str">
        <f>IF(A1824="","",IFERROR(_xlfn.XLOOKUP(D1824,Setup!$E$15:$E$79,Setup!$F$15:$F$79),"Miscellaneous"))</f>
        <v/>
      </c>
      <c r="I1824" t="str">
        <f>IF(A1824="","",IFERROR(_xlfn.XLOOKUP(D1824,Setup!$E$15:$E$79,Setup!$G$15:$G$79),"Uncategorized"))</f>
        <v/>
      </c>
      <c r="J1824" t="str">
        <f t="shared" si="141"/>
        <v/>
      </c>
      <c r="K1824" s="4" t="str">
        <f t="shared" si="142"/>
        <v/>
      </c>
      <c r="L1824" s="47">
        <f t="shared" si="143"/>
        <v>0</v>
      </c>
      <c r="M1824" s="47">
        <f t="shared" si="144"/>
        <v>0</v>
      </c>
      <c r="N1824" t="str">
        <f>IF(A1824="","",IF(D1824="Category Pending","Needs categorization",IF(COUNTIFS($A$2:A1824,A1824,$B$2:B1824,B1824,$E$2:E1824,E1824)&gt;1,"Possible duplicate","")))</f>
        <v/>
      </c>
    </row>
    <row r="1825" spans="3:14" x14ac:dyDescent="0.3">
      <c r="C1825" s="16"/>
      <c r="G1825" s="5" t="str">
        <f t="shared" ref="G1825:G1888" si="145">IF(A1825="","","Checking")</f>
        <v/>
      </c>
      <c r="H1825" t="str">
        <f>IF(A1825="","",IFERROR(_xlfn.XLOOKUP(D1825,Setup!$E$15:$E$79,Setup!$F$15:$F$79),"Miscellaneous"))</f>
        <v/>
      </c>
      <c r="I1825" t="str">
        <f>IF(A1825="","",IFERROR(_xlfn.XLOOKUP(D1825,Setup!$E$15:$E$79,Setup!$G$15:$G$79),"Uncategorized"))</f>
        <v/>
      </c>
      <c r="J1825" t="str">
        <f t="shared" ref="J1825:J1888" si="146">IF(A1825="","",IF(OR(H1825="Transfers",H1825="Income",D1825="Transfer",D1825="Category Pending"),"No","Yes"))</f>
        <v/>
      </c>
      <c r="K1825" s="4" t="str">
        <f t="shared" ref="K1825:K1888" si="147">IF(A1825="","",IF(A1825&gt;=46232,TEXT(DATE(YEAR(A1825),MONTH(A1825)+1,1),"mmmm yyyy"),TEXT(DATE(YEAR(A1825),MONTH(A1825),1),"mmmm yyyy")))</f>
        <v/>
      </c>
      <c r="L1825" s="47">
        <f t="shared" ref="L1825:L1888" si="148">IF(AND(J1825="Yes",E1825&lt;0),-E1825,0)</f>
        <v>0</v>
      </c>
      <c r="M1825" s="47">
        <f t="shared" ref="M1825:M1888" si="149">IF(AND(J1825="Yes",E1825&gt;0),E1825,0)</f>
        <v>0</v>
      </c>
      <c r="N1825" t="str">
        <f>IF(A1825="","",IF(D1825="Category Pending","Needs categorization",IF(COUNTIFS($A$2:A1825,A1825,$B$2:B1825,B1825,$E$2:E1825,E1825)&gt;1,"Possible duplicate","")))</f>
        <v/>
      </c>
    </row>
    <row r="1826" spans="3:14" x14ac:dyDescent="0.3">
      <c r="C1826" s="16"/>
      <c r="G1826" s="5" t="str">
        <f t="shared" si="145"/>
        <v/>
      </c>
      <c r="H1826" t="str">
        <f>IF(A1826="","",IFERROR(_xlfn.XLOOKUP(D1826,Setup!$E$15:$E$79,Setup!$F$15:$F$79),"Miscellaneous"))</f>
        <v/>
      </c>
      <c r="I1826" t="str">
        <f>IF(A1826="","",IFERROR(_xlfn.XLOOKUP(D1826,Setup!$E$15:$E$79,Setup!$G$15:$G$79),"Uncategorized"))</f>
        <v/>
      </c>
      <c r="J1826" t="str">
        <f t="shared" si="146"/>
        <v/>
      </c>
      <c r="K1826" s="4" t="str">
        <f t="shared" si="147"/>
        <v/>
      </c>
      <c r="L1826" s="47">
        <f t="shared" si="148"/>
        <v>0</v>
      </c>
      <c r="M1826" s="47">
        <f t="shared" si="149"/>
        <v>0</v>
      </c>
      <c r="N1826" t="str">
        <f>IF(A1826="","",IF(D1826="Category Pending","Needs categorization",IF(COUNTIFS($A$2:A1826,A1826,$B$2:B1826,B1826,$E$2:E1826,E1826)&gt;1,"Possible duplicate","")))</f>
        <v/>
      </c>
    </row>
    <row r="1827" spans="3:14" x14ac:dyDescent="0.3">
      <c r="C1827" s="16"/>
      <c r="G1827" s="5" t="str">
        <f t="shared" si="145"/>
        <v/>
      </c>
      <c r="H1827" t="str">
        <f>IF(A1827="","",IFERROR(_xlfn.XLOOKUP(D1827,Setup!$E$15:$E$79,Setup!$F$15:$F$79),"Miscellaneous"))</f>
        <v/>
      </c>
      <c r="I1827" t="str">
        <f>IF(A1827="","",IFERROR(_xlfn.XLOOKUP(D1827,Setup!$E$15:$E$79,Setup!$G$15:$G$79),"Uncategorized"))</f>
        <v/>
      </c>
      <c r="J1827" t="str">
        <f t="shared" si="146"/>
        <v/>
      </c>
      <c r="K1827" s="4" t="str">
        <f t="shared" si="147"/>
        <v/>
      </c>
      <c r="L1827" s="47">
        <f t="shared" si="148"/>
        <v>0</v>
      </c>
      <c r="M1827" s="47">
        <f t="shared" si="149"/>
        <v>0</v>
      </c>
      <c r="N1827" t="str">
        <f>IF(A1827="","",IF(D1827="Category Pending","Needs categorization",IF(COUNTIFS($A$2:A1827,A1827,$B$2:B1827,B1827,$E$2:E1827,E1827)&gt;1,"Possible duplicate","")))</f>
        <v/>
      </c>
    </row>
    <row r="1828" spans="3:14" x14ac:dyDescent="0.3">
      <c r="C1828" s="16"/>
      <c r="G1828" s="5" t="str">
        <f t="shared" si="145"/>
        <v/>
      </c>
      <c r="H1828" t="str">
        <f>IF(A1828="","",IFERROR(_xlfn.XLOOKUP(D1828,Setup!$E$15:$E$79,Setup!$F$15:$F$79),"Miscellaneous"))</f>
        <v/>
      </c>
      <c r="I1828" t="str">
        <f>IF(A1828="","",IFERROR(_xlfn.XLOOKUP(D1828,Setup!$E$15:$E$79,Setup!$G$15:$G$79),"Uncategorized"))</f>
        <v/>
      </c>
      <c r="J1828" t="str">
        <f t="shared" si="146"/>
        <v/>
      </c>
      <c r="K1828" s="4" t="str">
        <f t="shared" si="147"/>
        <v/>
      </c>
      <c r="L1828" s="47">
        <f t="shared" si="148"/>
        <v>0</v>
      </c>
      <c r="M1828" s="47">
        <f t="shared" si="149"/>
        <v>0</v>
      </c>
      <c r="N1828" t="str">
        <f>IF(A1828="","",IF(D1828="Category Pending","Needs categorization",IF(COUNTIFS($A$2:A1828,A1828,$B$2:B1828,B1828,$E$2:E1828,E1828)&gt;1,"Possible duplicate","")))</f>
        <v/>
      </c>
    </row>
    <row r="1829" spans="3:14" x14ac:dyDescent="0.3">
      <c r="C1829" s="16"/>
      <c r="G1829" s="5" t="str">
        <f t="shared" si="145"/>
        <v/>
      </c>
      <c r="H1829" t="str">
        <f>IF(A1829="","",IFERROR(_xlfn.XLOOKUP(D1829,Setup!$E$15:$E$79,Setup!$F$15:$F$79),"Miscellaneous"))</f>
        <v/>
      </c>
      <c r="I1829" t="str">
        <f>IF(A1829="","",IFERROR(_xlfn.XLOOKUP(D1829,Setup!$E$15:$E$79,Setup!$G$15:$G$79),"Uncategorized"))</f>
        <v/>
      </c>
      <c r="J1829" t="str">
        <f t="shared" si="146"/>
        <v/>
      </c>
      <c r="K1829" s="4" t="str">
        <f t="shared" si="147"/>
        <v/>
      </c>
      <c r="L1829" s="47">
        <f t="shared" si="148"/>
        <v>0</v>
      </c>
      <c r="M1829" s="47">
        <f t="shared" si="149"/>
        <v>0</v>
      </c>
      <c r="N1829" t="str">
        <f>IF(A1829="","",IF(D1829="Category Pending","Needs categorization",IF(COUNTIFS($A$2:A1829,A1829,$B$2:B1829,B1829,$E$2:E1829,E1829)&gt;1,"Possible duplicate","")))</f>
        <v/>
      </c>
    </row>
    <row r="1830" spans="3:14" x14ac:dyDescent="0.3">
      <c r="C1830" s="16"/>
      <c r="G1830" s="5" t="str">
        <f t="shared" si="145"/>
        <v/>
      </c>
      <c r="H1830" t="str">
        <f>IF(A1830="","",IFERROR(_xlfn.XLOOKUP(D1830,Setup!$E$15:$E$79,Setup!$F$15:$F$79),"Miscellaneous"))</f>
        <v/>
      </c>
      <c r="I1830" t="str">
        <f>IF(A1830="","",IFERROR(_xlfn.XLOOKUP(D1830,Setup!$E$15:$E$79,Setup!$G$15:$G$79),"Uncategorized"))</f>
        <v/>
      </c>
      <c r="J1830" t="str">
        <f t="shared" si="146"/>
        <v/>
      </c>
      <c r="K1830" s="4" t="str">
        <f t="shared" si="147"/>
        <v/>
      </c>
      <c r="L1830" s="47">
        <f t="shared" si="148"/>
        <v>0</v>
      </c>
      <c r="M1830" s="47">
        <f t="shared" si="149"/>
        <v>0</v>
      </c>
      <c r="N1830" t="str">
        <f>IF(A1830="","",IF(D1830="Category Pending","Needs categorization",IF(COUNTIFS($A$2:A1830,A1830,$B$2:B1830,B1830,$E$2:E1830,E1830)&gt;1,"Possible duplicate","")))</f>
        <v/>
      </c>
    </row>
    <row r="1831" spans="3:14" x14ac:dyDescent="0.3">
      <c r="C1831" s="16"/>
      <c r="G1831" s="5" t="str">
        <f t="shared" si="145"/>
        <v/>
      </c>
      <c r="H1831" t="str">
        <f>IF(A1831="","",IFERROR(_xlfn.XLOOKUP(D1831,Setup!$E$15:$E$79,Setup!$F$15:$F$79),"Miscellaneous"))</f>
        <v/>
      </c>
      <c r="I1831" t="str">
        <f>IF(A1831="","",IFERROR(_xlfn.XLOOKUP(D1831,Setup!$E$15:$E$79,Setup!$G$15:$G$79),"Uncategorized"))</f>
        <v/>
      </c>
      <c r="J1831" t="str">
        <f t="shared" si="146"/>
        <v/>
      </c>
      <c r="K1831" s="4" t="str">
        <f t="shared" si="147"/>
        <v/>
      </c>
      <c r="L1831" s="47">
        <f t="shared" si="148"/>
        <v>0</v>
      </c>
      <c r="M1831" s="47">
        <f t="shared" si="149"/>
        <v>0</v>
      </c>
      <c r="N1831" t="str">
        <f>IF(A1831="","",IF(D1831="Category Pending","Needs categorization",IF(COUNTIFS($A$2:A1831,A1831,$B$2:B1831,B1831,$E$2:E1831,E1831)&gt;1,"Possible duplicate","")))</f>
        <v/>
      </c>
    </row>
    <row r="1832" spans="3:14" x14ac:dyDescent="0.3">
      <c r="C1832" s="16"/>
      <c r="G1832" s="5" t="str">
        <f t="shared" si="145"/>
        <v/>
      </c>
      <c r="H1832" t="str">
        <f>IF(A1832="","",IFERROR(_xlfn.XLOOKUP(D1832,Setup!$E$15:$E$79,Setup!$F$15:$F$79),"Miscellaneous"))</f>
        <v/>
      </c>
      <c r="I1832" t="str">
        <f>IF(A1832="","",IFERROR(_xlfn.XLOOKUP(D1832,Setup!$E$15:$E$79,Setup!$G$15:$G$79),"Uncategorized"))</f>
        <v/>
      </c>
      <c r="J1832" t="str">
        <f t="shared" si="146"/>
        <v/>
      </c>
      <c r="K1832" s="4" t="str">
        <f t="shared" si="147"/>
        <v/>
      </c>
      <c r="L1832" s="47">
        <f t="shared" si="148"/>
        <v>0</v>
      </c>
      <c r="M1832" s="47">
        <f t="shared" si="149"/>
        <v>0</v>
      </c>
      <c r="N1832" t="str">
        <f>IF(A1832="","",IF(D1832="Category Pending","Needs categorization",IF(COUNTIFS($A$2:A1832,A1832,$B$2:B1832,B1832,$E$2:E1832,E1832)&gt;1,"Possible duplicate","")))</f>
        <v/>
      </c>
    </row>
    <row r="1833" spans="3:14" x14ac:dyDescent="0.3">
      <c r="C1833" s="16"/>
      <c r="G1833" s="5" t="str">
        <f t="shared" si="145"/>
        <v/>
      </c>
      <c r="H1833" t="str">
        <f>IF(A1833="","",IFERROR(_xlfn.XLOOKUP(D1833,Setup!$E$15:$E$79,Setup!$F$15:$F$79),"Miscellaneous"))</f>
        <v/>
      </c>
      <c r="I1833" t="str">
        <f>IF(A1833="","",IFERROR(_xlfn.XLOOKUP(D1833,Setup!$E$15:$E$79,Setup!$G$15:$G$79),"Uncategorized"))</f>
        <v/>
      </c>
      <c r="J1833" t="str">
        <f t="shared" si="146"/>
        <v/>
      </c>
      <c r="K1833" s="4" t="str">
        <f t="shared" si="147"/>
        <v/>
      </c>
      <c r="L1833" s="47">
        <f t="shared" si="148"/>
        <v>0</v>
      </c>
      <c r="M1833" s="47">
        <f t="shared" si="149"/>
        <v>0</v>
      </c>
      <c r="N1833" t="str">
        <f>IF(A1833="","",IF(D1833="Category Pending","Needs categorization",IF(COUNTIFS($A$2:A1833,A1833,$B$2:B1833,B1833,$E$2:E1833,E1833)&gt;1,"Possible duplicate","")))</f>
        <v/>
      </c>
    </row>
    <row r="1834" spans="3:14" x14ac:dyDescent="0.3">
      <c r="C1834" s="16"/>
      <c r="G1834" s="5" t="str">
        <f t="shared" si="145"/>
        <v/>
      </c>
      <c r="H1834" t="str">
        <f>IF(A1834="","",IFERROR(_xlfn.XLOOKUP(D1834,Setup!$E$15:$E$79,Setup!$F$15:$F$79),"Miscellaneous"))</f>
        <v/>
      </c>
      <c r="I1834" t="str">
        <f>IF(A1834="","",IFERROR(_xlfn.XLOOKUP(D1834,Setup!$E$15:$E$79,Setup!$G$15:$G$79),"Uncategorized"))</f>
        <v/>
      </c>
      <c r="J1834" t="str">
        <f t="shared" si="146"/>
        <v/>
      </c>
      <c r="K1834" s="4" t="str">
        <f t="shared" si="147"/>
        <v/>
      </c>
      <c r="L1834" s="47">
        <f t="shared" si="148"/>
        <v>0</v>
      </c>
      <c r="M1834" s="47">
        <f t="shared" si="149"/>
        <v>0</v>
      </c>
      <c r="N1834" t="str">
        <f>IF(A1834="","",IF(D1834="Category Pending","Needs categorization",IF(COUNTIFS($A$2:A1834,A1834,$B$2:B1834,B1834,$E$2:E1834,E1834)&gt;1,"Possible duplicate","")))</f>
        <v/>
      </c>
    </row>
    <row r="1835" spans="3:14" x14ac:dyDescent="0.3">
      <c r="C1835" s="16"/>
      <c r="G1835" s="5" t="str">
        <f t="shared" si="145"/>
        <v/>
      </c>
      <c r="H1835" t="str">
        <f>IF(A1835="","",IFERROR(_xlfn.XLOOKUP(D1835,Setup!$E$15:$E$79,Setup!$F$15:$F$79),"Miscellaneous"))</f>
        <v/>
      </c>
      <c r="I1835" t="str">
        <f>IF(A1835="","",IFERROR(_xlfn.XLOOKUP(D1835,Setup!$E$15:$E$79,Setup!$G$15:$G$79),"Uncategorized"))</f>
        <v/>
      </c>
      <c r="J1835" t="str">
        <f t="shared" si="146"/>
        <v/>
      </c>
      <c r="K1835" s="4" t="str">
        <f t="shared" si="147"/>
        <v/>
      </c>
      <c r="L1835" s="47">
        <f t="shared" si="148"/>
        <v>0</v>
      </c>
      <c r="M1835" s="47">
        <f t="shared" si="149"/>
        <v>0</v>
      </c>
      <c r="N1835" t="str">
        <f>IF(A1835="","",IF(D1835="Category Pending","Needs categorization",IF(COUNTIFS($A$2:A1835,A1835,$B$2:B1835,B1835,$E$2:E1835,E1835)&gt;1,"Possible duplicate","")))</f>
        <v/>
      </c>
    </row>
    <row r="1836" spans="3:14" x14ac:dyDescent="0.3">
      <c r="C1836" s="16"/>
      <c r="G1836" s="5" t="str">
        <f t="shared" si="145"/>
        <v/>
      </c>
      <c r="H1836" t="str">
        <f>IF(A1836="","",IFERROR(_xlfn.XLOOKUP(D1836,Setup!$E$15:$E$79,Setup!$F$15:$F$79),"Miscellaneous"))</f>
        <v/>
      </c>
      <c r="I1836" t="str">
        <f>IF(A1836="","",IFERROR(_xlfn.XLOOKUP(D1836,Setup!$E$15:$E$79,Setup!$G$15:$G$79),"Uncategorized"))</f>
        <v/>
      </c>
      <c r="J1836" t="str">
        <f t="shared" si="146"/>
        <v/>
      </c>
      <c r="K1836" s="4" t="str">
        <f t="shared" si="147"/>
        <v/>
      </c>
      <c r="L1836" s="47">
        <f t="shared" si="148"/>
        <v>0</v>
      </c>
      <c r="M1836" s="47">
        <f t="shared" si="149"/>
        <v>0</v>
      </c>
      <c r="N1836" t="str">
        <f>IF(A1836="","",IF(D1836="Category Pending","Needs categorization",IF(COUNTIFS($A$2:A1836,A1836,$B$2:B1836,B1836,$E$2:E1836,E1836)&gt;1,"Possible duplicate","")))</f>
        <v/>
      </c>
    </row>
    <row r="1837" spans="3:14" x14ac:dyDescent="0.3">
      <c r="C1837" s="16"/>
      <c r="G1837" s="5" t="str">
        <f t="shared" si="145"/>
        <v/>
      </c>
      <c r="H1837" t="str">
        <f>IF(A1837="","",IFERROR(_xlfn.XLOOKUP(D1837,Setup!$E$15:$E$79,Setup!$F$15:$F$79),"Miscellaneous"))</f>
        <v/>
      </c>
      <c r="I1837" t="str">
        <f>IF(A1837="","",IFERROR(_xlfn.XLOOKUP(D1837,Setup!$E$15:$E$79,Setup!$G$15:$G$79),"Uncategorized"))</f>
        <v/>
      </c>
      <c r="J1837" t="str">
        <f t="shared" si="146"/>
        <v/>
      </c>
      <c r="K1837" s="4" t="str">
        <f t="shared" si="147"/>
        <v/>
      </c>
      <c r="L1837" s="47">
        <f t="shared" si="148"/>
        <v>0</v>
      </c>
      <c r="M1837" s="47">
        <f t="shared" si="149"/>
        <v>0</v>
      </c>
      <c r="N1837" t="str">
        <f>IF(A1837="","",IF(D1837="Category Pending","Needs categorization",IF(COUNTIFS($A$2:A1837,A1837,$B$2:B1837,B1837,$E$2:E1837,E1837)&gt;1,"Possible duplicate","")))</f>
        <v/>
      </c>
    </row>
    <row r="1838" spans="3:14" x14ac:dyDescent="0.3">
      <c r="C1838" s="16"/>
      <c r="G1838" s="5" t="str">
        <f t="shared" si="145"/>
        <v/>
      </c>
      <c r="H1838" t="str">
        <f>IF(A1838="","",IFERROR(_xlfn.XLOOKUP(D1838,Setup!$E$15:$E$79,Setup!$F$15:$F$79),"Miscellaneous"))</f>
        <v/>
      </c>
      <c r="I1838" t="str">
        <f>IF(A1838="","",IFERROR(_xlfn.XLOOKUP(D1838,Setup!$E$15:$E$79,Setup!$G$15:$G$79),"Uncategorized"))</f>
        <v/>
      </c>
      <c r="J1838" t="str">
        <f t="shared" si="146"/>
        <v/>
      </c>
      <c r="K1838" s="4" t="str">
        <f t="shared" si="147"/>
        <v/>
      </c>
      <c r="L1838" s="47">
        <f t="shared" si="148"/>
        <v>0</v>
      </c>
      <c r="M1838" s="47">
        <f t="shared" si="149"/>
        <v>0</v>
      </c>
      <c r="N1838" t="str">
        <f>IF(A1838="","",IF(D1838="Category Pending","Needs categorization",IF(COUNTIFS($A$2:A1838,A1838,$B$2:B1838,B1838,$E$2:E1838,E1838)&gt;1,"Possible duplicate","")))</f>
        <v/>
      </c>
    </row>
    <row r="1839" spans="3:14" x14ac:dyDescent="0.3">
      <c r="C1839" s="16"/>
      <c r="G1839" s="5" t="str">
        <f t="shared" si="145"/>
        <v/>
      </c>
      <c r="H1839" t="str">
        <f>IF(A1839="","",IFERROR(_xlfn.XLOOKUP(D1839,Setup!$E$15:$E$79,Setup!$F$15:$F$79),"Miscellaneous"))</f>
        <v/>
      </c>
      <c r="I1839" t="str">
        <f>IF(A1839="","",IFERROR(_xlfn.XLOOKUP(D1839,Setup!$E$15:$E$79,Setup!$G$15:$G$79),"Uncategorized"))</f>
        <v/>
      </c>
      <c r="J1839" t="str">
        <f t="shared" si="146"/>
        <v/>
      </c>
      <c r="K1839" s="4" t="str">
        <f t="shared" si="147"/>
        <v/>
      </c>
      <c r="L1839" s="47">
        <f t="shared" si="148"/>
        <v>0</v>
      </c>
      <c r="M1839" s="47">
        <f t="shared" si="149"/>
        <v>0</v>
      </c>
      <c r="N1839" t="str">
        <f>IF(A1839="","",IF(D1839="Category Pending","Needs categorization",IF(COUNTIFS($A$2:A1839,A1839,$B$2:B1839,B1839,$E$2:E1839,E1839)&gt;1,"Possible duplicate","")))</f>
        <v/>
      </c>
    </row>
    <row r="1840" spans="3:14" x14ac:dyDescent="0.3">
      <c r="C1840" s="16"/>
      <c r="G1840" s="5" t="str">
        <f t="shared" si="145"/>
        <v/>
      </c>
      <c r="H1840" t="str">
        <f>IF(A1840="","",IFERROR(_xlfn.XLOOKUP(D1840,Setup!$E$15:$E$79,Setup!$F$15:$F$79),"Miscellaneous"))</f>
        <v/>
      </c>
      <c r="I1840" t="str">
        <f>IF(A1840="","",IFERROR(_xlfn.XLOOKUP(D1840,Setup!$E$15:$E$79,Setup!$G$15:$G$79),"Uncategorized"))</f>
        <v/>
      </c>
      <c r="J1840" t="str">
        <f t="shared" si="146"/>
        <v/>
      </c>
      <c r="K1840" s="4" t="str">
        <f t="shared" si="147"/>
        <v/>
      </c>
      <c r="L1840" s="47">
        <f t="shared" si="148"/>
        <v>0</v>
      </c>
      <c r="M1840" s="47">
        <f t="shared" si="149"/>
        <v>0</v>
      </c>
      <c r="N1840" t="str">
        <f>IF(A1840="","",IF(D1840="Category Pending","Needs categorization",IF(COUNTIFS($A$2:A1840,A1840,$B$2:B1840,B1840,$E$2:E1840,E1840)&gt;1,"Possible duplicate","")))</f>
        <v/>
      </c>
    </row>
    <row r="1841" spans="3:14" x14ac:dyDescent="0.3">
      <c r="C1841" s="16"/>
      <c r="G1841" s="5" t="str">
        <f t="shared" si="145"/>
        <v/>
      </c>
      <c r="H1841" t="str">
        <f>IF(A1841="","",IFERROR(_xlfn.XLOOKUP(D1841,Setup!$E$15:$E$79,Setup!$F$15:$F$79),"Miscellaneous"))</f>
        <v/>
      </c>
      <c r="I1841" t="str">
        <f>IF(A1841="","",IFERROR(_xlfn.XLOOKUP(D1841,Setup!$E$15:$E$79,Setup!$G$15:$G$79),"Uncategorized"))</f>
        <v/>
      </c>
      <c r="J1841" t="str">
        <f t="shared" si="146"/>
        <v/>
      </c>
      <c r="K1841" s="4" t="str">
        <f t="shared" si="147"/>
        <v/>
      </c>
      <c r="L1841" s="47">
        <f t="shared" si="148"/>
        <v>0</v>
      </c>
      <c r="M1841" s="47">
        <f t="shared" si="149"/>
        <v>0</v>
      </c>
      <c r="N1841" t="str">
        <f>IF(A1841="","",IF(D1841="Category Pending","Needs categorization",IF(COUNTIFS($A$2:A1841,A1841,$B$2:B1841,B1841,$E$2:E1841,E1841)&gt;1,"Possible duplicate","")))</f>
        <v/>
      </c>
    </row>
    <row r="1842" spans="3:14" x14ac:dyDescent="0.3">
      <c r="C1842" s="16"/>
      <c r="G1842" s="5" t="str">
        <f t="shared" si="145"/>
        <v/>
      </c>
      <c r="H1842" t="str">
        <f>IF(A1842="","",IFERROR(_xlfn.XLOOKUP(D1842,Setup!$E$15:$E$79,Setup!$F$15:$F$79),"Miscellaneous"))</f>
        <v/>
      </c>
      <c r="I1842" t="str">
        <f>IF(A1842="","",IFERROR(_xlfn.XLOOKUP(D1842,Setup!$E$15:$E$79,Setup!$G$15:$G$79),"Uncategorized"))</f>
        <v/>
      </c>
      <c r="J1842" t="str">
        <f t="shared" si="146"/>
        <v/>
      </c>
      <c r="K1842" s="4" t="str">
        <f t="shared" si="147"/>
        <v/>
      </c>
      <c r="L1842" s="47">
        <f t="shared" si="148"/>
        <v>0</v>
      </c>
      <c r="M1842" s="47">
        <f t="shared" si="149"/>
        <v>0</v>
      </c>
      <c r="N1842" t="str">
        <f>IF(A1842="","",IF(D1842="Category Pending","Needs categorization",IF(COUNTIFS($A$2:A1842,A1842,$B$2:B1842,B1842,$E$2:E1842,E1842)&gt;1,"Possible duplicate","")))</f>
        <v/>
      </c>
    </row>
    <row r="1843" spans="3:14" x14ac:dyDescent="0.3">
      <c r="C1843" s="16"/>
      <c r="G1843" s="5" t="str">
        <f t="shared" si="145"/>
        <v/>
      </c>
      <c r="H1843" t="str">
        <f>IF(A1843="","",IFERROR(_xlfn.XLOOKUP(D1843,Setup!$E$15:$E$79,Setup!$F$15:$F$79),"Miscellaneous"))</f>
        <v/>
      </c>
      <c r="I1843" t="str">
        <f>IF(A1843="","",IFERROR(_xlfn.XLOOKUP(D1843,Setup!$E$15:$E$79,Setup!$G$15:$G$79),"Uncategorized"))</f>
        <v/>
      </c>
      <c r="J1843" t="str">
        <f t="shared" si="146"/>
        <v/>
      </c>
      <c r="K1843" s="4" t="str">
        <f t="shared" si="147"/>
        <v/>
      </c>
      <c r="L1843" s="47">
        <f t="shared" si="148"/>
        <v>0</v>
      </c>
      <c r="M1843" s="47">
        <f t="shared" si="149"/>
        <v>0</v>
      </c>
      <c r="N1843" t="str">
        <f>IF(A1843="","",IF(D1843="Category Pending","Needs categorization",IF(COUNTIFS($A$2:A1843,A1843,$B$2:B1843,B1843,$E$2:E1843,E1843)&gt;1,"Possible duplicate","")))</f>
        <v/>
      </c>
    </row>
    <row r="1844" spans="3:14" x14ac:dyDescent="0.3">
      <c r="C1844" s="16"/>
      <c r="G1844" s="5" t="str">
        <f t="shared" si="145"/>
        <v/>
      </c>
      <c r="H1844" t="str">
        <f>IF(A1844="","",IFERROR(_xlfn.XLOOKUP(D1844,Setup!$E$15:$E$79,Setup!$F$15:$F$79),"Miscellaneous"))</f>
        <v/>
      </c>
      <c r="I1844" t="str">
        <f>IF(A1844="","",IFERROR(_xlfn.XLOOKUP(D1844,Setup!$E$15:$E$79,Setup!$G$15:$G$79),"Uncategorized"))</f>
        <v/>
      </c>
      <c r="J1844" t="str">
        <f t="shared" si="146"/>
        <v/>
      </c>
      <c r="K1844" s="4" t="str">
        <f t="shared" si="147"/>
        <v/>
      </c>
      <c r="L1844" s="47">
        <f t="shared" si="148"/>
        <v>0</v>
      </c>
      <c r="M1844" s="47">
        <f t="shared" si="149"/>
        <v>0</v>
      </c>
      <c r="N1844" t="str">
        <f>IF(A1844="","",IF(D1844="Category Pending","Needs categorization",IF(COUNTIFS($A$2:A1844,A1844,$B$2:B1844,B1844,$E$2:E1844,E1844)&gt;1,"Possible duplicate","")))</f>
        <v/>
      </c>
    </row>
    <row r="1845" spans="3:14" x14ac:dyDescent="0.3">
      <c r="C1845" s="16"/>
      <c r="G1845" s="5" t="str">
        <f t="shared" si="145"/>
        <v/>
      </c>
      <c r="H1845" t="str">
        <f>IF(A1845="","",IFERROR(_xlfn.XLOOKUP(D1845,Setup!$E$15:$E$79,Setup!$F$15:$F$79),"Miscellaneous"))</f>
        <v/>
      </c>
      <c r="I1845" t="str">
        <f>IF(A1845="","",IFERROR(_xlfn.XLOOKUP(D1845,Setup!$E$15:$E$79,Setup!$G$15:$G$79),"Uncategorized"))</f>
        <v/>
      </c>
      <c r="J1845" t="str">
        <f t="shared" si="146"/>
        <v/>
      </c>
      <c r="K1845" s="4" t="str">
        <f t="shared" si="147"/>
        <v/>
      </c>
      <c r="L1845" s="47">
        <f t="shared" si="148"/>
        <v>0</v>
      </c>
      <c r="M1845" s="47">
        <f t="shared" si="149"/>
        <v>0</v>
      </c>
      <c r="N1845" t="str">
        <f>IF(A1845="","",IF(D1845="Category Pending","Needs categorization",IF(COUNTIFS($A$2:A1845,A1845,$B$2:B1845,B1845,$E$2:E1845,E1845)&gt;1,"Possible duplicate","")))</f>
        <v/>
      </c>
    </row>
    <row r="1846" spans="3:14" x14ac:dyDescent="0.3">
      <c r="C1846" s="16"/>
      <c r="G1846" s="5" t="str">
        <f t="shared" si="145"/>
        <v/>
      </c>
      <c r="H1846" t="str">
        <f>IF(A1846="","",IFERROR(_xlfn.XLOOKUP(D1846,Setup!$E$15:$E$79,Setup!$F$15:$F$79),"Miscellaneous"))</f>
        <v/>
      </c>
      <c r="I1846" t="str">
        <f>IF(A1846="","",IFERROR(_xlfn.XLOOKUP(D1846,Setup!$E$15:$E$79,Setup!$G$15:$G$79),"Uncategorized"))</f>
        <v/>
      </c>
      <c r="J1846" t="str">
        <f t="shared" si="146"/>
        <v/>
      </c>
      <c r="K1846" s="4" t="str">
        <f t="shared" si="147"/>
        <v/>
      </c>
      <c r="L1846" s="47">
        <f t="shared" si="148"/>
        <v>0</v>
      </c>
      <c r="M1846" s="47">
        <f t="shared" si="149"/>
        <v>0</v>
      </c>
      <c r="N1846" t="str">
        <f>IF(A1846="","",IF(D1846="Category Pending","Needs categorization",IF(COUNTIFS($A$2:A1846,A1846,$B$2:B1846,B1846,$E$2:E1846,E1846)&gt;1,"Possible duplicate","")))</f>
        <v/>
      </c>
    </row>
    <row r="1847" spans="3:14" x14ac:dyDescent="0.3">
      <c r="C1847" s="16"/>
      <c r="G1847" s="5" t="str">
        <f t="shared" si="145"/>
        <v/>
      </c>
      <c r="H1847" t="str">
        <f>IF(A1847="","",IFERROR(_xlfn.XLOOKUP(D1847,Setup!$E$15:$E$79,Setup!$F$15:$F$79),"Miscellaneous"))</f>
        <v/>
      </c>
      <c r="I1847" t="str">
        <f>IF(A1847="","",IFERROR(_xlfn.XLOOKUP(D1847,Setup!$E$15:$E$79,Setup!$G$15:$G$79),"Uncategorized"))</f>
        <v/>
      </c>
      <c r="J1847" t="str">
        <f t="shared" si="146"/>
        <v/>
      </c>
      <c r="K1847" s="4" t="str">
        <f t="shared" si="147"/>
        <v/>
      </c>
      <c r="L1847" s="47">
        <f t="shared" si="148"/>
        <v>0</v>
      </c>
      <c r="M1847" s="47">
        <f t="shared" si="149"/>
        <v>0</v>
      </c>
      <c r="N1847" t="str">
        <f>IF(A1847="","",IF(D1847="Category Pending","Needs categorization",IF(COUNTIFS($A$2:A1847,A1847,$B$2:B1847,B1847,$E$2:E1847,E1847)&gt;1,"Possible duplicate","")))</f>
        <v/>
      </c>
    </row>
    <row r="1848" spans="3:14" x14ac:dyDescent="0.3">
      <c r="C1848" s="16"/>
      <c r="G1848" s="5" t="str">
        <f t="shared" si="145"/>
        <v/>
      </c>
      <c r="H1848" t="str">
        <f>IF(A1848="","",IFERROR(_xlfn.XLOOKUP(D1848,Setup!$E$15:$E$79,Setup!$F$15:$F$79),"Miscellaneous"))</f>
        <v/>
      </c>
      <c r="I1848" t="str">
        <f>IF(A1848="","",IFERROR(_xlfn.XLOOKUP(D1848,Setup!$E$15:$E$79,Setup!$G$15:$G$79),"Uncategorized"))</f>
        <v/>
      </c>
      <c r="J1848" t="str">
        <f t="shared" si="146"/>
        <v/>
      </c>
      <c r="K1848" s="4" t="str">
        <f t="shared" si="147"/>
        <v/>
      </c>
      <c r="L1848" s="47">
        <f t="shared" si="148"/>
        <v>0</v>
      </c>
      <c r="M1848" s="47">
        <f t="shared" si="149"/>
        <v>0</v>
      </c>
      <c r="N1848" t="str">
        <f>IF(A1848="","",IF(D1848="Category Pending","Needs categorization",IF(COUNTIFS($A$2:A1848,A1848,$B$2:B1848,B1848,$E$2:E1848,E1848)&gt;1,"Possible duplicate","")))</f>
        <v/>
      </c>
    </row>
    <row r="1849" spans="3:14" x14ac:dyDescent="0.3">
      <c r="C1849" s="16"/>
      <c r="G1849" s="5" t="str">
        <f t="shared" si="145"/>
        <v/>
      </c>
      <c r="H1849" t="str">
        <f>IF(A1849="","",IFERROR(_xlfn.XLOOKUP(D1849,Setup!$E$15:$E$79,Setup!$F$15:$F$79),"Miscellaneous"))</f>
        <v/>
      </c>
      <c r="I1849" t="str">
        <f>IF(A1849="","",IFERROR(_xlfn.XLOOKUP(D1849,Setup!$E$15:$E$79,Setup!$G$15:$G$79),"Uncategorized"))</f>
        <v/>
      </c>
      <c r="J1849" t="str">
        <f t="shared" si="146"/>
        <v/>
      </c>
      <c r="K1849" s="4" t="str">
        <f t="shared" si="147"/>
        <v/>
      </c>
      <c r="L1849" s="47">
        <f t="shared" si="148"/>
        <v>0</v>
      </c>
      <c r="M1849" s="47">
        <f t="shared" si="149"/>
        <v>0</v>
      </c>
      <c r="N1849" t="str">
        <f>IF(A1849="","",IF(D1849="Category Pending","Needs categorization",IF(COUNTIFS($A$2:A1849,A1849,$B$2:B1849,B1849,$E$2:E1849,E1849)&gt;1,"Possible duplicate","")))</f>
        <v/>
      </c>
    </row>
    <row r="1850" spans="3:14" x14ac:dyDescent="0.3">
      <c r="C1850" s="16"/>
      <c r="G1850" s="5" t="str">
        <f t="shared" si="145"/>
        <v/>
      </c>
      <c r="H1850" t="str">
        <f>IF(A1850="","",IFERROR(_xlfn.XLOOKUP(D1850,Setup!$E$15:$E$79,Setup!$F$15:$F$79),"Miscellaneous"))</f>
        <v/>
      </c>
      <c r="I1850" t="str">
        <f>IF(A1850="","",IFERROR(_xlfn.XLOOKUP(D1850,Setup!$E$15:$E$79,Setup!$G$15:$G$79),"Uncategorized"))</f>
        <v/>
      </c>
      <c r="J1850" t="str">
        <f t="shared" si="146"/>
        <v/>
      </c>
      <c r="K1850" s="4" t="str">
        <f t="shared" si="147"/>
        <v/>
      </c>
      <c r="L1850" s="47">
        <f t="shared" si="148"/>
        <v>0</v>
      </c>
      <c r="M1850" s="47">
        <f t="shared" si="149"/>
        <v>0</v>
      </c>
      <c r="N1850" t="str">
        <f>IF(A1850="","",IF(D1850="Category Pending","Needs categorization",IF(COUNTIFS($A$2:A1850,A1850,$B$2:B1850,B1850,$E$2:E1850,E1850)&gt;1,"Possible duplicate","")))</f>
        <v/>
      </c>
    </row>
    <row r="1851" spans="3:14" x14ac:dyDescent="0.3">
      <c r="C1851" s="16"/>
      <c r="G1851" s="5" t="str">
        <f t="shared" si="145"/>
        <v/>
      </c>
      <c r="H1851" t="str">
        <f>IF(A1851="","",IFERROR(_xlfn.XLOOKUP(D1851,Setup!$E$15:$E$79,Setup!$F$15:$F$79),"Miscellaneous"))</f>
        <v/>
      </c>
      <c r="I1851" t="str">
        <f>IF(A1851="","",IFERROR(_xlfn.XLOOKUP(D1851,Setup!$E$15:$E$79,Setup!$G$15:$G$79),"Uncategorized"))</f>
        <v/>
      </c>
      <c r="J1851" t="str">
        <f t="shared" si="146"/>
        <v/>
      </c>
      <c r="K1851" s="4" t="str">
        <f t="shared" si="147"/>
        <v/>
      </c>
      <c r="L1851" s="47">
        <f t="shared" si="148"/>
        <v>0</v>
      </c>
      <c r="M1851" s="47">
        <f t="shared" si="149"/>
        <v>0</v>
      </c>
      <c r="N1851" t="str">
        <f>IF(A1851="","",IF(D1851="Category Pending","Needs categorization",IF(COUNTIFS($A$2:A1851,A1851,$B$2:B1851,B1851,$E$2:E1851,E1851)&gt;1,"Possible duplicate","")))</f>
        <v/>
      </c>
    </row>
    <row r="1852" spans="3:14" x14ac:dyDescent="0.3">
      <c r="C1852" s="16"/>
      <c r="G1852" s="5" t="str">
        <f t="shared" si="145"/>
        <v/>
      </c>
      <c r="H1852" t="str">
        <f>IF(A1852="","",IFERROR(_xlfn.XLOOKUP(D1852,Setup!$E$15:$E$79,Setup!$F$15:$F$79),"Miscellaneous"))</f>
        <v/>
      </c>
      <c r="I1852" t="str">
        <f>IF(A1852="","",IFERROR(_xlfn.XLOOKUP(D1852,Setup!$E$15:$E$79,Setup!$G$15:$G$79),"Uncategorized"))</f>
        <v/>
      </c>
      <c r="J1852" t="str">
        <f t="shared" si="146"/>
        <v/>
      </c>
      <c r="K1852" s="4" t="str">
        <f t="shared" si="147"/>
        <v/>
      </c>
      <c r="L1852" s="47">
        <f t="shared" si="148"/>
        <v>0</v>
      </c>
      <c r="M1852" s="47">
        <f t="shared" si="149"/>
        <v>0</v>
      </c>
      <c r="N1852" t="str">
        <f>IF(A1852="","",IF(D1852="Category Pending","Needs categorization",IF(COUNTIFS($A$2:A1852,A1852,$B$2:B1852,B1852,$E$2:E1852,E1852)&gt;1,"Possible duplicate","")))</f>
        <v/>
      </c>
    </row>
    <row r="1853" spans="3:14" x14ac:dyDescent="0.3">
      <c r="C1853" s="16"/>
      <c r="G1853" s="5" t="str">
        <f t="shared" si="145"/>
        <v/>
      </c>
      <c r="H1853" t="str">
        <f>IF(A1853="","",IFERROR(_xlfn.XLOOKUP(D1853,Setup!$E$15:$E$79,Setup!$F$15:$F$79),"Miscellaneous"))</f>
        <v/>
      </c>
      <c r="I1853" t="str">
        <f>IF(A1853="","",IFERROR(_xlfn.XLOOKUP(D1853,Setup!$E$15:$E$79,Setup!$G$15:$G$79),"Uncategorized"))</f>
        <v/>
      </c>
      <c r="J1853" t="str">
        <f t="shared" si="146"/>
        <v/>
      </c>
      <c r="K1853" s="4" t="str">
        <f t="shared" si="147"/>
        <v/>
      </c>
      <c r="L1853" s="47">
        <f t="shared" si="148"/>
        <v>0</v>
      </c>
      <c r="M1853" s="47">
        <f t="shared" si="149"/>
        <v>0</v>
      </c>
      <c r="N1853" t="str">
        <f>IF(A1853="","",IF(D1853="Category Pending","Needs categorization",IF(COUNTIFS($A$2:A1853,A1853,$B$2:B1853,B1853,$E$2:E1853,E1853)&gt;1,"Possible duplicate","")))</f>
        <v/>
      </c>
    </row>
    <row r="1854" spans="3:14" x14ac:dyDescent="0.3">
      <c r="C1854" s="16"/>
      <c r="G1854" s="5" t="str">
        <f t="shared" si="145"/>
        <v/>
      </c>
      <c r="H1854" t="str">
        <f>IF(A1854="","",IFERROR(_xlfn.XLOOKUP(D1854,Setup!$E$15:$E$79,Setup!$F$15:$F$79),"Miscellaneous"))</f>
        <v/>
      </c>
      <c r="I1854" t="str">
        <f>IF(A1854="","",IFERROR(_xlfn.XLOOKUP(D1854,Setup!$E$15:$E$79,Setup!$G$15:$G$79),"Uncategorized"))</f>
        <v/>
      </c>
      <c r="J1854" t="str">
        <f t="shared" si="146"/>
        <v/>
      </c>
      <c r="K1854" s="4" t="str">
        <f t="shared" si="147"/>
        <v/>
      </c>
      <c r="L1854" s="47">
        <f t="shared" si="148"/>
        <v>0</v>
      </c>
      <c r="M1854" s="47">
        <f t="shared" si="149"/>
        <v>0</v>
      </c>
      <c r="N1854" t="str">
        <f>IF(A1854="","",IF(D1854="Category Pending","Needs categorization",IF(COUNTIFS($A$2:A1854,A1854,$B$2:B1854,B1854,$E$2:E1854,E1854)&gt;1,"Possible duplicate","")))</f>
        <v/>
      </c>
    </row>
    <row r="1855" spans="3:14" x14ac:dyDescent="0.3">
      <c r="C1855" s="16"/>
      <c r="G1855" s="5" t="str">
        <f t="shared" si="145"/>
        <v/>
      </c>
      <c r="H1855" t="str">
        <f>IF(A1855="","",IFERROR(_xlfn.XLOOKUP(D1855,Setup!$E$15:$E$79,Setup!$F$15:$F$79),"Miscellaneous"))</f>
        <v/>
      </c>
      <c r="I1855" t="str">
        <f>IF(A1855="","",IFERROR(_xlfn.XLOOKUP(D1855,Setup!$E$15:$E$79,Setup!$G$15:$G$79),"Uncategorized"))</f>
        <v/>
      </c>
      <c r="J1855" t="str">
        <f t="shared" si="146"/>
        <v/>
      </c>
      <c r="K1855" s="4" t="str">
        <f t="shared" si="147"/>
        <v/>
      </c>
      <c r="L1855" s="47">
        <f t="shared" si="148"/>
        <v>0</v>
      </c>
      <c r="M1855" s="47">
        <f t="shared" si="149"/>
        <v>0</v>
      </c>
      <c r="N1855" t="str">
        <f>IF(A1855="","",IF(D1855="Category Pending","Needs categorization",IF(COUNTIFS($A$2:A1855,A1855,$B$2:B1855,B1855,$E$2:E1855,E1855)&gt;1,"Possible duplicate","")))</f>
        <v/>
      </c>
    </row>
    <row r="1856" spans="3:14" x14ac:dyDescent="0.3">
      <c r="C1856" s="16"/>
      <c r="G1856" s="5" t="str">
        <f t="shared" si="145"/>
        <v/>
      </c>
      <c r="H1856" t="str">
        <f>IF(A1856="","",IFERROR(_xlfn.XLOOKUP(D1856,Setup!$E$15:$E$79,Setup!$F$15:$F$79),"Miscellaneous"))</f>
        <v/>
      </c>
      <c r="I1856" t="str">
        <f>IF(A1856="","",IFERROR(_xlfn.XLOOKUP(D1856,Setup!$E$15:$E$79,Setup!$G$15:$G$79),"Uncategorized"))</f>
        <v/>
      </c>
      <c r="J1856" t="str">
        <f t="shared" si="146"/>
        <v/>
      </c>
      <c r="K1856" s="4" t="str">
        <f t="shared" si="147"/>
        <v/>
      </c>
      <c r="L1856" s="47">
        <f t="shared" si="148"/>
        <v>0</v>
      </c>
      <c r="M1856" s="47">
        <f t="shared" si="149"/>
        <v>0</v>
      </c>
      <c r="N1856" t="str">
        <f>IF(A1856="","",IF(D1856="Category Pending","Needs categorization",IF(COUNTIFS($A$2:A1856,A1856,$B$2:B1856,B1856,$E$2:E1856,E1856)&gt;1,"Possible duplicate","")))</f>
        <v/>
      </c>
    </row>
    <row r="1857" spans="3:14" x14ac:dyDescent="0.3">
      <c r="C1857" s="16"/>
      <c r="G1857" s="5" t="str">
        <f t="shared" si="145"/>
        <v/>
      </c>
      <c r="H1857" t="str">
        <f>IF(A1857="","",IFERROR(_xlfn.XLOOKUP(D1857,Setup!$E$15:$E$79,Setup!$F$15:$F$79),"Miscellaneous"))</f>
        <v/>
      </c>
      <c r="I1857" t="str">
        <f>IF(A1857="","",IFERROR(_xlfn.XLOOKUP(D1857,Setup!$E$15:$E$79,Setup!$G$15:$G$79),"Uncategorized"))</f>
        <v/>
      </c>
      <c r="J1857" t="str">
        <f t="shared" si="146"/>
        <v/>
      </c>
      <c r="K1857" s="4" t="str">
        <f t="shared" si="147"/>
        <v/>
      </c>
      <c r="L1857" s="47">
        <f t="shared" si="148"/>
        <v>0</v>
      </c>
      <c r="M1857" s="47">
        <f t="shared" si="149"/>
        <v>0</v>
      </c>
      <c r="N1857" t="str">
        <f>IF(A1857="","",IF(D1857="Category Pending","Needs categorization",IF(COUNTIFS($A$2:A1857,A1857,$B$2:B1857,B1857,$E$2:E1857,E1857)&gt;1,"Possible duplicate","")))</f>
        <v/>
      </c>
    </row>
    <row r="1858" spans="3:14" x14ac:dyDescent="0.3">
      <c r="C1858" s="16"/>
      <c r="G1858" s="5" t="str">
        <f t="shared" si="145"/>
        <v/>
      </c>
      <c r="H1858" t="str">
        <f>IF(A1858="","",IFERROR(_xlfn.XLOOKUP(D1858,Setup!$E$15:$E$79,Setup!$F$15:$F$79),"Miscellaneous"))</f>
        <v/>
      </c>
      <c r="I1858" t="str">
        <f>IF(A1858="","",IFERROR(_xlfn.XLOOKUP(D1858,Setup!$E$15:$E$79,Setup!$G$15:$G$79),"Uncategorized"))</f>
        <v/>
      </c>
      <c r="J1858" t="str">
        <f t="shared" si="146"/>
        <v/>
      </c>
      <c r="K1858" s="4" t="str">
        <f t="shared" si="147"/>
        <v/>
      </c>
      <c r="L1858" s="47">
        <f t="shared" si="148"/>
        <v>0</v>
      </c>
      <c r="M1858" s="47">
        <f t="shared" si="149"/>
        <v>0</v>
      </c>
      <c r="N1858" t="str">
        <f>IF(A1858="","",IF(D1858="Category Pending","Needs categorization",IF(COUNTIFS($A$2:A1858,A1858,$B$2:B1858,B1858,$E$2:E1858,E1858)&gt;1,"Possible duplicate","")))</f>
        <v/>
      </c>
    </row>
    <row r="1859" spans="3:14" x14ac:dyDescent="0.3">
      <c r="C1859" s="16"/>
      <c r="G1859" s="5" t="str">
        <f t="shared" si="145"/>
        <v/>
      </c>
      <c r="H1859" t="str">
        <f>IF(A1859="","",IFERROR(_xlfn.XLOOKUP(D1859,Setup!$E$15:$E$79,Setup!$F$15:$F$79),"Miscellaneous"))</f>
        <v/>
      </c>
      <c r="I1859" t="str">
        <f>IF(A1859="","",IFERROR(_xlfn.XLOOKUP(D1859,Setup!$E$15:$E$79,Setup!$G$15:$G$79),"Uncategorized"))</f>
        <v/>
      </c>
      <c r="J1859" t="str">
        <f t="shared" si="146"/>
        <v/>
      </c>
      <c r="K1859" s="4" t="str">
        <f t="shared" si="147"/>
        <v/>
      </c>
      <c r="L1859" s="47">
        <f t="shared" si="148"/>
        <v>0</v>
      </c>
      <c r="M1859" s="47">
        <f t="shared" si="149"/>
        <v>0</v>
      </c>
      <c r="N1859" t="str">
        <f>IF(A1859="","",IF(D1859="Category Pending","Needs categorization",IF(COUNTIFS($A$2:A1859,A1859,$B$2:B1859,B1859,$E$2:E1859,E1859)&gt;1,"Possible duplicate","")))</f>
        <v/>
      </c>
    </row>
    <row r="1860" spans="3:14" x14ac:dyDescent="0.3">
      <c r="C1860" s="16"/>
      <c r="G1860" s="5" t="str">
        <f t="shared" si="145"/>
        <v/>
      </c>
      <c r="H1860" t="str">
        <f>IF(A1860="","",IFERROR(_xlfn.XLOOKUP(D1860,Setup!$E$15:$E$79,Setup!$F$15:$F$79),"Miscellaneous"))</f>
        <v/>
      </c>
      <c r="I1860" t="str">
        <f>IF(A1860="","",IFERROR(_xlfn.XLOOKUP(D1860,Setup!$E$15:$E$79,Setup!$G$15:$G$79),"Uncategorized"))</f>
        <v/>
      </c>
      <c r="J1860" t="str">
        <f t="shared" si="146"/>
        <v/>
      </c>
      <c r="K1860" s="4" t="str">
        <f t="shared" si="147"/>
        <v/>
      </c>
      <c r="L1860" s="47">
        <f t="shared" si="148"/>
        <v>0</v>
      </c>
      <c r="M1860" s="47">
        <f t="shared" si="149"/>
        <v>0</v>
      </c>
      <c r="N1860" t="str">
        <f>IF(A1860="","",IF(D1860="Category Pending","Needs categorization",IF(COUNTIFS($A$2:A1860,A1860,$B$2:B1860,B1860,$E$2:E1860,E1860)&gt;1,"Possible duplicate","")))</f>
        <v/>
      </c>
    </row>
    <row r="1861" spans="3:14" x14ac:dyDescent="0.3">
      <c r="C1861" s="16"/>
      <c r="G1861" s="5" t="str">
        <f t="shared" si="145"/>
        <v/>
      </c>
      <c r="H1861" t="str">
        <f>IF(A1861="","",IFERROR(_xlfn.XLOOKUP(D1861,Setup!$E$15:$E$79,Setup!$F$15:$F$79),"Miscellaneous"))</f>
        <v/>
      </c>
      <c r="I1861" t="str">
        <f>IF(A1861="","",IFERROR(_xlfn.XLOOKUP(D1861,Setup!$E$15:$E$79,Setup!$G$15:$G$79),"Uncategorized"))</f>
        <v/>
      </c>
      <c r="J1861" t="str">
        <f t="shared" si="146"/>
        <v/>
      </c>
      <c r="K1861" s="4" t="str">
        <f t="shared" si="147"/>
        <v/>
      </c>
      <c r="L1861" s="47">
        <f t="shared" si="148"/>
        <v>0</v>
      </c>
      <c r="M1861" s="47">
        <f t="shared" si="149"/>
        <v>0</v>
      </c>
      <c r="N1861" t="str">
        <f>IF(A1861="","",IF(D1861="Category Pending","Needs categorization",IF(COUNTIFS($A$2:A1861,A1861,$B$2:B1861,B1861,$E$2:E1861,E1861)&gt;1,"Possible duplicate","")))</f>
        <v/>
      </c>
    </row>
    <row r="1862" spans="3:14" x14ac:dyDescent="0.3">
      <c r="C1862" s="16"/>
      <c r="G1862" s="5" t="str">
        <f t="shared" si="145"/>
        <v/>
      </c>
      <c r="H1862" t="str">
        <f>IF(A1862="","",IFERROR(_xlfn.XLOOKUP(D1862,Setup!$E$15:$E$79,Setup!$F$15:$F$79),"Miscellaneous"))</f>
        <v/>
      </c>
      <c r="I1862" t="str">
        <f>IF(A1862="","",IFERROR(_xlfn.XLOOKUP(D1862,Setup!$E$15:$E$79,Setup!$G$15:$G$79),"Uncategorized"))</f>
        <v/>
      </c>
      <c r="J1862" t="str">
        <f t="shared" si="146"/>
        <v/>
      </c>
      <c r="K1862" s="4" t="str">
        <f t="shared" si="147"/>
        <v/>
      </c>
      <c r="L1862" s="47">
        <f t="shared" si="148"/>
        <v>0</v>
      </c>
      <c r="M1862" s="47">
        <f t="shared" si="149"/>
        <v>0</v>
      </c>
      <c r="N1862" t="str">
        <f>IF(A1862="","",IF(D1862="Category Pending","Needs categorization",IF(COUNTIFS($A$2:A1862,A1862,$B$2:B1862,B1862,$E$2:E1862,E1862)&gt;1,"Possible duplicate","")))</f>
        <v/>
      </c>
    </row>
    <row r="1863" spans="3:14" x14ac:dyDescent="0.3">
      <c r="C1863" s="16"/>
      <c r="G1863" s="5" t="str">
        <f t="shared" si="145"/>
        <v/>
      </c>
      <c r="H1863" t="str">
        <f>IF(A1863="","",IFERROR(_xlfn.XLOOKUP(D1863,Setup!$E$15:$E$79,Setup!$F$15:$F$79),"Miscellaneous"))</f>
        <v/>
      </c>
      <c r="I1863" t="str">
        <f>IF(A1863="","",IFERROR(_xlfn.XLOOKUP(D1863,Setup!$E$15:$E$79,Setup!$G$15:$G$79),"Uncategorized"))</f>
        <v/>
      </c>
      <c r="J1863" t="str">
        <f t="shared" si="146"/>
        <v/>
      </c>
      <c r="K1863" s="4" t="str">
        <f t="shared" si="147"/>
        <v/>
      </c>
      <c r="L1863" s="47">
        <f t="shared" si="148"/>
        <v>0</v>
      </c>
      <c r="M1863" s="47">
        <f t="shared" si="149"/>
        <v>0</v>
      </c>
      <c r="N1863" t="str">
        <f>IF(A1863="","",IF(D1863="Category Pending","Needs categorization",IF(COUNTIFS($A$2:A1863,A1863,$B$2:B1863,B1863,$E$2:E1863,E1863)&gt;1,"Possible duplicate","")))</f>
        <v/>
      </c>
    </row>
    <row r="1864" spans="3:14" x14ac:dyDescent="0.3">
      <c r="C1864" s="16"/>
      <c r="G1864" s="5" t="str">
        <f t="shared" si="145"/>
        <v/>
      </c>
      <c r="H1864" t="str">
        <f>IF(A1864="","",IFERROR(_xlfn.XLOOKUP(D1864,Setup!$E$15:$E$79,Setup!$F$15:$F$79),"Miscellaneous"))</f>
        <v/>
      </c>
      <c r="I1864" t="str">
        <f>IF(A1864="","",IFERROR(_xlfn.XLOOKUP(D1864,Setup!$E$15:$E$79,Setup!$G$15:$G$79),"Uncategorized"))</f>
        <v/>
      </c>
      <c r="J1864" t="str">
        <f t="shared" si="146"/>
        <v/>
      </c>
      <c r="K1864" s="4" t="str">
        <f t="shared" si="147"/>
        <v/>
      </c>
      <c r="L1864" s="47">
        <f t="shared" si="148"/>
        <v>0</v>
      </c>
      <c r="M1864" s="47">
        <f t="shared" si="149"/>
        <v>0</v>
      </c>
      <c r="N1864" t="str">
        <f>IF(A1864="","",IF(D1864="Category Pending","Needs categorization",IF(COUNTIFS($A$2:A1864,A1864,$B$2:B1864,B1864,$E$2:E1864,E1864)&gt;1,"Possible duplicate","")))</f>
        <v/>
      </c>
    </row>
    <row r="1865" spans="3:14" x14ac:dyDescent="0.3">
      <c r="C1865" s="16"/>
      <c r="G1865" s="5" t="str">
        <f t="shared" si="145"/>
        <v/>
      </c>
      <c r="H1865" t="str">
        <f>IF(A1865="","",IFERROR(_xlfn.XLOOKUP(D1865,Setup!$E$15:$E$79,Setup!$F$15:$F$79),"Miscellaneous"))</f>
        <v/>
      </c>
      <c r="I1865" t="str">
        <f>IF(A1865="","",IFERROR(_xlfn.XLOOKUP(D1865,Setup!$E$15:$E$79,Setup!$G$15:$G$79),"Uncategorized"))</f>
        <v/>
      </c>
      <c r="J1865" t="str">
        <f t="shared" si="146"/>
        <v/>
      </c>
      <c r="K1865" s="4" t="str">
        <f t="shared" si="147"/>
        <v/>
      </c>
      <c r="L1865" s="47">
        <f t="shared" si="148"/>
        <v>0</v>
      </c>
      <c r="M1865" s="47">
        <f t="shared" si="149"/>
        <v>0</v>
      </c>
      <c r="N1865" t="str">
        <f>IF(A1865="","",IF(D1865="Category Pending","Needs categorization",IF(COUNTIFS($A$2:A1865,A1865,$B$2:B1865,B1865,$E$2:E1865,E1865)&gt;1,"Possible duplicate","")))</f>
        <v/>
      </c>
    </row>
    <row r="1866" spans="3:14" x14ac:dyDescent="0.3">
      <c r="C1866" s="16"/>
      <c r="G1866" s="5" t="str">
        <f t="shared" si="145"/>
        <v/>
      </c>
      <c r="H1866" t="str">
        <f>IF(A1866="","",IFERROR(_xlfn.XLOOKUP(D1866,Setup!$E$15:$E$79,Setup!$F$15:$F$79),"Miscellaneous"))</f>
        <v/>
      </c>
      <c r="I1866" t="str">
        <f>IF(A1866="","",IFERROR(_xlfn.XLOOKUP(D1866,Setup!$E$15:$E$79,Setup!$G$15:$G$79),"Uncategorized"))</f>
        <v/>
      </c>
      <c r="J1866" t="str">
        <f t="shared" si="146"/>
        <v/>
      </c>
      <c r="K1866" s="4" t="str">
        <f t="shared" si="147"/>
        <v/>
      </c>
      <c r="L1866" s="47">
        <f t="shared" si="148"/>
        <v>0</v>
      </c>
      <c r="M1866" s="47">
        <f t="shared" si="149"/>
        <v>0</v>
      </c>
      <c r="N1866" t="str">
        <f>IF(A1866="","",IF(D1866="Category Pending","Needs categorization",IF(COUNTIFS($A$2:A1866,A1866,$B$2:B1866,B1866,$E$2:E1866,E1866)&gt;1,"Possible duplicate","")))</f>
        <v/>
      </c>
    </row>
    <row r="1867" spans="3:14" x14ac:dyDescent="0.3">
      <c r="C1867" s="16"/>
      <c r="G1867" s="5" t="str">
        <f t="shared" si="145"/>
        <v/>
      </c>
      <c r="H1867" t="str">
        <f>IF(A1867="","",IFERROR(_xlfn.XLOOKUP(D1867,Setup!$E$15:$E$79,Setup!$F$15:$F$79),"Miscellaneous"))</f>
        <v/>
      </c>
      <c r="I1867" t="str">
        <f>IF(A1867="","",IFERROR(_xlfn.XLOOKUP(D1867,Setup!$E$15:$E$79,Setup!$G$15:$G$79),"Uncategorized"))</f>
        <v/>
      </c>
      <c r="J1867" t="str">
        <f t="shared" si="146"/>
        <v/>
      </c>
      <c r="K1867" s="4" t="str">
        <f t="shared" si="147"/>
        <v/>
      </c>
      <c r="L1867" s="47">
        <f t="shared" si="148"/>
        <v>0</v>
      </c>
      <c r="M1867" s="47">
        <f t="shared" si="149"/>
        <v>0</v>
      </c>
      <c r="N1867" t="str">
        <f>IF(A1867="","",IF(D1867="Category Pending","Needs categorization",IF(COUNTIFS($A$2:A1867,A1867,$B$2:B1867,B1867,$E$2:E1867,E1867)&gt;1,"Possible duplicate","")))</f>
        <v/>
      </c>
    </row>
    <row r="1868" spans="3:14" x14ac:dyDescent="0.3">
      <c r="C1868" s="16"/>
      <c r="G1868" s="5" t="str">
        <f t="shared" si="145"/>
        <v/>
      </c>
      <c r="H1868" t="str">
        <f>IF(A1868="","",IFERROR(_xlfn.XLOOKUP(D1868,Setup!$E$15:$E$79,Setup!$F$15:$F$79),"Miscellaneous"))</f>
        <v/>
      </c>
      <c r="I1868" t="str">
        <f>IF(A1868="","",IFERROR(_xlfn.XLOOKUP(D1868,Setup!$E$15:$E$79,Setup!$G$15:$G$79),"Uncategorized"))</f>
        <v/>
      </c>
      <c r="J1868" t="str">
        <f t="shared" si="146"/>
        <v/>
      </c>
      <c r="K1868" s="4" t="str">
        <f t="shared" si="147"/>
        <v/>
      </c>
      <c r="L1868" s="47">
        <f t="shared" si="148"/>
        <v>0</v>
      </c>
      <c r="M1868" s="47">
        <f t="shared" si="149"/>
        <v>0</v>
      </c>
      <c r="N1868" t="str">
        <f>IF(A1868="","",IF(D1868="Category Pending","Needs categorization",IF(COUNTIFS($A$2:A1868,A1868,$B$2:B1868,B1868,$E$2:E1868,E1868)&gt;1,"Possible duplicate","")))</f>
        <v/>
      </c>
    </row>
    <row r="1869" spans="3:14" x14ac:dyDescent="0.3">
      <c r="C1869" s="16"/>
      <c r="G1869" s="5" t="str">
        <f t="shared" si="145"/>
        <v/>
      </c>
      <c r="H1869" t="str">
        <f>IF(A1869="","",IFERROR(_xlfn.XLOOKUP(D1869,Setup!$E$15:$E$79,Setup!$F$15:$F$79),"Miscellaneous"))</f>
        <v/>
      </c>
      <c r="I1869" t="str">
        <f>IF(A1869="","",IFERROR(_xlfn.XLOOKUP(D1869,Setup!$E$15:$E$79,Setup!$G$15:$G$79),"Uncategorized"))</f>
        <v/>
      </c>
      <c r="J1869" t="str">
        <f t="shared" si="146"/>
        <v/>
      </c>
      <c r="K1869" s="4" t="str">
        <f t="shared" si="147"/>
        <v/>
      </c>
      <c r="L1869" s="47">
        <f t="shared" si="148"/>
        <v>0</v>
      </c>
      <c r="M1869" s="47">
        <f t="shared" si="149"/>
        <v>0</v>
      </c>
      <c r="N1869" t="str">
        <f>IF(A1869="","",IF(D1869="Category Pending","Needs categorization",IF(COUNTIFS($A$2:A1869,A1869,$B$2:B1869,B1869,$E$2:E1869,E1869)&gt;1,"Possible duplicate","")))</f>
        <v/>
      </c>
    </row>
    <row r="1870" spans="3:14" x14ac:dyDescent="0.3">
      <c r="C1870" s="16"/>
      <c r="G1870" s="5" t="str">
        <f t="shared" si="145"/>
        <v/>
      </c>
      <c r="H1870" t="str">
        <f>IF(A1870="","",IFERROR(_xlfn.XLOOKUP(D1870,Setup!$E$15:$E$79,Setup!$F$15:$F$79),"Miscellaneous"))</f>
        <v/>
      </c>
      <c r="I1870" t="str">
        <f>IF(A1870="","",IFERROR(_xlfn.XLOOKUP(D1870,Setup!$E$15:$E$79,Setup!$G$15:$G$79),"Uncategorized"))</f>
        <v/>
      </c>
      <c r="J1870" t="str">
        <f t="shared" si="146"/>
        <v/>
      </c>
      <c r="K1870" s="4" t="str">
        <f t="shared" si="147"/>
        <v/>
      </c>
      <c r="L1870" s="47">
        <f t="shared" si="148"/>
        <v>0</v>
      </c>
      <c r="M1870" s="47">
        <f t="shared" si="149"/>
        <v>0</v>
      </c>
      <c r="N1870" t="str">
        <f>IF(A1870="","",IF(D1870="Category Pending","Needs categorization",IF(COUNTIFS($A$2:A1870,A1870,$B$2:B1870,B1870,$E$2:E1870,E1870)&gt;1,"Possible duplicate","")))</f>
        <v/>
      </c>
    </row>
    <row r="1871" spans="3:14" x14ac:dyDescent="0.3">
      <c r="C1871" s="16"/>
      <c r="G1871" s="5" t="str">
        <f t="shared" si="145"/>
        <v/>
      </c>
      <c r="H1871" t="str">
        <f>IF(A1871="","",IFERROR(_xlfn.XLOOKUP(D1871,Setup!$E$15:$E$79,Setup!$F$15:$F$79),"Miscellaneous"))</f>
        <v/>
      </c>
      <c r="I1871" t="str">
        <f>IF(A1871="","",IFERROR(_xlfn.XLOOKUP(D1871,Setup!$E$15:$E$79,Setup!$G$15:$G$79),"Uncategorized"))</f>
        <v/>
      </c>
      <c r="J1871" t="str">
        <f t="shared" si="146"/>
        <v/>
      </c>
      <c r="K1871" s="4" t="str">
        <f t="shared" si="147"/>
        <v/>
      </c>
      <c r="L1871" s="47">
        <f t="shared" si="148"/>
        <v>0</v>
      </c>
      <c r="M1871" s="47">
        <f t="shared" si="149"/>
        <v>0</v>
      </c>
      <c r="N1871" t="str">
        <f>IF(A1871="","",IF(D1871="Category Pending","Needs categorization",IF(COUNTIFS($A$2:A1871,A1871,$B$2:B1871,B1871,$E$2:E1871,E1871)&gt;1,"Possible duplicate","")))</f>
        <v/>
      </c>
    </row>
    <row r="1872" spans="3:14" x14ac:dyDescent="0.3">
      <c r="C1872" s="16"/>
      <c r="G1872" s="5" t="str">
        <f t="shared" si="145"/>
        <v/>
      </c>
      <c r="H1872" t="str">
        <f>IF(A1872="","",IFERROR(_xlfn.XLOOKUP(D1872,Setup!$E$15:$E$79,Setup!$F$15:$F$79),"Miscellaneous"))</f>
        <v/>
      </c>
      <c r="I1872" t="str">
        <f>IF(A1872="","",IFERROR(_xlfn.XLOOKUP(D1872,Setup!$E$15:$E$79,Setup!$G$15:$G$79),"Uncategorized"))</f>
        <v/>
      </c>
      <c r="J1872" t="str">
        <f t="shared" si="146"/>
        <v/>
      </c>
      <c r="K1872" s="4" t="str">
        <f t="shared" si="147"/>
        <v/>
      </c>
      <c r="L1872" s="47">
        <f t="shared" si="148"/>
        <v>0</v>
      </c>
      <c r="M1872" s="47">
        <f t="shared" si="149"/>
        <v>0</v>
      </c>
      <c r="N1872" t="str">
        <f>IF(A1872="","",IF(D1872="Category Pending","Needs categorization",IF(COUNTIFS($A$2:A1872,A1872,$B$2:B1872,B1872,$E$2:E1872,E1872)&gt;1,"Possible duplicate","")))</f>
        <v/>
      </c>
    </row>
    <row r="1873" spans="3:14" x14ac:dyDescent="0.3">
      <c r="C1873" s="16"/>
      <c r="G1873" s="5" t="str">
        <f t="shared" si="145"/>
        <v/>
      </c>
      <c r="H1873" t="str">
        <f>IF(A1873="","",IFERROR(_xlfn.XLOOKUP(D1873,Setup!$E$15:$E$79,Setup!$F$15:$F$79),"Miscellaneous"))</f>
        <v/>
      </c>
      <c r="I1873" t="str">
        <f>IF(A1873="","",IFERROR(_xlfn.XLOOKUP(D1873,Setup!$E$15:$E$79,Setup!$G$15:$G$79),"Uncategorized"))</f>
        <v/>
      </c>
      <c r="J1873" t="str">
        <f t="shared" si="146"/>
        <v/>
      </c>
      <c r="K1873" s="4" t="str">
        <f t="shared" si="147"/>
        <v/>
      </c>
      <c r="L1873" s="47">
        <f t="shared" si="148"/>
        <v>0</v>
      </c>
      <c r="M1873" s="47">
        <f t="shared" si="149"/>
        <v>0</v>
      </c>
      <c r="N1873" t="str">
        <f>IF(A1873="","",IF(D1873="Category Pending","Needs categorization",IF(COUNTIFS($A$2:A1873,A1873,$B$2:B1873,B1873,$E$2:E1873,E1873)&gt;1,"Possible duplicate","")))</f>
        <v/>
      </c>
    </row>
    <row r="1874" spans="3:14" x14ac:dyDescent="0.3">
      <c r="C1874" s="16"/>
      <c r="G1874" s="5" t="str">
        <f t="shared" si="145"/>
        <v/>
      </c>
      <c r="H1874" t="str">
        <f>IF(A1874="","",IFERROR(_xlfn.XLOOKUP(D1874,Setup!$E$15:$E$79,Setup!$F$15:$F$79),"Miscellaneous"))</f>
        <v/>
      </c>
      <c r="I1874" t="str">
        <f>IF(A1874="","",IFERROR(_xlfn.XLOOKUP(D1874,Setup!$E$15:$E$79,Setup!$G$15:$G$79),"Uncategorized"))</f>
        <v/>
      </c>
      <c r="J1874" t="str">
        <f t="shared" si="146"/>
        <v/>
      </c>
      <c r="K1874" s="4" t="str">
        <f t="shared" si="147"/>
        <v/>
      </c>
      <c r="L1874" s="47">
        <f t="shared" si="148"/>
        <v>0</v>
      </c>
      <c r="M1874" s="47">
        <f t="shared" si="149"/>
        <v>0</v>
      </c>
      <c r="N1874" t="str">
        <f>IF(A1874="","",IF(D1874="Category Pending","Needs categorization",IF(COUNTIFS($A$2:A1874,A1874,$B$2:B1874,B1874,$E$2:E1874,E1874)&gt;1,"Possible duplicate","")))</f>
        <v/>
      </c>
    </row>
    <row r="1875" spans="3:14" x14ac:dyDescent="0.3">
      <c r="C1875" s="16"/>
      <c r="G1875" s="5" t="str">
        <f t="shared" si="145"/>
        <v/>
      </c>
      <c r="H1875" t="str">
        <f>IF(A1875="","",IFERROR(_xlfn.XLOOKUP(D1875,Setup!$E$15:$E$79,Setup!$F$15:$F$79),"Miscellaneous"))</f>
        <v/>
      </c>
      <c r="I1875" t="str">
        <f>IF(A1875="","",IFERROR(_xlfn.XLOOKUP(D1875,Setup!$E$15:$E$79,Setup!$G$15:$G$79),"Uncategorized"))</f>
        <v/>
      </c>
      <c r="J1875" t="str">
        <f t="shared" si="146"/>
        <v/>
      </c>
      <c r="K1875" s="4" t="str">
        <f t="shared" si="147"/>
        <v/>
      </c>
      <c r="L1875" s="47">
        <f t="shared" si="148"/>
        <v>0</v>
      </c>
      <c r="M1875" s="47">
        <f t="shared" si="149"/>
        <v>0</v>
      </c>
      <c r="N1875" t="str">
        <f>IF(A1875="","",IF(D1875="Category Pending","Needs categorization",IF(COUNTIFS($A$2:A1875,A1875,$B$2:B1875,B1875,$E$2:E1875,E1875)&gt;1,"Possible duplicate","")))</f>
        <v/>
      </c>
    </row>
    <row r="1876" spans="3:14" x14ac:dyDescent="0.3">
      <c r="C1876" s="16"/>
      <c r="G1876" s="5" t="str">
        <f t="shared" si="145"/>
        <v/>
      </c>
      <c r="H1876" t="str">
        <f>IF(A1876="","",IFERROR(_xlfn.XLOOKUP(D1876,Setup!$E$15:$E$79,Setup!$F$15:$F$79),"Miscellaneous"))</f>
        <v/>
      </c>
      <c r="I1876" t="str">
        <f>IF(A1876="","",IFERROR(_xlfn.XLOOKUP(D1876,Setup!$E$15:$E$79,Setup!$G$15:$G$79),"Uncategorized"))</f>
        <v/>
      </c>
      <c r="J1876" t="str">
        <f t="shared" si="146"/>
        <v/>
      </c>
      <c r="K1876" s="4" t="str">
        <f t="shared" si="147"/>
        <v/>
      </c>
      <c r="L1876" s="47">
        <f t="shared" si="148"/>
        <v>0</v>
      </c>
      <c r="M1876" s="47">
        <f t="shared" si="149"/>
        <v>0</v>
      </c>
      <c r="N1876" t="str">
        <f>IF(A1876="","",IF(D1876="Category Pending","Needs categorization",IF(COUNTIFS($A$2:A1876,A1876,$B$2:B1876,B1876,$E$2:E1876,E1876)&gt;1,"Possible duplicate","")))</f>
        <v/>
      </c>
    </row>
    <row r="1877" spans="3:14" x14ac:dyDescent="0.3">
      <c r="C1877" s="16"/>
      <c r="G1877" s="5" t="str">
        <f t="shared" si="145"/>
        <v/>
      </c>
      <c r="H1877" t="str">
        <f>IF(A1877="","",IFERROR(_xlfn.XLOOKUP(D1877,Setup!$E$15:$E$79,Setup!$F$15:$F$79),"Miscellaneous"))</f>
        <v/>
      </c>
      <c r="I1877" t="str">
        <f>IF(A1877="","",IFERROR(_xlfn.XLOOKUP(D1877,Setup!$E$15:$E$79,Setup!$G$15:$G$79),"Uncategorized"))</f>
        <v/>
      </c>
      <c r="J1877" t="str">
        <f t="shared" si="146"/>
        <v/>
      </c>
      <c r="K1877" s="4" t="str">
        <f t="shared" si="147"/>
        <v/>
      </c>
      <c r="L1877" s="47">
        <f t="shared" si="148"/>
        <v>0</v>
      </c>
      <c r="M1877" s="47">
        <f t="shared" si="149"/>
        <v>0</v>
      </c>
      <c r="N1877" t="str">
        <f>IF(A1877="","",IF(D1877="Category Pending","Needs categorization",IF(COUNTIFS($A$2:A1877,A1877,$B$2:B1877,B1877,$E$2:E1877,E1877)&gt;1,"Possible duplicate","")))</f>
        <v/>
      </c>
    </row>
    <row r="1878" spans="3:14" x14ac:dyDescent="0.3">
      <c r="C1878" s="16"/>
      <c r="G1878" s="5" t="str">
        <f t="shared" si="145"/>
        <v/>
      </c>
      <c r="H1878" t="str">
        <f>IF(A1878="","",IFERROR(_xlfn.XLOOKUP(D1878,Setup!$E$15:$E$79,Setup!$F$15:$F$79),"Miscellaneous"))</f>
        <v/>
      </c>
      <c r="I1878" t="str">
        <f>IF(A1878="","",IFERROR(_xlfn.XLOOKUP(D1878,Setup!$E$15:$E$79,Setup!$G$15:$G$79),"Uncategorized"))</f>
        <v/>
      </c>
      <c r="J1878" t="str">
        <f t="shared" si="146"/>
        <v/>
      </c>
      <c r="K1878" s="4" t="str">
        <f t="shared" si="147"/>
        <v/>
      </c>
      <c r="L1878" s="47">
        <f t="shared" si="148"/>
        <v>0</v>
      </c>
      <c r="M1878" s="47">
        <f t="shared" si="149"/>
        <v>0</v>
      </c>
      <c r="N1878" t="str">
        <f>IF(A1878="","",IF(D1878="Category Pending","Needs categorization",IF(COUNTIFS($A$2:A1878,A1878,$B$2:B1878,B1878,$E$2:E1878,E1878)&gt;1,"Possible duplicate","")))</f>
        <v/>
      </c>
    </row>
    <row r="1879" spans="3:14" x14ac:dyDescent="0.3">
      <c r="C1879" s="16"/>
      <c r="G1879" s="5" t="str">
        <f t="shared" si="145"/>
        <v/>
      </c>
      <c r="H1879" t="str">
        <f>IF(A1879="","",IFERROR(_xlfn.XLOOKUP(D1879,Setup!$E$15:$E$79,Setup!$F$15:$F$79),"Miscellaneous"))</f>
        <v/>
      </c>
      <c r="I1879" t="str">
        <f>IF(A1879="","",IFERROR(_xlfn.XLOOKUP(D1879,Setup!$E$15:$E$79,Setup!$G$15:$G$79),"Uncategorized"))</f>
        <v/>
      </c>
      <c r="J1879" t="str">
        <f t="shared" si="146"/>
        <v/>
      </c>
      <c r="K1879" s="4" t="str">
        <f t="shared" si="147"/>
        <v/>
      </c>
      <c r="L1879" s="47">
        <f t="shared" si="148"/>
        <v>0</v>
      </c>
      <c r="M1879" s="47">
        <f t="shared" si="149"/>
        <v>0</v>
      </c>
      <c r="N1879" t="str">
        <f>IF(A1879="","",IF(D1879="Category Pending","Needs categorization",IF(COUNTIFS($A$2:A1879,A1879,$B$2:B1879,B1879,$E$2:E1879,E1879)&gt;1,"Possible duplicate","")))</f>
        <v/>
      </c>
    </row>
    <row r="1880" spans="3:14" x14ac:dyDescent="0.3">
      <c r="C1880" s="16"/>
      <c r="G1880" s="5" t="str">
        <f t="shared" si="145"/>
        <v/>
      </c>
      <c r="H1880" t="str">
        <f>IF(A1880="","",IFERROR(_xlfn.XLOOKUP(D1880,Setup!$E$15:$E$79,Setup!$F$15:$F$79),"Miscellaneous"))</f>
        <v/>
      </c>
      <c r="I1880" t="str">
        <f>IF(A1880="","",IFERROR(_xlfn.XLOOKUP(D1880,Setup!$E$15:$E$79,Setup!$G$15:$G$79),"Uncategorized"))</f>
        <v/>
      </c>
      <c r="J1880" t="str">
        <f t="shared" si="146"/>
        <v/>
      </c>
      <c r="K1880" s="4" t="str">
        <f t="shared" si="147"/>
        <v/>
      </c>
      <c r="L1880" s="47">
        <f t="shared" si="148"/>
        <v>0</v>
      </c>
      <c r="M1880" s="47">
        <f t="shared" si="149"/>
        <v>0</v>
      </c>
      <c r="N1880" t="str">
        <f>IF(A1880="","",IF(D1880="Category Pending","Needs categorization",IF(COUNTIFS($A$2:A1880,A1880,$B$2:B1880,B1880,$E$2:E1880,E1880)&gt;1,"Possible duplicate","")))</f>
        <v/>
      </c>
    </row>
    <row r="1881" spans="3:14" x14ac:dyDescent="0.3">
      <c r="C1881" s="16"/>
      <c r="G1881" s="5" t="str">
        <f t="shared" si="145"/>
        <v/>
      </c>
      <c r="H1881" t="str">
        <f>IF(A1881="","",IFERROR(_xlfn.XLOOKUP(D1881,Setup!$E$15:$E$79,Setup!$F$15:$F$79),"Miscellaneous"))</f>
        <v/>
      </c>
      <c r="I1881" t="str">
        <f>IF(A1881="","",IFERROR(_xlfn.XLOOKUP(D1881,Setup!$E$15:$E$79,Setup!$G$15:$G$79),"Uncategorized"))</f>
        <v/>
      </c>
      <c r="J1881" t="str">
        <f t="shared" si="146"/>
        <v/>
      </c>
      <c r="K1881" s="4" t="str">
        <f t="shared" si="147"/>
        <v/>
      </c>
      <c r="L1881" s="47">
        <f t="shared" si="148"/>
        <v>0</v>
      </c>
      <c r="M1881" s="47">
        <f t="shared" si="149"/>
        <v>0</v>
      </c>
      <c r="N1881" t="str">
        <f>IF(A1881="","",IF(D1881="Category Pending","Needs categorization",IF(COUNTIFS($A$2:A1881,A1881,$B$2:B1881,B1881,$E$2:E1881,E1881)&gt;1,"Possible duplicate","")))</f>
        <v/>
      </c>
    </row>
    <row r="1882" spans="3:14" x14ac:dyDescent="0.3">
      <c r="C1882" s="16"/>
      <c r="G1882" s="5" t="str">
        <f t="shared" si="145"/>
        <v/>
      </c>
      <c r="H1882" t="str">
        <f>IF(A1882="","",IFERROR(_xlfn.XLOOKUP(D1882,Setup!$E$15:$E$79,Setup!$F$15:$F$79),"Miscellaneous"))</f>
        <v/>
      </c>
      <c r="I1882" t="str">
        <f>IF(A1882="","",IFERROR(_xlfn.XLOOKUP(D1882,Setup!$E$15:$E$79,Setup!$G$15:$G$79),"Uncategorized"))</f>
        <v/>
      </c>
      <c r="J1882" t="str">
        <f t="shared" si="146"/>
        <v/>
      </c>
      <c r="K1882" s="4" t="str">
        <f t="shared" si="147"/>
        <v/>
      </c>
      <c r="L1882" s="47">
        <f t="shared" si="148"/>
        <v>0</v>
      </c>
      <c r="M1882" s="47">
        <f t="shared" si="149"/>
        <v>0</v>
      </c>
      <c r="N1882" t="str">
        <f>IF(A1882="","",IF(D1882="Category Pending","Needs categorization",IF(COUNTIFS($A$2:A1882,A1882,$B$2:B1882,B1882,$E$2:E1882,E1882)&gt;1,"Possible duplicate","")))</f>
        <v/>
      </c>
    </row>
    <row r="1883" spans="3:14" x14ac:dyDescent="0.3">
      <c r="C1883" s="16"/>
      <c r="G1883" s="5" t="str">
        <f t="shared" si="145"/>
        <v/>
      </c>
      <c r="H1883" t="str">
        <f>IF(A1883="","",IFERROR(_xlfn.XLOOKUP(D1883,Setup!$E$15:$E$79,Setup!$F$15:$F$79),"Miscellaneous"))</f>
        <v/>
      </c>
      <c r="I1883" t="str">
        <f>IF(A1883="","",IFERROR(_xlfn.XLOOKUP(D1883,Setup!$E$15:$E$79,Setup!$G$15:$G$79),"Uncategorized"))</f>
        <v/>
      </c>
      <c r="J1883" t="str">
        <f t="shared" si="146"/>
        <v/>
      </c>
      <c r="K1883" s="4" t="str">
        <f t="shared" si="147"/>
        <v/>
      </c>
      <c r="L1883" s="47">
        <f t="shared" si="148"/>
        <v>0</v>
      </c>
      <c r="M1883" s="47">
        <f t="shared" si="149"/>
        <v>0</v>
      </c>
      <c r="N1883" t="str">
        <f>IF(A1883="","",IF(D1883="Category Pending","Needs categorization",IF(COUNTIFS($A$2:A1883,A1883,$B$2:B1883,B1883,$E$2:E1883,E1883)&gt;1,"Possible duplicate","")))</f>
        <v/>
      </c>
    </row>
    <row r="1884" spans="3:14" x14ac:dyDescent="0.3">
      <c r="C1884" s="16"/>
      <c r="G1884" s="5" t="str">
        <f t="shared" si="145"/>
        <v/>
      </c>
      <c r="H1884" t="str">
        <f>IF(A1884="","",IFERROR(_xlfn.XLOOKUP(D1884,Setup!$E$15:$E$79,Setup!$F$15:$F$79),"Miscellaneous"))</f>
        <v/>
      </c>
      <c r="I1884" t="str">
        <f>IF(A1884="","",IFERROR(_xlfn.XLOOKUP(D1884,Setup!$E$15:$E$79,Setup!$G$15:$G$79),"Uncategorized"))</f>
        <v/>
      </c>
      <c r="J1884" t="str">
        <f t="shared" si="146"/>
        <v/>
      </c>
      <c r="K1884" s="4" t="str">
        <f t="shared" si="147"/>
        <v/>
      </c>
      <c r="L1884" s="47">
        <f t="shared" si="148"/>
        <v>0</v>
      </c>
      <c r="M1884" s="47">
        <f t="shared" si="149"/>
        <v>0</v>
      </c>
      <c r="N1884" t="str">
        <f>IF(A1884="","",IF(D1884="Category Pending","Needs categorization",IF(COUNTIFS($A$2:A1884,A1884,$B$2:B1884,B1884,$E$2:E1884,E1884)&gt;1,"Possible duplicate","")))</f>
        <v/>
      </c>
    </row>
    <row r="1885" spans="3:14" x14ac:dyDescent="0.3">
      <c r="C1885" s="16"/>
      <c r="G1885" s="5" t="str">
        <f t="shared" si="145"/>
        <v/>
      </c>
      <c r="H1885" t="str">
        <f>IF(A1885="","",IFERROR(_xlfn.XLOOKUP(D1885,Setup!$E$15:$E$79,Setup!$F$15:$F$79),"Miscellaneous"))</f>
        <v/>
      </c>
      <c r="I1885" t="str">
        <f>IF(A1885="","",IFERROR(_xlfn.XLOOKUP(D1885,Setup!$E$15:$E$79,Setup!$G$15:$G$79),"Uncategorized"))</f>
        <v/>
      </c>
      <c r="J1885" t="str">
        <f t="shared" si="146"/>
        <v/>
      </c>
      <c r="K1885" s="4" t="str">
        <f t="shared" si="147"/>
        <v/>
      </c>
      <c r="L1885" s="47">
        <f t="shared" si="148"/>
        <v>0</v>
      </c>
      <c r="M1885" s="47">
        <f t="shared" si="149"/>
        <v>0</v>
      </c>
      <c r="N1885" t="str">
        <f>IF(A1885="","",IF(D1885="Category Pending","Needs categorization",IF(COUNTIFS($A$2:A1885,A1885,$B$2:B1885,B1885,$E$2:E1885,E1885)&gt;1,"Possible duplicate","")))</f>
        <v/>
      </c>
    </row>
    <row r="1886" spans="3:14" x14ac:dyDescent="0.3">
      <c r="C1886" s="16"/>
      <c r="G1886" s="5" t="str">
        <f t="shared" si="145"/>
        <v/>
      </c>
      <c r="H1886" t="str">
        <f>IF(A1886="","",IFERROR(_xlfn.XLOOKUP(D1886,Setup!$E$15:$E$79,Setup!$F$15:$F$79),"Miscellaneous"))</f>
        <v/>
      </c>
      <c r="I1886" t="str">
        <f>IF(A1886="","",IFERROR(_xlfn.XLOOKUP(D1886,Setup!$E$15:$E$79,Setup!$G$15:$G$79),"Uncategorized"))</f>
        <v/>
      </c>
      <c r="J1886" t="str">
        <f t="shared" si="146"/>
        <v/>
      </c>
      <c r="K1886" s="4" t="str">
        <f t="shared" si="147"/>
        <v/>
      </c>
      <c r="L1886" s="47">
        <f t="shared" si="148"/>
        <v>0</v>
      </c>
      <c r="M1886" s="47">
        <f t="shared" si="149"/>
        <v>0</v>
      </c>
      <c r="N1886" t="str">
        <f>IF(A1886="","",IF(D1886="Category Pending","Needs categorization",IF(COUNTIFS($A$2:A1886,A1886,$B$2:B1886,B1886,$E$2:E1886,E1886)&gt;1,"Possible duplicate","")))</f>
        <v/>
      </c>
    </row>
    <row r="1887" spans="3:14" x14ac:dyDescent="0.3">
      <c r="C1887" s="16"/>
      <c r="G1887" s="5" t="str">
        <f t="shared" si="145"/>
        <v/>
      </c>
      <c r="H1887" t="str">
        <f>IF(A1887="","",IFERROR(_xlfn.XLOOKUP(D1887,Setup!$E$15:$E$79,Setup!$F$15:$F$79),"Miscellaneous"))</f>
        <v/>
      </c>
      <c r="I1887" t="str">
        <f>IF(A1887="","",IFERROR(_xlfn.XLOOKUP(D1887,Setup!$E$15:$E$79,Setup!$G$15:$G$79),"Uncategorized"))</f>
        <v/>
      </c>
      <c r="J1887" t="str">
        <f t="shared" si="146"/>
        <v/>
      </c>
      <c r="K1887" s="4" t="str">
        <f t="shared" si="147"/>
        <v/>
      </c>
      <c r="L1887" s="47">
        <f t="shared" si="148"/>
        <v>0</v>
      </c>
      <c r="M1887" s="47">
        <f t="shared" si="149"/>
        <v>0</v>
      </c>
      <c r="N1887" t="str">
        <f>IF(A1887="","",IF(D1887="Category Pending","Needs categorization",IF(COUNTIFS($A$2:A1887,A1887,$B$2:B1887,B1887,$E$2:E1887,E1887)&gt;1,"Possible duplicate","")))</f>
        <v/>
      </c>
    </row>
    <row r="1888" spans="3:14" x14ac:dyDescent="0.3">
      <c r="C1888" s="16"/>
      <c r="G1888" s="5" t="str">
        <f t="shared" si="145"/>
        <v/>
      </c>
      <c r="H1888" t="str">
        <f>IF(A1888="","",IFERROR(_xlfn.XLOOKUP(D1888,Setup!$E$15:$E$79,Setup!$F$15:$F$79),"Miscellaneous"))</f>
        <v/>
      </c>
      <c r="I1888" t="str">
        <f>IF(A1888="","",IFERROR(_xlfn.XLOOKUP(D1888,Setup!$E$15:$E$79,Setup!$G$15:$G$79),"Uncategorized"))</f>
        <v/>
      </c>
      <c r="J1888" t="str">
        <f t="shared" si="146"/>
        <v/>
      </c>
      <c r="K1888" s="4" t="str">
        <f t="shared" si="147"/>
        <v/>
      </c>
      <c r="L1888" s="47">
        <f t="shared" si="148"/>
        <v>0</v>
      </c>
      <c r="M1888" s="47">
        <f t="shared" si="149"/>
        <v>0</v>
      </c>
      <c r="N1888" t="str">
        <f>IF(A1888="","",IF(D1888="Category Pending","Needs categorization",IF(COUNTIFS($A$2:A1888,A1888,$B$2:B1888,B1888,$E$2:E1888,E1888)&gt;1,"Possible duplicate","")))</f>
        <v/>
      </c>
    </row>
    <row r="1889" spans="3:14" x14ac:dyDescent="0.3">
      <c r="C1889" s="16"/>
      <c r="G1889" s="5" t="str">
        <f t="shared" ref="G1889:G1902" si="150">IF(A1889="","","Checking")</f>
        <v/>
      </c>
      <c r="H1889" t="str">
        <f>IF(A1889="","",IFERROR(_xlfn.XLOOKUP(D1889,Setup!$E$15:$E$79,Setup!$F$15:$F$79),"Miscellaneous"))</f>
        <v/>
      </c>
      <c r="I1889" t="str">
        <f>IF(A1889="","",IFERROR(_xlfn.XLOOKUP(D1889,Setup!$E$15:$E$79,Setup!$G$15:$G$79),"Uncategorized"))</f>
        <v/>
      </c>
      <c r="J1889" t="str">
        <f t="shared" ref="J1889:J1902" si="151">IF(A1889="","",IF(OR(H1889="Transfers",H1889="Income",D1889="Transfer",D1889="Category Pending"),"No","Yes"))</f>
        <v/>
      </c>
      <c r="K1889" s="4" t="str">
        <f t="shared" ref="K1889:K1902" si="152">IF(A1889="","",IF(A1889&gt;=46232,TEXT(DATE(YEAR(A1889),MONTH(A1889)+1,1),"mmmm yyyy"),TEXT(DATE(YEAR(A1889),MONTH(A1889),1),"mmmm yyyy")))</f>
        <v/>
      </c>
      <c r="L1889" s="47">
        <f t="shared" ref="L1889:L1902" si="153">IF(AND(J1889="Yes",E1889&lt;0),-E1889,0)</f>
        <v>0</v>
      </c>
      <c r="M1889" s="47">
        <f t="shared" ref="M1889:M1902" si="154">IF(AND(J1889="Yes",E1889&gt;0),E1889,0)</f>
        <v>0</v>
      </c>
      <c r="N1889" t="str">
        <f>IF(A1889="","",IF(D1889="Category Pending","Needs categorization",IF(COUNTIFS($A$2:A1889,A1889,$B$2:B1889,B1889,$E$2:E1889,E1889)&gt;1,"Possible duplicate","")))</f>
        <v/>
      </c>
    </row>
    <row r="1890" spans="3:14" x14ac:dyDescent="0.3">
      <c r="C1890" s="16"/>
      <c r="G1890" s="5" t="str">
        <f t="shared" si="150"/>
        <v/>
      </c>
      <c r="H1890" t="str">
        <f>IF(A1890="","",IFERROR(_xlfn.XLOOKUP(D1890,Setup!$E$15:$E$79,Setup!$F$15:$F$79),"Miscellaneous"))</f>
        <v/>
      </c>
      <c r="I1890" t="str">
        <f>IF(A1890="","",IFERROR(_xlfn.XLOOKUP(D1890,Setup!$E$15:$E$79,Setup!$G$15:$G$79),"Uncategorized"))</f>
        <v/>
      </c>
      <c r="J1890" t="str">
        <f t="shared" si="151"/>
        <v/>
      </c>
      <c r="K1890" s="4" t="str">
        <f t="shared" si="152"/>
        <v/>
      </c>
      <c r="L1890" s="47">
        <f t="shared" si="153"/>
        <v>0</v>
      </c>
      <c r="M1890" s="47">
        <f t="shared" si="154"/>
        <v>0</v>
      </c>
      <c r="N1890" t="str">
        <f>IF(A1890="","",IF(D1890="Category Pending","Needs categorization",IF(COUNTIFS($A$2:A1890,A1890,$B$2:B1890,B1890,$E$2:E1890,E1890)&gt;1,"Possible duplicate","")))</f>
        <v/>
      </c>
    </row>
    <row r="1891" spans="3:14" x14ac:dyDescent="0.3">
      <c r="C1891" s="16"/>
      <c r="G1891" s="5" t="str">
        <f t="shared" si="150"/>
        <v/>
      </c>
      <c r="H1891" t="str">
        <f>IF(A1891="","",IFERROR(_xlfn.XLOOKUP(D1891,Setup!$E$15:$E$79,Setup!$F$15:$F$79),"Miscellaneous"))</f>
        <v/>
      </c>
      <c r="I1891" t="str">
        <f>IF(A1891="","",IFERROR(_xlfn.XLOOKUP(D1891,Setup!$E$15:$E$79,Setup!$G$15:$G$79),"Uncategorized"))</f>
        <v/>
      </c>
      <c r="J1891" t="str">
        <f t="shared" si="151"/>
        <v/>
      </c>
      <c r="K1891" s="4" t="str">
        <f t="shared" si="152"/>
        <v/>
      </c>
      <c r="L1891" s="47">
        <f t="shared" si="153"/>
        <v>0</v>
      </c>
      <c r="M1891" s="47">
        <f t="shared" si="154"/>
        <v>0</v>
      </c>
      <c r="N1891" t="str">
        <f>IF(A1891="","",IF(D1891="Category Pending","Needs categorization",IF(COUNTIFS($A$2:A1891,A1891,$B$2:B1891,B1891,$E$2:E1891,E1891)&gt;1,"Possible duplicate","")))</f>
        <v/>
      </c>
    </row>
    <row r="1892" spans="3:14" x14ac:dyDescent="0.3">
      <c r="C1892" s="16"/>
      <c r="G1892" s="5" t="str">
        <f t="shared" si="150"/>
        <v/>
      </c>
      <c r="H1892" t="str">
        <f>IF(A1892="","",IFERROR(_xlfn.XLOOKUP(D1892,Setup!$E$15:$E$79,Setup!$F$15:$F$79),"Miscellaneous"))</f>
        <v/>
      </c>
      <c r="I1892" t="str">
        <f>IF(A1892="","",IFERROR(_xlfn.XLOOKUP(D1892,Setup!$E$15:$E$79,Setup!$G$15:$G$79),"Uncategorized"))</f>
        <v/>
      </c>
      <c r="J1892" t="str">
        <f t="shared" si="151"/>
        <v/>
      </c>
      <c r="K1892" s="4" t="str">
        <f t="shared" si="152"/>
        <v/>
      </c>
      <c r="L1892" s="47">
        <f t="shared" si="153"/>
        <v>0</v>
      </c>
      <c r="M1892" s="47">
        <f t="shared" si="154"/>
        <v>0</v>
      </c>
      <c r="N1892" t="str">
        <f>IF(A1892="","",IF(D1892="Category Pending","Needs categorization",IF(COUNTIFS($A$2:A1892,A1892,$B$2:B1892,B1892,$E$2:E1892,E1892)&gt;1,"Possible duplicate","")))</f>
        <v/>
      </c>
    </row>
    <row r="1893" spans="3:14" x14ac:dyDescent="0.3">
      <c r="C1893" s="16"/>
      <c r="G1893" s="5" t="str">
        <f t="shared" si="150"/>
        <v/>
      </c>
      <c r="H1893" t="str">
        <f>IF(A1893="","",IFERROR(_xlfn.XLOOKUP(D1893,Setup!$E$15:$E$79,Setup!$F$15:$F$79),"Miscellaneous"))</f>
        <v/>
      </c>
      <c r="I1893" t="str">
        <f>IF(A1893="","",IFERROR(_xlfn.XLOOKUP(D1893,Setup!$E$15:$E$79,Setup!$G$15:$G$79),"Uncategorized"))</f>
        <v/>
      </c>
      <c r="J1893" t="str">
        <f t="shared" si="151"/>
        <v/>
      </c>
      <c r="K1893" s="4" t="str">
        <f t="shared" si="152"/>
        <v/>
      </c>
      <c r="L1893" s="47">
        <f t="shared" si="153"/>
        <v>0</v>
      </c>
      <c r="M1893" s="47">
        <f t="shared" si="154"/>
        <v>0</v>
      </c>
      <c r="N1893" t="str">
        <f>IF(A1893="","",IF(D1893="Category Pending","Needs categorization",IF(COUNTIFS($A$2:A1893,A1893,$B$2:B1893,B1893,$E$2:E1893,E1893)&gt;1,"Possible duplicate","")))</f>
        <v/>
      </c>
    </row>
    <row r="1894" spans="3:14" x14ac:dyDescent="0.3">
      <c r="C1894" s="16"/>
      <c r="G1894" s="5" t="str">
        <f t="shared" si="150"/>
        <v/>
      </c>
      <c r="H1894" t="str">
        <f>IF(A1894="","",IFERROR(_xlfn.XLOOKUP(D1894,Setup!$E$15:$E$79,Setup!$F$15:$F$79),"Miscellaneous"))</f>
        <v/>
      </c>
      <c r="I1894" t="str">
        <f>IF(A1894="","",IFERROR(_xlfn.XLOOKUP(D1894,Setup!$E$15:$E$79,Setup!$G$15:$G$79),"Uncategorized"))</f>
        <v/>
      </c>
      <c r="J1894" t="str">
        <f t="shared" si="151"/>
        <v/>
      </c>
      <c r="K1894" s="4" t="str">
        <f t="shared" si="152"/>
        <v/>
      </c>
      <c r="L1894" s="47">
        <f t="shared" si="153"/>
        <v>0</v>
      </c>
      <c r="M1894" s="47">
        <f t="shared" si="154"/>
        <v>0</v>
      </c>
      <c r="N1894" t="str">
        <f>IF(A1894="","",IF(D1894="Category Pending","Needs categorization",IF(COUNTIFS($A$2:A1894,A1894,$B$2:B1894,B1894,$E$2:E1894,E1894)&gt;1,"Possible duplicate","")))</f>
        <v/>
      </c>
    </row>
    <row r="1895" spans="3:14" x14ac:dyDescent="0.3">
      <c r="C1895" s="16"/>
      <c r="G1895" s="5" t="str">
        <f t="shared" si="150"/>
        <v/>
      </c>
      <c r="H1895" t="str">
        <f>IF(A1895="","",IFERROR(_xlfn.XLOOKUP(D1895,Setup!$E$15:$E$79,Setup!$F$15:$F$79),"Miscellaneous"))</f>
        <v/>
      </c>
      <c r="I1895" t="str">
        <f>IF(A1895="","",IFERROR(_xlfn.XLOOKUP(D1895,Setup!$E$15:$E$79,Setup!$G$15:$G$79),"Uncategorized"))</f>
        <v/>
      </c>
      <c r="J1895" t="str">
        <f t="shared" si="151"/>
        <v/>
      </c>
      <c r="K1895" s="4" t="str">
        <f t="shared" si="152"/>
        <v/>
      </c>
      <c r="L1895" s="47">
        <f t="shared" si="153"/>
        <v>0</v>
      </c>
      <c r="M1895" s="47">
        <f t="shared" si="154"/>
        <v>0</v>
      </c>
      <c r="N1895" t="str">
        <f>IF(A1895="","",IF(D1895="Category Pending","Needs categorization",IF(COUNTIFS($A$2:A1895,A1895,$B$2:B1895,B1895,$E$2:E1895,E1895)&gt;1,"Possible duplicate","")))</f>
        <v/>
      </c>
    </row>
    <row r="1896" spans="3:14" x14ac:dyDescent="0.3">
      <c r="C1896" s="16"/>
      <c r="G1896" s="5" t="str">
        <f t="shared" si="150"/>
        <v/>
      </c>
      <c r="H1896" t="str">
        <f>IF(A1896="","",IFERROR(_xlfn.XLOOKUP(D1896,Setup!$E$15:$E$79,Setup!$F$15:$F$79),"Miscellaneous"))</f>
        <v/>
      </c>
      <c r="I1896" t="str">
        <f>IF(A1896="","",IFERROR(_xlfn.XLOOKUP(D1896,Setup!$E$15:$E$79,Setup!$G$15:$G$79),"Uncategorized"))</f>
        <v/>
      </c>
      <c r="J1896" t="str">
        <f t="shared" si="151"/>
        <v/>
      </c>
      <c r="K1896" s="4" t="str">
        <f t="shared" si="152"/>
        <v/>
      </c>
      <c r="L1896" s="47">
        <f t="shared" si="153"/>
        <v>0</v>
      </c>
      <c r="M1896" s="47">
        <f t="shared" si="154"/>
        <v>0</v>
      </c>
      <c r="N1896" t="str">
        <f>IF(A1896="","",IF(D1896="Category Pending","Needs categorization",IF(COUNTIFS($A$2:A1896,A1896,$B$2:B1896,B1896,$E$2:E1896,E1896)&gt;1,"Possible duplicate","")))</f>
        <v/>
      </c>
    </row>
    <row r="1897" spans="3:14" x14ac:dyDescent="0.3">
      <c r="C1897" s="16"/>
      <c r="G1897" s="5" t="str">
        <f t="shared" si="150"/>
        <v/>
      </c>
      <c r="H1897" t="str">
        <f>IF(A1897="","",IFERROR(_xlfn.XLOOKUP(D1897,Setup!$E$15:$E$79,Setup!$F$15:$F$79),"Miscellaneous"))</f>
        <v/>
      </c>
      <c r="I1897" t="str">
        <f>IF(A1897="","",IFERROR(_xlfn.XLOOKUP(D1897,Setup!$E$15:$E$79,Setup!$G$15:$G$79),"Uncategorized"))</f>
        <v/>
      </c>
      <c r="J1897" t="str">
        <f t="shared" si="151"/>
        <v/>
      </c>
      <c r="K1897" s="4" t="str">
        <f t="shared" si="152"/>
        <v/>
      </c>
      <c r="L1897" s="47">
        <f t="shared" si="153"/>
        <v>0</v>
      </c>
      <c r="M1897" s="47">
        <f t="shared" si="154"/>
        <v>0</v>
      </c>
      <c r="N1897" t="str">
        <f>IF(A1897="","",IF(D1897="Category Pending","Needs categorization",IF(COUNTIFS($A$2:A1897,A1897,$B$2:B1897,B1897,$E$2:E1897,E1897)&gt;1,"Possible duplicate","")))</f>
        <v/>
      </c>
    </row>
    <row r="1898" spans="3:14" x14ac:dyDescent="0.3">
      <c r="C1898" s="16"/>
      <c r="G1898" s="5" t="str">
        <f t="shared" si="150"/>
        <v/>
      </c>
      <c r="H1898" t="str">
        <f>IF(A1898="","",IFERROR(_xlfn.XLOOKUP(D1898,Setup!$E$15:$E$79,Setup!$F$15:$F$79),"Miscellaneous"))</f>
        <v/>
      </c>
      <c r="I1898" t="str">
        <f>IF(A1898="","",IFERROR(_xlfn.XLOOKUP(D1898,Setup!$E$15:$E$79,Setup!$G$15:$G$79),"Uncategorized"))</f>
        <v/>
      </c>
      <c r="J1898" t="str">
        <f t="shared" si="151"/>
        <v/>
      </c>
      <c r="K1898" s="4" t="str">
        <f t="shared" si="152"/>
        <v/>
      </c>
      <c r="L1898" s="47">
        <f t="shared" si="153"/>
        <v>0</v>
      </c>
      <c r="M1898" s="47">
        <f t="shared" si="154"/>
        <v>0</v>
      </c>
      <c r="N1898" t="str">
        <f>IF(A1898="","",IF(D1898="Category Pending","Needs categorization",IF(COUNTIFS($A$2:A1898,A1898,$B$2:B1898,B1898,$E$2:E1898,E1898)&gt;1,"Possible duplicate","")))</f>
        <v/>
      </c>
    </row>
    <row r="1899" spans="3:14" x14ac:dyDescent="0.3">
      <c r="C1899" s="16"/>
      <c r="G1899" s="5" t="str">
        <f t="shared" si="150"/>
        <v/>
      </c>
      <c r="H1899" t="str">
        <f>IF(A1899="","",IFERROR(_xlfn.XLOOKUP(D1899,Setup!$E$15:$E$79,Setup!$F$15:$F$79),"Miscellaneous"))</f>
        <v/>
      </c>
      <c r="I1899" t="str">
        <f>IF(A1899="","",IFERROR(_xlfn.XLOOKUP(D1899,Setup!$E$15:$E$79,Setup!$G$15:$G$79),"Uncategorized"))</f>
        <v/>
      </c>
      <c r="J1899" t="str">
        <f t="shared" si="151"/>
        <v/>
      </c>
      <c r="K1899" s="4" t="str">
        <f t="shared" si="152"/>
        <v/>
      </c>
      <c r="L1899" s="47">
        <f t="shared" si="153"/>
        <v>0</v>
      </c>
      <c r="M1899" s="47">
        <f t="shared" si="154"/>
        <v>0</v>
      </c>
      <c r="N1899" t="str">
        <f>IF(A1899="","",IF(D1899="Category Pending","Needs categorization",IF(COUNTIFS($A$2:A1899,A1899,$B$2:B1899,B1899,$E$2:E1899,E1899)&gt;1,"Possible duplicate","")))</f>
        <v/>
      </c>
    </row>
    <row r="1900" spans="3:14" x14ac:dyDescent="0.3">
      <c r="C1900" s="16"/>
      <c r="G1900" s="5" t="str">
        <f t="shared" si="150"/>
        <v/>
      </c>
      <c r="H1900" t="str">
        <f>IF(A1900="","",IFERROR(_xlfn.XLOOKUP(D1900,Setup!$E$15:$E$79,Setup!$F$15:$F$79),"Miscellaneous"))</f>
        <v/>
      </c>
      <c r="I1900" t="str">
        <f>IF(A1900="","",IFERROR(_xlfn.XLOOKUP(D1900,Setup!$E$15:$E$79,Setup!$G$15:$G$79),"Uncategorized"))</f>
        <v/>
      </c>
      <c r="J1900" t="str">
        <f t="shared" si="151"/>
        <v/>
      </c>
      <c r="K1900" s="4" t="str">
        <f t="shared" si="152"/>
        <v/>
      </c>
      <c r="L1900" s="47">
        <f t="shared" si="153"/>
        <v>0</v>
      </c>
      <c r="M1900" s="47">
        <f t="shared" si="154"/>
        <v>0</v>
      </c>
      <c r="N1900" t="str">
        <f>IF(A1900="","",IF(D1900="Category Pending","Needs categorization",IF(COUNTIFS($A$2:A1900,A1900,$B$2:B1900,B1900,$E$2:E1900,E1900)&gt;1,"Possible duplicate","")))</f>
        <v/>
      </c>
    </row>
    <row r="1901" spans="3:14" x14ac:dyDescent="0.3">
      <c r="C1901" s="16"/>
      <c r="G1901" s="5" t="str">
        <f t="shared" si="150"/>
        <v/>
      </c>
      <c r="H1901" t="str">
        <f>IF(A1901="","",IFERROR(_xlfn.XLOOKUP(D1901,Setup!$E$15:$E$79,Setup!$F$15:$F$79),"Miscellaneous"))</f>
        <v/>
      </c>
      <c r="I1901" t="str">
        <f>IF(A1901="","",IFERROR(_xlfn.XLOOKUP(D1901,Setup!$E$15:$E$79,Setup!$G$15:$G$79),"Uncategorized"))</f>
        <v/>
      </c>
      <c r="J1901" t="str">
        <f t="shared" si="151"/>
        <v/>
      </c>
      <c r="K1901" s="4" t="str">
        <f t="shared" si="152"/>
        <v/>
      </c>
      <c r="L1901" s="47">
        <f t="shared" si="153"/>
        <v>0</v>
      </c>
      <c r="M1901" s="47">
        <f t="shared" si="154"/>
        <v>0</v>
      </c>
      <c r="N1901" t="str">
        <f>IF(A1901="","",IF(D1901="Category Pending","Needs categorization",IF(COUNTIFS($A$2:A1901,A1901,$B$2:B1901,B1901,$E$2:E1901,E1901)&gt;1,"Possible duplicate","")))</f>
        <v/>
      </c>
    </row>
    <row r="1902" spans="3:14" x14ac:dyDescent="0.3">
      <c r="C1902" s="16"/>
      <c r="G1902" s="5" t="str">
        <f t="shared" si="150"/>
        <v/>
      </c>
      <c r="H1902" t="str">
        <f>IF(A1902="","",IFERROR(_xlfn.XLOOKUP(D1902,Setup!$E$15:$E$79,Setup!$F$15:$F$79),"Miscellaneous"))</f>
        <v/>
      </c>
      <c r="I1902" t="str">
        <f>IF(A1902="","",IFERROR(_xlfn.XLOOKUP(D1902,Setup!$E$15:$E$79,Setup!$G$15:$G$79),"Uncategorized"))</f>
        <v/>
      </c>
      <c r="J1902" t="str">
        <f t="shared" si="151"/>
        <v/>
      </c>
      <c r="K1902" s="4" t="str">
        <f t="shared" si="152"/>
        <v/>
      </c>
      <c r="L1902" s="47">
        <f t="shared" si="153"/>
        <v>0</v>
      </c>
      <c r="M1902" s="47">
        <f t="shared" si="154"/>
        <v>0</v>
      </c>
      <c r="N1902" t="str">
        <f>IF(A1902="","",IF(D1902="Category Pending","Needs categorization",IF(COUNTIFS($A$2:A1902,A1902,$B$2:B1902,B1902,$E$2:E1902,E1902)&gt;1,"Possible duplicate","")))</f>
        <v/>
      </c>
    </row>
  </sheetData>
  <autoFilter ref="A1:N1902" xr:uid="{00000000-0001-0000-0200-000000000000}"/>
  <dataValidations count="4">
    <dataValidation type="list" allowBlank="1" showInputMessage="1" showErrorMessage="1" sqref="G2:G1902" xr:uid="{F941ACA9-6498-4A2C-B4CC-1F3C682DC14A}">
      <formula1>AccountList</formula1>
    </dataValidation>
    <dataValidation type="list" allowBlank="1" showInputMessage="1" showErrorMessage="1" sqref="H2:H1902" xr:uid="{3B08CB92-C685-44D1-992A-6E20609FD26D}">
      <formula1>CategoryList</formula1>
    </dataValidation>
    <dataValidation type="list" allowBlank="1" showInputMessage="1" showErrorMessage="1" sqref="J2:J1902" xr:uid="{F8F57A7F-CAAB-4175-ADE2-7690FF2B8116}">
      <formula1>"Yes,No"</formula1>
    </dataValidation>
    <dataValidation type="list" allowBlank="1" showInputMessage="1" showErrorMessage="1" sqref="I2:I1902" xr:uid="{38472C53-67DB-4104-9320-6D3D0AEF6D79}">
      <formula1>INDIRECT(SUBSTITUTE(H2," ","_"))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B68272-7E3A-409B-BA1D-5017DE2A3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19</vt:i4>
      </vt:variant>
    </vt:vector>
  </HeadingPairs>
  <TitlesOfParts>
    <vt:vector size="29" baseType="lpstr">
      <vt:lpstr>Instructions</vt:lpstr>
      <vt:lpstr>Dashboard</vt:lpstr>
      <vt:lpstr>Setup</vt:lpstr>
      <vt:lpstr>Budget Plan</vt:lpstr>
      <vt:lpstr>Manual Actuals</vt:lpstr>
      <vt:lpstr>Monthly Summary</vt:lpstr>
      <vt:lpstr>Goals</vt:lpstr>
      <vt:lpstr>Debts</vt:lpstr>
      <vt:lpstr>Reconciliation</vt:lpstr>
      <vt:lpstr>bk_download</vt:lpstr>
      <vt:lpstr>AccountList</vt:lpstr>
      <vt:lpstr>CategoryList</vt:lpstr>
      <vt:lpstr>Children</vt:lpstr>
      <vt:lpstr>Debt</vt:lpstr>
      <vt:lpstr>Entertainment</vt:lpstr>
      <vt:lpstr>Food</vt:lpstr>
      <vt:lpstr>Giving</vt:lpstr>
      <vt:lpstr>Housing</vt:lpstr>
      <vt:lpstr>Insurance</vt:lpstr>
      <vt:lpstr>Legal</vt:lpstr>
      <vt:lpstr>Medical</vt:lpstr>
      <vt:lpstr>Miscellaneous</vt:lpstr>
      <vt:lpstr>Personal_Care</vt:lpstr>
      <vt:lpstr>Pets</vt:lpstr>
      <vt:lpstr>Savings</vt:lpstr>
      <vt:lpstr>Subscriptions</vt:lpstr>
      <vt:lpstr>Taxes</vt:lpstr>
      <vt:lpstr>Utilities</vt:lpstr>
      <vt:lpstr>Vehicle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Gavin Anthony</dc:creator>
  <cp:keywords/>
  <dc:description/>
  <cp:lastModifiedBy>Gavin Anthony</cp:lastModifiedBy>
  <cp:revision/>
  <dcterms:created xsi:type="dcterms:W3CDTF">2026-08-10T01:05:20Z</dcterms:created>
  <dcterms:modified xsi:type="dcterms:W3CDTF">2026-08-10T01:52:11Z</dcterms:modified>
  <cp:category/>
  <cp:contentStatus/>
</cp:coreProperties>
</file>